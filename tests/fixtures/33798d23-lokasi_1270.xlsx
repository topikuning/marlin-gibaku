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topikuning/Downloads/"/>
    </mc:Choice>
  </mc:AlternateContent>
  <xr:revisionPtr revIDLastSave="0" documentId="8_{D6C37FDC-3292-1945-AF71-0802F21F5C95}" xr6:coauthVersionLast="47" xr6:coauthVersionMax="47" xr10:uidLastSave="{00000000-0000-0000-0000-000000000000}"/>
  <bookViews>
    <workbookView xWindow="1480" yWindow="1660" windowWidth="27240" windowHeight="15720" xr2:uid="{D24B5220-6A56-5644-9720-FB3582C73675}"/>
  </bookViews>
  <sheets>
    <sheet name="data 1270" sheetId="1" r:id="rId1"/>
  </sheets>
  <externalReferences>
    <externalReference r:id="rId2"/>
  </externalReferences>
  <definedNames>
    <definedName name="_xlnm._FilterDatabase" localSheetId="0" hidden="1">'data 1270'!$A$1:$AP$1272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O1272" i="1" l="1"/>
  <c r="AN1272" i="1"/>
  <c r="AL1272" i="1"/>
  <c r="AK1272" i="1"/>
  <c r="AJ1272" i="1"/>
  <c r="AH1272" i="1"/>
  <c r="AG1272" i="1"/>
  <c r="AE1272" i="1"/>
  <c r="AA1272" i="1"/>
  <c r="Z1272" i="1"/>
  <c r="Y1272" i="1"/>
  <c r="AL1271" i="1"/>
  <c r="AK1271" i="1"/>
  <c r="AJ1271" i="1"/>
  <c r="AH1271" i="1"/>
  <c r="AG1271" i="1"/>
  <c r="AE1271" i="1"/>
  <c r="Z1271" i="1"/>
  <c r="Y1271" i="1"/>
  <c r="AL1270" i="1"/>
  <c r="AK1270" i="1"/>
  <c r="AJ1270" i="1"/>
  <c r="AH1270" i="1"/>
  <c r="AG1270" i="1"/>
  <c r="AE1270" i="1"/>
  <c r="Z1270" i="1"/>
  <c r="Y1270" i="1"/>
  <c r="AL1269" i="1"/>
  <c r="AK1269" i="1"/>
  <c r="AJ1269" i="1"/>
  <c r="AH1269" i="1"/>
  <c r="AG1269" i="1"/>
  <c r="AE1269" i="1"/>
  <c r="Z1269" i="1"/>
  <c r="Y1269" i="1"/>
  <c r="AL1268" i="1"/>
  <c r="AK1268" i="1"/>
  <c r="AJ1268" i="1"/>
  <c r="AH1268" i="1"/>
  <c r="AG1268" i="1"/>
  <c r="AE1268" i="1"/>
  <c r="Z1268" i="1"/>
  <c r="Y1268" i="1"/>
  <c r="AL1267" i="1"/>
  <c r="AK1267" i="1"/>
  <c r="AJ1267" i="1"/>
  <c r="AH1267" i="1"/>
  <c r="AG1267" i="1"/>
  <c r="AE1267" i="1"/>
  <c r="Z1267" i="1"/>
  <c r="Y1267" i="1"/>
  <c r="AL1266" i="1"/>
  <c r="AK1266" i="1"/>
  <c r="AJ1266" i="1"/>
  <c r="AH1266" i="1"/>
  <c r="AG1266" i="1"/>
  <c r="AE1266" i="1"/>
  <c r="AD1266" i="1"/>
  <c r="AA1266" i="1"/>
  <c r="Z1266" i="1"/>
  <c r="Y1266" i="1"/>
  <c r="AL1265" i="1"/>
  <c r="AK1265" i="1"/>
  <c r="AJ1265" i="1"/>
  <c r="AH1265" i="1"/>
  <c r="AG1265" i="1"/>
  <c r="AE1265" i="1"/>
  <c r="Z1265" i="1"/>
  <c r="Y1265" i="1"/>
  <c r="AL1264" i="1"/>
  <c r="AK1264" i="1"/>
  <c r="AJ1264" i="1"/>
  <c r="AH1264" i="1"/>
  <c r="AG1264" i="1"/>
  <c r="AE1264" i="1"/>
  <c r="Z1264" i="1"/>
  <c r="Y1264" i="1"/>
  <c r="AO1263" i="1"/>
  <c r="AN1263" i="1"/>
  <c r="AL1263" i="1"/>
  <c r="AK1263" i="1"/>
  <c r="AJ1263" i="1"/>
  <c r="AH1263" i="1"/>
  <c r="AG1263" i="1"/>
  <c r="AE1263" i="1"/>
  <c r="AC1263" i="1"/>
  <c r="AA1263" i="1"/>
  <c r="Z1263" i="1"/>
  <c r="Y1263" i="1"/>
  <c r="V1263" i="1"/>
  <c r="AO1262" i="1"/>
  <c r="AN1262" i="1"/>
  <c r="AL1262" i="1"/>
  <c r="AK1262" i="1"/>
  <c r="AJ1262" i="1"/>
  <c r="AH1262" i="1"/>
  <c r="AG1262" i="1"/>
  <c r="AE1262" i="1"/>
  <c r="AC1262" i="1"/>
  <c r="AA1262" i="1"/>
  <c r="Z1262" i="1"/>
  <c r="Y1262" i="1"/>
  <c r="V1262" i="1"/>
  <c r="AO1261" i="1"/>
  <c r="AN1261" i="1"/>
  <c r="AL1261" i="1"/>
  <c r="AK1261" i="1"/>
  <c r="AJ1261" i="1"/>
  <c r="AH1261" i="1"/>
  <c r="AG1261" i="1"/>
  <c r="AE1261" i="1"/>
  <c r="AC1261" i="1"/>
  <c r="AA1261" i="1"/>
  <c r="Z1261" i="1"/>
  <c r="Y1261" i="1"/>
  <c r="V1261" i="1"/>
  <c r="AO1260" i="1"/>
  <c r="AN1260" i="1"/>
  <c r="AL1260" i="1"/>
  <c r="AK1260" i="1"/>
  <c r="AJ1260" i="1"/>
  <c r="AH1260" i="1"/>
  <c r="AG1260" i="1"/>
  <c r="AE1260" i="1"/>
  <c r="Z1260" i="1"/>
  <c r="Y1260" i="1"/>
  <c r="AO1259" i="1"/>
  <c r="AN1259" i="1"/>
  <c r="AL1259" i="1"/>
  <c r="AK1259" i="1"/>
  <c r="AJ1259" i="1"/>
  <c r="AH1259" i="1"/>
  <c r="AG1259" i="1"/>
  <c r="AE1259" i="1"/>
  <c r="Z1259" i="1"/>
  <c r="Y1259" i="1"/>
  <c r="AO1258" i="1"/>
  <c r="AN1258" i="1"/>
  <c r="AL1258" i="1"/>
  <c r="AK1258" i="1"/>
  <c r="AJ1258" i="1"/>
  <c r="AH1258" i="1"/>
  <c r="AG1258" i="1"/>
  <c r="AE1258" i="1"/>
  <c r="Z1258" i="1"/>
  <c r="Y1258" i="1"/>
  <c r="AO1257" i="1"/>
  <c r="AN1257" i="1"/>
  <c r="AL1257" i="1"/>
  <c r="AK1257" i="1"/>
  <c r="AJ1257" i="1"/>
  <c r="AH1257" i="1"/>
  <c r="AG1257" i="1"/>
  <c r="AE1257" i="1"/>
  <c r="Z1257" i="1"/>
  <c r="Y1257" i="1"/>
  <c r="AO1256" i="1"/>
  <c r="AN1256" i="1"/>
  <c r="AL1256" i="1"/>
  <c r="AK1256" i="1"/>
  <c r="AJ1256" i="1"/>
  <c r="AH1256" i="1"/>
  <c r="AG1256" i="1"/>
  <c r="AE1256" i="1"/>
  <c r="Z1256" i="1"/>
  <c r="Y1256" i="1"/>
  <c r="AO1255" i="1"/>
  <c r="AN1255" i="1"/>
  <c r="AL1255" i="1"/>
  <c r="AK1255" i="1"/>
  <c r="AJ1255" i="1"/>
  <c r="AH1255" i="1"/>
  <c r="AG1255" i="1"/>
  <c r="AE1255" i="1"/>
  <c r="Z1255" i="1"/>
  <c r="Y1255" i="1"/>
  <c r="AO1254" i="1"/>
  <c r="AN1254" i="1"/>
  <c r="AL1254" i="1"/>
  <c r="AK1254" i="1"/>
  <c r="AJ1254" i="1"/>
  <c r="AH1254" i="1"/>
  <c r="AG1254" i="1"/>
  <c r="AE1254" i="1"/>
  <c r="Z1254" i="1"/>
  <c r="Y1254" i="1"/>
  <c r="AO1253" i="1"/>
  <c r="AN1253" i="1"/>
  <c r="AL1253" i="1"/>
  <c r="AK1253" i="1"/>
  <c r="AJ1253" i="1"/>
  <c r="AH1253" i="1"/>
  <c r="AG1253" i="1"/>
  <c r="AE1253" i="1"/>
  <c r="Z1253" i="1"/>
  <c r="Y1253" i="1"/>
  <c r="AO1252" i="1"/>
  <c r="AN1252" i="1"/>
  <c r="AL1252" i="1"/>
  <c r="AK1252" i="1"/>
  <c r="AJ1252" i="1"/>
  <c r="AH1252" i="1"/>
  <c r="AG1252" i="1"/>
  <c r="AE1252" i="1"/>
  <c r="Z1252" i="1"/>
  <c r="Y1252" i="1"/>
  <c r="AO1251" i="1"/>
  <c r="AN1251" i="1"/>
  <c r="AM1251" i="1"/>
  <c r="AL1251" i="1"/>
  <c r="AK1251" i="1"/>
  <c r="AJ1251" i="1"/>
  <c r="AH1251" i="1"/>
  <c r="AG1251" i="1"/>
  <c r="AE1251" i="1"/>
  <c r="AC1251" i="1"/>
  <c r="AA1251" i="1"/>
  <c r="Z1251" i="1"/>
  <c r="Y1251" i="1"/>
  <c r="AO1250" i="1"/>
  <c r="AN1250" i="1"/>
  <c r="AL1250" i="1"/>
  <c r="AK1250" i="1"/>
  <c r="AJ1250" i="1"/>
  <c r="AH1250" i="1"/>
  <c r="AG1250" i="1"/>
  <c r="AE1250" i="1"/>
  <c r="Z1250" i="1"/>
  <c r="Y1250" i="1"/>
  <c r="AO1249" i="1"/>
  <c r="AN1249" i="1"/>
  <c r="AM1249" i="1"/>
  <c r="AL1249" i="1"/>
  <c r="AK1249" i="1"/>
  <c r="AJ1249" i="1"/>
  <c r="AH1249" i="1"/>
  <c r="AG1249" i="1"/>
  <c r="AE1249" i="1"/>
  <c r="AC1249" i="1"/>
  <c r="AA1249" i="1"/>
  <c r="Z1249" i="1"/>
  <c r="Y1249" i="1"/>
  <c r="AO1248" i="1"/>
  <c r="AN1248" i="1"/>
  <c r="AM1248" i="1"/>
  <c r="AL1248" i="1"/>
  <c r="AK1248" i="1"/>
  <c r="AJ1248" i="1"/>
  <c r="AH1248" i="1"/>
  <c r="AG1248" i="1"/>
  <c r="AE1248" i="1"/>
  <c r="AC1248" i="1"/>
  <c r="AA1248" i="1"/>
  <c r="Z1248" i="1"/>
  <c r="Y1248" i="1"/>
  <c r="AO1247" i="1"/>
  <c r="AN1247" i="1"/>
  <c r="AL1247" i="1"/>
  <c r="AK1247" i="1"/>
  <c r="AJ1247" i="1"/>
  <c r="AH1247" i="1"/>
  <c r="AG1247" i="1"/>
  <c r="AE1247" i="1"/>
  <c r="Z1247" i="1"/>
  <c r="Y1247" i="1"/>
  <c r="AO1246" i="1"/>
  <c r="AN1246" i="1"/>
  <c r="AL1246" i="1"/>
  <c r="AK1246" i="1"/>
  <c r="AJ1246" i="1"/>
  <c r="AH1246" i="1"/>
  <c r="AG1246" i="1"/>
  <c r="AE1246" i="1"/>
  <c r="AA1246" i="1"/>
  <c r="Z1246" i="1"/>
  <c r="Y1246" i="1"/>
  <c r="AO1245" i="1"/>
  <c r="AN1245" i="1"/>
  <c r="AL1245" i="1"/>
  <c r="AK1245" i="1"/>
  <c r="AJ1245" i="1"/>
  <c r="AH1245" i="1"/>
  <c r="AG1245" i="1"/>
  <c r="AE1245" i="1"/>
  <c r="Z1245" i="1"/>
  <c r="Y1245" i="1"/>
  <c r="AO1244" i="1"/>
  <c r="AN1244" i="1"/>
  <c r="AL1244" i="1"/>
  <c r="AK1244" i="1"/>
  <c r="AJ1244" i="1"/>
  <c r="AH1244" i="1"/>
  <c r="AG1244" i="1"/>
  <c r="AE1244" i="1"/>
  <c r="Z1244" i="1"/>
  <c r="Y1244" i="1"/>
  <c r="AO1243" i="1"/>
  <c r="AN1243" i="1"/>
  <c r="AL1243" i="1"/>
  <c r="AK1243" i="1"/>
  <c r="AJ1243" i="1"/>
  <c r="AH1243" i="1"/>
  <c r="AG1243" i="1"/>
  <c r="AE1243" i="1"/>
  <c r="Z1243" i="1"/>
  <c r="Y1243" i="1"/>
  <c r="AO1242" i="1"/>
  <c r="AN1242" i="1"/>
  <c r="AL1242" i="1"/>
  <c r="AK1242" i="1"/>
  <c r="AJ1242" i="1"/>
  <c r="AH1242" i="1"/>
  <c r="AG1242" i="1"/>
  <c r="AE1242" i="1"/>
  <c r="Z1242" i="1"/>
  <c r="Y1242" i="1"/>
  <c r="AO1241" i="1"/>
  <c r="AN1241" i="1"/>
  <c r="AM1241" i="1"/>
  <c r="AL1241" i="1"/>
  <c r="AK1241" i="1"/>
  <c r="AJ1241" i="1"/>
  <c r="AH1241" i="1"/>
  <c r="AG1241" i="1"/>
  <c r="AE1241" i="1"/>
  <c r="AC1241" i="1"/>
  <c r="AA1241" i="1"/>
  <c r="Z1241" i="1"/>
  <c r="Y1241" i="1"/>
  <c r="AO1240" i="1"/>
  <c r="AN1240" i="1"/>
  <c r="AM1240" i="1"/>
  <c r="AL1240" i="1"/>
  <c r="AK1240" i="1"/>
  <c r="AJ1240" i="1"/>
  <c r="AH1240" i="1"/>
  <c r="AG1240" i="1"/>
  <c r="AE1240" i="1"/>
  <c r="AC1240" i="1"/>
  <c r="AA1240" i="1"/>
  <c r="Z1240" i="1"/>
  <c r="Y1240" i="1"/>
  <c r="AO1239" i="1"/>
  <c r="AN1239" i="1"/>
  <c r="AM1239" i="1"/>
  <c r="AL1239" i="1"/>
  <c r="AK1239" i="1"/>
  <c r="AJ1239" i="1"/>
  <c r="AH1239" i="1"/>
  <c r="AG1239" i="1"/>
  <c r="AE1239" i="1"/>
  <c r="AC1239" i="1"/>
  <c r="AA1239" i="1"/>
  <c r="Z1239" i="1"/>
  <c r="Y1239" i="1"/>
  <c r="AO1238" i="1"/>
  <c r="AN1238" i="1"/>
  <c r="AM1238" i="1"/>
  <c r="AL1238" i="1"/>
  <c r="AK1238" i="1"/>
  <c r="AJ1238" i="1"/>
  <c r="AH1238" i="1"/>
  <c r="AG1238" i="1"/>
  <c r="AE1238" i="1"/>
  <c r="AC1238" i="1"/>
  <c r="AA1238" i="1"/>
  <c r="Z1238" i="1"/>
  <c r="Y1238" i="1"/>
  <c r="AO1237" i="1"/>
  <c r="AN1237" i="1"/>
  <c r="AL1237" i="1"/>
  <c r="AK1237" i="1"/>
  <c r="AJ1237" i="1"/>
  <c r="AH1237" i="1"/>
  <c r="AG1237" i="1"/>
  <c r="AE1237" i="1"/>
  <c r="AC1237" i="1"/>
  <c r="AA1237" i="1"/>
  <c r="Z1237" i="1"/>
  <c r="Y1237" i="1"/>
  <c r="W1237" i="1"/>
  <c r="AO1236" i="1"/>
  <c r="AN1236" i="1"/>
  <c r="AL1236" i="1"/>
  <c r="AK1236" i="1"/>
  <c r="AJ1236" i="1"/>
  <c r="AH1236" i="1"/>
  <c r="AG1236" i="1"/>
  <c r="AE1236" i="1"/>
  <c r="AC1236" i="1"/>
  <c r="AA1236" i="1"/>
  <c r="Z1236" i="1"/>
  <c r="Y1236" i="1"/>
  <c r="AO1235" i="1"/>
  <c r="AN1235" i="1"/>
  <c r="AL1235" i="1"/>
  <c r="AK1235" i="1"/>
  <c r="AJ1235" i="1"/>
  <c r="AH1235" i="1"/>
  <c r="AG1235" i="1"/>
  <c r="AE1235" i="1"/>
  <c r="Z1235" i="1"/>
  <c r="Y1235" i="1"/>
  <c r="AO1234" i="1"/>
  <c r="AN1234" i="1"/>
  <c r="AL1234" i="1"/>
  <c r="AK1234" i="1"/>
  <c r="AJ1234" i="1"/>
  <c r="AH1234" i="1"/>
  <c r="AG1234" i="1"/>
  <c r="AE1234" i="1"/>
  <c r="Z1234" i="1"/>
  <c r="Y1234" i="1"/>
  <c r="AO1233" i="1"/>
  <c r="AN1233" i="1"/>
  <c r="AL1233" i="1"/>
  <c r="AK1233" i="1"/>
  <c r="AJ1233" i="1"/>
  <c r="AH1233" i="1"/>
  <c r="AG1233" i="1"/>
  <c r="AE1233" i="1"/>
  <c r="AC1233" i="1"/>
  <c r="AA1233" i="1"/>
  <c r="Z1233" i="1"/>
  <c r="Y1233" i="1"/>
  <c r="V1233" i="1"/>
  <c r="AO1232" i="1"/>
  <c r="AN1232" i="1"/>
  <c r="AL1232" i="1"/>
  <c r="AK1232" i="1"/>
  <c r="AJ1232" i="1"/>
  <c r="AH1232" i="1"/>
  <c r="AG1232" i="1"/>
  <c r="AE1232" i="1"/>
  <c r="AC1232" i="1"/>
  <c r="AA1232" i="1"/>
  <c r="Z1232" i="1"/>
  <c r="Y1232" i="1"/>
  <c r="V1232" i="1"/>
  <c r="AO1231" i="1"/>
  <c r="AN1231" i="1"/>
  <c r="AL1231" i="1"/>
  <c r="AK1231" i="1"/>
  <c r="AJ1231" i="1"/>
  <c r="AH1231" i="1"/>
  <c r="AG1231" i="1"/>
  <c r="AE1231" i="1"/>
  <c r="AC1231" i="1"/>
  <c r="AA1231" i="1"/>
  <c r="Z1231" i="1"/>
  <c r="Y1231" i="1"/>
  <c r="V1231" i="1"/>
  <c r="AO1230" i="1"/>
  <c r="AN1230" i="1"/>
  <c r="AM1230" i="1"/>
  <c r="AL1230" i="1"/>
  <c r="AK1230" i="1"/>
  <c r="AJ1230" i="1"/>
  <c r="AH1230" i="1"/>
  <c r="AG1230" i="1"/>
  <c r="AE1230" i="1"/>
  <c r="AC1230" i="1"/>
  <c r="AA1230" i="1"/>
  <c r="Z1230" i="1"/>
  <c r="Y1230" i="1"/>
  <c r="AO1229" i="1"/>
  <c r="AN1229" i="1"/>
  <c r="AM1229" i="1"/>
  <c r="AL1229" i="1"/>
  <c r="AK1229" i="1"/>
  <c r="AJ1229" i="1"/>
  <c r="AH1229" i="1"/>
  <c r="AG1229" i="1"/>
  <c r="AE1229" i="1"/>
  <c r="AC1229" i="1"/>
  <c r="AA1229" i="1"/>
  <c r="Z1229" i="1"/>
  <c r="Y1229" i="1"/>
  <c r="AO1228" i="1"/>
  <c r="AN1228" i="1"/>
  <c r="AL1228" i="1"/>
  <c r="AK1228" i="1"/>
  <c r="AJ1228" i="1"/>
  <c r="AH1228" i="1"/>
  <c r="AG1228" i="1"/>
  <c r="AE1228" i="1"/>
  <c r="Z1228" i="1"/>
  <c r="Y1228" i="1"/>
  <c r="AO1227" i="1"/>
  <c r="AN1227" i="1"/>
  <c r="AL1227" i="1"/>
  <c r="AK1227" i="1"/>
  <c r="AJ1227" i="1"/>
  <c r="AH1227" i="1"/>
  <c r="AG1227" i="1"/>
  <c r="Z1227" i="1"/>
  <c r="Y1227" i="1"/>
  <c r="AL1226" i="1"/>
  <c r="AK1226" i="1"/>
  <c r="AJ1226" i="1"/>
  <c r="AH1226" i="1"/>
  <c r="AG1226" i="1"/>
  <c r="AE1226" i="1"/>
  <c r="Z1226" i="1"/>
  <c r="Y1226" i="1"/>
  <c r="AL1225" i="1"/>
  <c r="AK1225" i="1"/>
  <c r="AJ1225" i="1"/>
  <c r="AH1225" i="1"/>
  <c r="AG1225" i="1"/>
  <c r="AE1225" i="1"/>
  <c r="Z1225" i="1"/>
  <c r="Y1225" i="1"/>
  <c r="AL1224" i="1"/>
  <c r="AK1224" i="1"/>
  <c r="AJ1224" i="1"/>
  <c r="AH1224" i="1"/>
  <c r="AG1224" i="1"/>
  <c r="AE1224" i="1"/>
  <c r="Z1224" i="1"/>
  <c r="Y1224" i="1"/>
  <c r="AN1223" i="1"/>
  <c r="AL1223" i="1"/>
  <c r="AK1223" i="1"/>
  <c r="AJ1223" i="1"/>
  <c r="AH1223" i="1"/>
  <c r="AG1223" i="1"/>
  <c r="AE1223" i="1"/>
  <c r="Z1223" i="1"/>
  <c r="Y1223" i="1"/>
  <c r="W1223" i="1"/>
  <c r="AL1222" i="1"/>
  <c r="AK1222" i="1"/>
  <c r="AJ1222" i="1"/>
  <c r="AH1222" i="1"/>
  <c r="AG1222" i="1"/>
  <c r="AE1222" i="1"/>
  <c r="Z1222" i="1"/>
  <c r="Y1222" i="1"/>
  <c r="AL1221" i="1"/>
  <c r="AK1221" i="1"/>
  <c r="AJ1221" i="1"/>
  <c r="AH1221" i="1"/>
  <c r="AG1221" i="1"/>
  <c r="AE1221" i="1"/>
  <c r="Z1221" i="1"/>
  <c r="Y1221" i="1"/>
  <c r="AL1220" i="1"/>
  <c r="AK1220" i="1"/>
  <c r="AJ1220" i="1"/>
  <c r="AH1220" i="1"/>
  <c r="AG1220" i="1"/>
  <c r="AE1220" i="1"/>
  <c r="Z1220" i="1"/>
  <c r="Y1220" i="1"/>
  <c r="AL1219" i="1"/>
  <c r="AK1219" i="1"/>
  <c r="AJ1219" i="1"/>
  <c r="AH1219" i="1"/>
  <c r="AG1219" i="1"/>
  <c r="AE1219" i="1"/>
  <c r="Z1219" i="1"/>
  <c r="Y1219" i="1"/>
  <c r="AL1218" i="1"/>
  <c r="AK1218" i="1"/>
  <c r="AJ1218" i="1"/>
  <c r="AH1218" i="1"/>
  <c r="AG1218" i="1"/>
  <c r="AE1218" i="1"/>
  <c r="Z1218" i="1"/>
  <c r="Y1218" i="1"/>
  <c r="AL1217" i="1"/>
  <c r="AK1217" i="1"/>
  <c r="AJ1217" i="1"/>
  <c r="AH1217" i="1"/>
  <c r="AG1217" i="1"/>
  <c r="AE1217" i="1"/>
  <c r="AD1217" i="1"/>
  <c r="Z1217" i="1"/>
  <c r="Y1217" i="1"/>
  <c r="AL1216" i="1"/>
  <c r="AK1216" i="1"/>
  <c r="AJ1216" i="1"/>
  <c r="AH1216" i="1"/>
  <c r="AG1216" i="1"/>
  <c r="AE1216" i="1"/>
  <c r="Z1216" i="1"/>
  <c r="Y1216" i="1"/>
  <c r="AL1215" i="1"/>
  <c r="AK1215" i="1"/>
  <c r="AJ1215" i="1"/>
  <c r="AH1215" i="1"/>
  <c r="AG1215" i="1"/>
  <c r="AE1215" i="1"/>
  <c r="Z1215" i="1"/>
  <c r="Y1215" i="1"/>
  <c r="AL1214" i="1"/>
  <c r="AK1214" i="1"/>
  <c r="AJ1214" i="1"/>
  <c r="AH1214" i="1"/>
  <c r="AG1214" i="1"/>
  <c r="AE1214" i="1"/>
  <c r="Z1214" i="1"/>
  <c r="Y1214" i="1"/>
  <c r="AL1213" i="1"/>
  <c r="AK1213" i="1"/>
  <c r="AJ1213" i="1"/>
  <c r="AH1213" i="1"/>
  <c r="AG1213" i="1"/>
  <c r="AE1213" i="1"/>
  <c r="Z1213" i="1"/>
  <c r="Y1213" i="1"/>
  <c r="AL1212" i="1"/>
  <c r="AK1212" i="1"/>
  <c r="AJ1212" i="1"/>
  <c r="AH1212" i="1"/>
  <c r="AG1212" i="1"/>
  <c r="AE1212" i="1"/>
  <c r="Z1212" i="1"/>
  <c r="Y1212" i="1"/>
  <c r="AL1211" i="1"/>
  <c r="AK1211" i="1"/>
  <c r="AJ1211" i="1"/>
  <c r="AH1211" i="1"/>
  <c r="AG1211" i="1"/>
  <c r="AE1211" i="1"/>
  <c r="Z1211" i="1"/>
  <c r="Y1211" i="1"/>
  <c r="AL1210" i="1"/>
  <c r="AK1210" i="1"/>
  <c r="AJ1210" i="1"/>
  <c r="AH1210" i="1"/>
  <c r="AG1210" i="1"/>
  <c r="AE1210" i="1"/>
  <c r="AD1210" i="1"/>
  <c r="Z1210" i="1"/>
  <c r="Y1210" i="1"/>
  <c r="W1210" i="1"/>
  <c r="AL1209" i="1"/>
  <c r="AK1209" i="1"/>
  <c r="AJ1209" i="1"/>
  <c r="AH1209" i="1"/>
  <c r="AG1209" i="1"/>
  <c r="AE1209" i="1"/>
  <c r="Z1209" i="1"/>
  <c r="Y1209" i="1"/>
  <c r="AL1208" i="1"/>
  <c r="AK1208" i="1"/>
  <c r="AJ1208" i="1"/>
  <c r="AH1208" i="1"/>
  <c r="AG1208" i="1"/>
  <c r="AE1208" i="1"/>
  <c r="Z1208" i="1"/>
  <c r="Y1208" i="1"/>
  <c r="AL1207" i="1"/>
  <c r="AK1207" i="1"/>
  <c r="AJ1207" i="1"/>
  <c r="AH1207" i="1"/>
  <c r="AG1207" i="1"/>
  <c r="AE1207" i="1"/>
  <c r="AA1207" i="1"/>
  <c r="Z1207" i="1"/>
  <c r="Y1207" i="1"/>
  <c r="AL1206" i="1"/>
  <c r="AK1206" i="1"/>
  <c r="AJ1206" i="1"/>
  <c r="AH1206" i="1"/>
  <c r="AG1206" i="1"/>
  <c r="AE1206" i="1"/>
  <c r="Z1206" i="1"/>
  <c r="Y1206" i="1"/>
  <c r="AL1205" i="1"/>
  <c r="AK1205" i="1"/>
  <c r="AJ1205" i="1"/>
  <c r="AH1205" i="1"/>
  <c r="AG1205" i="1"/>
  <c r="AE1205" i="1"/>
  <c r="Z1205" i="1"/>
  <c r="Y1205" i="1"/>
  <c r="AL1204" i="1"/>
  <c r="AK1204" i="1"/>
  <c r="AJ1204" i="1"/>
  <c r="AH1204" i="1"/>
  <c r="AG1204" i="1"/>
  <c r="AE1204" i="1"/>
  <c r="Z1204" i="1"/>
  <c r="Y1204" i="1"/>
  <c r="AL1203" i="1"/>
  <c r="AK1203" i="1"/>
  <c r="AJ1203" i="1"/>
  <c r="AH1203" i="1"/>
  <c r="AG1203" i="1"/>
  <c r="AE1203" i="1"/>
  <c r="Z1203" i="1"/>
  <c r="Y1203" i="1"/>
  <c r="AL1202" i="1"/>
  <c r="AK1202" i="1"/>
  <c r="AJ1202" i="1"/>
  <c r="AH1202" i="1"/>
  <c r="AG1202" i="1"/>
  <c r="AE1202" i="1"/>
  <c r="Z1202" i="1"/>
  <c r="Y1202" i="1"/>
  <c r="AL1201" i="1"/>
  <c r="AK1201" i="1"/>
  <c r="AJ1201" i="1"/>
  <c r="AH1201" i="1"/>
  <c r="AG1201" i="1"/>
  <c r="AE1201" i="1"/>
  <c r="Z1201" i="1"/>
  <c r="Y1201" i="1"/>
  <c r="AL1200" i="1"/>
  <c r="AK1200" i="1"/>
  <c r="AJ1200" i="1"/>
  <c r="AH1200" i="1"/>
  <c r="AG1200" i="1"/>
  <c r="AE1200" i="1"/>
  <c r="Z1200" i="1"/>
  <c r="Y1200" i="1"/>
  <c r="AL1199" i="1"/>
  <c r="AK1199" i="1"/>
  <c r="AJ1199" i="1"/>
  <c r="AH1199" i="1"/>
  <c r="AG1199" i="1"/>
  <c r="AE1199" i="1"/>
  <c r="Z1199" i="1"/>
  <c r="Y1199" i="1"/>
  <c r="AO1198" i="1"/>
  <c r="AN1198" i="1"/>
  <c r="AL1198" i="1"/>
  <c r="AK1198" i="1"/>
  <c r="AJ1198" i="1"/>
  <c r="AH1198" i="1"/>
  <c r="AG1198" i="1"/>
  <c r="AE1198" i="1"/>
  <c r="Z1198" i="1"/>
  <c r="Y1198" i="1"/>
  <c r="AO1197" i="1"/>
  <c r="AN1197" i="1"/>
  <c r="AL1197" i="1"/>
  <c r="AK1197" i="1"/>
  <c r="AJ1197" i="1"/>
  <c r="AH1197" i="1"/>
  <c r="AG1197" i="1"/>
  <c r="AE1197" i="1"/>
  <c r="Z1197" i="1"/>
  <c r="Y1197" i="1"/>
  <c r="AN1196" i="1"/>
  <c r="AL1196" i="1"/>
  <c r="AK1196" i="1"/>
  <c r="AJ1196" i="1"/>
  <c r="AH1196" i="1"/>
  <c r="AG1196" i="1"/>
  <c r="AE1196" i="1"/>
  <c r="Z1196" i="1"/>
  <c r="Y1196" i="1"/>
  <c r="W1196" i="1"/>
  <c r="AN1195" i="1"/>
  <c r="AL1195" i="1"/>
  <c r="AK1195" i="1"/>
  <c r="AJ1195" i="1"/>
  <c r="AH1195" i="1"/>
  <c r="AG1195" i="1"/>
  <c r="AE1195" i="1"/>
  <c r="Z1195" i="1"/>
  <c r="Y1195" i="1"/>
  <c r="W1195" i="1"/>
  <c r="AO1194" i="1"/>
  <c r="AN1194" i="1"/>
  <c r="AL1194" i="1"/>
  <c r="AK1194" i="1"/>
  <c r="AJ1194" i="1"/>
  <c r="AH1194" i="1"/>
  <c r="AG1194" i="1"/>
  <c r="AE1194" i="1"/>
  <c r="Z1194" i="1"/>
  <c r="Y1194" i="1"/>
  <c r="AO1193" i="1"/>
  <c r="AN1193" i="1"/>
  <c r="AL1193" i="1"/>
  <c r="AK1193" i="1"/>
  <c r="AJ1193" i="1"/>
  <c r="AH1193" i="1"/>
  <c r="AG1193" i="1"/>
  <c r="AE1193" i="1"/>
  <c r="Z1193" i="1"/>
  <c r="Y1193" i="1"/>
  <c r="AN1192" i="1"/>
  <c r="AL1192" i="1"/>
  <c r="AK1192" i="1"/>
  <c r="AJ1192" i="1"/>
  <c r="AH1192" i="1"/>
  <c r="AG1192" i="1"/>
  <c r="AE1192" i="1"/>
  <c r="Z1192" i="1"/>
  <c r="Y1192" i="1"/>
  <c r="W1192" i="1"/>
  <c r="AN1191" i="1"/>
  <c r="AL1191" i="1"/>
  <c r="AK1191" i="1"/>
  <c r="AJ1191" i="1"/>
  <c r="AH1191" i="1"/>
  <c r="AG1191" i="1"/>
  <c r="AE1191" i="1"/>
  <c r="Z1191" i="1"/>
  <c r="Y1191" i="1"/>
  <c r="AO1190" i="1"/>
  <c r="AN1190" i="1"/>
  <c r="AL1190" i="1"/>
  <c r="AK1190" i="1"/>
  <c r="AJ1190" i="1"/>
  <c r="AH1190" i="1"/>
  <c r="AG1190" i="1"/>
  <c r="AE1190" i="1"/>
  <c r="Z1190" i="1"/>
  <c r="Y1190" i="1"/>
  <c r="AN1189" i="1"/>
  <c r="AL1189" i="1"/>
  <c r="AK1189" i="1"/>
  <c r="AJ1189" i="1"/>
  <c r="AH1189" i="1"/>
  <c r="AG1189" i="1"/>
  <c r="AE1189" i="1"/>
  <c r="Z1189" i="1"/>
  <c r="Y1189" i="1"/>
  <c r="W1189" i="1"/>
  <c r="AN1188" i="1"/>
  <c r="AL1188" i="1"/>
  <c r="AK1188" i="1"/>
  <c r="AJ1188" i="1"/>
  <c r="AH1188" i="1"/>
  <c r="AG1188" i="1"/>
  <c r="AE1188" i="1"/>
  <c r="Z1188" i="1"/>
  <c r="Y1188" i="1"/>
  <c r="W1188" i="1"/>
  <c r="AO1187" i="1"/>
  <c r="AN1187" i="1"/>
  <c r="AL1187" i="1"/>
  <c r="AK1187" i="1"/>
  <c r="AJ1187" i="1"/>
  <c r="AH1187" i="1"/>
  <c r="AG1187" i="1"/>
  <c r="AE1187" i="1"/>
  <c r="Z1187" i="1"/>
  <c r="Y1187" i="1"/>
  <c r="AN1186" i="1"/>
  <c r="AL1186" i="1"/>
  <c r="AK1186" i="1"/>
  <c r="AJ1186" i="1"/>
  <c r="AH1186" i="1"/>
  <c r="AG1186" i="1"/>
  <c r="AE1186" i="1"/>
  <c r="Z1186" i="1"/>
  <c r="Y1186" i="1"/>
  <c r="W1186" i="1"/>
  <c r="AO1185" i="1"/>
  <c r="AN1185" i="1"/>
  <c r="AL1185" i="1"/>
  <c r="AK1185" i="1"/>
  <c r="AJ1185" i="1"/>
  <c r="AH1185" i="1"/>
  <c r="AG1185" i="1"/>
  <c r="AE1185" i="1"/>
  <c r="Z1185" i="1"/>
  <c r="Y1185" i="1"/>
  <c r="AN1184" i="1"/>
  <c r="AL1184" i="1"/>
  <c r="AK1184" i="1"/>
  <c r="AJ1184" i="1"/>
  <c r="AH1184" i="1"/>
  <c r="AG1184" i="1"/>
  <c r="AE1184" i="1"/>
  <c r="Z1184" i="1"/>
  <c r="Y1184" i="1"/>
  <c r="W1184" i="1"/>
  <c r="AO1183" i="1"/>
  <c r="AN1183" i="1"/>
  <c r="AL1183" i="1"/>
  <c r="AK1183" i="1"/>
  <c r="AJ1183" i="1"/>
  <c r="AH1183" i="1"/>
  <c r="AG1183" i="1"/>
  <c r="AE1183" i="1"/>
  <c r="Z1183" i="1"/>
  <c r="Y1183" i="1"/>
  <c r="AN1182" i="1"/>
  <c r="AL1182" i="1"/>
  <c r="AK1182" i="1"/>
  <c r="AJ1182" i="1"/>
  <c r="AH1182" i="1"/>
  <c r="AG1182" i="1"/>
  <c r="AE1182" i="1"/>
  <c r="Z1182" i="1"/>
  <c r="Y1182" i="1"/>
  <c r="W1182" i="1"/>
  <c r="AO1181" i="1"/>
  <c r="AN1181" i="1"/>
  <c r="AL1181" i="1"/>
  <c r="AK1181" i="1"/>
  <c r="AJ1181" i="1"/>
  <c r="AH1181" i="1"/>
  <c r="AG1181" i="1"/>
  <c r="Z1181" i="1"/>
  <c r="AO1180" i="1"/>
  <c r="AN1180" i="1"/>
  <c r="AM1180" i="1"/>
  <c r="AL1180" i="1"/>
  <c r="AK1180" i="1"/>
  <c r="AJ1180" i="1"/>
  <c r="AH1180" i="1"/>
  <c r="AG1180" i="1"/>
  <c r="AE1180" i="1"/>
  <c r="AC1180" i="1"/>
  <c r="AA1180" i="1"/>
  <c r="Z1180" i="1"/>
  <c r="Y1180" i="1"/>
  <c r="AO1179" i="1"/>
  <c r="AN1179" i="1"/>
  <c r="AM1179" i="1"/>
  <c r="AL1179" i="1"/>
  <c r="AK1179" i="1"/>
  <c r="AJ1179" i="1"/>
  <c r="AH1179" i="1"/>
  <c r="AG1179" i="1"/>
  <c r="AE1179" i="1"/>
  <c r="AC1179" i="1"/>
  <c r="AA1179" i="1"/>
  <c r="Z1179" i="1"/>
  <c r="Y1179" i="1"/>
  <c r="AO1178" i="1"/>
  <c r="AN1178" i="1"/>
  <c r="AL1178" i="1"/>
  <c r="AK1178" i="1"/>
  <c r="AJ1178" i="1"/>
  <c r="AH1178" i="1"/>
  <c r="AG1178" i="1"/>
  <c r="AE1178" i="1"/>
  <c r="Z1178" i="1"/>
  <c r="Y1178" i="1"/>
  <c r="AO1177" i="1"/>
  <c r="AN1177" i="1"/>
  <c r="AL1177" i="1"/>
  <c r="AK1177" i="1"/>
  <c r="AJ1177" i="1"/>
  <c r="AH1177" i="1"/>
  <c r="AG1177" i="1"/>
  <c r="AE1177" i="1"/>
  <c r="AC1177" i="1"/>
  <c r="AA1177" i="1"/>
  <c r="Z1177" i="1"/>
  <c r="Y1177" i="1"/>
  <c r="V1177" i="1"/>
  <c r="AO1176" i="1"/>
  <c r="AN1176" i="1"/>
  <c r="AL1176" i="1"/>
  <c r="AK1176" i="1"/>
  <c r="AJ1176" i="1"/>
  <c r="AH1176" i="1"/>
  <c r="AG1176" i="1"/>
  <c r="AE1176" i="1"/>
  <c r="AC1176" i="1"/>
  <c r="AA1176" i="1"/>
  <c r="Z1176" i="1"/>
  <c r="Y1176" i="1"/>
  <c r="V1176" i="1"/>
  <c r="AL1175" i="1"/>
  <c r="AK1175" i="1"/>
  <c r="AJ1175" i="1"/>
  <c r="AH1175" i="1"/>
  <c r="AG1175" i="1"/>
  <c r="AE1175" i="1"/>
  <c r="Z1175" i="1"/>
  <c r="Y1175" i="1"/>
  <c r="AL1174" i="1"/>
  <c r="AK1174" i="1"/>
  <c r="AJ1174" i="1"/>
  <c r="AH1174" i="1"/>
  <c r="AG1174" i="1"/>
  <c r="AE1174" i="1"/>
  <c r="Z1174" i="1"/>
  <c r="Y1174" i="1"/>
  <c r="AL1173" i="1"/>
  <c r="AK1173" i="1"/>
  <c r="AJ1173" i="1"/>
  <c r="AH1173" i="1"/>
  <c r="AG1173" i="1"/>
  <c r="AE1173" i="1"/>
  <c r="Z1173" i="1"/>
  <c r="Y1173" i="1"/>
  <c r="AL1172" i="1"/>
  <c r="AK1172" i="1"/>
  <c r="AJ1172" i="1"/>
  <c r="AH1172" i="1"/>
  <c r="AG1172" i="1"/>
  <c r="AE1172" i="1"/>
  <c r="Z1172" i="1"/>
  <c r="Y1172" i="1"/>
  <c r="AL1171" i="1"/>
  <c r="AK1171" i="1"/>
  <c r="AJ1171" i="1"/>
  <c r="AH1171" i="1"/>
  <c r="AG1171" i="1"/>
  <c r="AE1171" i="1"/>
  <c r="Z1171" i="1"/>
  <c r="Y1171" i="1"/>
  <c r="AL1170" i="1"/>
  <c r="AK1170" i="1"/>
  <c r="AJ1170" i="1"/>
  <c r="AH1170" i="1"/>
  <c r="AG1170" i="1"/>
  <c r="AE1170" i="1"/>
  <c r="Z1170" i="1"/>
  <c r="Y1170" i="1"/>
  <c r="AO1169" i="1"/>
  <c r="AN1169" i="1"/>
  <c r="AL1169" i="1"/>
  <c r="AK1169" i="1"/>
  <c r="AJ1169" i="1"/>
  <c r="AH1169" i="1"/>
  <c r="AG1169" i="1"/>
  <c r="Z1169" i="1"/>
  <c r="Y1169" i="1"/>
  <c r="AO1168" i="1"/>
  <c r="AN1168" i="1"/>
  <c r="AL1168" i="1"/>
  <c r="AK1168" i="1"/>
  <c r="AJ1168" i="1"/>
  <c r="AH1168" i="1"/>
  <c r="AG1168" i="1"/>
  <c r="AE1168" i="1"/>
  <c r="Z1168" i="1"/>
  <c r="Y1168" i="1"/>
  <c r="AO1167" i="1"/>
  <c r="AN1167" i="1"/>
  <c r="AL1167" i="1"/>
  <c r="AK1167" i="1"/>
  <c r="AJ1167" i="1"/>
  <c r="AH1167" i="1"/>
  <c r="AG1167" i="1"/>
  <c r="AE1167" i="1"/>
  <c r="AC1167" i="1"/>
  <c r="AA1167" i="1"/>
  <c r="Z1167" i="1"/>
  <c r="Y1167" i="1"/>
  <c r="V1167" i="1"/>
  <c r="AO1166" i="1"/>
  <c r="AN1166" i="1"/>
  <c r="AL1166" i="1"/>
  <c r="AK1166" i="1"/>
  <c r="AJ1166" i="1"/>
  <c r="AH1166" i="1"/>
  <c r="AG1166" i="1"/>
  <c r="AE1166" i="1"/>
  <c r="Z1166" i="1"/>
  <c r="Y1166" i="1"/>
  <c r="AO1165" i="1"/>
  <c r="AN1165" i="1"/>
  <c r="AM1165" i="1"/>
  <c r="AL1165" i="1"/>
  <c r="AK1165" i="1"/>
  <c r="AJ1165" i="1"/>
  <c r="AH1165" i="1"/>
  <c r="AG1165" i="1"/>
  <c r="AE1165" i="1"/>
  <c r="AC1165" i="1"/>
  <c r="AA1165" i="1"/>
  <c r="Z1165" i="1"/>
  <c r="Y1165" i="1"/>
  <c r="AO1164" i="1"/>
  <c r="AN1164" i="1"/>
  <c r="AL1164" i="1"/>
  <c r="AK1164" i="1"/>
  <c r="AJ1164" i="1"/>
  <c r="AH1164" i="1"/>
  <c r="AG1164" i="1"/>
  <c r="AE1164" i="1"/>
  <c r="Z1164" i="1"/>
  <c r="Y1164" i="1"/>
  <c r="AO1163" i="1"/>
  <c r="AN1163" i="1"/>
  <c r="AL1163" i="1"/>
  <c r="AK1163" i="1"/>
  <c r="AJ1163" i="1"/>
  <c r="AH1163" i="1"/>
  <c r="AG1163" i="1"/>
  <c r="Z1163" i="1"/>
  <c r="Y1163" i="1"/>
  <c r="AO1162" i="1"/>
  <c r="AN1162" i="1"/>
  <c r="AM1162" i="1"/>
  <c r="AL1162" i="1"/>
  <c r="AK1162" i="1"/>
  <c r="AJ1162" i="1"/>
  <c r="AH1162" i="1"/>
  <c r="AG1162" i="1"/>
  <c r="AE1162" i="1"/>
  <c r="AC1162" i="1"/>
  <c r="AA1162" i="1"/>
  <c r="Z1162" i="1"/>
  <c r="Y1162" i="1"/>
  <c r="AO1161" i="1"/>
  <c r="AN1161" i="1"/>
  <c r="AL1161" i="1"/>
  <c r="AK1161" i="1"/>
  <c r="AJ1161" i="1"/>
  <c r="AH1161" i="1"/>
  <c r="AG1161" i="1"/>
  <c r="AE1161" i="1"/>
  <c r="Z1161" i="1"/>
  <c r="Y1161" i="1"/>
  <c r="AO1160" i="1"/>
  <c r="AN1160" i="1"/>
  <c r="AL1160" i="1"/>
  <c r="AK1160" i="1"/>
  <c r="AJ1160" i="1"/>
  <c r="AH1160" i="1"/>
  <c r="AG1160" i="1"/>
  <c r="AE1160" i="1"/>
  <c r="AN1159" i="1"/>
  <c r="AL1159" i="1"/>
  <c r="AK1159" i="1"/>
  <c r="AJ1159" i="1"/>
  <c r="AH1159" i="1"/>
  <c r="AG1159" i="1"/>
  <c r="AE1159" i="1"/>
  <c r="Z1159" i="1"/>
  <c r="Y1159" i="1"/>
  <c r="W1159" i="1"/>
  <c r="AO1158" i="1"/>
  <c r="AN1158" i="1"/>
  <c r="AL1158" i="1"/>
  <c r="AK1158" i="1"/>
  <c r="AJ1158" i="1"/>
  <c r="AH1158" i="1"/>
  <c r="AG1158" i="1"/>
  <c r="AE1158" i="1"/>
  <c r="AA1158" i="1"/>
  <c r="Z1158" i="1"/>
  <c r="Y1158" i="1"/>
  <c r="V1158" i="1"/>
  <c r="AO1157" i="1"/>
  <c r="AN1157" i="1"/>
  <c r="AL1157" i="1"/>
  <c r="AK1157" i="1"/>
  <c r="AJ1157" i="1"/>
  <c r="AH1157" i="1"/>
  <c r="AG1157" i="1"/>
  <c r="AE1157" i="1"/>
  <c r="Z1157" i="1"/>
  <c r="Y1157" i="1"/>
  <c r="AO1156" i="1"/>
  <c r="AN1156" i="1"/>
  <c r="AL1156" i="1"/>
  <c r="AK1156" i="1"/>
  <c r="AJ1156" i="1"/>
  <c r="AH1156" i="1"/>
  <c r="AG1156" i="1"/>
  <c r="AE1156" i="1"/>
  <c r="Z1156" i="1"/>
  <c r="Y1156" i="1"/>
  <c r="AO1155" i="1"/>
  <c r="AN1155" i="1"/>
  <c r="AL1155" i="1"/>
  <c r="AK1155" i="1"/>
  <c r="AJ1155" i="1"/>
  <c r="AH1155" i="1"/>
  <c r="AG1155" i="1"/>
  <c r="AE1155" i="1"/>
  <c r="Z1155" i="1"/>
  <c r="Y1155" i="1"/>
  <c r="AO1154" i="1"/>
  <c r="AN1154" i="1"/>
  <c r="AL1154" i="1"/>
  <c r="AK1154" i="1"/>
  <c r="AJ1154" i="1"/>
  <c r="AH1154" i="1"/>
  <c r="AG1154" i="1"/>
  <c r="AE1154" i="1"/>
  <c r="Z1154" i="1"/>
  <c r="Y1154" i="1"/>
  <c r="AO1153" i="1"/>
  <c r="AN1153" i="1"/>
  <c r="AL1153" i="1"/>
  <c r="AK1153" i="1"/>
  <c r="AJ1153" i="1"/>
  <c r="AH1153" i="1"/>
  <c r="AG1153" i="1"/>
  <c r="AE1153" i="1"/>
  <c r="AA1153" i="1"/>
  <c r="Z1153" i="1"/>
  <c r="Y1153" i="1"/>
  <c r="AO1152" i="1"/>
  <c r="AN1152" i="1"/>
  <c r="AL1152" i="1"/>
  <c r="AK1152" i="1"/>
  <c r="AJ1152" i="1"/>
  <c r="AH1152" i="1"/>
  <c r="AG1152" i="1"/>
  <c r="AE1152" i="1"/>
  <c r="AC1152" i="1"/>
  <c r="AA1152" i="1"/>
  <c r="Z1152" i="1"/>
  <c r="Y1152" i="1"/>
  <c r="V1152" i="1"/>
  <c r="AO1151" i="1"/>
  <c r="AN1151" i="1"/>
  <c r="AM1151" i="1"/>
  <c r="AL1151" i="1"/>
  <c r="AK1151" i="1"/>
  <c r="AJ1151" i="1"/>
  <c r="AH1151" i="1"/>
  <c r="AG1151" i="1"/>
  <c r="AE1151" i="1"/>
  <c r="AC1151" i="1"/>
  <c r="AA1151" i="1"/>
  <c r="Z1151" i="1"/>
  <c r="Y1151" i="1"/>
  <c r="AO1150" i="1"/>
  <c r="AN1150" i="1"/>
  <c r="AM1150" i="1"/>
  <c r="AL1150" i="1"/>
  <c r="AK1150" i="1"/>
  <c r="AJ1150" i="1"/>
  <c r="AH1150" i="1"/>
  <c r="AG1150" i="1"/>
  <c r="AE1150" i="1"/>
  <c r="AC1150" i="1"/>
  <c r="AA1150" i="1"/>
  <c r="Z1150" i="1"/>
  <c r="Y1150" i="1"/>
  <c r="AO1149" i="1"/>
  <c r="AN1149" i="1"/>
  <c r="AM1149" i="1"/>
  <c r="AL1149" i="1"/>
  <c r="AK1149" i="1"/>
  <c r="AJ1149" i="1"/>
  <c r="AH1149" i="1"/>
  <c r="AG1149" i="1"/>
  <c r="AE1149" i="1"/>
  <c r="AC1149" i="1"/>
  <c r="AA1149" i="1"/>
  <c r="Z1149" i="1"/>
  <c r="Y1149" i="1"/>
  <c r="AO1148" i="1"/>
  <c r="AN1148" i="1"/>
  <c r="AL1148" i="1"/>
  <c r="AK1148" i="1"/>
  <c r="AJ1148" i="1"/>
  <c r="AH1148" i="1"/>
  <c r="AG1148" i="1"/>
  <c r="AE1148" i="1"/>
  <c r="Z1148" i="1"/>
  <c r="Y1148" i="1"/>
  <c r="AO1147" i="1"/>
  <c r="AN1147" i="1"/>
  <c r="AL1147" i="1"/>
  <c r="AK1147" i="1"/>
  <c r="AJ1147" i="1"/>
  <c r="AH1147" i="1"/>
  <c r="AG1147" i="1"/>
  <c r="AE1147" i="1"/>
  <c r="Z1147" i="1"/>
  <c r="Y1147" i="1"/>
  <c r="AO1146" i="1"/>
  <c r="AN1146" i="1"/>
  <c r="AL1146" i="1"/>
  <c r="AK1146" i="1"/>
  <c r="AJ1146" i="1"/>
  <c r="AH1146" i="1"/>
  <c r="AG1146" i="1"/>
  <c r="AE1146" i="1"/>
  <c r="Z1146" i="1"/>
  <c r="Y1146" i="1"/>
  <c r="AO1145" i="1"/>
  <c r="AN1145" i="1"/>
  <c r="AL1145" i="1"/>
  <c r="AK1145" i="1"/>
  <c r="AJ1145" i="1"/>
  <c r="AH1145" i="1"/>
  <c r="AG1145" i="1"/>
  <c r="Z1145" i="1"/>
  <c r="Y1145" i="1"/>
  <c r="AO1144" i="1"/>
  <c r="AN1144" i="1"/>
  <c r="AL1144" i="1"/>
  <c r="AK1144" i="1"/>
  <c r="AJ1144" i="1"/>
  <c r="AH1144" i="1"/>
  <c r="AG1144" i="1"/>
  <c r="AE1144" i="1"/>
  <c r="Z1144" i="1"/>
  <c r="Y1144" i="1"/>
  <c r="AO1143" i="1"/>
  <c r="AN1143" i="1"/>
  <c r="AL1143" i="1"/>
  <c r="AK1143" i="1"/>
  <c r="AJ1143" i="1"/>
  <c r="AH1143" i="1"/>
  <c r="AG1143" i="1"/>
  <c r="AE1143" i="1"/>
  <c r="AC1143" i="1"/>
  <c r="AA1143" i="1"/>
  <c r="Z1143" i="1"/>
  <c r="Y1143" i="1"/>
  <c r="V1143" i="1"/>
  <c r="AO1142" i="1"/>
  <c r="AN1142" i="1"/>
  <c r="AL1142" i="1"/>
  <c r="AK1142" i="1"/>
  <c r="AJ1142" i="1"/>
  <c r="AH1142" i="1"/>
  <c r="AG1142" i="1"/>
  <c r="AE1142" i="1"/>
  <c r="Z1142" i="1"/>
  <c r="Y1142" i="1"/>
  <c r="AO1141" i="1"/>
  <c r="AN1141" i="1"/>
  <c r="AL1141" i="1"/>
  <c r="AK1141" i="1"/>
  <c r="AJ1141" i="1"/>
  <c r="AH1141" i="1"/>
  <c r="AG1141" i="1"/>
  <c r="AE1141" i="1"/>
  <c r="AC1141" i="1"/>
  <c r="AA1141" i="1"/>
  <c r="Z1141" i="1"/>
  <c r="Y1141" i="1"/>
  <c r="V1141" i="1"/>
  <c r="AO1140" i="1"/>
  <c r="AN1140" i="1"/>
  <c r="AL1140" i="1"/>
  <c r="AK1140" i="1"/>
  <c r="AJ1140" i="1"/>
  <c r="AH1140" i="1"/>
  <c r="AG1140" i="1"/>
  <c r="AE1140" i="1"/>
  <c r="AC1140" i="1"/>
  <c r="AA1140" i="1"/>
  <c r="Z1140" i="1"/>
  <c r="Y1140" i="1"/>
  <c r="V1140" i="1"/>
  <c r="AO1139" i="1"/>
  <c r="AN1139" i="1"/>
  <c r="AL1139" i="1"/>
  <c r="AK1139" i="1"/>
  <c r="AJ1139" i="1"/>
  <c r="AH1139" i="1"/>
  <c r="AG1139" i="1"/>
  <c r="AE1139" i="1"/>
  <c r="AC1139" i="1"/>
  <c r="AA1139" i="1"/>
  <c r="Z1139" i="1"/>
  <c r="Y1139" i="1"/>
  <c r="V1139" i="1"/>
  <c r="AO1138" i="1"/>
  <c r="AN1138" i="1"/>
  <c r="AL1138" i="1"/>
  <c r="AK1138" i="1"/>
  <c r="AJ1138" i="1"/>
  <c r="AH1138" i="1"/>
  <c r="AG1138" i="1"/>
  <c r="AE1138" i="1"/>
  <c r="AC1138" i="1"/>
  <c r="AA1138" i="1"/>
  <c r="Z1138" i="1"/>
  <c r="Y1138" i="1"/>
  <c r="W1138" i="1"/>
  <c r="V1138" i="1"/>
  <c r="AO1137" i="1"/>
  <c r="AN1137" i="1"/>
  <c r="AL1137" i="1"/>
  <c r="AK1137" i="1"/>
  <c r="AJ1137" i="1"/>
  <c r="AH1137" i="1"/>
  <c r="AG1137" i="1"/>
  <c r="AE1137" i="1"/>
  <c r="AC1137" i="1"/>
  <c r="AA1137" i="1"/>
  <c r="Z1137" i="1"/>
  <c r="Y1137" i="1"/>
  <c r="W1137" i="1"/>
  <c r="V1137" i="1"/>
  <c r="AO1136" i="1"/>
  <c r="AN1136" i="1"/>
  <c r="AL1136" i="1"/>
  <c r="AK1136" i="1"/>
  <c r="AJ1136" i="1"/>
  <c r="AH1136" i="1"/>
  <c r="AG1136" i="1"/>
  <c r="AE1136" i="1"/>
  <c r="AC1136" i="1"/>
  <c r="AA1136" i="1"/>
  <c r="Z1136" i="1"/>
  <c r="Y1136" i="1"/>
  <c r="W1136" i="1"/>
  <c r="V1136" i="1"/>
  <c r="AO1135" i="1"/>
  <c r="AN1135" i="1"/>
  <c r="AL1135" i="1"/>
  <c r="AK1135" i="1"/>
  <c r="AJ1135" i="1"/>
  <c r="AH1135" i="1"/>
  <c r="AG1135" i="1"/>
  <c r="AE1135" i="1"/>
  <c r="AC1135" i="1"/>
  <c r="AA1135" i="1"/>
  <c r="Z1135" i="1"/>
  <c r="Y1135" i="1"/>
  <c r="W1135" i="1"/>
  <c r="V1135" i="1"/>
  <c r="AO1134" i="1"/>
  <c r="AN1134" i="1"/>
  <c r="AL1134" i="1"/>
  <c r="AK1134" i="1"/>
  <c r="AJ1134" i="1"/>
  <c r="AH1134" i="1"/>
  <c r="AG1134" i="1"/>
  <c r="AE1134" i="1"/>
  <c r="Z1134" i="1"/>
  <c r="Y1134" i="1"/>
  <c r="AO1133" i="1"/>
  <c r="AN1133" i="1"/>
  <c r="AL1133" i="1"/>
  <c r="AK1133" i="1"/>
  <c r="AJ1133" i="1"/>
  <c r="AH1133" i="1"/>
  <c r="AG1133" i="1"/>
  <c r="AE1133" i="1"/>
  <c r="AC1133" i="1"/>
  <c r="AA1133" i="1"/>
  <c r="Z1133" i="1"/>
  <c r="Y1133" i="1"/>
  <c r="W1133" i="1"/>
  <c r="V1133" i="1"/>
  <c r="AO1132" i="1"/>
  <c r="AN1132" i="1"/>
  <c r="AL1132" i="1"/>
  <c r="AK1132" i="1"/>
  <c r="AJ1132" i="1"/>
  <c r="AH1132" i="1"/>
  <c r="AG1132" i="1"/>
  <c r="AE1132" i="1"/>
  <c r="AA1132" i="1"/>
  <c r="Z1132" i="1"/>
  <c r="Y1132" i="1"/>
  <c r="AO1131" i="1"/>
  <c r="AN1131" i="1"/>
  <c r="AL1131" i="1"/>
  <c r="AK1131" i="1"/>
  <c r="AJ1131" i="1"/>
  <c r="AH1131" i="1"/>
  <c r="AG1131" i="1"/>
  <c r="AE1131" i="1"/>
  <c r="AC1131" i="1"/>
  <c r="AA1131" i="1"/>
  <c r="Z1131" i="1"/>
  <c r="Y1131" i="1"/>
  <c r="V1131" i="1"/>
  <c r="AO1130" i="1"/>
  <c r="AN1130" i="1"/>
  <c r="AL1130" i="1"/>
  <c r="AK1130" i="1"/>
  <c r="AJ1130" i="1"/>
  <c r="AH1130" i="1"/>
  <c r="AG1130" i="1"/>
  <c r="AE1130" i="1"/>
  <c r="AC1130" i="1"/>
  <c r="AA1130" i="1"/>
  <c r="Z1130" i="1"/>
  <c r="Y1130" i="1"/>
  <c r="W1130" i="1"/>
  <c r="V1130" i="1"/>
  <c r="AO1129" i="1"/>
  <c r="AN1129" i="1"/>
  <c r="AL1129" i="1"/>
  <c r="AK1129" i="1"/>
  <c r="AJ1129" i="1"/>
  <c r="AH1129" i="1"/>
  <c r="AG1129" i="1"/>
  <c r="AE1129" i="1"/>
  <c r="AC1129" i="1"/>
  <c r="AA1129" i="1"/>
  <c r="Z1129" i="1"/>
  <c r="Y1129" i="1"/>
  <c r="W1129" i="1"/>
  <c r="V1129" i="1"/>
  <c r="AO1128" i="1"/>
  <c r="AN1128" i="1"/>
  <c r="AL1128" i="1"/>
  <c r="AK1128" i="1"/>
  <c r="AJ1128" i="1"/>
  <c r="AH1128" i="1"/>
  <c r="AG1128" i="1"/>
  <c r="AE1128" i="1"/>
  <c r="AD1128" i="1"/>
  <c r="Z1128" i="1"/>
  <c r="Y1128" i="1"/>
  <c r="AO1127" i="1"/>
  <c r="AN1127" i="1"/>
  <c r="AL1127" i="1"/>
  <c r="AK1127" i="1"/>
  <c r="AJ1127" i="1"/>
  <c r="AH1127" i="1"/>
  <c r="AG1127" i="1"/>
  <c r="AE1127" i="1"/>
  <c r="AD1127" i="1"/>
  <c r="AC1127" i="1"/>
  <c r="AA1127" i="1"/>
  <c r="Z1127" i="1"/>
  <c r="Y1127" i="1"/>
  <c r="V1127" i="1"/>
  <c r="AN1126" i="1"/>
  <c r="AL1126" i="1"/>
  <c r="AK1126" i="1"/>
  <c r="AJ1126" i="1"/>
  <c r="AH1126" i="1"/>
  <c r="AG1126" i="1"/>
  <c r="AE1126" i="1"/>
  <c r="AD1126" i="1"/>
  <c r="AC1126" i="1"/>
  <c r="AA1126" i="1"/>
  <c r="Z1126" i="1"/>
  <c r="Y1126" i="1"/>
  <c r="W1126" i="1"/>
  <c r="V1126" i="1"/>
  <c r="AN1125" i="1"/>
  <c r="AL1125" i="1"/>
  <c r="AK1125" i="1"/>
  <c r="AJ1125" i="1"/>
  <c r="AH1125" i="1"/>
  <c r="AG1125" i="1"/>
  <c r="AE1125" i="1"/>
  <c r="AD1125" i="1"/>
  <c r="AC1125" i="1"/>
  <c r="AA1125" i="1"/>
  <c r="Z1125" i="1"/>
  <c r="Y1125" i="1"/>
  <c r="W1125" i="1"/>
  <c r="V1125" i="1"/>
  <c r="AN1124" i="1"/>
  <c r="AL1124" i="1"/>
  <c r="AK1124" i="1"/>
  <c r="AJ1124" i="1"/>
  <c r="AH1124" i="1"/>
  <c r="AG1124" i="1"/>
  <c r="AE1124" i="1"/>
  <c r="AD1124" i="1"/>
  <c r="AA1124" i="1"/>
  <c r="Z1124" i="1"/>
  <c r="Y1124" i="1"/>
  <c r="W1124" i="1"/>
  <c r="V1124" i="1"/>
  <c r="AN1123" i="1"/>
  <c r="AL1123" i="1"/>
  <c r="AK1123" i="1"/>
  <c r="AJ1123" i="1"/>
  <c r="AH1123" i="1"/>
  <c r="AG1123" i="1"/>
  <c r="AE1123" i="1"/>
  <c r="AD1123" i="1"/>
  <c r="AC1123" i="1"/>
  <c r="AA1123" i="1"/>
  <c r="Z1123" i="1"/>
  <c r="Y1123" i="1"/>
  <c r="W1123" i="1"/>
  <c r="V1123" i="1"/>
  <c r="AO1122" i="1"/>
  <c r="AN1122" i="1"/>
  <c r="AM1122" i="1"/>
  <c r="AL1122" i="1"/>
  <c r="AK1122" i="1"/>
  <c r="AJ1122" i="1"/>
  <c r="AH1122" i="1"/>
  <c r="AG1122" i="1"/>
  <c r="AE1122" i="1"/>
  <c r="AC1122" i="1"/>
  <c r="AA1122" i="1"/>
  <c r="Z1122" i="1"/>
  <c r="Y1122" i="1"/>
  <c r="AL1121" i="1"/>
  <c r="AK1121" i="1"/>
  <c r="AJ1121" i="1"/>
  <c r="AH1121" i="1"/>
  <c r="AG1121" i="1"/>
  <c r="AE1121" i="1"/>
  <c r="AD1121" i="1"/>
  <c r="AC1121" i="1"/>
  <c r="AA1121" i="1"/>
  <c r="Z1121" i="1"/>
  <c r="Y1121" i="1"/>
  <c r="V1121" i="1"/>
  <c r="AN1120" i="1"/>
  <c r="AL1120" i="1"/>
  <c r="AK1120" i="1"/>
  <c r="AJ1120" i="1"/>
  <c r="AH1120" i="1"/>
  <c r="AG1120" i="1"/>
  <c r="AE1120" i="1"/>
  <c r="AD1120" i="1"/>
  <c r="AC1120" i="1"/>
  <c r="AA1120" i="1"/>
  <c r="Z1120" i="1"/>
  <c r="Y1120" i="1"/>
  <c r="W1120" i="1"/>
  <c r="AN1119" i="1"/>
  <c r="AL1119" i="1"/>
  <c r="AK1119" i="1"/>
  <c r="AJ1119" i="1"/>
  <c r="AH1119" i="1"/>
  <c r="AG1119" i="1"/>
  <c r="AE1119" i="1"/>
  <c r="AD1119" i="1"/>
  <c r="AA1119" i="1"/>
  <c r="Z1119" i="1"/>
  <c r="Y1119" i="1"/>
  <c r="W1119" i="1"/>
  <c r="V1119" i="1"/>
  <c r="AN1118" i="1"/>
  <c r="AL1118" i="1"/>
  <c r="AK1118" i="1"/>
  <c r="AJ1118" i="1"/>
  <c r="AH1118" i="1"/>
  <c r="AG1118" i="1"/>
  <c r="AE1118" i="1"/>
  <c r="AD1118" i="1"/>
  <c r="AC1118" i="1"/>
  <c r="AA1118" i="1"/>
  <c r="Z1118" i="1"/>
  <c r="Y1118" i="1"/>
  <c r="W1118" i="1"/>
  <c r="AO1117" i="1"/>
  <c r="AN1117" i="1"/>
  <c r="AL1117" i="1"/>
  <c r="AK1117" i="1"/>
  <c r="AJ1117" i="1"/>
  <c r="AH1117" i="1"/>
  <c r="AG1117" i="1"/>
  <c r="AE1117" i="1"/>
  <c r="AD1117" i="1"/>
  <c r="AC1117" i="1"/>
  <c r="AA1117" i="1"/>
  <c r="Z1117" i="1"/>
  <c r="Y1117" i="1"/>
  <c r="V1117" i="1"/>
  <c r="AO1116" i="1"/>
  <c r="AN1116" i="1"/>
  <c r="AM1116" i="1"/>
  <c r="AL1116" i="1"/>
  <c r="AK1116" i="1"/>
  <c r="AJ1116" i="1"/>
  <c r="AH1116" i="1"/>
  <c r="AG1116" i="1"/>
  <c r="AE1116" i="1"/>
  <c r="AC1116" i="1"/>
  <c r="AA1116" i="1"/>
  <c r="Z1116" i="1"/>
  <c r="Y1116" i="1"/>
  <c r="AO1115" i="1"/>
  <c r="AN1115" i="1"/>
  <c r="AM1115" i="1"/>
  <c r="AL1115" i="1"/>
  <c r="AK1115" i="1"/>
  <c r="AJ1115" i="1"/>
  <c r="AH1115" i="1"/>
  <c r="AG1115" i="1"/>
  <c r="AE1115" i="1"/>
  <c r="AC1115" i="1"/>
  <c r="AA1115" i="1"/>
  <c r="Z1115" i="1"/>
  <c r="Y1115" i="1"/>
  <c r="AO1114" i="1"/>
  <c r="AN1114" i="1"/>
  <c r="AM1114" i="1"/>
  <c r="AL1114" i="1"/>
  <c r="AK1114" i="1"/>
  <c r="AJ1114" i="1"/>
  <c r="AH1114" i="1"/>
  <c r="AG1114" i="1"/>
  <c r="AE1114" i="1"/>
  <c r="AC1114" i="1"/>
  <c r="AA1114" i="1"/>
  <c r="Z1114" i="1"/>
  <c r="Y1114" i="1"/>
  <c r="AO1113" i="1"/>
  <c r="AN1113" i="1"/>
  <c r="AM1113" i="1"/>
  <c r="AL1113" i="1"/>
  <c r="AK1113" i="1"/>
  <c r="AJ1113" i="1"/>
  <c r="AH1113" i="1"/>
  <c r="AG1113" i="1"/>
  <c r="AE1113" i="1"/>
  <c r="AC1113" i="1"/>
  <c r="AA1113" i="1"/>
  <c r="Z1113" i="1"/>
  <c r="Y1113" i="1"/>
  <c r="AO1112" i="1"/>
  <c r="AN1112" i="1"/>
  <c r="AM1112" i="1"/>
  <c r="AL1112" i="1"/>
  <c r="AK1112" i="1"/>
  <c r="AJ1112" i="1"/>
  <c r="AH1112" i="1"/>
  <c r="AG1112" i="1"/>
  <c r="AE1112" i="1"/>
  <c r="AC1112" i="1"/>
  <c r="AA1112" i="1"/>
  <c r="Z1112" i="1"/>
  <c r="Y1112" i="1"/>
  <c r="AO1111" i="1"/>
  <c r="AN1111" i="1"/>
  <c r="AL1111" i="1"/>
  <c r="AK1111" i="1"/>
  <c r="AJ1111" i="1"/>
  <c r="AH1111" i="1"/>
  <c r="AG1111" i="1"/>
  <c r="AE1111" i="1"/>
  <c r="AD1111" i="1"/>
  <c r="AC1111" i="1"/>
  <c r="AA1111" i="1"/>
  <c r="Z1111" i="1"/>
  <c r="Y1111" i="1"/>
  <c r="AO1110" i="1"/>
  <c r="AN1110" i="1"/>
  <c r="AL1110" i="1"/>
  <c r="AK1110" i="1"/>
  <c r="AJ1110" i="1"/>
  <c r="AH1110" i="1"/>
  <c r="AG1110" i="1"/>
  <c r="AE1110" i="1"/>
  <c r="AD1110" i="1"/>
  <c r="AC1110" i="1"/>
  <c r="AA1110" i="1"/>
  <c r="Z1110" i="1"/>
  <c r="Y1110" i="1"/>
  <c r="V1110" i="1"/>
  <c r="AO1109" i="1"/>
  <c r="AN1109" i="1"/>
  <c r="AL1109" i="1"/>
  <c r="AK1109" i="1"/>
  <c r="AJ1109" i="1"/>
  <c r="AH1109" i="1"/>
  <c r="AG1109" i="1"/>
  <c r="AE1109" i="1"/>
  <c r="AD1109" i="1"/>
  <c r="AC1109" i="1"/>
  <c r="AA1109" i="1"/>
  <c r="Z1109" i="1"/>
  <c r="Y1109" i="1"/>
  <c r="AN1108" i="1"/>
  <c r="AL1108" i="1"/>
  <c r="AK1108" i="1"/>
  <c r="AJ1108" i="1"/>
  <c r="AH1108" i="1"/>
  <c r="AG1108" i="1"/>
  <c r="AE1108" i="1"/>
  <c r="AA1108" i="1"/>
  <c r="Z1108" i="1"/>
  <c r="Y1108" i="1"/>
  <c r="W1108" i="1"/>
  <c r="V1108" i="1"/>
  <c r="AO1107" i="1"/>
  <c r="AN1107" i="1"/>
  <c r="AL1107" i="1"/>
  <c r="AK1107" i="1"/>
  <c r="AJ1107" i="1"/>
  <c r="AH1107" i="1"/>
  <c r="AG1107" i="1"/>
  <c r="AE1107" i="1"/>
  <c r="AD1107" i="1"/>
  <c r="AC1107" i="1"/>
  <c r="AA1107" i="1"/>
  <c r="Z1107" i="1"/>
  <c r="Y1107" i="1"/>
  <c r="V1107" i="1"/>
  <c r="AN1106" i="1"/>
  <c r="AL1106" i="1"/>
  <c r="AK1106" i="1"/>
  <c r="AJ1106" i="1"/>
  <c r="AH1106" i="1"/>
  <c r="AG1106" i="1"/>
  <c r="AE1106" i="1"/>
  <c r="AD1106" i="1"/>
  <c r="Z1106" i="1"/>
  <c r="Y1106" i="1"/>
  <c r="W1106" i="1"/>
  <c r="AN1105" i="1"/>
  <c r="AL1105" i="1"/>
  <c r="AK1105" i="1"/>
  <c r="AJ1105" i="1"/>
  <c r="AH1105" i="1"/>
  <c r="AG1105" i="1"/>
  <c r="AE1105" i="1"/>
  <c r="AD1105" i="1"/>
  <c r="Z1105" i="1"/>
  <c r="Y1105" i="1"/>
  <c r="W1105" i="1"/>
  <c r="AN1104" i="1"/>
  <c r="AL1104" i="1"/>
  <c r="AK1104" i="1"/>
  <c r="AJ1104" i="1"/>
  <c r="AH1104" i="1"/>
  <c r="AG1104" i="1"/>
  <c r="AE1104" i="1"/>
  <c r="AD1104" i="1"/>
  <c r="AC1104" i="1"/>
  <c r="AA1104" i="1"/>
  <c r="Z1104" i="1"/>
  <c r="Y1104" i="1"/>
  <c r="W1104" i="1"/>
  <c r="V1104" i="1"/>
  <c r="AO1103" i="1"/>
  <c r="AN1103" i="1"/>
  <c r="AL1103" i="1"/>
  <c r="AK1103" i="1"/>
  <c r="AJ1103" i="1"/>
  <c r="AH1103" i="1"/>
  <c r="AG1103" i="1"/>
  <c r="AE1103" i="1"/>
  <c r="AD1103" i="1"/>
  <c r="AC1103" i="1"/>
  <c r="AA1103" i="1"/>
  <c r="Z1103" i="1"/>
  <c r="Y1103" i="1"/>
  <c r="W1103" i="1"/>
  <c r="V1103" i="1"/>
  <c r="AO1102" i="1"/>
  <c r="AN1102" i="1"/>
  <c r="AL1102" i="1"/>
  <c r="AK1102" i="1"/>
  <c r="AJ1102" i="1"/>
  <c r="AH1102" i="1"/>
  <c r="AG1102" i="1"/>
  <c r="AE1102" i="1"/>
  <c r="AD1102" i="1"/>
  <c r="AC1102" i="1"/>
  <c r="AA1102" i="1"/>
  <c r="Z1102" i="1"/>
  <c r="Y1102" i="1"/>
  <c r="V1102" i="1"/>
  <c r="AO1101" i="1"/>
  <c r="AN1101" i="1"/>
  <c r="AL1101" i="1"/>
  <c r="AK1101" i="1"/>
  <c r="AJ1101" i="1"/>
  <c r="AH1101" i="1"/>
  <c r="AG1101" i="1"/>
  <c r="AE1101" i="1"/>
  <c r="AD1101" i="1"/>
  <c r="AA1101" i="1"/>
  <c r="Z1101" i="1"/>
  <c r="Y1101" i="1"/>
  <c r="V1101" i="1"/>
  <c r="AN1100" i="1"/>
  <c r="AL1100" i="1"/>
  <c r="AK1100" i="1"/>
  <c r="AJ1100" i="1"/>
  <c r="AH1100" i="1"/>
  <c r="AG1100" i="1"/>
  <c r="AE1100" i="1"/>
  <c r="AD1100" i="1"/>
  <c r="AC1100" i="1"/>
  <c r="AA1100" i="1"/>
  <c r="Z1100" i="1"/>
  <c r="Y1100" i="1"/>
  <c r="W1100" i="1"/>
  <c r="V1100" i="1"/>
  <c r="AN1099" i="1"/>
  <c r="AL1099" i="1"/>
  <c r="AK1099" i="1"/>
  <c r="AJ1099" i="1"/>
  <c r="AH1099" i="1"/>
  <c r="AG1099" i="1"/>
  <c r="AE1099" i="1"/>
  <c r="AD1099" i="1"/>
  <c r="AC1099" i="1"/>
  <c r="AA1099" i="1"/>
  <c r="Z1099" i="1"/>
  <c r="Y1099" i="1"/>
  <c r="W1099" i="1"/>
  <c r="V1099" i="1"/>
  <c r="AN1098" i="1"/>
  <c r="AL1098" i="1"/>
  <c r="AK1098" i="1"/>
  <c r="AJ1098" i="1"/>
  <c r="AH1098" i="1"/>
  <c r="AG1098" i="1"/>
  <c r="AE1098" i="1"/>
  <c r="AD1098" i="1"/>
  <c r="AC1098" i="1"/>
  <c r="AA1098" i="1"/>
  <c r="Z1098" i="1"/>
  <c r="Y1098" i="1"/>
  <c r="W1098" i="1"/>
  <c r="V1098" i="1"/>
  <c r="AN1097" i="1"/>
  <c r="AL1097" i="1"/>
  <c r="AK1097" i="1"/>
  <c r="AJ1097" i="1"/>
  <c r="AH1097" i="1"/>
  <c r="AG1097" i="1"/>
  <c r="AE1097" i="1"/>
  <c r="AD1097" i="1"/>
  <c r="AA1097" i="1"/>
  <c r="Z1097" i="1"/>
  <c r="Y1097" i="1"/>
  <c r="W1097" i="1"/>
  <c r="V1097" i="1"/>
  <c r="AN1096" i="1"/>
  <c r="AL1096" i="1"/>
  <c r="AK1096" i="1"/>
  <c r="AJ1096" i="1"/>
  <c r="AH1096" i="1"/>
  <c r="AG1096" i="1"/>
  <c r="AE1096" i="1"/>
  <c r="AD1096" i="1"/>
  <c r="AC1096" i="1"/>
  <c r="AA1096" i="1"/>
  <c r="Z1096" i="1"/>
  <c r="Y1096" i="1"/>
  <c r="W1096" i="1"/>
  <c r="V1096" i="1"/>
  <c r="AN1095" i="1"/>
  <c r="AL1095" i="1"/>
  <c r="AK1095" i="1"/>
  <c r="AJ1095" i="1"/>
  <c r="AH1095" i="1"/>
  <c r="AG1095" i="1"/>
  <c r="AE1095" i="1"/>
  <c r="AD1095" i="1"/>
  <c r="AA1095" i="1"/>
  <c r="Z1095" i="1"/>
  <c r="Y1095" i="1"/>
  <c r="W1095" i="1"/>
  <c r="V1095" i="1"/>
  <c r="AN1094" i="1"/>
  <c r="AL1094" i="1"/>
  <c r="AK1094" i="1"/>
  <c r="AJ1094" i="1"/>
  <c r="AH1094" i="1"/>
  <c r="AG1094" i="1"/>
  <c r="AE1094" i="1"/>
  <c r="AD1094" i="1"/>
  <c r="AC1094" i="1"/>
  <c r="AA1094" i="1"/>
  <c r="Z1094" i="1"/>
  <c r="Y1094" i="1"/>
  <c r="W1094" i="1"/>
  <c r="V1094" i="1"/>
  <c r="AN1093" i="1"/>
  <c r="AL1093" i="1"/>
  <c r="AK1093" i="1"/>
  <c r="AJ1093" i="1"/>
  <c r="AH1093" i="1"/>
  <c r="AG1093" i="1"/>
  <c r="AE1093" i="1"/>
  <c r="AD1093" i="1"/>
  <c r="AC1093" i="1"/>
  <c r="AA1093" i="1"/>
  <c r="Z1093" i="1"/>
  <c r="Y1093" i="1"/>
  <c r="W1093" i="1"/>
  <c r="V1093" i="1"/>
  <c r="AN1092" i="1"/>
  <c r="AL1092" i="1"/>
  <c r="AK1092" i="1"/>
  <c r="AJ1092" i="1"/>
  <c r="AH1092" i="1"/>
  <c r="AG1092" i="1"/>
  <c r="AE1092" i="1"/>
  <c r="AD1092" i="1"/>
  <c r="AA1092" i="1"/>
  <c r="Z1092" i="1"/>
  <c r="Y1092" i="1"/>
  <c r="W1092" i="1"/>
  <c r="V1092" i="1"/>
  <c r="AN1091" i="1"/>
  <c r="AL1091" i="1"/>
  <c r="AK1091" i="1"/>
  <c r="AJ1091" i="1"/>
  <c r="AH1091" i="1"/>
  <c r="AG1091" i="1"/>
  <c r="AE1091" i="1"/>
  <c r="AD1091" i="1"/>
  <c r="AC1091" i="1"/>
  <c r="AA1091" i="1"/>
  <c r="Z1091" i="1"/>
  <c r="W1091" i="1"/>
  <c r="V1091" i="1"/>
  <c r="AN1090" i="1"/>
  <c r="AL1090" i="1"/>
  <c r="AK1090" i="1"/>
  <c r="AJ1090" i="1"/>
  <c r="AH1090" i="1"/>
  <c r="AG1090" i="1"/>
  <c r="AE1090" i="1"/>
  <c r="AD1090" i="1"/>
  <c r="AC1090" i="1"/>
  <c r="AA1090" i="1"/>
  <c r="Z1090" i="1"/>
  <c r="Y1090" i="1"/>
  <c r="W1090" i="1"/>
  <c r="V1090" i="1"/>
  <c r="AN1089" i="1"/>
  <c r="AL1089" i="1"/>
  <c r="AK1089" i="1"/>
  <c r="AJ1089" i="1"/>
  <c r="AH1089" i="1"/>
  <c r="AG1089" i="1"/>
  <c r="AE1089" i="1"/>
  <c r="AD1089" i="1"/>
  <c r="AC1089" i="1"/>
  <c r="AA1089" i="1"/>
  <c r="Z1089" i="1"/>
  <c r="Y1089" i="1"/>
  <c r="W1089" i="1"/>
  <c r="V1089" i="1"/>
  <c r="AN1088" i="1"/>
  <c r="AL1088" i="1"/>
  <c r="AK1088" i="1"/>
  <c r="AJ1088" i="1"/>
  <c r="AH1088" i="1"/>
  <c r="AG1088" i="1"/>
  <c r="AE1088" i="1"/>
  <c r="AD1088" i="1"/>
  <c r="AC1088" i="1"/>
  <c r="AA1088" i="1"/>
  <c r="Z1088" i="1"/>
  <c r="Y1088" i="1"/>
  <c r="W1088" i="1"/>
  <c r="V1088" i="1"/>
  <c r="AN1087" i="1"/>
  <c r="AL1087" i="1"/>
  <c r="AK1087" i="1"/>
  <c r="AJ1087" i="1"/>
  <c r="AH1087" i="1"/>
  <c r="AG1087" i="1"/>
  <c r="AE1087" i="1"/>
  <c r="AD1087" i="1"/>
  <c r="AA1087" i="1"/>
  <c r="Z1087" i="1"/>
  <c r="Y1087" i="1"/>
  <c r="W1087" i="1"/>
  <c r="V1087" i="1"/>
  <c r="AO1086" i="1"/>
  <c r="AN1086" i="1"/>
  <c r="AL1086" i="1"/>
  <c r="AK1086" i="1"/>
  <c r="AJ1086" i="1"/>
  <c r="AH1086" i="1"/>
  <c r="AG1086" i="1"/>
  <c r="AE1086" i="1"/>
  <c r="AC1086" i="1"/>
  <c r="AA1086" i="1"/>
  <c r="Z1086" i="1"/>
  <c r="Y1086" i="1"/>
  <c r="V1086" i="1"/>
  <c r="AN1085" i="1"/>
  <c r="AL1085" i="1"/>
  <c r="AK1085" i="1"/>
  <c r="AJ1085" i="1"/>
  <c r="AH1085" i="1"/>
  <c r="AG1085" i="1"/>
  <c r="AE1085" i="1"/>
  <c r="AD1085" i="1"/>
  <c r="AC1085" i="1"/>
  <c r="AA1085" i="1"/>
  <c r="Z1085" i="1"/>
  <c r="Y1085" i="1"/>
  <c r="W1085" i="1"/>
  <c r="V1085" i="1"/>
  <c r="AO1084" i="1"/>
  <c r="AN1084" i="1"/>
  <c r="AL1084" i="1"/>
  <c r="AK1084" i="1"/>
  <c r="AJ1084" i="1"/>
  <c r="AH1084" i="1"/>
  <c r="AG1084" i="1"/>
  <c r="AE1084" i="1"/>
  <c r="AC1084" i="1"/>
  <c r="AA1084" i="1"/>
  <c r="Z1084" i="1"/>
  <c r="Y1084" i="1"/>
  <c r="V1084" i="1"/>
  <c r="AO1083" i="1"/>
  <c r="AN1083" i="1"/>
  <c r="AL1083" i="1"/>
  <c r="AK1083" i="1"/>
  <c r="AJ1083" i="1"/>
  <c r="AH1083" i="1"/>
  <c r="AG1083" i="1"/>
  <c r="AE1083" i="1"/>
  <c r="AD1083" i="1"/>
  <c r="AA1083" i="1"/>
  <c r="Z1083" i="1"/>
  <c r="Y1083" i="1"/>
  <c r="V1083" i="1"/>
  <c r="AO1082" i="1"/>
  <c r="AN1082" i="1"/>
  <c r="AL1082" i="1"/>
  <c r="AK1082" i="1"/>
  <c r="AJ1082" i="1"/>
  <c r="AH1082" i="1"/>
  <c r="AG1082" i="1"/>
  <c r="AE1082" i="1"/>
  <c r="AC1082" i="1"/>
  <c r="AA1082" i="1"/>
  <c r="Z1082" i="1"/>
  <c r="Y1082" i="1"/>
  <c r="V1082" i="1"/>
  <c r="AN1081" i="1"/>
  <c r="AL1081" i="1"/>
  <c r="AK1081" i="1"/>
  <c r="AJ1081" i="1"/>
  <c r="AH1081" i="1"/>
  <c r="AG1081" i="1"/>
  <c r="AE1081" i="1"/>
  <c r="AD1081" i="1"/>
  <c r="Z1081" i="1"/>
  <c r="Y1081" i="1"/>
  <c r="W1081" i="1"/>
  <c r="AO1080" i="1"/>
  <c r="AN1080" i="1"/>
  <c r="AL1080" i="1"/>
  <c r="AK1080" i="1"/>
  <c r="AJ1080" i="1"/>
  <c r="AH1080" i="1"/>
  <c r="AG1080" i="1"/>
  <c r="AE1080" i="1"/>
  <c r="AC1080" i="1"/>
  <c r="AA1080" i="1"/>
  <c r="Z1080" i="1"/>
  <c r="Y1080" i="1"/>
  <c r="W1080" i="1"/>
  <c r="V1080" i="1"/>
  <c r="AN1079" i="1"/>
  <c r="AL1079" i="1"/>
  <c r="AK1079" i="1"/>
  <c r="AJ1079" i="1"/>
  <c r="AH1079" i="1"/>
  <c r="AG1079" i="1"/>
  <c r="AE1079" i="1"/>
  <c r="AD1079" i="1"/>
  <c r="AA1079" i="1"/>
  <c r="Z1079" i="1"/>
  <c r="Y1079" i="1"/>
  <c r="W1079" i="1"/>
  <c r="V1079" i="1"/>
  <c r="AO1078" i="1"/>
  <c r="AN1078" i="1"/>
  <c r="AL1078" i="1"/>
  <c r="AK1078" i="1"/>
  <c r="AJ1078" i="1"/>
  <c r="AH1078" i="1"/>
  <c r="AG1078" i="1"/>
  <c r="AE1078" i="1"/>
  <c r="AC1078" i="1"/>
  <c r="AA1078" i="1"/>
  <c r="Z1078" i="1"/>
  <c r="Y1078" i="1"/>
  <c r="W1078" i="1"/>
  <c r="V1078" i="1"/>
  <c r="AO1077" i="1"/>
  <c r="AN1077" i="1"/>
  <c r="AL1077" i="1"/>
  <c r="AK1077" i="1"/>
  <c r="AJ1077" i="1"/>
  <c r="AH1077" i="1"/>
  <c r="AG1077" i="1"/>
  <c r="AE1077" i="1"/>
  <c r="AC1077" i="1"/>
  <c r="AA1077" i="1"/>
  <c r="Z1077" i="1"/>
  <c r="Y1077" i="1"/>
  <c r="W1077" i="1"/>
  <c r="V1077" i="1"/>
  <c r="AO1076" i="1"/>
  <c r="AN1076" i="1"/>
  <c r="AL1076" i="1"/>
  <c r="AK1076" i="1"/>
  <c r="AJ1076" i="1"/>
  <c r="AH1076" i="1"/>
  <c r="AG1076" i="1"/>
  <c r="AE1076" i="1"/>
  <c r="AC1076" i="1"/>
  <c r="AA1076" i="1"/>
  <c r="Z1076" i="1"/>
  <c r="Y1076" i="1"/>
  <c r="W1076" i="1"/>
  <c r="V1076" i="1"/>
  <c r="AO1075" i="1"/>
  <c r="AN1075" i="1"/>
  <c r="AL1075" i="1"/>
  <c r="AK1075" i="1"/>
  <c r="AJ1075" i="1"/>
  <c r="AH1075" i="1"/>
  <c r="AG1075" i="1"/>
  <c r="AE1075" i="1"/>
  <c r="AD1075" i="1"/>
  <c r="AC1075" i="1"/>
  <c r="AA1075" i="1"/>
  <c r="Z1075" i="1"/>
  <c r="Y1075" i="1"/>
  <c r="V1075" i="1"/>
  <c r="AO1074" i="1"/>
  <c r="AN1074" i="1"/>
  <c r="AL1074" i="1"/>
  <c r="AK1074" i="1"/>
  <c r="AJ1074" i="1"/>
  <c r="AH1074" i="1"/>
  <c r="AG1074" i="1"/>
  <c r="AE1074" i="1"/>
  <c r="AC1074" i="1"/>
  <c r="AA1074" i="1"/>
  <c r="Z1074" i="1"/>
  <c r="Y1074" i="1"/>
  <c r="W1074" i="1"/>
  <c r="V1074" i="1"/>
  <c r="AO1073" i="1"/>
  <c r="AN1073" i="1"/>
  <c r="AL1073" i="1"/>
  <c r="AK1073" i="1"/>
  <c r="AJ1073" i="1"/>
  <c r="AH1073" i="1"/>
  <c r="AG1073" i="1"/>
  <c r="AE1073" i="1"/>
  <c r="AD1073" i="1"/>
  <c r="Z1073" i="1"/>
  <c r="Y1073" i="1"/>
  <c r="AO1072" i="1"/>
  <c r="AN1072" i="1"/>
  <c r="AL1072" i="1"/>
  <c r="AK1072" i="1"/>
  <c r="AJ1072" i="1"/>
  <c r="AH1072" i="1"/>
  <c r="AG1072" i="1"/>
  <c r="AE1072" i="1"/>
  <c r="AD1072" i="1"/>
  <c r="Z1072" i="1"/>
  <c r="Y1072" i="1"/>
  <c r="AO1071" i="1"/>
  <c r="AN1071" i="1"/>
  <c r="AL1071" i="1"/>
  <c r="AK1071" i="1"/>
  <c r="AJ1071" i="1"/>
  <c r="AH1071" i="1"/>
  <c r="AG1071" i="1"/>
  <c r="AE1071" i="1"/>
  <c r="AC1071" i="1"/>
  <c r="AA1071" i="1"/>
  <c r="Z1071" i="1"/>
  <c r="Y1071" i="1"/>
  <c r="W1071" i="1"/>
  <c r="V1071" i="1"/>
  <c r="AN1070" i="1"/>
  <c r="AL1070" i="1"/>
  <c r="AK1070" i="1"/>
  <c r="AJ1070" i="1"/>
  <c r="AH1070" i="1"/>
  <c r="AG1070" i="1"/>
  <c r="AE1070" i="1"/>
  <c r="AD1070" i="1"/>
  <c r="AC1070" i="1"/>
  <c r="AA1070" i="1"/>
  <c r="Z1070" i="1"/>
  <c r="Y1070" i="1"/>
  <c r="W1070" i="1"/>
  <c r="V1070" i="1"/>
  <c r="AO1069" i="1"/>
  <c r="AN1069" i="1"/>
  <c r="AM1069" i="1"/>
  <c r="AL1069" i="1"/>
  <c r="AK1069" i="1"/>
  <c r="AJ1069" i="1"/>
  <c r="AH1069" i="1"/>
  <c r="AG1069" i="1"/>
  <c r="AE1069" i="1"/>
  <c r="AC1069" i="1"/>
  <c r="AA1069" i="1"/>
  <c r="Z1069" i="1"/>
  <c r="Y1069" i="1"/>
  <c r="AO1068" i="1"/>
  <c r="AN1068" i="1"/>
  <c r="AM1068" i="1"/>
  <c r="AL1068" i="1"/>
  <c r="AK1068" i="1"/>
  <c r="AJ1068" i="1"/>
  <c r="AH1068" i="1"/>
  <c r="AG1068" i="1"/>
  <c r="AE1068" i="1"/>
  <c r="AC1068" i="1"/>
  <c r="AA1068" i="1"/>
  <c r="Z1068" i="1"/>
  <c r="Y1068" i="1"/>
  <c r="AO1067" i="1"/>
  <c r="AN1067" i="1"/>
  <c r="AM1067" i="1"/>
  <c r="AL1067" i="1"/>
  <c r="AK1067" i="1"/>
  <c r="AJ1067" i="1"/>
  <c r="AH1067" i="1"/>
  <c r="AG1067" i="1"/>
  <c r="AE1067" i="1"/>
  <c r="AC1067" i="1"/>
  <c r="AA1067" i="1"/>
  <c r="Z1067" i="1"/>
  <c r="Y1067" i="1"/>
  <c r="AO1066" i="1"/>
  <c r="AN1066" i="1"/>
  <c r="AL1066" i="1"/>
  <c r="AK1066" i="1"/>
  <c r="AJ1066" i="1"/>
  <c r="AH1066" i="1"/>
  <c r="AG1066" i="1"/>
  <c r="AE1066" i="1"/>
  <c r="AC1066" i="1"/>
  <c r="AA1066" i="1"/>
  <c r="Z1066" i="1"/>
  <c r="Y1066" i="1"/>
  <c r="V1066" i="1"/>
  <c r="AO1065" i="1"/>
  <c r="AN1065" i="1"/>
  <c r="AL1065" i="1"/>
  <c r="AK1065" i="1"/>
  <c r="AJ1065" i="1"/>
  <c r="AH1065" i="1"/>
  <c r="AG1065" i="1"/>
  <c r="AE1065" i="1"/>
  <c r="AD1065" i="1"/>
  <c r="AC1065" i="1"/>
  <c r="AA1065" i="1"/>
  <c r="Z1065" i="1"/>
  <c r="Y1065" i="1"/>
  <c r="V1065" i="1"/>
  <c r="AO1064" i="1"/>
  <c r="AN1064" i="1"/>
  <c r="AL1064" i="1"/>
  <c r="AK1064" i="1"/>
  <c r="AJ1064" i="1"/>
  <c r="AH1064" i="1"/>
  <c r="AG1064" i="1"/>
  <c r="AE1064" i="1"/>
  <c r="AD1064" i="1"/>
  <c r="AC1064" i="1"/>
  <c r="AA1064" i="1"/>
  <c r="Z1064" i="1"/>
  <c r="Y1064" i="1"/>
  <c r="V1064" i="1"/>
  <c r="AN1063" i="1"/>
  <c r="AL1063" i="1"/>
  <c r="AK1063" i="1"/>
  <c r="AJ1063" i="1"/>
  <c r="AH1063" i="1"/>
  <c r="AG1063" i="1"/>
  <c r="AE1063" i="1"/>
  <c r="AD1063" i="1"/>
  <c r="AC1063" i="1"/>
  <c r="AA1063" i="1"/>
  <c r="Z1063" i="1"/>
  <c r="Y1063" i="1"/>
  <c r="W1063" i="1"/>
  <c r="V1063" i="1"/>
  <c r="AO1062" i="1"/>
  <c r="AN1062" i="1"/>
  <c r="AL1062" i="1"/>
  <c r="AK1062" i="1"/>
  <c r="AJ1062" i="1"/>
  <c r="AH1062" i="1"/>
  <c r="AG1062" i="1"/>
  <c r="AE1062" i="1"/>
  <c r="AD1062" i="1"/>
  <c r="AC1062" i="1"/>
  <c r="AA1062" i="1"/>
  <c r="Z1062" i="1"/>
  <c r="Y1062" i="1"/>
  <c r="V1062" i="1"/>
  <c r="AN1061" i="1"/>
  <c r="AL1061" i="1"/>
  <c r="AK1061" i="1"/>
  <c r="AJ1061" i="1"/>
  <c r="AH1061" i="1"/>
  <c r="AG1061" i="1"/>
  <c r="AE1061" i="1"/>
  <c r="AD1061" i="1"/>
  <c r="AC1061" i="1"/>
  <c r="AA1061" i="1"/>
  <c r="Z1061" i="1"/>
  <c r="Y1061" i="1"/>
  <c r="W1061" i="1"/>
  <c r="V1061" i="1"/>
  <c r="AO1060" i="1"/>
  <c r="AN1060" i="1"/>
  <c r="AL1060" i="1"/>
  <c r="AK1060" i="1"/>
  <c r="AJ1060" i="1"/>
  <c r="AH1060" i="1"/>
  <c r="AG1060" i="1"/>
  <c r="AE1060" i="1"/>
  <c r="AD1060" i="1"/>
  <c r="AC1060" i="1"/>
  <c r="AA1060" i="1"/>
  <c r="Z1060" i="1"/>
  <c r="Y1060" i="1"/>
  <c r="W1060" i="1"/>
  <c r="V1060" i="1"/>
  <c r="AO1059" i="1"/>
  <c r="AN1059" i="1"/>
  <c r="AL1059" i="1"/>
  <c r="AK1059" i="1"/>
  <c r="AJ1059" i="1"/>
  <c r="AH1059" i="1"/>
  <c r="AG1059" i="1"/>
  <c r="AE1059" i="1"/>
  <c r="AD1059" i="1"/>
  <c r="AC1059" i="1"/>
  <c r="AA1059" i="1"/>
  <c r="Z1059" i="1"/>
  <c r="Y1059" i="1"/>
  <c r="W1059" i="1"/>
  <c r="V1059" i="1"/>
  <c r="AO1058" i="1"/>
  <c r="AN1058" i="1"/>
  <c r="AL1058" i="1"/>
  <c r="AK1058" i="1"/>
  <c r="AJ1058" i="1"/>
  <c r="AH1058" i="1"/>
  <c r="AG1058" i="1"/>
  <c r="AE1058" i="1"/>
  <c r="AC1058" i="1"/>
  <c r="AA1058" i="1"/>
  <c r="Z1058" i="1"/>
  <c r="Y1058" i="1"/>
  <c r="V1058" i="1"/>
  <c r="AN1057" i="1"/>
  <c r="AL1057" i="1"/>
  <c r="AK1057" i="1"/>
  <c r="AJ1057" i="1"/>
  <c r="AH1057" i="1"/>
  <c r="AG1057" i="1"/>
  <c r="AE1057" i="1"/>
  <c r="AD1057" i="1"/>
  <c r="AC1057" i="1"/>
  <c r="AA1057" i="1"/>
  <c r="Z1057" i="1"/>
  <c r="Y1057" i="1"/>
  <c r="W1057" i="1"/>
  <c r="V1057" i="1"/>
  <c r="AN1056" i="1"/>
  <c r="AL1056" i="1"/>
  <c r="AK1056" i="1"/>
  <c r="AJ1056" i="1"/>
  <c r="AH1056" i="1"/>
  <c r="AG1056" i="1"/>
  <c r="AE1056" i="1"/>
  <c r="AD1056" i="1"/>
  <c r="AC1056" i="1"/>
  <c r="AA1056" i="1"/>
  <c r="Z1056" i="1"/>
  <c r="Y1056" i="1"/>
  <c r="W1056" i="1"/>
  <c r="AO1055" i="1"/>
  <c r="AN1055" i="1"/>
  <c r="AL1055" i="1"/>
  <c r="AK1055" i="1"/>
  <c r="AJ1055" i="1"/>
  <c r="AH1055" i="1"/>
  <c r="AG1055" i="1"/>
  <c r="AE1055" i="1"/>
  <c r="AD1055" i="1"/>
  <c r="AC1055" i="1"/>
  <c r="AA1055" i="1"/>
  <c r="Z1055" i="1"/>
  <c r="Y1055" i="1"/>
  <c r="W1055" i="1"/>
  <c r="V1055" i="1"/>
  <c r="AN1054" i="1"/>
  <c r="AL1054" i="1"/>
  <c r="AK1054" i="1"/>
  <c r="AJ1054" i="1"/>
  <c r="AH1054" i="1"/>
  <c r="AG1054" i="1"/>
  <c r="AE1054" i="1"/>
  <c r="AD1054" i="1"/>
  <c r="AC1054" i="1"/>
  <c r="AA1054" i="1"/>
  <c r="Z1054" i="1"/>
  <c r="Y1054" i="1"/>
  <c r="W1054" i="1"/>
  <c r="V1054" i="1"/>
  <c r="AO1053" i="1"/>
  <c r="AN1053" i="1"/>
  <c r="AM1053" i="1"/>
  <c r="AL1053" i="1"/>
  <c r="AK1053" i="1"/>
  <c r="AJ1053" i="1"/>
  <c r="AH1053" i="1"/>
  <c r="AG1053" i="1"/>
  <c r="AE1053" i="1"/>
  <c r="AC1053" i="1"/>
  <c r="AA1053" i="1"/>
  <c r="Z1053" i="1"/>
  <c r="Y1053" i="1"/>
  <c r="AO1052" i="1"/>
  <c r="AN1052" i="1"/>
  <c r="AM1052" i="1"/>
  <c r="AL1052" i="1"/>
  <c r="AK1052" i="1"/>
  <c r="AJ1052" i="1"/>
  <c r="AH1052" i="1"/>
  <c r="AG1052" i="1"/>
  <c r="AE1052" i="1"/>
  <c r="AC1052" i="1"/>
  <c r="AA1052" i="1"/>
  <c r="Z1052" i="1"/>
  <c r="Y1052" i="1"/>
  <c r="AO1051" i="1"/>
  <c r="AN1051" i="1"/>
  <c r="AM1051" i="1"/>
  <c r="AL1051" i="1"/>
  <c r="AK1051" i="1"/>
  <c r="AJ1051" i="1"/>
  <c r="AH1051" i="1"/>
  <c r="AG1051" i="1"/>
  <c r="AE1051" i="1"/>
  <c r="AC1051" i="1"/>
  <c r="AA1051" i="1"/>
  <c r="Z1051" i="1"/>
  <c r="Y1051" i="1"/>
  <c r="AO1050" i="1"/>
  <c r="AN1050" i="1"/>
  <c r="AM1050" i="1"/>
  <c r="AL1050" i="1"/>
  <c r="AK1050" i="1"/>
  <c r="AJ1050" i="1"/>
  <c r="AH1050" i="1"/>
  <c r="AG1050" i="1"/>
  <c r="AE1050" i="1"/>
  <c r="AC1050" i="1"/>
  <c r="AA1050" i="1"/>
  <c r="Z1050" i="1"/>
  <c r="Y1050" i="1"/>
  <c r="AO1049" i="1"/>
  <c r="AN1049" i="1"/>
  <c r="AM1049" i="1"/>
  <c r="AL1049" i="1"/>
  <c r="AK1049" i="1"/>
  <c r="AJ1049" i="1"/>
  <c r="AH1049" i="1"/>
  <c r="AG1049" i="1"/>
  <c r="AE1049" i="1"/>
  <c r="AC1049" i="1"/>
  <c r="AA1049" i="1"/>
  <c r="Z1049" i="1"/>
  <c r="Y1049" i="1"/>
  <c r="AO1048" i="1"/>
  <c r="AN1048" i="1"/>
  <c r="AL1048" i="1"/>
  <c r="AK1048" i="1"/>
  <c r="AJ1048" i="1"/>
  <c r="AH1048" i="1"/>
  <c r="AG1048" i="1"/>
  <c r="AE1048" i="1"/>
  <c r="AC1048" i="1"/>
  <c r="AA1048" i="1"/>
  <c r="Z1048" i="1"/>
  <c r="Y1048" i="1"/>
  <c r="W1048" i="1"/>
  <c r="AO1047" i="1"/>
  <c r="AN1047" i="1"/>
  <c r="AL1047" i="1"/>
  <c r="AK1047" i="1"/>
  <c r="AJ1047" i="1"/>
  <c r="AH1047" i="1"/>
  <c r="AG1047" i="1"/>
  <c r="AE1047" i="1"/>
  <c r="AD1047" i="1"/>
  <c r="AC1047" i="1"/>
  <c r="AA1047" i="1"/>
  <c r="Z1047" i="1"/>
  <c r="Y1047" i="1"/>
  <c r="V1047" i="1"/>
  <c r="AN1046" i="1"/>
  <c r="AL1046" i="1"/>
  <c r="AK1046" i="1"/>
  <c r="AJ1046" i="1"/>
  <c r="AH1046" i="1"/>
  <c r="AG1046" i="1"/>
  <c r="AE1046" i="1"/>
  <c r="AD1046" i="1"/>
  <c r="AC1046" i="1"/>
  <c r="AA1046" i="1"/>
  <c r="Z1046" i="1"/>
  <c r="Y1046" i="1"/>
  <c r="W1046" i="1"/>
  <c r="V1046" i="1"/>
  <c r="AN1045" i="1"/>
  <c r="AL1045" i="1"/>
  <c r="AK1045" i="1"/>
  <c r="AJ1045" i="1"/>
  <c r="AH1045" i="1"/>
  <c r="AG1045" i="1"/>
  <c r="AE1045" i="1"/>
  <c r="AD1045" i="1"/>
  <c r="AA1045" i="1"/>
  <c r="Z1045" i="1"/>
  <c r="Y1045" i="1"/>
  <c r="W1045" i="1"/>
  <c r="V1045" i="1"/>
  <c r="AO1044" i="1"/>
  <c r="AN1044" i="1"/>
  <c r="AL1044" i="1"/>
  <c r="AK1044" i="1"/>
  <c r="AJ1044" i="1"/>
  <c r="AH1044" i="1"/>
  <c r="AG1044" i="1"/>
  <c r="AE1044" i="1"/>
  <c r="AD1044" i="1"/>
  <c r="AC1044" i="1"/>
  <c r="AA1044" i="1"/>
  <c r="Z1044" i="1"/>
  <c r="Y1044" i="1"/>
  <c r="V1044" i="1"/>
  <c r="AO1043" i="1"/>
  <c r="AN1043" i="1"/>
  <c r="AL1043" i="1"/>
  <c r="AK1043" i="1"/>
  <c r="AJ1043" i="1"/>
  <c r="AH1043" i="1"/>
  <c r="AG1043" i="1"/>
  <c r="AE1043" i="1"/>
  <c r="AD1043" i="1"/>
  <c r="AC1043" i="1"/>
  <c r="AA1043" i="1"/>
  <c r="Z1043" i="1"/>
  <c r="Y1043" i="1"/>
  <c r="V1043" i="1"/>
  <c r="AN1042" i="1"/>
  <c r="AL1042" i="1"/>
  <c r="AK1042" i="1"/>
  <c r="AJ1042" i="1"/>
  <c r="AH1042" i="1"/>
  <c r="AG1042" i="1"/>
  <c r="AE1042" i="1"/>
  <c r="AD1042" i="1"/>
  <c r="AC1042" i="1"/>
  <c r="AA1042" i="1"/>
  <c r="Z1042" i="1"/>
  <c r="Y1042" i="1"/>
  <c r="W1042" i="1"/>
  <c r="V1042" i="1"/>
  <c r="AO1041" i="1"/>
  <c r="AN1041" i="1"/>
  <c r="AL1041" i="1"/>
  <c r="AK1041" i="1"/>
  <c r="AJ1041" i="1"/>
  <c r="AH1041" i="1"/>
  <c r="AG1041" i="1"/>
  <c r="AE1041" i="1"/>
  <c r="AD1041" i="1"/>
  <c r="AC1041" i="1"/>
  <c r="AA1041" i="1"/>
  <c r="Z1041" i="1"/>
  <c r="Y1041" i="1"/>
  <c r="V1041" i="1"/>
  <c r="AO1040" i="1"/>
  <c r="AN1040" i="1"/>
  <c r="AL1040" i="1"/>
  <c r="AK1040" i="1"/>
  <c r="AJ1040" i="1"/>
  <c r="AH1040" i="1"/>
  <c r="AG1040" i="1"/>
  <c r="AE1040" i="1"/>
  <c r="AD1040" i="1"/>
  <c r="AC1040" i="1"/>
  <c r="Z1040" i="1"/>
  <c r="Y1040" i="1"/>
  <c r="AN1039" i="1"/>
  <c r="AL1039" i="1"/>
  <c r="AK1039" i="1"/>
  <c r="AJ1039" i="1"/>
  <c r="AH1039" i="1"/>
  <c r="AG1039" i="1"/>
  <c r="AE1039" i="1"/>
  <c r="AD1039" i="1"/>
  <c r="AC1039" i="1"/>
  <c r="AA1039" i="1"/>
  <c r="Z1039" i="1"/>
  <c r="Y1039" i="1"/>
  <c r="W1039" i="1"/>
  <c r="V1039" i="1"/>
  <c r="AN1038" i="1"/>
  <c r="AL1038" i="1"/>
  <c r="AK1038" i="1"/>
  <c r="AJ1038" i="1"/>
  <c r="AH1038" i="1"/>
  <c r="AG1038" i="1"/>
  <c r="AE1038" i="1"/>
  <c r="AD1038" i="1"/>
  <c r="AC1038" i="1"/>
  <c r="AA1038" i="1"/>
  <c r="Z1038" i="1"/>
  <c r="Y1038" i="1"/>
  <c r="W1038" i="1"/>
  <c r="V1038" i="1"/>
  <c r="AL1037" i="1"/>
  <c r="AK1037" i="1"/>
  <c r="AJ1037" i="1"/>
  <c r="AH1037" i="1"/>
  <c r="AG1037" i="1"/>
  <c r="AE1037" i="1"/>
  <c r="AD1037" i="1"/>
  <c r="AA1037" i="1"/>
  <c r="Z1037" i="1"/>
  <c r="Y1037" i="1"/>
  <c r="V1037" i="1"/>
  <c r="AL1036" i="1"/>
  <c r="AK1036" i="1"/>
  <c r="AJ1036" i="1"/>
  <c r="AH1036" i="1"/>
  <c r="AG1036" i="1"/>
  <c r="AE1036" i="1"/>
  <c r="AD1036" i="1"/>
  <c r="Z1036" i="1"/>
  <c r="Y1036" i="1"/>
  <c r="AL1035" i="1"/>
  <c r="AK1035" i="1"/>
  <c r="AJ1035" i="1"/>
  <c r="AH1035" i="1"/>
  <c r="AG1035" i="1"/>
  <c r="AE1035" i="1"/>
  <c r="AD1035" i="1"/>
  <c r="Z1035" i="1"/>
  <c r="Y1035" i="1"/>
  <c r="AO1034" i="1"/>
  <c r="AN1034" i="1"/>
  <c r="AL1034" i="1"/>
  <c r="AK1034" i="1"/>
  <c r="AJ1034" i="1"/>
  <c r="AH1034" i="1"/>
  <c r="AG1034" i="1"/>
  <c r="AE1034" i="1"/>
  <c r="AC1034" i="1"/>
  <c r="AA1034" i="1"/>
  <c r="Z1034" i="1"/>
  <c r="Y1034" i="1"/>
  <c r="V1034" i="1"/>
  <c r="AL1033" i="1"/>
  <c r="AK1033" i="1"/>
  <c r="AJ1033" i="1"/>
  <c r="AH1033" i="1"/>
  <c r="AG1033" i="1"/>
  <c r="AE1033" i="1"/>
  <c r="AD1033" i="1"/>
  <c r="Z1033" i="1"/>
  <c r="Y1033" i="1"/>
  <c r="AL1032" i="1"/>
  <c r="AK1032" i="1"/>
  <c r="AJ1032" i="1"/>
  <c r="AH1032" i="1"/>
  <c r="AG1032" i="1"/>
  <c r="AE1032" i="1"/>
  <c r="AD1032" i="1"/>
  <c r="Z1032" i="1"/>
  <c r="Y1032" i="1"/>
  <c r="AL1031" i="1"/>
  <c r="AK1031" i="1"/>
  <c r="AJ1031" i="1"/>
  <c r="AH1031" i="1"/>
  <c r="AG1031" i="1"/>
  <c r="AE1031" i="1"/>
  <c r="AD1031" i="1"/>
  <c r="Z1031" i="1"/>
  <c r="Y1031" i="1"/>
  <c r="AL1030" i="1"/>
  <c r="AK1030" i="1"/>
  <c r="AJ1030" i="1"/>
  <c r="AH1030" i="1"/>
  <c r="AG1030" i="1"/>
  <c r="AE1030" i="1"/>
  <c r="AD1030" i="1"/>
  <c r="Z1030" i="1"/>
  <c r="Y1030" i="1"/>
  <c r="AL1029" i="1"/>
  <c r="AK1029" i="1"/>
  <c r="AJ1029" i="1"/>
  <c r="AH1029" i="1"/>
  <c r="AG1029" i="1"/>
  <c r="AE1029" i="1"/>
  <c r="AD1029" i="1"/>
  <c r="Z1029" i="1"/>
  <c r="Y1029" i="1"/>
  <c r="AN1028" i="1"/>
  <c r="AL1028" i="1"/>
  <c r="AK1028" i="1"/>
  <c r="AJ1028" i="1"/>
  <c r="AH1028" i="1"/>
  <c r="AG1028" i="1"/>
  <c r="AE1028" i="1"/>
  <c r="AD1028" i="1"/>
  <c r="AA1028" i="1"/>
  <c r="Z1028" i="1"/>
  <c r="Y1028" i="1"/>
  <c r="W1028" i="1"/>
  <c r="V1028" i="1"/>
  <c r="AN1027" i="1"/>
  <c r="AL1027" i="1"/>
  <c r="AK1027" i="1"/>
  <c r="AJ1027" i="1"/>
  <c r="AH1027" i="1"/>
  <c r="AG1027" i="1"/>
  <c r="AE1027" i="1"/>
  <c r="Z1027" i="1"/>
  <c r="Y1027" i="1"/>
  <c r="W1027" i="1"/>
  <c r="AN1026" i="1"/>
  <c r="AL1026" i="1"/>
  <c r="AK1026" i="1"/>
  <c r="AJ1026" i="1"/>
  <c r="AH1026" i="1"/>
  <c r="AG1026" i="1"/>
  <c r="AE1026" i="1"/>
  <c r="AD1026" i="1"/>
  <c r="AA1026" i="1"/>
  <c r="Z1026" i="1"/>
  <c r="Y1026" i="1"/>
  <c r="W1026" i="1"/>
  <c r="V1026" i="1"/>
  <c r="AO1025" i="1"/>
  <c r="AN1025" i="1"/>
  <c r="AL1025" i="1"/>
  <c r="AK1025" i="1"/>
  <c r="AJ1025" i="1"/>
  <c r="AH1025" i="1"/>
  <c r="AG1025" i="1"/>
  <c r="AE1025" i="1"/>
  <c r="AD1025" i="1"/>
  <c r="AC1025" i="1"/>
  <c r="Z1025" i="1"/>
  <c r="Y1025" i="1"/>
  <c r="V1025" i="1"/>
  <c r="AO1024" i="1"/>
  <c r="AN1024" i="1"/>
  <c r="AL1024" i="1"/>
  <c r="AK1024" i="1"/>
  <c r="AJ1024" i="1"/>
  <c r="AH1024" i="1"/>
  <c r="AG1024" i="1"/>
  <c r="AE1024" i="1"/>
  <c r="AC1024" i="1"/>
  <c r="AA1024" i="1"/>
  <c r="Z1024" i="1"/>
  <c r="Y1024" i="1"/>
  <c r="V1024" i="1"/>
  <c r="AN1023" i="1"/>
  <c r="AL1023" i="1"/>
  <c r="AK1023" i="1"/>
  <c r="AJ1023" i="1"/>
  <c r="AH1023" i="1"/>
  <c r="AG1023" i="1"/>
  <c r="AE1023" i="1"/>
  <c r="AD1023" i="1"/>
  <c r="AC1023" i="1"/>
  <c r="AA1023" i="1"/>
  <c r="Z1023" i="1"/>
  <c r="Y1023" i="1"/>
  <c r="W1023" i="1"/>
  <c r="V1023" i="1"/>
  <c r="AN1022" i="1"/>
  <c r="AL1022" i="1"/>
  <c r="AK1022" i="1"/>
  <c r="AJ1022" i="1"/>
  <c r="AH1022" i="1"/>
  <c r="AG1022" i="1"/>
  <c r="AE1022" i="1"/>
  <c r="AD1022" i="1"/>
  <c r="AC1022" i="1"/>
  <c r="AA1022" i="1"/>
  <c r="Z1022" i="1"/>
  <c r="Y1022" i="1"/>
  <c r="W1022" i="1"/>
  <c r="V1022" i="1"/>
  <c r="AN1021" i="1"/>
  <c r="AL1021" i="1"/>
  <c r="AK1021" i="1"/>
  <c r="AJ1021" i="1"/>
  <c r="AH1021" i="1"/>
  <c r="AG1021" i="1"/>
  <c r="AE1021" i="1"/>
  <c r="AD1021" i="1"/>
  <c r="AA1021" i="1"/>
  <c r="Z1021" i="1"/>
  <c r="Y1021" i="1"/>
  <c r="W1021" i="1"/>
  <c r="V1021" i="1"/>
  <c r="AN1020" i="1"/>
  <c r="AL1020" i="1"/>
  <c r="AK1020" i="1"/>
  <c r="AJ1020" i="1"/>
  <c r="AH1020" i="1"/>
  <c r="AG1020" i="1"/>
  <c r="AE1020" i="1"/>
  <c r="AD1020" i="1"/>
  <c r="AA1020" i="1"/>
  <c r="Z1020" i="1"/>
  <c r="Y1020" i="1"/>
  <c r="W1020" i="1"/>
  <c r="V1020" i="1"/>
  <c r="AN1019" i="1"/>
  <c r="AL1019" i="1"/>
  <c r="AK1019" i="1"/>
  <c r="AJ1019" i="1"/>
  <c r="AH1019" i="1"/>
  <c r="AG1019" i="1"/>
  <c r="AE1019" i="1"/>
  <c r="AD1019" i="1"/>
  <c r="AC1019" i="1"/>
  <c r="AA1019" i="1"/>
  <c r="Z1019" i="1"/>
  <c r="Y1019" i="1"/>
  <c r="W1019" i="1"/>
  <c r="V1019" i="1"/>
  <c r="AN1018" i="1"/>
  <c r="AL1018" i="1"/>
  <c r="AK1018" i="1"/>
  <c r="AJ1018" i="1"/>
  <c r="AH1018" i="1"/>
  <c r="AG1018" i="1"/>
  <c r="AE1018" i="1"/>
  <c r="AD1018" i="1"/>
  <c r="AC1018" i="1"/>
  <c r="AA1018" i="1"/>
  <c r="Z1018" i="1"/>
  <c r="Y1018" i="1"/>
  <c r="W1018" i="1"/>
  <c r="AO1017" i="1"/>
  <c r="AN1017" i="1"/>
  <c r="AL1017" i="1"/>
  <c r="AK1017" i="1"/>
  <c r="AJ1017" i="1"/>
  <c r="AH1017" i="1"/>
  <c r="AG1017" i="1"/>
  <c r="AE1017" i="1"/>
  <c r="AD1017" i="1"/>
  <c r="AC1017" i="1"/>
  <c r="AA1017" i="1"/>
  <c r="Z1017" i="1"/>
  <c r="Y1017" i="1"/>
  <c r="V1017" i="1"/>
  <c r="AO1016" i="1"/>
  <c r="AN1016" i="1"/>
  <c r="AL1016" i="1"/>
  <c r="AK1016" i="1"/>
  <c r="AJ1016" i="1"/>
  <c r="AH1016" i="1"/>
  <c r="AG1016" i="1"/>
  <c r="AE1016" i="1"/>
  <c r="AD1016" i="1"/>
  <c r="AC1016" i="1"/>
  <c r="AA1016" i="1"/>
  <c r="Z1016" i="1"/>
  <c r="Y1016" i="1"/>
  <c r="V1016" i="1"/>
  <c r="AO1015" i="1"/>
  <c r="AN1015" i="1"/>
  <c r="AL1015" i="1"/>
  <c r="AK1015" i="1"/>
  <c r="AJ1015" i="1"/>
  <c r="AH1015" i="1"/>
  <c r="AG1015" i="1"/>
  <c r="AE1015" i="1"/>
  <c r="AC1015" i="1"/>
  <c r="AA1015" i="1"/>
  <c r="Z1015" i="1"/>
  <c r="Y1015" i="1"/>
  <c r="V1015" i="1"/>
  <c r="AO1014" i="1"/>
  <c r="AN1014" i="1"/>
  <c r="AL1014" i="1"/>
  <c r="AK1014" i="1"/>
  <c r="AJ1014" i="1"/>
  <c r="AH1014" i="1"/>
  <c r="AG1014" i="1"/>
  <c r="AE1014" i="1"/>
  <c r="AD1014" i="1"/>
  <c r="AC1014" i="1"/>
  <c r="AA1014" i="1"/>
  <c r="Z1014" i="1"/>
  <c r="Y1014" i="1"/>
  <c r="V1014" i="1"/>
  <c r="AO1013" i="1"/>
  <c r="AN1013" i="1"/>
  <c r="AL1013" i="1"/>
  <c r="AK1013" i="1"/>
  <c r="AJ1013" i="1"/>
  <c r="AH1013" i="1"/>
  <c r="AG1013" i="1"/>
  <c r="AE1013" i="1"/>
  <c r="AD1013" i="1"/>
  <c r="AC1013" i="1"/>
  <c r="AA1013" i="1"/>
  <c r="Z1013" i="1"/>
  <c r="Y1013" i="1"/>
  <c r="V1013" i="1"/>
  <c r="AO1012" i="1"/>
  <c r="AN1012" i="1"/>
  <c r="AL1012" i="1"/>
  <c r="AK1012" i="1"/>
  <c r="AJ1012" i="1"/>
  <c r="AH1012" i="1"/>
  <c r="AG1012" i="1"/>
  <c r="AE1012" i="1"/>
  <c r="AD1012" i="1"/>
  <c r="AO1011" i="1"/>
  <c r="AN1011" i="1"/>
  <c r="AL1011" i="1"/>
  <c r="AK1011" i="1"/>
  <c r="AJ1011" i="1"/>
  <c r="AH1011" i="1"/>
  <c r="AG1011" i="1"/>
  <c r="AE1011" i="1"/>
  <c r="AD1011" i="1"/>
  <c r="Z1011" i="1"/>
  <c r="Y1011" i="1"/>
  <c r="AO1010" i="1"/>
  <c r="AN1010" i="1"/>
  <c r="AL1010" i="1"/>
  <c r="AK1010" i="1"/>
  <c r="AJ1010" i="1"/>
  <c r="AH1010" i="1"/>
  <c r="AG1010" i="1"/>
  <c r="AE1010" i="1"/>
  <c r="AD1010" i="1"/>
  <c r="Z1010" i="1"/>
  <c r="Y1010" i="1"/>
  <c r="AN1009" i="1"/>
  <c r="AL1009" i="1"/>
  <c r="AK1009" i="1"/>
  <c r="AJ1009" i="1"/>
  <c r="AH1009" i="1"/>
  <c r="AG1009" i="1"/>
  <c r="AE1009" i="1"/>
  <c r="AD1009" i="1"/>
  <c r="AC1009" i="1"/>
  <c r="AA1009" i="1"/>
  <c r="Z1009" i="1"/>
  <c r="Y1009" i="1"/>
  <c r="W1009" i="1"/>
  <c r="V1009" i="1"/>
  <c r="AO1008" i="1"/>
  <c r="AN1008" i="1"/>
  <c r="AL1008" i="1"/>
  <c r="AK1008" i="1"/>
  <c r="AJ1008" i="1"/>
  <c r="AH1008" i="1"/>
  <c r="AG1008" i="1"/>
  <c r="AE1008" i="1"/>
  <c r="AD1008" i="1"/>
  <c r="AC1008" i="1"/>
  <c r="AA1008" i="1"/>
  <c r="Z1008" i="1"/>
  <c r="Y1008" i="1"/>
  <c r="V1008" i="1"/>
  <c r="AO1007" i="1"/>
  <c r="AN1007" i="1"/>
  <c r="AL1007" i="1"/>
  <c r="AK1007" i="1"/>
  <c r="AJ1007" i="1"/>
  <c r="AH1007" i="1"/>
  <c r="AG1007" i="1"/>
  <c r="AE1007" i="1"/>
  <c r="AC1007" i="1"/>
  <c r="AA1007" i="1"/>
  <c r="Z1007" i="1"/>
  <c r="Y1007" i="1"/>
  <c r="V1007" i="1"/>
  <c r="AO1006" i="1"/>
  <c r="AN1006" i="1"/>
  <c r="AL1006" i="1"/>
  <c r="AK1006" i="1"/>
  <c r="AJ1006" i="1"/>
  <c r="AH1006" i="1"/>
  <c r="AG1006" i="1"/>
  <c r="AE1006" i="1"/>
  <c r="AD1006" i="1"/>
  <c r="AC1006" i="1"/>
  <c r="Z1006" i="1"/>
  <c r="Y1006" i="1"/>
  <c r="W1006" i="1"/>
  <c r="V1006" i="1"/>
  <c r="AO1005" i="1"/>
  <c r="AN1005" i="1"/>
  <c r="AL1005" i="1"/>
  <c r="AK1005" i="1"/>
  <c r="AJ1005" i="1"/>
  <c r="AH1005" i="1"/>
  <c r="AG1005" i="1"/>
  <c r="AE1005" i="1"/>
  <c r="AD1005" i="1"/>
  <c r="AC1005" i="1"/>
  <c r="Z1005" i="1"/>
  <c r="Y1005" i="1"/>
  <c r="W1005" i="1"/>
  <c r="V1005" i="1"/>
  <c r="AO1004" i="1"/>
  <c r="AN1004" i="1"/>
  <c r="AL1004" i="1"/>
  <c r="AK1004" i="1"/>
  <c r="AJ1004" i="1"/>
  <c r="AH1004" i="1"/>
  <c r="AG1004" i="1"/>
  <c r="AE1004" i="1"/>
  <c r="AD1004" i="1"/>
  <c r="AC1004" i="1"/>
  <c r="Z1004" i="1"/>
  <c r="Y1004" i="1"/>
  <c r="W1004" i="1"/>
  <c r="V1004" i="1"/>
  <c r="AO1003" i="1"/>
  <c r="AN1003" i="1"/>
  <c r="AL1003" i="1"/>
  <c r="AK1003" i="1"/>
  <c r="AJ1003" i="1"/>
  <c r="AH1003" i="1"/>
  <c r="AG1003" i="1"/>
  <c r="AE1003" i="1"/>
  <c r="AD1003" i="1"/>
  <c r="AC1003" i="1"/>
  <c r="Z1003" i="1"/>
  <c r="Y1003" i="1"/>
  <c r="W1003" i="1"/>
  <c r="V1003" i="1"/>
  <c r="AO1002" i="1"/>
  <c r="AN1002" i="1"/>
  <c r="AL1002" i="1"/>
  <c r="AK1002" i="1"/>
  <c r="AJ1002" i="1"/>
  <c r="AH1002" i="1"/>
  <c r="AG1002" i="1"/>
  <c r="AE1002" i="1"/>
  <c r="AD1002" i="1"/>
  <c r="AC1002" i="1"/>
  <c r="AA1002" i="1"/>
  <c r="Z1002" i="1"/>
  <c r="Y1002" i="1"/>
  <c r="AO1001" i="1"/>
  <c r="AN1001" i="1"/>
  <c r="AL1001" i="1"/>
  <c r="AK1001" i="1"/>
  <c r="AJ1001" i="1"/>
  <c r="AH1001" i="1"/>
  <c r="AG1001" i="1"/>
  <c r="AE1001" i="1"/>
  <c r="AD1001" i="1"/>
  <c r="AC1001" i="1"/>
  <c r="AA1001" i="1"/>
  <c r="Z1001" i="1"/>
  <c r="Y1001" i="1"/>
  <c r="AO1000" i="1"/>
  <c r="AN1000" i="1"/>
  <c r="AL1000" i="1"/>
  <c r="AK1000" i="1"/>
  <c r="AJ1000" i="1"/>
  <c r="AH1000" i="1"/>
  <c r="AG1000" i="1"/>
  <c r="AE1000" i="1"/>
  <c r="AC1000" i="1"/>
  <c r="AA1000" i="1"/>
  <c r="Z1000" i="1"/>
  <c r="Y1000" i="1"/>
  <c r="W1000" i="1"/>
  <c r="V1000" i="1"/>
  <c r="AO999" i="1"/>
  <c r="AN999" i="1"/>
  <c r="AL999" i="1"/>
  <c r="AK999" i="1"/>
  <c r="AJ999" i="1"/>
  <c r="AH999" i="1"/>
  <c r="AG999" i="1"/>
  <c r="AE999" i="1"/>
  <c r="AC999" i="1"/>
  <c r="AA999" i="1"/>
  <c r="Z999" i="1"/>
  <c r="Y999" i="1"/>
  <c r="V999" i="1"/>
  <c r="AO998" i="1"/>
  <c r="AN998" i="1"/>
  <c r="AL998" i="1"/>
  <c r="AK998" i="1"/>
  <c r="AJ998" i="1"/>
  <c r="AH998" i="1"/>
  <c r="AG998" i="1"/>
  <c r="AE998" i="1"/>
  <c r="AC998" i="1"/>
  <c r="AA998" i="1"/>
  <c r="Z998" i="1"/>
  <c r="Y998" i="1"/>
  <c r="W998" i="1"/>
  <c r="V998" i="1"/>
  <c r="AO997" i="1"/>
  <c r="AN997" i="1"/>
  <c r="AL997" i="1"/>
  <c r="AK997" i="1"/>
  <c r="AJ997" i="1"/>
  <c r="AH997" i="1"/>
  <c r="AG997" i="1"/>
  <c r="AE997" i="1"/>
  <c r="AC997" i="1"/>
  <c r="AA997" i="1"/>
  <c r="Z997" i="1"/>
  <c r="Y997" i="1"/>
  <c r="W997" i="1"/>
  <c r="V997" i="1"/>
  <c r="AO996" i="1"/>
  <c r="AN996" i="1"/>
  <c r="AL996" i="1"/>
  <c r="AK996" i="1"/>
  <c r="AJ996" i="1"/>
  <c r="AH996" i="1"/>
  <c r="AG996" i="1"/>
  <c r="AE996" i="1"/>
  <c r="AC996" i="1"/>
  <c r="AA996" i="1"/>
  <c r="Z996" i="1"/>
  <c r="Y996" i="1"/>
  <c r="W996" i="1"/>
  <c r="V996" i="1"/>
  <c r="AN995" i="1"/>
  <c r="AL995" i="1"/>
  <c r="AK995" i="1"/>
  <c r="AJ995" i="1"/>
  <c r="AH995" i="1"/>
  <c r="AG995" i="1"/>
  <c r="AE995" i="1"/>
  <c r="AD995" i="1"/>
  <c r="AA995" i="1"/>
  <c r="Z995" i="1"/>
  <c r="Y995" i="1"/>
  <c r="W995" i="1"/>
  <c r="V995" i="1"/>
  <c r="AO994" i="1"/>
  <c r="AN994" i="1"/>
  <c r="AL994" i="1"/>
  <c r="AK994" i="1"/>
  <c r="AJ994" i="1"/>
  <c r="AH994" i="1"/>
  <c r="AG994" i="1"/>
  <c r="AE994" i="1"/>
  <c r="AD994" i="1"/>
  <c r="AC994" i="1"/>
  <c r="Z994" i="1"/>
  <c r="Y994" i="1"/>
  <c r="AO993" i="1"/>
  <c r="AN993" i="1"/>
  <c r="AL993" i="1"/>
  <c r="AK993" i="1"/>
  <c r="AJ993" i="1"/>
  <c r="AH993" i="1"/>
  <c r="AG993" i="1"/>
  <c r="AE993" i="1"/>
  <c r="AD993" i="1"/>
  <c r="AC993" i="1"/>
  <c r="Z993" i="1"/>
  <c r="Y993" i="1"/>
  <c r="AN992" i="1"/>
  <c r="AL992" i="1"/>
  <c r="AK992" i="1"/>
  <c r="AJ992" i="1"/>
  <c r="AH992" i="1"/>
  <c r="AG992" i="1"/>
  <c r="AE992" i="1"/>
  <c r="AA992" i="1"/>
  <c r="Z992" i="1"/>
  <c r="Y992" i="1"/>
  <c r="W992" i="1"/>
  <c r="V992" i="1"/>
  <c r="AO991" i="1"/>
  <c r="AN991" i="1"/>
  <c r="AL991" i="1"/>
  <c r="AK991" i="1"/>
  <c r="AJ991" i="1"/>
  <c r="AH991" i="1"/>
  <c r="AG991" i="1"/>
  <c r="AE991" i="1"/>
  <c r="AD991" i="1"/>
  <c r="AC991" i="1"/>
  <c r="Z991" i="1"/>
  <c r="Y991" i="1"/>
  <c r="V991" i="1"/>
  <c r="AO990" i="1"/>
  <c r="AN990" i="1"/>
  <c r="AL990" i="1"/>
  <c r="AK990" i="1"/>
  <c r="AJ990" i="1"/>
  <c r="AH990" i="1"/>
  <c r="AG990" i="1"/>
  <c r="AE990" i="1"/>
  <c r="AC990" i="1"/>
  <c r="AA990" i="1"/>
  <c r="Z990" i="1"/>
  <c r="Y990" i="1"/>
  <c r="V990" i="1"/>
  <c r="AO989" i="1"/>
  <c r="AN989" i="1"/>
  <c r="AL989" i="1"/>
  <c r="AK989" i="1"/>
  <c r="AJ989" i="1"/>
  <c r="AH989" i="1"/>
  <c r="AG989" i="1"/>
  <c r="AE989" i="1"/>
  <c r="AC989" i="1"/>
  <c r="AA989" i="1"/>
  <c r="Z989" i="1"/>
  <c r="Y989" i="1"/>
  <c r="V989" i="1"/>
  <c r="AN988" i="1"/>
  <c r="AL988" i="1"/>
  <c r="AK988" i="1"/>
  <c r="AJ988" i="1"/>
  <c r="AH988" i="1"/>
  <c r="AG988" i="1"/>
  <c r="AE988" i="1"/>
  <c r="AC988" i="1"/>
  <c r="AA988" i="1"/>
  <c r="Z988" i="1"/>
  <c r="Y988" i="1"/>
  <c r="W988" i="1"/>
  <c r="V988" i="1"/>
  <c r="AO987" i="1"/>
  <c r="AN987" i="1"/>
  <c r="AL987" i="1"/>
  <c r="AK987" i="1"/>
  <c r="AJ987" i="1"/>
  <c r="AH987" i="1"/>
  <c r="AG987" i="1"/>
  <c r="AE987" i="1"/>
  <c r="AC987" i="1"/>
  <c r="AA987" i="1"/>
  <c r="Z987" i="1"/>
  <c r="Y987" i="1"/>
  <c r="W987" i="1"/>
  <c r="V987" i="1"/>
  <c r="AO986" i="1"/>
  <c r="AN986" i="1"/>
  <c r="AL986" i="1"/>
  <c r="AK986" i="1"/>
  <c r="AJ986" i="1"/>
  <c r="AH986" i="1"/>
  <c r="AG986" i="1"/>
  <c r="AE986" i="1"/>
  <c r="AC986" i="1"/>
  <c r="AA986" i="1"/>
  <c r="Z986" i="1"/>
  <c r="Y986" i="1"/>
  <c r="W986" i="1"/>
  <c r="V986" i="1"/>
  <c r="AO985" i="1"/>
  <c r="AN985" i="1"/>
  <c r="AL985" i="1"/>
  <c r="AK985" i="1"/>
  <c r="AJ985" i="1"/>
  <c r="AH985" i="1"/>
  <c r="AG985" i="1"/>
  <c r="AE985" i="1"/>
  <c r="AC985" i="1"/>
  <c r="AA985" i="1"/>
  <c r="Z985" i="1"/>
  <c r="Y985" i="1"/>
  <c r="W985" i="1"/>
  <c r="V985" i="1"/>
  <c r="AO984" i="1"/>
  <c r="AN984" i="1"/>
  <c r="AL984" i="1"/>
  <c r="AK984" i="1"/>
  <c r="AJ984" i="1"/>
  <c r="AH984" i="1"/>
  <c r="AG984" i="1"/>
  <c r="AE984" i="1"/>
  <c r="AC984" i="1"/>
  <c r="AA984" i="1"/>
  <c r="Z984" i="1"/>
  <c r="Y984" i="1"/>
  <c r="W984" i="1"/>
  <c r="V984" i="1"/>
  <c r="AO983" i="1"/>
  <c r="AN983" i="1"/>
  <c r="AL983" i="1"/>
  <c r="AK983" i="1"/>
  <c r="AJ983" i="1"/>
  <c r="AH983" i="1"/>
  <c r="AG983" i="1"/>
  <c r="AE983" i="1"/>
  <c r="AC983" i="1"/>
  <c r="AA983" i="1"/>
  <c r="Z983" i="1"/>
  <c r="Y983" i="1"/>
  <c r="W983" i="1"/>
  <c r="V983" i="1"/>
  <c r="AO982" i="1"/>
  <c r="AN982" i="1"/>
  <c r="AL982" i="1"/>
  <c r="AK982" i="1"/>
  <c r="AJ982" i="1"/>
  <c r="AH982" i="1"/>
  <c r="AG982" i="1"/>
  <c r="AE982" i="1"/>
  <c r="AC982" i="1"/>
  <c r="AA982" i="1"/>
  <c r="Z982" i="1"/>
  <c r="Y982" i="1"/>
  <c r="W982" i="1"/>
  <c r="V982" i="1"/>
  <c r="AO981" i="1"/>
  <c r="AN981" i="1"/>
  <c r="AL981" i="1"/>
  <c r="AK981" i="1"/>
  <c r="AJ981" i="1"/>
  <c r="AH981" i="1"/>
  <c r="AG981" i="1"/>
  <c r="AE981" i="1"/>
  <c r="AC981" i="1"/>
  <c r="AA981" i="1"/>
  <c r="Z981" i="1"/>
  <c r="Y981" i="1"/>
  <c r="W981" i="1"/>
  <c r="V981" i="1"/>
  <c r="AO980" i="1"/>
  <c r="AN980" i="1"/>
  <c r="AL980" i="1"/>
  <c r="AK980" i="1"/>
  <c r="AJ980" i="1"/>
  <c r="AH980" i="1"/>
  <c r="AG980" i="1"/>
  <c r="AE980" i="1"/>
  <c r="AC980" i="1"/>
  <c r="AA980" i="1"/>
  <c r="Z980" i="1"/>
  <c r="Y980" i="1"/>
  <c r="W980" i="1"/>
  <c r="V980" i="1"/>
  <c r="AO979" i="1"/>
  <c r="AN979" i="1"/>
  <c r="AL979" i="1"/>
  <c r="AK979" i="1"/>
  <c r="AJ979" i="1"/>
  <c r="AH979" i="1"/>
  <c r="AG979" i="1"/>
  <c r="AE979" i="1"/>
  <c r="AC979" i="1"/>
  <c r="AA979" i="1"/>
  <c r="Z979" i="1"/>
  <c r="Y979" i="1"/>
  <c r="W979" i="1"/>
  <c r="V979" i="1"/>
  <c r="AO978" i="1"/>
  <c r="AN978" i="1"/>
  <c r="AL978" i="1"/>
  <c r="AK978" i="1"/>
  <c r="AJ978" i="1"/>
  <c r="AH978" i="1"/>
  <c r="AG978" i="1"/>
  <c r="AE978" i="1"/>
  <c r="AC978" i="1"/>
  <c r="AA978" i="1"/>
  <c r="Z978" i="1"/>
  <c r="Y978" i="1"/>
  <c r="W978" i="1"/>
  <c r="V978" i="1"/>
  <c r="AN977" i="1"/>
  <c r="AL977" i="1"/>
  <c r="AK977" i="1"/>
  <c r="AJ977" i="1"/>
  <c r="AH977" i="1"/>
  <c r="AG977" i="1"/>
  <c r="AE977" i="1"/>
  <c r="AD977" i="1"/>
  <c r="AC977" i="1"/>
  <c r="AA977" i="1"/>
  <c r="Z977" i="1"/>
  <c r="Y977" i="1"/>
  <c r="W977" i="1"/>
  <c r="V977" i="1"/>
  <c r="AO976" i="1"/>
  <c r="AN976" i="1"/>
  <c r="AL976" i="1"/>
  <c r="AK976" i="1"/>
  <c r="AJ976" i="1"/>
  <c r="AH976" i="1"/>
  <c r="AG976" i="1"/>
  <c r="AE976" i="1"/>
  <c r="AD976" i="1"/>
  <c r="AC976" i="1"/>
  <c r="AA976" i="1"/>
  <c r="Z976" i="1"/>
  <c r="Y976" i="1"/>
  <c r="W976" i="1"/>
  <c r="V976" i="1"/>
  <c r="AO975" i="1"/>
  <c r="AN975" i="1"/>
  <c r="AL975" i="1"/>
  <c r="AK975" i="1"/>
  <c r="AJ975" i="1"/>
  <c r="AH975" i="1"/>
  <c r="AG975" i="1"/>
  <c r="AE975" i="1"/>
  <c r="AD975" i="1"/>
  <c r="AC975" i="1"/>
  <c r="AA975" i="1"/>
  <c r="Z975" i="1"/>
  <c r="Y975" i="1"/>
  <c r="W975" i="1"/>
  <c r="V975" i="1"/>
  <c r="AO974" i="1"/>
  <c r="AN974" i="1"/>
  <c r="AL974" i="1"/>
  <c r="AK974" i="1"/>
  <c r="AJ974" i="1"/>
  <c r="AH974" i="1"/>
  <c r="AG974" i="1"/>
  <c r="AE974" i="1"/>
  <c r="AD974" i="1"/>
  <c r="AC974" i="1"/>
  <c r="AA974" i="1"/>
  <c r="Z974" i="1"/>
  <c r="Y974" i="1"/>
  <c r="W974" i="1"/>
  <c r="V974" i="1"/>
  <c r="AO973" i="1"/>
  <c r="AN973" i="1"/>
  <c r="AL973" i="1"/>
  <c r="AK973" i="1"/>
  <c r="AJ973" i="1"/>
  <c r="AH973" i="1"/>
  <c r="AG973" i="1"/>
  <c r="AE973" i="1"/>
  <c r="AD973" i="1"/>
  <c r="AC973" i="1"/>
  <c r="AA973" i="1"/>
  <c r="Z973" i="1"/>
  <c r="Y973" i="1"/>
  <c r="W973" i="1"/>
  <c r="V973" i="1"/>
  <c r="AO972" i="1"/>
  <c r="AN972" i="1"/>
  <c r="AL972" i="1"/>
  <c r="AK972" i="1"/>
  <c r="AJ972" i="1"/>
  <c r="AH972" i="1"/>
  <c r="AG972" i="1"/>
  <c r="AE972" i="1"/>
  <c r="AD972" i="1"/>
  <c r="AC972" i="1"/>
  <c r="AA972" i="1"/>
  <c r="Z972" i="1"/>
  <c r="Y972" i="1"/>
  <c r="W972" i="1"/>
  <c r="V972" i="1"/>
  <c r="AO971" i="1"/>
  <c r="AN971" i="1"/>
  <c r="AL971" i="1"/>
  <c r="AK971" i="1"/>
  <c r="AJ971" i="1"/>
  <c r="AH971" i="1"/>
  <c r="AG971" i="1"/>
  <c r="AE971" i="1"/>
  <c r="AD971" i="1"/>
  <c r="AC971" i="1"/>
  <c r="AA971" i="1"/>
  <c r="Z971" i="1"/>
  <c r="Y971" i="1"/>
  <c r="W971" i="1"/>
  <c r="V971" i="1"/>
  <c r="AN970" i="1"/>
  <c r="AL970" i="1"/>
  <c r="AK970" i="1"/>
  <c r="AJ970" i="1"/>
  <c r="AH970" i="1"/>
  <c r="AG970" i="1"/>
  <c r="AE970" i="1"/>
  <c r="AD970" i="1"/>
  <c r="Z970" i="1"/>
  <c r="Y970" i="1"/>
  <c r="W970" i="1"/>
  <c r="V970" i="1"/>
  <c r="AN969" i="1"/>
  <c r="AL969" i="1"/>
  <c r="AK969" i="1"/>
  <c r="AJ969" i="1"/>
  <c r="AH969" i="1"/>
  <c r="AG969" i="1"/>
  <c r="AE969" i="1"/>
  <c r="AD969" i="1"/>
  <c r="AC969" i="1"/>
  <c r="AA969" i="1"/>
  <c r="Z969" i="1"/>
  <c r="Y969" i="1"/>
  <c r="W969" i="1"/>
  <c r="V969" i="1"/>
  <c r="AN968" i="1"/>
  <c r="AL968" i="1"/>
  <c r="AK968" i="1"/>
  <c r="AJ968" i="1"/>
  <c r="AH968" i="1"/>
  <c r="AG968" i="1"/>
  <c r="AE968" i="1"/>
  <c r="AD968" i="1"/>
  <c r="AC968" i="1"/>
  <c r="AA968" i="1"/>
  <c r="Z968" i="1"/>
  <c r="Y968" i="1"/>
  <c r="W968" i="1"/>
  <c r="V968" i="1"/>
  <c r="AN967" i="1"/>
  <c r="AL967" i="1"/>
  <c r="AK967" i="1"/>
  <c r="AJ967" i="1"/>
  <c r="AH967" i="1"/>
  <c r="AG967" i="1"/>
  <c r="AE967" i="1"/>
  <c r="AD967" i="1"/>
  <c r="AC967" i="1"/>
  <c r="AA967" i="1"/>
  <c r="Z967" i="1"/>
  <c r="Y967" i="1"/>
  <c r="W967" i="1"/>
  <c r="V967" i="1"/>
  <c r="AN966" i="1"/>
  <c r="AL966" i="1"/>
  <c r="AK966" i="1"/>
  <c r="AJ966" i="1"/>
  <c r="AH966" i="1"/>
  <c r="AG966" i="1"/>
  <c r="AE966" i="1"/>
  <c r="AD966" i="1"/>
  <c r="AA966" i="1"/>
  <c r="Z966" i="1"/>
  <c r="Y966" i="1"/>
  <c r="W966" i="1"/>
  <c r="V966" i="1"/>
  <c r="AN965" i="1"/>
  <c r="AL965" i="1"/>
  <c r="AK965" i="1"/>
  <c r="AJ965" i="1"/>
  <c r="AH965" i="1"/>
  <c r="AG965" i="1"/>
  <c r="AE965" i="1"/>
  <c r="AD965" i="1"/>
  <c r="AC965" i="1"/>
  <c r="AA965" i="1"/>
  <c r="Z965" i="1"/>
  <c r="Y965" i="1"/>
  <c r="W965" i="1"/>
  <c r="V965" i="1"/>
  <c r="AN964" i="1"/>
  <c r="AL964" i="1"/>
  <c r="AK964" i="1"/>
  <c r="AJ964" i="1"/>
  <c r="AH964" i="1"/>
  <c r="AG964" i="1"/>
  <c r="AE964" i="1"/>
  <c r="AD964" i="1"/>
  <c r="AC964" i="1"/>
  <c r="AA964" i="1"/>
  <c r="Z964" i="1"/>
  <c r="Y964" i="1"/>
  <c r="W964" i="1"/>
  <c r="V964" i="1"/>
  <c r="AN963" i="1"/>
  <c r="AL963" i="1"/>
  <c r="AK963" i="1"/>
  <c r="AJ963" i="1"/>
  <c r="AH963" i="1"/>
  <c r="AG963" i="1"/>
  <c r="AE963" i="1"/>
  <c r="AD963" i="1"/>
  <c r="AC963" i="1"/>
  <c r="AA963" i="1"/>
  <c r="Z963" i="1"/>
  <c r="Y963" i="1"/>
  <c r="W963" i="1"/>
  <c r="V963" i="1"/>
  <c r="AN962" i="1"/>
  <c r="AL962" i="1"/>
  <c r="AK962" i="1"/>
  <c r="AJ962" i="1"/>
  <c r="AH962" i="1"/>
  <c r="AG962" i="1"/>
  <c r="AE962" i="1"/>
  <c r="AD962" i="1"/>
  <c r="AC962" i="1"/>
  <c r="AA962" i="1"/>
  <c r="Z962" i="1"/>
  <c r="Y962" i="1"/>
  <c r="W962" i="1"/>
  <c r="V962" i="1"/>
  <c r="AN961" i="1"/>
  <c r="AL961" i="1"/>
  <c r="AK961" i="1"/>
  <c r="AJ961" i="1"/>
  <c r="AH961" i="1"/>
  <c r="AG961" i="1"/>
  <c r="AE961" i="1"/>
  <c r="AD961" i="1"/>
  <c r="AC961" i="1"/>
  <c r="AA961" i="1"/>
  <c r="Z961" i="1"/>
  <c r="Y961" i="1"/>
  <c r="W961" i="1"/>
  <c r="V961" i="1"/>
  <c r="AN960" i="1"/>
  <c r="AL960" i="1"/>
  <c r="AK960" i="1"/>
  <c r="AJ960" i="1"/>
  <c r="AH960" i="1"/>
  <c r="AG960" i="1"/>
  <c r="AE960" i="1"/>
  <c r="AD960" i="1"/>
  <c r="AC960" i="1"/>
  <c r="AA960" i="1"/>
  <c r="Z960" i="1"/>
  <c r="Y960" i="1"/>
  <c r="W960" i="1"/>
  <c r="V960" i="1"/>
  <c r="AN959" i="1"/>
  <c r="AL959" i="1"/>
  <c r="AK959" i="1"/>
  <c r="AJ959" i="1"/>
  <c r="AH959" i="1"/>
  <c r="AG959" i="1"/>
  <c r="AE959" i="1"/>
  <c r="AD959" i="1"/>
  <c r="AC959" i="1"/>
  <c r="AA959" i="1"/>
  <c r="Z959" i="1"/>
  <c r="Y959" i="1"/>
  <c r="W959" i="1"/>
  <c r="V959" i="1"/>
  <c r="AN958" i="1"/>
  <c r="AL958" i="1"/>
  <c r="AK958" i="1"/>
  <c r="AJ958" i="1"/>
  <c r="AH958" i="1"/>
  <c r="AG958" i="1"/>
  <c r="AE958" i="1"/>
  <c r="AD958" i="1"/>
  <c r="AC958" i="1"/>
  <c r="AA958" i="1"/>
  <c r="Z958" i="1"/>
  <c r="Y958" i="1"/>
  <c r="W958" i="1"/>
  <c r="V958" i="1"/>
  <c r="AN957" i="1"/>
  <c r="AL957" i="1"/>
  <c r="AK957" i="1"/>
  <c r="AJ957" i="1"/>
  <c r="AH957" i="1"/>
  <c r="AG957" i="1"/>
  <c r="AE957" i="1"/>
  <c r="AD957" i="1"/>
  <c r="AC957" i="1"/>
  <c r="AA957" i="1"/>
  <c r="Z957" i="1"/>
  <c r="Y957" i="1"/>
  <c r="W957" i="1"/>
  <c r="V957" i="1"/>
  <c r="AN956" i="1"/>
  <c r="AL956" i="1"/>
  <c r="AK956" i="1"/>
  <c r="AJ956" i="1"/>
  <c r="AH956" i="1"/>
  <c r="AG956" i="1"/>
  <c r="AE956" i="1"/>
  <c r="AD956" i="1"/>
  <c r="AC956" i="1"/>
  <c r="AA956" i="1"/>
  <c r="Z956" i="1"/>
  <c r="Y956" i="1"/>
  <c r="W956" i="1"/>
  <c r="V956" i="1"/>
  <c r="AN955" i="1"/>
  <c r="AL955" i="1"/>
  <c r="AK955" i="1"/>
  <c r="AJ955" i="1"/>
  <c r="AH955" i="1"/>
  <c r="AG955" i="1"/>
  <c r="AE955" i="1"/>
  <c r="AD955" i="1"/>
  <c r="AC955" i="1"/>
  <c r="AA955" i="1"/>
  <c r="Z955" i="1"/>
  <c r="Y955" i="1"/>
  <c r="W955" i="1"/>
  <c r="V955" i="1"/>
  <c r="AO954" i="1"/>
  <c r="AN954" i="1"/>
  <c r="AL954" i="1"/>
  <c r="AK954" i="1"/>
  <c r="AJ954" i="1"/>
  <c r="AH954" i="1"/>
  <c r="AG954" i="1"/>
  <c r="AE954" i="1"/>
  <c r="AD954" i="1"/>
  <c r="AC954" i="1"/>
  <c r="AA954" i="1"/>
  <c r="Z954" i="1"/>
  <c r="Y954" i="1"/>
  <c r="W954" i="1"/>
  <c r="V954" i="1"/>
  <c r="AN953" i="1"/>
  <c r="AL953" i="1"/>
  <c r="AK953" i="1"/>
  <c r="AJ953" i="1"/>
  <c r="AH953" i="1"/>
  <c r="AG953" i="1"/>
  <c r="AE953" i="1"/>
  <c r="AD953" i="1"/>
  <c r="AC953" i="1"/>
  <c r="AA953" i="1"/>
  <c r="Z953" i="1"/>
  <c r="Y953" i="1"/>
  <c r="W953" i="1"/>
  <c r="V953" i="1"/>
  <c r="AN952" i="1"/>
  <c r="AL952" i="1"/>
  <c r="AK952" i="1"/>
  <c r="AJ952" i="1"/>
  <c r="AH952" i="1"/>
  <c r="AG952" i="1"/>
  <c r="AE952" i="1"/>
  <c r="AD952" i="1"/>
  <c r="Z952" i="1"/>
  <c r="Y952" i="1"/>
  <c r="W952" i="1"/>
  <c r="AO951" i="1"/>
  <c r="AN951" i="1"/>
  <c r="AL951" i="1"/>
  <c r="AK951" i="1"/>
  <c r="AJ951" i="1"/>
  <c r="AH951" i="1"/>
  <c r="AG951" i="1"/>
  <c r="AE951" i="1"/>
  <c r="AD951" i="1"/>
  <c r="Z951" i="1"/>
  <c r="Y951" i="1"/>
  <c r="AO950" i="1"/>
  <c r="AN950" i="1"/>
  <c r="AL950" i="1"/>
  <c r="AK950" i="1"/>
  <c r="AJ950" i="1"/>
  <c r="AH950" i="1"/>
  <c r="AG950" i="1"/>
  <c r="AE950" i="1"/>
  <c r="AD950" i="1"/>
  <c r="AC950" i="1"/>
  <c r="AA950" i="1"/>
  <c r="Z950" i="1"/>
  <c r="Y950" i="1"/>
  <c r="W950" i="1"/>
  <c r="V950" i="1"/>
  <c r="AN949" i="1"/>
  <c r="AL949" i="1"/>
  <c r="AK949" i="1"/>
  <c r="AJ949" i="1"/>
  <c r="AH949" i="1"/>
  <c r="AG949" i="1"/>
  <c r="AE949" i="1"/>
  <c r="AD949" i="1"/>
  <c r="AC949" i="1"/>
  <c r="AA949" i="1"/>
  <c r="Z949" i="1"/>
  <c r="Y949" i="1"/>
  <c r="W949" i="1"/>
  <c r="V949" i="1"/>
  <c r="AO948" i="1"/>
  <c r="AN948" i="1"/>
  <c r="AL948" i="1"/>
  <c r="AK948" i="1"/>
  <c r="AJ948" i="1"/>
  <c r="AH948" i="1"/>
  <c r="AG948" i="1"/>
  <c r="AE948" i="1"/>
  <c r="AD948" i="1"/>
  <c r="AC948" i="1"/>
  <c r="AA948" i="1"/>
  <c r="Z948" i="1"/>
  <c r="Y948" i="1"/>
  <c r="W948" i="1"/>
  <c r="V948" i="1"/>
  <c r="AN947" i="1"/>
  <c r="AL947" i="1"/>
  <c r="AK947" i="1"/>
  <c r="AJ947" i="1"/>
  <c r="AH947" i="1"/>
  <c r="AG947" i="1"/>
  <c r="AE947" i="1"/>
  <c r="AD947" i="1"/>
  <c r="AC947" i="1"/>
  <c r="AA947" i="1"/>
  <c r="Z947" i="1"/>
  <c r="Y947" i="1"/>
  <c r="W947" i="1"/>
  <c r="V947" i="1"/>
  <c r="AN946" i="1"/>
  <c r="AL946" i="1"/>
  <c r="AK946" i="1"/>
  <c r="AJ946" i="1"/>
  <c r="AH946" i="1"/>
  <c r="AG946" i="1"/>
  <c r="AE946" i="1"/>
  <c r="AD946" i="1"/>
  <c r="AA946" i="1"/>
  <c r="Z946" i="1"/>
  <c r="Y946" i="1"/>
  <c r="W946" i="1"/>
  <c r="V946" i="1"/>
  <c r="AN945" i="1"/>
  <c r="AL945" i="1"/>
  <c r="AK945" i="1"/>
  <c r="AJ945" i="1"/>
  <c r="AH945" i="1"/>
  <c r="AG945" i="1"/>
  <c r="AE945" i="1"/>
  <c r="AD945" i="1"/>
  <c r="AC945" i="1"/>
  <c r="AA945" i="1"/>
  <c r="Z945" i="1"/>
  <c r="Y945" i="1"/>
  <c r="W945" i="1"/>
  <c r="V945" i="1"/>
  <c r="AN944" i="1"/>
  <c r="AL944" i="1"/>
  <c r="AK944" i="1"/>
  <c r="AJ944" i="1"/>
  <c r="AH944" i="1"/>
  <c r="AG944" i="1"/>
  <c r="AD944" i="1"/>
  <c r="Z944" i="1"/>
  <c r="Y944" i="1"/>
  <c r="W944" i="1"/>
  <c r="AN943" i="1"/>
  <c r="AL943" i="1"/>
  <c r="AK943" i="1"/>
  <c r="AJ943" i="1"/>
  <c r="AH943" i="1"/>
  <c r="AG943" i="1"/>
  <c r="AE943" i="1"/>
  <c r="AD943" i="1"/>
  <c r="AC943" i="1"/>
  <c r="AA943" i="1"/>
  <c r="Z943" i="1"/>
  <c r="Y943" i="1"/>
  <c r="W943" i="1"/>
  <c r="V943" i="1"/>
  <c r="AN942" i="1"/>
  <c r="AL942" i="1"/>
  <c r="AK942" i="1"/>
  <c r="AJ942" i="1"/>
  <c r="AH942" i="1"/>
  <c r="AG942" i="1"/>
  <c r="AE942" i="1"/>
  <c r="AD942" i="1"/>
  <c r="AC942" i="1"/>
  <c r="AA942" i="1"/>
  <c r="Z942" i="1"/>
  <c r="Y942" i="1"/>
  <c r="W942" i="1"/>
  <c r="V942" i="1"/>
  <c r="AN941" i="1"/>
  <c r="AL941" i="1"/>
  <c r="AK941" i="1"/>
  <c r="AJ941" i="1"/>
  <c r="AH941" i="1"/>
  <c r="AG941" i="1"/>
  <c r="AE941" i="1"/>
  <c r="AD941" i="1"/>
  <c r="Z941" i="1"/>
  <c r="Y941" i="1"/>
  <c r="W941" i="1"/>
  <c r="AN940" i="1"/>
  <c r="AL940" i="1"/>
  <c r="AK940" i="1"/>
  <c r="AJ940" i="1"/>
  <c r="AH940" i="1"/>
  <c r="AG940" i="1"/>
  <c r="AE940" i="1"/>
  <c r="AD940" i="1"/>
  <c r="AC940" i="1"/>
  <c r="AA940" i="1"/>
  <c r="Z940" i="1"/>
  <c r="Y940" i="1"/>
  <c r="W940" i="1"/>
  <c r="V940" i="1"/>
  <c r="AN939" i="1"/>
  <c r="AL939" i="1"/>
  <c r="AK939" i="1"/>
  <c r="AJ939" i="1"/>
  <c r="AH939" i="1"/>
  <c r="AG939" i="1"/>
  <c r="AE939" i="1"/>
  <c r="AD939" i="1"/>
  <c r="AC939" i="1"/>
  <c r="AA939" i="1"/>
  <c r="Z939" i="1"/>
  <c r="Y939" i="1"/>
  <c r="W939" i="1"/>
  <c r="V939" i="1"/>
  <c r="AN938" i="1"/>
  <c r="AL938" i="1"/>
  <c r="AK938" i="1"/>
  <c r="AJ938" i="1"/>
  <c r="AH938" i="1"/>
  <c r="AG938" i="1"/>
  <c r="AE938" i="1"/>
  <c r="AD938" i="1"/>
  <c r="AC938" i="1"/>
  <c r="AA938" i="1"/>
  <c r="Z938" i="1"/>
  <c r="Y938" i="1"/>
  <c r="W938" i="1"/>
  <c r="V938" i="1"/>
  <c r="AO937" i="1"/>
  <c r="AN937" i="1"/>
  <c r="AL937" i="1"/>
  <c r="AK937" i="1"/>
  <c r="AJ937" i="1"/>
  <c r="AH937" i="1"/>
  <c r="AG937" i="1"/>
  <c r="AE937" i="1"/>
  <c r="AD937" i="1"/>
  <c r="AC937" i="1"/>
  <c r="AA937" i="1"/>
  <c r="Z937" i="1"/>
  <c r="Y937" i="1"/>
  <c r="W937" i="1"/>
  <c r="V937" i="1"/>
  <c r="AN936" i="1"/>
  <c r="AL936" i="1"/>
  <c r="AK936" i="1"/>
  <c r="AJ936" i="1"/>
  <c r="AH936" i="1"/>
  <c r="AG936" i="1"/>
  <c r="AE936" i="1"/>
  <c r="AD936" i="1"/>
  <c r="AC936" i="1"/>
  <c r="AA936" i="1"/>
  <c r="Z936" i="1"/>
  <c r="Y936" i="1"/>
  <c r="W936" i="1"/>
  <c r="V936" i="1"/>
  <c r="AN935" i="1"/>
  <c r="AL935" i="1"/>
  <c r="AK935" i="1"/>
  <c r="AJ935" i="1"/>
  <c r="AH935" i="1"/>
  <c r="AG935" i="1"/>
  <c r="AE935" i="1"/>
  <c r="AD935" i="1"/>
  <c r="AC935" i="1"/>
  <c r="AA935" i="1"/>
  <c r="Z935" i="1"/>
  <c r="Y935" i="1"/>
  <c r="W935" i="1"/>
  <c r="V935" i="1"/>
  <c r="AO934" i="1"/>
  <c r="AN934" i="1"/>
  <c r="AL934" i="1"/>
  <c r="AK934" i="1"/>
  <c r="AJ934" i="1"/>
  <c r="AH934" i="1"/>
  <c r="AG934" i="1"/>
  <c r="AE934" i="1"/>
  <c r="AD934" i="1"/>
  <c r="AC934" i="1"/>
  <c r="AA934" i="1"/>
  <c r="Z934" i="1"/>
  <c r="Y934" i="1"/>
  <c r="W934" i="1"/>
  <c r="V934" i="1"/>
  <c r="AN933" i="1"/>
  <c r="AL933" i="1"/>
  <c r="AK933" i="1"/>
  <c r="AJ933" i="1"/>
  <c r="AH933" i="1"/>
  <c r="AG933" i="1"/>
  <c r="AE933" i="1"/>
  <c r="AD933" i="1"/>
  <c r="AC933" i="1"/>
  <c r="AA933" i="1"/>
  <c r="Z933" i="1"/>
  <c r="Y933" i="1"/>
  <c r="W933" i="1"/>
  <c r="V933" i="1"/>
  <c r="AN932" i="1"/>
  <c r="AL932" i="1"/>
  <c r="AK932" i="1"/>
  <c r="AJ932" i="1"/>
  <c r="AH932" i="1"/>
  <c r="AG932" i="1"/>
  <c r="AE932" i="1"/>
  <c r="AD932" i="1"/>
  <c r="AC932" i="1"/>
  <c r="AA932" i="1"/>
  <c r="Z932" i="1"/>
  <c r="Y932" i="1"/>
  <c r="W932" i="1"/>
  <c r="V932" i="1"/>
  <c r="AN931" i="1"/>
  <c r="AL931" i="1"/>
  <c r="AK931" i="1"/>
  <c r="AJ931" i="1"/>
  <c r="AH931" i="1"/>
  <c r="AG931" i="1"/>
  <c r="AE931" i="1"/>
  <c r="AD931" i="1"/>
  <c r="AC931" i="1"/>
  <c r="AA931" i="1"/>
  <c r="Z931" i="1"/>
  <c r="Y931" i="1"/>
  <c r="W931" i="1"/>
  <c r="V931" i="1"/>
  <c r="AN930" i="1"/>
  <c r="AL930" i="1"/>
  <c r="AK930" i="1"/>
  <c r="AJ930" i="1"/>
  <c r="AH930" i="1"/>
  <c r="AG930" i="1"/>
  <c r="AE930" i="1"/>
  <c r="AD930" i="1"/>
  <c r="AC930" i="1"/>
  <c r="AA930" i="1"/>
  <c r="Z930" i="1"/>
  <c r="Y930" i="1"/>
  <c r="W930" i="1"/>
  <c r="V930" i="1"/>
  <c r="AN929" i="1"/>
  <c r="AL929" i="1"/>
  <c r="AK929" i="1"/>
  <c r="AJ929" i="1"/>
  <c r="AH929" i="1"/>
  <c r="AG929" i="1"/>
  <c r="AE929" i="1"/>
  <c r="AD929" i="1"/>
  <c r="AC929" i="1"/>
  <c r="AA929" i="1"/>
  <c r="Z929" i="1"/>
  <c r="Y929" i="1"/>
  <c r="W929" i="1"/>
  <c r="V929" i="1"/>
  <c r="AO928" i="1"/>
  <c r="AN928" i="1"/>
  <c r="AM928" i="1"/>
  <c r="AL928" i="1"/>
  <c r="AK928" i="1"/>
  <c r="AJ928" i="1"/>
  <c r="AH928" i="1"/>
  <c r="AG928" i="1"/>
  <c r="AE928" i="1"/>
  <c r="AC928" i="1"/>
  <c r="AA928" i="1"/>
  <c r="Z928" i="1"/>
  <c r="Y928" i="1"/>
  <c r="AO927" i="1"/>
  <c r="AN927" i="1"/>
  <c r="AL927" i="1"/>
  <c r="AK927" i="1"/>
  <c r="AJ927" i="1"/>
  <c r="AH927" i="1"/>
  <c r="AG927" i="1"/>
  <c r="AE927" i="1"/>
  <c r="AC927" i="1"/>
  <c r="AA927" i="1"/>
  <c r="Z927" i="1"/>
  <c r="Y927" i="1"/>
  <c r="W927" i="1"/>
  <c r="AO926" i="1"/>
  <c r="AN926" i="1"/>
  <c r="AM926" i="1"/>
  <c r="AL926" i="1"/>
  <c r="AK926" i="1"/>
  <c r="AJ926" i="1"/>
  <c r="AH926" i="1"/>
  <c r="AG926" i="1"/>
  <c r="AE926" i="1"/>
  <c r="AC926" i="1"/>
  <c r="AA926" i="1"/>
  <c r="Z926" i="1"/>
  <c r="Y926" i="1"/>
  <c r="AO925" i="1"/>
  <c r="AN925" i="1"/>
  <c r="AL925" i="1"/>
  <c r="AK925" i="1"/>
  <c r="AJ925" i="1"/>
  <c r="AH925" i="1"/>
  <c r="AG925" i="1"/>
  <c r="AE925" i="1"/>
  <c r="AC925" i="1"/>
  <c r="AA925" i="1"/>
  <c r="Z925" i="1"/>
  <c r="Y925" i="1"/>
  <c r="W925" i="1"/>
  <c r="AO924" i="1"/>
  <c r="AN924" i="1"/>
  <c r="AM924" i="1"/>
  <c r="AL924" i="1"/>
  <c r="AK924" i="1"/>
  <c r="AJ924" i="1"/>
  <c r="AH924" i="1"/>
  <c r="AG924" i="1"/>
  <c r="AE924" i="1"/>
  <c r="AC924" i="1"/>
  <c r="AA924" i="1"/>
  <c r="Z924" i="1"/>
  <c r="Y924" i="1"/>
  <c r="AO923" i="1"/>
  <c r="AN923" i="1"/>
  <c r="AL923" i="1"/>
  <c r="AK923" i="1"/>
  <c r="AJ923" i="1"/>
  <c r="AH923" i="1"/>
  <c r="AG923" i="1"/>
  <c r="AE923" i="1"/>
  <c r="AC923" i="1"/>
  <c r="AA923" i="1"/>
  <c r="Z923" i="1"/>
  <c r="Y923" i="1"/>
  <c r="W923" i="1"/>
  <c r="AO922" i="1"/>
  <c r="AN922" i="1"/>
  <c r="AM922" i="1"/>
  <c r="AL922" i="1"/>
  <c r="AK922" i="1"/>
  <c r="AJ922" i="1"/>
  <c r="AH922" i="1"/>
  <c r="AG922" i="1"/>
  <c r="AE922" i="1"/>
  <c r="AC922" i="1"/>
  <c r="AA922" i="1"/>
  <c r="Z922" i="1"/>
  <c r="Y922" i="1"/>
  <c r="AO921" i="1"/>
  <c r="AN921" i="1"/>
  <c r="AM921" i="1"/>
  <c r="AL921" i="1"/>
  <c r="AK921" i="1"/>
  <c r="AJ921" i="1"/>
  <c r="AH921" i="1"/>
  <c r="AG921" i="1"/>
  <c r="AE921" i="1"/>
  <c r="AC921" i="1"/>
  <c r="AA921" i="1"/>
  <c r="Z921" i="1"/>
  <c r="Y921" i="1"/>
  <c r="AO920" i="1"/>
  <c r="AN920" i="1"/>
  <c r="AM920" i="1"/>
  <c r="AL920" i="1"/>
  <c r="AK920" i="1"/>
  <c r="AJ920" i="1"/>
  <c r="AH920" i="1"/>
  <c r="AG920" i="1"/>
  <c r="AE920" i="1"/>
  <c r="AC920" i="1"/>
  <c r="AA920" i="1"/>
  <c r="Z920" i="1"/>
  <c r="Y920" i="1"/>
  <c r="AO919" i="1"/>
  <c r="AN919" i="1"/>
  <c r="AM919" i="1"/>
  <c r="AL919" i="1"/>
  <c r="AK919" i="1"/>
  <c r="AJ919" i="1"/>
  <c r="AH919" i="1"/>
  <c r="AG919" i="1"/>
  <c r="AE919" i="1"/>
  <c r="AC919" i="1"/>
  <c r="AA919" i="1"/>
  <c r="Z919" i="1"/>
  <c r="Y919" i="1"/>
  <c r="AO918" i="1"/>
  <c r="AN918" i="1"/>
  <c r="AM918" i="1"/>
  <c r="AL918" i="1"/>
  <c r="AK918" i="1"/>
  <c r="AJ918" i="1"/>
  <c r="AH918" i="1"/>
  <c r="AG918" i="1"/>
  <c r="AE918" i="1"/>
  <c r="AC918" i="1"/>
  <c r="AA918" i="1"/>
  <c r="Z918" i="1"/>
  <c r="Y918" i="1"/>
  <c r="AO917" i="1"/>
  <c r="AN917" i="1"/>
  <c r="AM917" i="1"/>
  <c r="AL917" i="1"/>
  <c r="AK917" i="1"/>
  <c r="AJ917" i="1"/>
  <c r="AH917" i="1"/>
  <c r="AG917" i="1"/>
  <c r="AE917" i="1"/>
  <c r="AC917" i="1"/>
  <c r="AA917" i="1"/>
  <c r="Z917" i="1"/>
  <c r="Y917" i="1"/>
  <c r="AO916" i="1"/>
  <c r="AN916" i="1"/>
  <c r="AM916" i="1"/>
  <c r="AL916" i="1"/>
  <c r="AK916" i="1"/>
  <c r="AJ916" i="1"/>
  <c r="AH916" i="1"/>
  <c r="AG916" i="1"/>
  <c r="AE916" i="1"/>
  <c r="AC916" i="1"/>
  <c r="AA916" i="1"/>
  <c r="Z916" i="1"/>
  <c r="Y916" i="1"/>
  <c r="AO915" i="1"/>
  <c r="AN915" i="1"/>
  <c r="AM915" i="1"/>
  <c r="AL915" i="1"/>
  <c r="AK915" i="1"/>
  <c r="AJ915" i="1"/>
  <c r="AH915" i="1"/>
  <c r="AG915" i="1"/>
  <c r="AE915" i="1"/>
  <c r="AC915" i="1"/>
  <c r="AA915" i="1"/>
  <c r="Z915" i="1"/>
  <c r="Y915" i="1"/>
  <c r="AO914" i="1"/>
  <c r="AN914" i="1"/>
  <c r="AM914" i="1"/>
  <c r="AL914" i="1"/>
  <c r="AK914" i="1"/>
  <c r="AJ914" i="1"/>
  <c r="AH914" i="1"/>
  <c r="AG914" i="1"/>
  <c r="AE914" i="1"/>
  <c r="AC914" i="1"/>
  <c r="AA914" i="1"/>
  <c r="Z914" i="1"/>
  <c r="Y914" i="1"/>
  <c r="AO913" i="1"/>
  <c r="AN913" i="1"/>
  <c r="AM913" i="1"/>
  <c r="AL913" i="1"/>
  <c r="AK913" i="1"/>
  <c r="AJ913" i="1"/>
  <c r="AH913" i="1"/>
  <c r="AG913" i="1"/>
  <c r="AE913" i="1"/>
  <c r="AC913" i="1"/>
  <c r="AA913" i="1"/>
  <c r="Z913" i="1"/>
  <c r="Y913" i="1"/>
  <c r="AO912" i="1"/>
  <c r="AN912" i="1"/>
  <c r="AM912" i="1"/>
  <c r="AL912" i="1"/>
  <c r="AK912" i="1"/>
  <c r="AJ912" i="1"/>
  <c r="AH912" i="1"/>
  <c r="AG912" i="1"/>
  <c r="AE912" i="1"/>
  <c r="AC912" i="1"/>
  <c r="AA912" i="1"/>
  <c r="Z912" i="1"/>
  <c r="Y912" i="1"/>
  <c r="AO911" i="1"/>
  <c r="AN911" i="1"/>
  <c r="AM911" i="1"/>
  <c r="AL911" i="1"/>
  <c r="AK911" i="1"/>
  <c r="AJ911" i="1"/>
  <c r="AH911" i="1"/>
  <c r="AG911" i="1"/>
  <c r="AE911" i="1"/>
  <c r="AC911" i="1"/>
  <c r="AA911" i="1"/>
  <c r="Z911" i="1"/>
  <c r="Y911" i="1"/>
  <c r="AO910" i="1"/>
  <c r="AN910" i="1"/>
  <c r="AM910" i="1"/>
  <c r="AL910" i="1"/>
  <c r="AK910" i="1"/>
  <c r="AJ910" i="1"/>
  <c r="AH910" i="1"/>
  <c r="AG910" i="1"/>
  <c r="AE910" i="1"/>
  <c r="AC910" i="1"/>
  <c r="AA910" i="1"/>
  <c r="Z910" i="1"/>
  <c r="Y910" i="1"/>
  <c r="AO909" i="1"/>
  <c r="AN909" i="1"/>
  <c r="AM909" i="1"/>
  <c r="AL909" i="1"/>
  <c r="AK909" i="1"/>
  <c r="AJ909" i="1"/>
  <c r="AH909" i="1"/>
  <c r="AG909" i="1"/>
  <c r="AE909" i="1"/>
  <c r="AC909" i="1"/>
  <c r="AA909" i="1"/>
  <c r="Z909" i="1"/>
  <c r="Y909" i="1"/>
  <c r="AO908" i="1"/>
  <c r="AN908" i="1"/>
  <c r="AL908" i="1"/>
  <c r="AK908" i="1"/>
  <c r="AJ908" i="1"/>
  <c r="AH908" i="1"/>
  <c r="AG908" i="1"/>
  <c r="AE908" i="1"/>
  <c r="AC908" i="1"/>
  <c r="AA908" i="1"/>
  <c r="Z908" i="1"/>
  <c r="Y908" i="1"/>
  <c r="W908" i="1"/>
  <c r="AO907" i="1"/>
  <c r="AN907" i="1"/>
  <c r="AL907" i="1"/>
  <c r="AK907" i="1"/>
  <c r="AJ907" i="1"/>
  <c r="AH907" i="1"/>
  <c r="AG907" i="1"/>
  <c r="AE907" i="1"/>
  <c r="AC907" i="1"/>
  <c r="AA907" i="1"/>
  <c r="Z907" i="1"/>
  <c r="Y907" i="1"/>
  <c r="W907" i="1"/>
  <c r="AO906" i="1"/>
  <c r="AN906" i="1"/>
  <c r="AM906" i="1"/>
  <c r="AL906" i="1"/>
  <c r="AK906" i="1"/>
  <c r="AJ906" i="1"/>
  <c r="AH906" i="1"/>
  <c r="AG906" i="1"/>
  <c r="AE906" i="1"/>
  <c r="AC906" i="1"/>
  <c r="AA906" i="1"/>
  <c r="Z906" i="1"/>
  <c r="Y906" i="1"/>
  <c r="AO905" i="1"/>
  <c r="AN905" i="1"/>
  <c r="AM905" i="1"/>
  <c r="AL905" i="1"/>
  <c r="AK905" i="1"/>
  <c r="AJ905" i="1"/>
  <c r="AH905" i="1"/>
  <c r="AG905" i="1"/>
  <c r="AE905" i="1"/>
  <c r="AC905" i="1"/>
  <c r="AA905" i="1"/>
  <c r="Z905" i="1"/>
  <c r="Y905" i="1"/>
  <c r="AO904" i="1"/>
  <c r="AN904" i="1"/>
  <c r="AM904" i="1"/>
  <c r="AL904" i="1"/>
  <c r="AK904" i="1"/>
  <c r="AJ904" i="1"/>
  <c r="AH904" i="1"/>
  <c r="AG904" i="1"/>
  <c r="AE904" i="1"/>
  <c r="AC904" i="1"/>
  <c r="AA904" i="1"/>
  <c r="Z904" i="1"/>
  <c r="Y904" i="1"/>
  <c r="AO903" i="1"/>
  <c r="AN903" i="1"/>
  <c r="AM903" i="1"/>
  <c r="AL903" i="1"/>
  <c r="AK903" i="1"/>
  <c r="AJ903" i="1"/>
  <c r="AH903" i="1"/>
  <c r="AG903" i="1"/>
  <c r="AE903" i="1"/>
  <c r="AC903" i="1"/>
  <c r="AA903" i="1"/>
  <c r="Z903" i="1"/>
  <c r="Y903" i="1"/>
  <c r="AO902" i="1"/>
  <c r="AN902" i="1"/>
  <c r="AM902" i="1"/>
  <c r="AL902" i="1"/>
  <c r="AK902" i="1"/>
  <c r="AJ902" i="1"/>
  <c r="AH902" i="1"/>
  <c r="AG902" i="1"/>
  <c r="AE902" i="1"/>
  <c r="AC902" i="1"/>
  <c r="AA902" i="1"/>
  <c r="Z902" i="1"/>
  <c r="Y902" i="1"/>
  <c r="AO901" i="1"/>
  <c r="AN901" i="1"/>
  <c r="AM901" i="1"/>
  <c r="AL901" i="1"/>
  <c r="AK901" i="1"/>
  <c r="AJ901" i="1"/>
  <c r="AH901" i="1"/>
  <c r="AG901" i="1"/>
  <c r="AE901" i="1"/>
  <c r="AC901" i="1"/>
  <c r="AA901" i="1"/>
  <c r="Z901" i="1"/>
  <c r="Y901" i="1"/>
  <c r="AO900" i="1"/>
  <c r="AN900" i="1"/>
  <c r="AM900" i="1"/>
  <c r="AL900" i="1"/>
  <c r="AK900" i="1"/>
  <c r="AJ900" i="1"/>
  <c r="AH900" i="1"/>
  <c r="AG900" i="1"/>
  <c r="AE900" i="1"/>
  <c r="AC900" i="1"/>
  <c r="AA900" i="1"/>
  <c r="Z900" i="1"/>
  <c r="Y900" i="1"/>
  <c r="AO899" i="1"/>
  <c r="AN899" i="1"/>
  <c r="AM899" i="1"/>
  <c r="AL899" i="1"/>
  <c r="AK899" i="1"/>
  <c r="AJ899" i="1"/>
  <c r="AH899" i="1"/>
  <c r="AG899" i="1"/>
  <c r="AE899" i="1"/>
  <c r="AC899" i="1"/>
  <c r="AA899" i="1"/>
  <c r="Z899" i="1"/>
  <c r="Y899" i="1"/>
  <c r="AO898" i="1"/>
  <c r="AN898" i="1"/>
  <c r="AM898" i="1"/>
  <c r="AL898" i="1"/>
  <c r="AK898" i="1"/>
  <c r="AJ898" i="1"/>
  <c r="AH898" i="1"/>
  <c r="AG898" i="1"/>
  <c r="AE898" i="1"/>
  <c r="AC898" i="1"/>
  <c r="AA898" i="1"/>
  <c r="Z898" i="1"/>
  <c r="Y898" i="1"/>
  <c r="AO897" i="1"/>
  <c r="AN897" i="1"/>
  <c r="AM897" i="1"/>
  <c r="AL897" i="1"/>
  <c r="AK897" i="1"/>
  <c r="AJ897" i="1"/>
  <c r="AH897" i="1"/>
  <c r="AG897" i="1"/>
  <c r="AE897" i="1"/>
  <c r="AC897" i="1"/>
  <c r="AA897" i="1"/>
  <c r="Z897" i="1"/>
  <c r="Y897" i="1"/>
  <c r="AO896" i="1"/>
  <c r="AN896" i="1"/>
  <c r="AM896" i="1"/>
  <c r="AL896" i="1"/>
  <c r="AK896" i="1"/>
  <c r="AJ896" i="1"/>
  <c r="AH896" i="1"/>
  <c r="AG896" i="1"/>
  <c r="AE896" i="1"/>
  <c r="AC896" i="1"/>
  <c r="AA896" i="1"/>
  <c r="Z896" i="1"/>
  <c r="Y896" i="1"/>
  <c r="AO895" i="1"/>
  <c r="AN895" i="1"/>
  <c r="AM895" i="1"/>
  <c r="AL895" i="1"/>
  <c r="AK895" i="1"/>
  <c r="AJ895" i="1"/>
  <c r="AH895" i="1"/>
  <c r="AG895" i="1"/>
  <c r="AE895" i="1"/>
  <c r="AC895" i="1"/>
  <c r="AA895" i="1"/>
  <c r="Z895" i="1"/>
  <c r="Y895" i="1"/>
  <c r="AO894" i="1"/>
  <c r="AN894" i="1"/>
  <c r="AM894" i="1"/>
  <c r="AL894" i="1"/>
  <c r="AK894" i="1"/>
  <c r="AJ894" i="1"/>
  <c r="AH894" i="1"/>
  <c r="AG894" i="1"/>
  <c r="AE894" i="1"/>
  <c r="AC894" i="1"/>
  <c r="AA894" i="1"/>
  <c r="Z894" i="1"/>
  <c r="Y894" i="1"/>
  <c r="AO893" i="1"/>
  <c r="AN893" i="1"/>
  <c r="AM893" i="1"/>
  <c r="AL893" i="1"/>
  <c r="AK893" i="1"/>
  <c r="AJ893" i="1"/>
  <c r="AH893" i="1"/>
  <c r="AG893" i="1"/>
  <c r="AE893" i="1"/>
  <c r="AC893" i="1"/>
  <c r="AA893" i="1"/>
  <c r="Z893" i="1"/>
  <c r="Y893" i="1"/>
  <c r="AO892" i="1"/>
  <c r="AN892" i="1"/>
  <c r="AM892" i="1"/>
  <c r="AL892" i="1"/>
  <c r="AK892" i="1"/>
  <c r="AJ892" i="1"/>
  <c r="AH892" i="1"/>
  <c r="AG892" i="1"/>
  <c r="AE892" i="1"/>
  <c r="AC892" i="1"/>
  <c r="AA892" i="1"/>
  <c r="Z892" i="1"/>
  <c r="Y892" i="1"/>
  <c r="AO891" i="1"/>
  <c r="AN891" i="1"/>
  <c r="AM891" i="1"/>
  <c r="AL891" i="1"/>
  <c r="AK891" i="1"/>
  <c r="AJ891" i="1"/>
  <c r="AH891" i="1"/>
  <c r="AG891" i="1"/>
  <c r="AE891" i="1"/>
  <c r="AC891" i="1"/>
  <c r="AA891" i="1"/>
  <c r="Z891" i="1"/>
  <c r="Y891" i="1"/>
  <c r="AO890" i="1"/>
  <c r="AN890" i="1"/>
  <c r="AM890" i="1"/>
  <c r="AL890" i="1"/>
  <c r="AK890" i="1"/>
  <c r="AJ890" i="1"/>
  <c r="AH890" i="1"/>
  <c r="AG890" i="1"/>
  <c r="AE890" i="1"/>
  <c r="AC890" i="1"/>
  <c r="AA890" i="1"/>
  <c r="Z890" i="1"/>
  <c r="Y890" i="1"/>
  <c r="AO889" i="1"/>
  <c r="AN889" i="1"/>
  <c r="AM889" i="1"/>
  <c r="AL889" i="1"/>
  <c r="AK889" i="1"/>
  <c r="AJ889" i="1"/>
  <c r="AH889" i="1"/>
  <c r="AG889" i="1"/>
  <c r="AE889" i="1"/>
  <c r="AC889" i="1"/>
  <c r="AA889" i="1"/>
  <c r="Z889" i="1"/>
  <c r="Y889" i="1"/>
  <c r="AO888" i="1"/>
  <c r="AN888" i="1"/>
  <c r="AM888" i="1"/>
  <c r="AL888" i="1"/>
  <c r="AK888" i="1"/>
  <c r="AJ888" i="1"/>
  <c r="AH888" i="1"/>
  <c r="AG888" i="1"/>
  <c r="AE888" i="1"/>
  <c r="AC888" i="1"/>
  <c r="AA888" i="1"/>
  <c r="Z888" i="1"/>
  <c r="Y888" i="1"/>
  <c r="AO887" i="1"/>
  <c r="AN887" i="1"/>
  <c r="AM887" i="1"/>
  <c r="AL887" i="1"/>
  <c r="AK887" i="1"/>
  <c r="AJ887" i="1"/>
  <c r="AH887" i="1"/>
  <c r="AG887" i="1"/>
  <c r="AE887" i="1"/>
  <c r="AC887" i="1"/>
  <c r="AA887" i="1"/>
  <c r="Z887" i="1"/>
  <c r="Y887" i="1"/>
  <c r="AO886" i="1"/>
  <c r="AN886" i="1"/>
  <c r="AM886" i="1"/>
  <c r="AL886" i="1"/>
  <c r="AK886" i="1"/>
  <c r="AJ886" i="1"/>
  <c r="AH886" i="1"/>
  <c r="AG886" i="1"/>
  <c r="AE886" i="1"/>
  <c r="AC886" i="1"/>
  <c r="AA886" i="1"/>
  <c r="Z886" i="1"/>
  <c r="Y886" i="1"/>
  <c r="AO885" i="1"/>
  <c r="AN885" i="1"/>
  <c r="AM885" i="1"/>
  <c r="AL885" i="1"/>
  <c r="AK885" i="1"/>
  <c r="AJ885" i="1"/>
  <c r="AH885" i="1"/>
  <c r="AG885" i="1"/>
  <c r="AE885" i="1"/>
  <c r="AC885" i="1"/>
  <c r="AA885" i="1"/>
  <c r="Z885" i="1"/>
  <c r="Y885" i="1"/>
  <c r="AO884" i="1"/>
  <c r="AN884" i="1"/>
  <c r="AM884" i="1"/>
  <c r="AL884" i="1"/>
  <c r="AK884" i="1"/>
  <c r="AJ884" i="1"/>
  <c r="AH884" i="1"/>
  <c r="AG884" i="1"/>
  <c r="AE884" i="1"/>
  <c r="AC884" i="1"/>
  <c r="AA884" i="1"/>
  <c r="Z884" i="1"/>
  <c r="Y884" i="1"/>
  <c r="AO883" i="1"/>
  <c r="AN883" i="1"/>
  <c r="AM883" i="1"/>
  <c r="AL883" i="1"/>
  <c r="AK883" i="1"/>
  <c r="AJ883" i="1"/>
  <c r="AH883" i="1"/>
  <c r="AG883" i="1"/>
  <c r="AE883" i="1"/>
  <c r="AC883" i="1"/>
  <c r="AA883" i="1"/>
  <c r="Z883" i="1"/>
  <c r="Y883" i="1"/>
  <c r="AO882" i="1"/>
  <c r="AN882" i="1"/>
  <c r="AM882" i="1"/>
  <c r="AL882" i="1"/>
  <c r="AK882" i="1"/>
  <c r="AJ882" i="1"/>
  <c r="AH882" i="1"/>
  <c r="AG882" i="1"/>
  <c r="AE882" i="1"/>
  <c r="AC882" i="1"/>
  <c r="AA882" i="1"/>
  <c r="Z882" i="1"/>
  <c r="Y882" i="1"/>
  <c r="AO881" i="1"/>
  <c r="AN881" i="1"/>
  <c r="AM881" i="1"/>
  <c r="AL881" i="1"/>
  <c r="AK881" i="1"/>
  <c r="AJ881" i="1"/>
  <c r="AH881" i="1"/>
  <c r="AG881" i="1"/>
  <c r="AE881" i="1"/>
  <c r="AC881" i="1"/>
  <c r="AA881" i="1"/>
  <c r="Z881" i="1"/>
  <c r="Y881" i="1"/>
  <c r="AO880" i="1"/>
  <c r="AN880" i="1"/>
  <c r="AM880" i="1"/>
  <c r="AL880" i="1"/>
  <c r="AK880" i="1"/>
  <c r="AJ880" i="1"/>
  <c r="AH880" i="1"/>
  <c r="AG880" i="1"/>
  <c r="AE880" i="1"/>
  <c r="AC880" i="1"/>
  <c r="AA880" i="1"/>
  <c r="Z880" i="1"/>
  <c r="Y880" i="1"/>
  <c r="AO879" i="1"/>
  <c r="AN879" i="1"/>
  <c r="AM879" i="1"/>
  <c r="AL879" i="1"/>
  <c r="AK879" i="1"/>
  <c r="AJ879" i="1"/>
  <c r="AH879" i="1"/>
  <c r="AG879" i="1"/>
  <c r="AE879" i="1"/>
  <c r="AC879" i="1"/>
  <c r="AA879" i="1"/>
  <c r="Z879" i="1"/>
  <c r="Y879" i="1"/>
  <c r="AO878" i="1"/>
  <c r="AN878" i="1"/>
  <c r="AM878" i="1"/>
  <c r="AL878" i="1"/>
  <c r="AK878" i="1"/>
  <c r="AJ878" i="1"/>
  <c r="AH878" i="1"/>
  <c r="AG878" i="1"/>
  <c r="AE878" i="1"/>
  <c r="AC878" i="1"/>
  <c r="AA878" i="1"/>
  <c r="Z878" i="1"/>
  <c r="Y878" i="1"/>
  <c r="AO877" i="1"/>
  <c r="AN877" i="1"/>
  <c r="AM877" i="1"/>
  <c r="AL877" i="1"/>
  <c r="AK877" i="1"/>
  <c r="AJ877" i="1"/>
  <c r="AH877" i="1"/>
  <c r="AG877" i="1"/>
  <c r="AE877" i="1"/>
  <c r="AC877" i="1"/>
  <c r="AA877" i="1"/>
  <c r="Z877" i="1"/>
  <c r="Y877" i="1"/>
  <c r="AO876" i="1"/>
  <c r="AN876" i="1"/>
  <c r="AM876" i="1"/>
  <c r="AL876" i="1"/>
  <c r="AK876" i="1"/>
  <c r="AJ876" i="1"/>
  <c r="AH876" i="1"/>
  <c r="AG876" i="1"/>
  <c r="AE876" i="1"/>
  <c r="AC876" i="1"/>
  <c r="AA876" i="1"/>
  <c r="Z876" i="1"/>
  <c r="Y876" i="1"/>
  <c r="AO875" i="1"/>
  <c r="AN875" i="1"/>
  <c r="AM875" i="1"/>
  <c r="AL875" i="1"/>
  <c r="AK875" i="1"/>
  <c r="AJ875" i="1"/>
  <c r="AH875" i="1"/>
  <c r="AG875" i="1"/>
  <c r="AE875" i="1"/>
  <c r="AC875" i="1"/>
  <c r="AA875" i="1"/>
  <c r="Z875" i="1"/>
  <c r="Y875" i="1"/>
  <c r="AO874" i="1"/>
  <c r="AN874" i="1"/>
  <c r="AM874" i="1"/>
  <c r="AL874" i="1"/>
  <c r="AK874" i="1"/>
  <c r="AJ874" i="1"/>
  <c r="AH874" i="1"/>
  <c r="AG874" i="1"/>
  <c r="AE874" i="1"/>
  <c r="AC874" i="1"/>
  <c r="AA874" i="1"/>
  <c r="Z874" i="1"/>
  <c r="Y874" i="1"/>
  <c r="AO873" i="1"/>
  <c r="AN873" i="1"/>
  <c r="AM873" i="1"/>
  <c r="AL873" i="1"/>
  <c r="AK873" i="1"/>
  <c r="AJ873" i="1"/>
  <c r="AH873" i="1"/>
  <c r="AG873" i="1"/>
  <c r="AE873" i="1"/>
  <c r="AC873" i="1"/>
  <c r="AA873" i="1"/>
  <c r="Z873" i="1"/>
  <c r="Y873" i="1"/>
  <c r="AO872" i="1"/>
  <c r="AN872" i="1"/>
  <c r="AM872" i="1"/>
  <c r="AL872" i="1"/>
  <c r="AK872" i="1"/>
  <c r="AJ872" i="1"/>
  <c r="AH872" i="1"/>
  <c r="AG872" i="1"/>
  <c r="AE872" i="1"/>
  <c r="AC872" i="1"/>
  <c r="AA872" i="1"/>
  <c r="Z872" i="1"/>
  <c r="Y872" i="1"/>
  <c r="AO871" i="1"/>
  <c r="AN871" i="1"/>
  <c r="AM871" i="1"/>
  <c r="AL871" i="1"/>
  <c r="AK871" i="1"/>
  <c r="AJ871" i="1"/>
  <c r="AH871" i="1"/>
  <c r="AG871" i="1"/>
  <c r="AE871" i="1"/>
  <c r="AC871" i="1"/>
  <c r="AA871" i="1"/>
  <c r="Z871" i="1"/>
  <c r="Y871" i="1"/>
  <c r="AO870" i="1"/>
  <c r="AN870" i="1"/>
  <c r="AM870" i="1"/>
  <c r="AL870" i="1"/>
  <c r="AK870" i="1"/>
  <c r="AJ870" i="1"/>
  <c r="AH870" i="1"/>
  <c r="AG870" i="1"/>
  <c r="AE870" i="1"/>
  <c r="AC870" i="1"/>
  <c r="AA870" i="1"/>
  <c r="Z870" i="1"/>
  <c r="Y870" i="1"/>
  <c r="AO869" i="1"/>
  <c r="AN869" i="1"/>
  <c r="AM869" i="1"/>
  <c r="AL869" i="1"/>
  <c r="AK869" i="1"/>
  <c r="AJ869" i="1"/>
  <c r="AH869" i="1"/>
  <c r="AG869" i="1"/>
  <c r="AE869" i="1"/>
  <c r="AC869" i="1"/>
  <c r="AA869" i="1"/>
  <c r="Z869" i="1"/>
  <c r="Y869" i="1"/>
  <c r="AO868" i="1"/>
  <c r="AN868" i="1"/>
  <c r="AM868" i="1"/>
  <c r="AL868" i="1"/>
  <c r="AK868" i="1"/>
  <c r="AJ868" i="1"/>
  <c r="AH868" i="1"/>
  <c r="AG868" i="1"/>
  <c r="AE868" i="1"/>
  <c r="AC868" i="1"/>
  <c r="AA868" i="1"/>
  <c r="Z868" i="1"/>
  <c r="Y868" i="1"/>
  <c r="AN867" i="1"/>
  <c r="AL867" i="1"/>
  <c r="AK867" i="1"/>
  <c r="AJ867" i="1"/>
  <c r="AH867" i="1"/>
  <c r="AG867" i="1"/>
  <c r="AE867" i="1"/>
  <c r="AD867" i="1"/>
  <c r="Z867" i="1"/>
  <c r="Y867" i="1"/>
  <c r="W867" i="1"/>
  <c r="AN866" i="1"/>
  <c r="AL866" i="1"/>
  <c r="AK866" i="1"/>
  <c r="AJ866" i="1"/>
  <c r="AH866" i="1"/>
  <c r="AG866" i="1"/>
  <c r="AE866" i="1"/>
  <c r="AD866" i="1"/>
  <c r="Z866" i="1"/>
  <c r="Y866" i="1"/>
  <c r="W866" i="1"/>
  <c r="AN865" i="1"/>
  <c r="AL865" i="1"/>
  <c r="AK865" i="1"/>
  <c r="AJ865" i="1"/>
  <c r="AH865" i="1"/>
  <c r="AG865" i="1"/>
  <c r="AE865" i="1"/>
  <c r="AD865" i="1"/>
  <c r="AC865" i="1"/>
  <c r="AA865" i="1"/>
  <c r="Z865" i="1"/>
  <c r="Y865" i="1"/>
  <c r="W865" i="1"/>
  <c r="V865" i="1"/>
  <c r="AO864" i="1"/>
  <c r="AN864" i="1"/>
  <c r="AL864" i="1"/>
  <c r="AK864" i="1"/>
  <c r="AJ864" i="1"/>
  <c r="AH864" i="1"/>
  <c r="AG864" i="1"/>
  <c r="AE864" i="1"/>
  <c r="AD864" i="1"/>
  <c r="AC864" i="1"/>
  <c r="AA864" i="1"/>
  <c r="Z864" i="1"/>
  <c r="Y864" i="1"/>
  <c r="V864" i="1"/>
  <c r="AN863" i="1"/>
  <c r="AL863" i="1"/>
  <c r="AK863" i="1"/>
  <c r="AJ863" i="1"/>
  <c r="AH863" i="1"/>
  <c r="AG863" i="1"/>
  <c r="AE863" i="1"/>
  <c r="AD863" i="1"/>
  <c r="AC863" i="1"/>
  <c r="AA863" i="1"/>
  <c r="Z863" i="1"/>
  <c r="Y863" i="1"/>
  <c r="W863" i="1"/>
  <c r="V863" i="1"/>
  <c r="AO862" i="1"/>
  <c r="AN862" i="1"/>
  <c r="AL862" i="1"/>
  <c r="AK862" i="1"/>
  <c r="AJ862" i="1"/>
  <c r="AH862" i="1"/>
  <c r="AG862" i="1"/>
  <c r="AE862" i="1"/>
  <c r="AD862" i="1"/>
  <c r="AC862" i="1"/>
  <c r="AA862" i="1"/>
  <c r="Z862" i="1"/>
  <c r="Y862" i="1"/>
  <c r="V862" i="1"/>
  <c r="AO861" i="1"/>
  <c r="AN861" i="1"/>
  <c r="AL861" i="1"/>
  <c r="AK861" i="1"/>
  <c r="AJ861" i="1"/>
  <c r="AH861" i="1"/>
  <c r="AG861" i="1"/>
  <c r="AE861" i="1"/>
  <c r="AD861" i="1"/>
  <c r="AC861" i="1"/>
  <c r="AA861" i="1"/>
  <c r="Z861" i="1"/>
  <c r="Y861" i="1"/>
  <c r="V861" i="1"/>
  <c r="AO860" i="1"/>
  <c r="AN860" i="1"/>
  <c r="AL860" i="1"/>
  <c r="AK860" i="1"/>
  <c r="AJ860" i="1"/>
  <c r="AH860" i="1"/>
  <c r="AG860" i="1"/>
  <c r="AE860" i="1"/>
  <c r="AD860" i="1"/>
  <c r="AC860" i="1"/>
  <c r="AA860" i="1"/>
  <c r="Z860" i="1"/>
  <c r="Y860" i="1"/>
  <c r="V860" i="1"/>
  <c r="AN859" i="1"/>
  <c r="AL859" i="1"/>
  <c r="AK859" i="1"/>
  <c r="AJ859" i="1"/>
  <c r="AH859" i="1"/>
  <c r="AG859" i="1"/>
  <c r="AE859" i="1"/>
  <c r="AD859" i="1"/>
  <c r="AC859" i="1"/>
  <c r="AA859" i="1"/>
  <c r="Z859" i="1"/>
  <c r="Y859" i="1"/>
  <c r="W859" i="1"/>
  <c r="V859" i="1"/>
  <c r="AO858" i="1"/>
  <c r="AN858" i="1"/>
  <c r="AL858" i="1"/>
  <c r="AK858" i="1"/>
  <c r="AJ858" i="1"/>
  <c r="AH858" i="1"/>
  <c r="AG858" i="1"/>
  <c r="AE858" i="1"/>
  <c r="AD858" i="1"/>
  <c r="AC858" i="1"/>
  <c r="AA858" i="1"/>
  <c r="Z858" i="1"/>
  <c r="Y858" i="1"/>
  <c r="V858" i="1"/>
  <c r="AN857" i="1"/>
  <c r="AL857" i="1"/>
  <c r="AK857" i="1"/>
  <c r="AJ857" i="1"/>
  <c r="AH857" i="1"/>
  <c r="AG857" i="1"/>
  <c r="AE857" i="1"/>
  <c r="AD857" i="1"/>
  <c r="Z857" i="1"/>
  <c r="Y857" i="1"/>
  <c r="W857" i="1"/>
  <c r="AN856" i="1"/>
  <c r="AL856" i="1"/>
  <c r="AK856" i="1"/>
  <c r="AJ856" i="1"/>
  <c r="AH856" i="1"/>
  <c r="AG856" i="1"/>
  <c r="AE856" i="1"/>
  <c r="AD856" i="1"/>
  <c r="AC856" i="1"/>
  <c r="AA856" i="1"/>
  <c r="Z856" i="1"/>
  <c r="Y856" i="1"/>
  <c r="W856" i="1"/>
  <c r="V856" i="1"/>
  <c r="AN855" i="1"/>
  <c r="AL855" i="1"/>
  <c r="AK855" i="1"/>
  <c r="AJ855" i="1"/>
  <c r="AH855" i="1"/>
  <c r="AG855" i="1"/>
  <c r="AE855" i="1"/>
  <c r="AD855" i="1"/>
  <c r="AC855" i="1"/>
  <c r="AA855" i="1"/>
  <c r="Z855" i="1"/>
  <c r="Y855" i="1"/>
  <c r="W855" i="1"/>
  <c r="V855" i="1"/>
  <c r="AN854" i="1"/>
  <c r="AL854" i="1"/>
  <c r="AK854" i="1"/>
  <c r="AJ854" i="1"/>
  <c r="AH854" i="1"/>
  <c r="AG854" i="1"/>
  <c r="AE854" i="1"/>
  <c r="AD854" i="1"/>
  <c r="AC854" i="1"/>
  <c r="AA854" i="1"/>
  <c r="Z854" i="1"/>
  <c r="Y854" i="1"/>
  <c r="W854" i="1"/>
  <c r="V854" i="1"/>
  <c r="AN853" i="1"/>
  <c r="AL853" i="1"/>
  <c r="AK853" i="1"/>
  <c r="AJ853" i="1"/>
  <c r="AH853" i="1"/>
  <c r="AG853" i="1"/>
  <c r="AE853" i="1"/>
  <c r="AD853" i="1"/>
  <c r="AC853" i="1"/>
  <c r="AA853" i="1"/>
  <c r="Z853" i="1"/>
  <c r="Y853" i="1"/>
  <c r="W853" i="1"/>
  <c r="V853" i="1"/>
  <c r="AN852" i="1"/>
  <c r="AL852" i="1"/>
  <c r="AK852" i="1"/>
  <c r="AJ852" i="1"/>
  <c r="AH852" i="1"/>
  <c r="AG852" i="1"/>
  <c r="AE852" i="1"/>
  <c r="AD852" i="1"/>
  <c r="AC852" i="1"/>
  <c r="AA852" i="1"/>
  <c r="Z852" i="1"/>
  <c r="Y852" i="1"/>
  <c r="W852" i="1"/>
  <c r="V852" i="1"/>
  <c r="AN851" i="1"/>
  <c r="AL851" i="1"/>
  <c r="AK851" i="1"/>
  <c r="AJ851" i="1"/>
  <c r="AH851" i="1"/>
  <c r="AG851" i="1"/>
  <c r="AE851" i="1"/>
  <c r="AD851" i="1"/>
  <c r="AC851" i="1"/>
  <c r="AA851" i="1"/>
  <c r="Z851" i="1"/>
  <c r="Y851" i="1"/>
  <c r="W851" i="1"/>
  <c r="V851" i="1"/>
  <c r="AN850" i="1"/>
  <c r="AL850" i="1"/>
  <c r="AK850" i="1"/>
  <c r="AJ850" i="1"/>
  <c r="AH850" i="1"/>
  <c r="AG850" i="1"/>
  <c r="AE850" i="1"/>
  <c r="AD850" i="1"/>
  <c r="AC850" i="1"/>
  <c r="AA850" i="1"/>
  <c r="Z850" i="1"/>
  <c r="Y850" i="1"/>
  <c r="V850" i="1"/>
  <c r="AO849" i="1"/>
  <c r="AN849" i="1"/>
  <c r="AL849" i="1"/>
  <c r="AK849" i="1"/>
  <c r="AJ849" i="1"/>
  <c r="AH849" i="1"/>
  <c r="AG849" i="1"/>
  <c r="AE849" i="1"/>
  <c r="AC849" i="1"/>
  <c r="AA849" i="1"/>
  <c r="Z849" i="1"/>
  <c r="Y849" i="1"/>
  <c r="V849" i="1"/>
  <c r="AO848" i="1"/>
  <c r="AN848" i="1"/>
  <c r="AL848" i="1"/>
  <c r="AK848" i="1"/>
  <c r="AJ848" i="1"/>
  <c r="AH848" i="1"/>
  <c r="AG848" i="1"/>
  <c r="AE848" i="1"/>
  <c r="AC848" i="1"/>
  <c r="AA848" i="1"/>
  <c r="Z848" i="1"/>
  <c r="Y848" i="1"/>
  <c r="V848" i="1"/>
  <c r="AO847" i="1"/>
  <c r="AN847" i="1"/>
  <c r="AL847" i="1"/>
  <c r="AK847" i="1"/>
  <c r="AJ847" i="1"/>
  <c r="AH847" i="1"/>
  <c r="AG847" i="1"/>
  <c r="AE847" i="1"/>
  <c r="AC847" i="1"/>
  <c r="AA847" i="1"/>
  <c r="Z847" i="1"/>
  <c r="Y847" i="1"/>
  <c r="V847" i="1"/>
  <c r="AO846" i="1"/>
  <c r="AN846" i="1"/>
  <c r="AL846" i="1"/>
  <c r="AK846" i="1"/>
  <c r="AJ846" i="1"/>
  <c r="AH846" i="1"/>
  <c r="AG846" i="1"/>
  <c r="AE846" i="1"/>
  <c r="AD846" i="1"/>
  <c r="Z846" i="1"/>
  <c r="Y846" i="1"/>
  <c r="AO845" i="1"/>
  <c r="AN845" i="1"/>
  <c r="AL845" i="1"/>
  <c r="AK845" i="1"/>
  <c r="AJ845" i="1"/>
  <c r="AH845" i="1"/>
  <c r="AG845" i="1"/>
  <c r="AE845" i="1"/>
  <c r="AD845" i="1"/>
  <c r="Z845" i="1"/>
  <c r="Y845" i="1"/>
  <c r="AO844" i="1"/>
  <c r="AN844" i="1"/>
  <c r="AL844" i="1"/>
  <c r="AK844" i="1"/>
  <c r="AJ844" i="1"/>
  <c r="AH844" i="1"/>
  <c r="AG844" i="1"/>
  <c r="AE844" i="1"/>
  <c r="AD844" i="1"/>
  <c r="Z844" i="1"/>
  <c r="Y844" i="1"/>
  <c r="AN843" i="1"/>
  <c r="AL843" i="1"/>
  <c r="AK843" i="1"/>
  <c r="AJ843" i="1"/>
  <c r="AH843" i="1"/>
  <c r="AG843" i="1"/>
  <c r="AE843" i="1"/>
  <c r="AD843" i="1"/>
  <c r="Z843" i="1"/>
  <c r="Y843" i="1"/>
  <c r="AN842" i="1"/>
  <c r="AL842" i="1"/>
  <c r="AK842" i="1"/>
  <c r="AJ842" i="1"/>
  <c r="AH842" i="1"/>
  <c r="AG842" i="1"/>
  <c r="AE842" i="1"/>
  <c r="AD842" i="1"/>
  <c r="Z842" i="1"/>
  <c r="Y842" i="1"/>
  <c r="W842" i="1"/>
  <c r="AO841" i="1"/>
  <c r="AN841" i="1"/>
  <c r="AL841" i="1"/>
  <c r="AK841" i="1"/>
  <c r="AJ841" i="1"/>
  <c r="AH841" i="1"/>
  <c r="AG841" i="1"/>
  <c r="AE841" i="1"/>
  <c r="AD841" i="1"/>
  <c r="Z841" i="1"/>
  <c r="Y841" i="1"/>
  <c r="AN840" i="1"/>
  <c r="AL840" i="1"/>
  <c r="AK840" i="1"/>
  <c r="AJ840" i="1"/>
  <c r="AH840" i="1"/>
  <c r="AG840" i="1"/>
  <c r="AE840" i="1"/>
  <c r="AD840" i="1"/>
  <c r="AC840" i="1"/>
  <c r="AA840" i="1"/>
  <c r="Z840" i="1"/>
  <c r="Y840" i="1"/>
  <c r="W840" i="1"/>
  <c r="V840" i="1"/>
  <c r="AO839" i="1"/>
  <c r="AN839" i="1"/>
  <c r="AL839" i="1"/>
  <c r="AK839" i="1"/>
  <c r="AJ839" i="1"/>
  <c r="AH839" i="1"/>
  <c r="AG839" i="1"/>
  <c r="AE839" i="1"/>
  <c r="AD839" i="1"/>
  <c r="AC839" i="1"/>
  <c r="AA839" i="1"/>
  <c r="Z839" i="1"/>
  <c r="Y839" i="1"/>
  <c r="V839" i="1"/>
  <c r="AN838" i="1"/>
  <c r="AL838" i="1"/>
  <c r="AK838" i="1"/>
  <c r="AJ838" i="1"/>
  <c r="AH838" i="1"/>
  <c r="AG838" i="1"/>
  <c r="AE838" i="1"/>
  <c r="AD838" i="1"/>
  <c r="AC838" i="1"/>
  <c r="AA838" i="1"/>
  <c r="Z838" i="1"/>
  <c r="Y838" i="1"/>
  <c r="W838" i="1"/>
  <c r="V838" i="1"/>
  <c r="AN837" i="1"/>
  <c r="AL837" i="1"/>
  <c r="AK837" i="1"/>
  <c r="AJ837" i="1"/>
  <c r="AH837" i="1"/>
  <c r="AG837" i="1"/>
  <c r="AE837" i="1"/>
  <c r="AD837" i="1"/>
  <c r="AC837" i="1"/>
  <c r="Z837" i="1"/>
  <c r="Y837" i="1"/>
  <c r="W837" i="1"/>
  <c r="V837" i="1"/>
  <c r="AO836" i="1"/>
  <c r="AN836" i="1"/>
  <c r="AL836" i="1"/>
  <c r="AK836" i="1"/>
  <c r="AJ836" i="1"/>
  <c r="AH836" i="1"/>
  <c r="AG836" i="1"/>
  <c r="AE836" i="1"/>
  <c r="AD836" i="1"/>
  <c r="AC836" i="1"/>
  <c r="Z836" i="1"/>
  <c r="Y836" i="1"/>
  <c r="V836" i="1"/>
  <c r="AN835" i="1"/>
  <c r="AL835" i="1"/>
  <c r="AK835" i="1"/>
  <c r="AJ835" i="1"/>
  <c r="AH835" i="1"/>
  <c r="AG835" i="1"/>
  <c r="AE835" i="1"/>
  <c r="AD835" i="1"/>
  <c r="Z835" i="1"/>
  <c r="Y835" i="1"/>
  <c r="W835" i="1"/>
  <c r="AO834" i="1"/>
  <c r="AN834" i="1"/>
  <c r="AL834" i="1"/>
  <c r="AK834" i="1"/>
  <c r="AJ834" i="1"/>
  <c r="AH834" i="1"/>
  <c r="AG834" i="1"/>
  <c r="AE834" i="1"/>
  <c r="AD834" i="1"/>
  <c r="AC834" i="1"/>
  <c r="AA834" i="1"/>
  <c r="Z834" i="1"/>
  <c r="Y834" i="1"/>
  <c r="V834" i="1"/>
  <c r="AN833" i="1"/>
  <c r="AL833" i="1"/>
  <c r="AK833" i="1"/>
  <c r="AJ833" i="1"/>
  <c r="AH833" i="1"/>
  <c r="AG833" i="1"/>
  <c r="AE833" i="1"/>
  <c r="AD833" i="1"/>
  <c r="AA833" i="1"/>
  <c r="Z833" i="1"/>
  <c r="Y833" i="1"/>
  <c r="W833" i="1"/>
  <c r="V833" i="1"/>
  <c r="AN832" i="1"/>
  <c r="AL832" i="1"/>
  <c r="AK832" i="1"/>
  <c r="AJ832" i="1"/>
  <c r="AH832" i="1"/>
  <c r="AG832" i="1"/>
  <c r="AE832" i="1"/>
  <c r="AD832" i="1"/>
  <c r="AA832" i="1"/>
  <c r="Z832" i="1"/>
  <c r="Y832" i="1"/>
  <c r="W832" i="1"/>
  <c r="V832" i="1"/>
  <c r="AL831" i="1"/>
  <c r="AK831" i="1"/>
  <c r="AJ831" i="1"/>
  <c r="AH831" i="1"/>
  <c r="AG831" i="1"/>
  <c r="AE831" i="1"/>
  <c r="AD831" i="1"/>
  <c r="Z831" i="1"/>
  <c r="Y831" i="1"/>
  <c r="AL830" i="1"/>
  <c r="AK830" i="1"/>
  <c r="AJ830" i="1"/>
  <c r="AH830" i="1"/>
  <c r="AG830" i="1"/>
  <c r="AE830" i="1"/>
  <c r="AD830" i="1"/>
  <c r="Z830" i="1"/>
  <c r="Y830" i="1"/>
  <c r="AL829" i="1"/>
  <c r="AK829" i="1"/>
  <c r="AJ829" i="1"/>
  <c r="AH829" i="1"/>
  <c r="AG829" i="1"/>
  <c r="AE829" i="1"/>
  <c r="AD829" i="1"/>
  <c r="Z829" i="1"/>
  <c r="Y829" i="1"/>
  <c r="AL828" i="1"/>
  <c r="AK828" i="1"/>
  <c r="AJ828" i="1"/>
  <c r="AH828" i="1"/>
  <c r="AG828" i="1"/>
  <c r="AE828" i="1"/>
  <c r="AD828" i="1"/>
  <c r="Z828" i="1"/>
  <c r="Y828" i="1"/>
  <c r="AO827" i="1"/>
  <c r="AN827" i="1"/>
  <c r="AL827" i="1"/>
  <c r="AK827" i="1"/>
  <c r="AJ827" i="1"/>
  <c r="AH827" i="1"/>
  <c r="AG827" i="1"/>
  <c r="AE827" i="1"/>
  <c r="AC827" i="1"/>
  <c r="AA827" i="1"/>
  <c r="Z827" i="1"/>
  <c r="Y827" i="1"/>
  <c r="V827" i="1"/>
  <c r="AO826" i="1"/>
  <c r="AN826" i="1"/>
  <c r="AL826" i="1"/>
  <c r="AK826" i="1"/>
  <c r="AJ826" i="1"/>
  <c r="AH826" i="1"/>
  <c r="AG826" i="1"/>
  <c r="AE826" i="1"/>
  <c r="AC826" i="1"/>
  <c r="AA826" i="1"/>
  <c r="Z826" i="1"/>
  <c r="Y826" i="1"/>
  <c r="V826" i="1"/>
  <c r="AN825" i="1"/>
  <c r="AL825" i="1"/>
  <c r="AK825" i="1"/>
  <c r="AJ825" i="1"/>
  <c r="AH825" i="1"/>
  <c r="AG825" i="1"/>
  <c r="AE825" i="1"/>
  <c r="AC825" i="1"/>
  <c r="AA825" i="1"/>
  <c r="Z825" i="1"/>
  <c r="Y825" i="1"/>
  <c r="W825" i="1"/>
  <c r="V825" i="1"/>
  <c r="AO824" i="1"/>
  <c r="AN824" i="1"/>
  <c r="AL824" i="1"/>
  <c r="AK824" i="1"/>
  <c r="AJ824" i="1"/>
  <c r="AH824" i="1"/>
  <c r="AG824" i="1"/>
  <c r="AE824" i="1"/>
  <c r="AC824" i="1"/>
  <c r="AA824" i="1"/>
  <c r="Z824" i="1"/>
  <c r="Y824" i="1"/>
  <c r="V824" i="1"/>
  <c r="AN823" i="1"/>
  <c r="AL823" i="1"/>
  <c r="AK823" i="1"/>
  <c r="AJ823" i="1"/>
  <c r="AH823" i="1"/>
  <c r="AG823" i="1"/>
  <c r="AE823" i="1"/>
  <c r="AA823" i="1"/>
  <c r="Z823" i="1"/>
  <c r="Y823" i="1"/>
  <c r="W823" i="1"/>
  <c r="V823" i="1"/>
  <c r="AN822" i="1"/>
  <c r="AL822" i="1"/>
  <c r="AK822" i="1"/>
  <c r="AJ822" i="1"/>
  <c r="AH822" i="1"/>
  <c r="AG822" i="1"/>
  <c r="AE822" i="1"/>
  <c r="AC822" i="1"/>
  <c r="AA822" i="1"/>
  <c r="Z822" i="1"/>
  <c r="Y822" i="1"/>
  <c r="W822" i="1"/>
  <c r="V822" i="1"/>
  <c r="AO821" i="1"/>
  <c r="AN821" i="1"/>
  <c r="AL821" i="1"/>
  <c r="AK821" i="1"/>
  <c r="AJ821" i="1"/>
  <c r="AH821" i="1"/>
  <c r="AG821" i="1"/>
  <c r="AE821" i="1"/>
  <c r="AC821" i="1"/>
  <c r="AA821" i="1"/>
  <c r="Z821" i="1"/>
  <c r="Y821" i="1"/>
  <c r="V821" i="1"/>
  <c r="AN820" i="1"/>
  <c r="AL820" i="1"/>
  <c r="AK820" i="1"/>
  <c r="AJ820" i="1"/>
  <c r="AH820" i="1"/>
  <c r="AG820" i="1"/>
  <c r="AE820" i="1"/>
  <c r="AD820" i="1"/>
  <c r="AA820" i="1"/>
  <c r="Z820" i="1"/>
  <c r="Y820" i="1"/>
  <c r="W820" i="1"/>
  <c r="V820" i="1"/>
  <c r="AN819" i="1"/>
  <c r="AL819" i="1"/>
  <c r="AK819" i="1"/>
  <c r="AJ819" i="1"/>
  <c r="AH819" i="1"/>
  <c r="AG819" i="1"/>
  <c r="AE819" i="1"/>
  <c r="AD819" i="1"/>
  <c r="AC819" i="1"/>
  <c r="AA819" i="1"/>
  <c r="Z819" i="1"/>
  <c r="Y819" i="1"/>
  <c r="W819" i="1"/>
  <c r="AN818" i="1"/>
  <c r="AL818" i="1"/>
  <c r="AK818" i="1"/>
  <c r="AJ818" i="1"/>
  <c r="AH818" i="1"/>
  <c r="AG818" i="1"/>
  <c r="AE818" i="1"/>
  <c r="AD818" i="1"/>
  <c r="AA818" i="1"/>
  <c r="Z818" i="1"/>
  <c r="Y818" i="1"/>
  <c r="W818" i="1"/>
  <c r="V818" i="1"/>
  <c r="AN817" i="1"/>
  <c r="AL817" i="1"/>
  <c r="AK817" i="1"/>
  <c r="AJ817" i="1"/>
  <c r="AH817" i="1"/>
  <c r="AG817" i="1"/>
  <c r="AE817" i="1"/>
  <c r="AD817" i="1"/>
  <c r="AA817" i="1"/>
  <c r="Z817" i="1"/>
  <c r="Y817" i="1"/>
  <c r="W817" i="1"/>
  <c r="V817" i="1"/>
  <c r="AN816" i="1"/>
  <c r="AL816" i="1"/>
  <c r="AK816" i="1"/>
  <c r="AJ816" i="1"/>
  <c r="AH816" i="1"/>
  <c r="AG816" i="1"/>
  <c r="AE816" i="1"/>
  <c r="AD816" i="1"/>
  <c r="Z816" i="1"/>
  <c r="Y816" i="1"/>
  <c r="W816" i="1"/>
  <c r="AO815" i="1"/>
  <c r="AN815" i="1"/>
  <c r="AL815" i="1"/>
  <c r="AK815" i="1"/>
  <c r="AJ815" i="1"/>
  <c r="AH815" i="1"/>
  <c r="AG815" i="1"/>
  <c r="AE815" i="1"/>
  <c r="AD815" i="1"/>
  <c r="Z815" i="1"/>
  <c r="Y815" i="1"/>
  <c r="AN814" i="1"/>
  <c r="AL814" i="1"/>
  <c r="AK814" i="1"/>
  <c r="AJ814" i="1"/>
  <c r="AH814" i="1"/>
  <c r="AG814" i="1"/>
  <c r="AE814" i="1"/>
  <c r="AD814" i="1"/>
  <c r="AC814" i="1"/>
  <c r="AA814" i="1"/>
  <c r="Z814" i="1"/>
  <c r="Y814" i="1"/>
  <c r="W814" i="1"/>
  <c r="V814" i="1"/>
  <c r="AN813" i="1"/>
  <c r="AL813" i="1"/>
  <c r="AK813" i="1"/>
  <c r="AJ813" i="1"/>
  <c r="AH813" i="1"/>
  <c r="AG813" i="1"/>
  <c r="AE813" i="1"/>
  <c r="AD813" i="1"/>
  <c r="AC813" i="1"/>
  <c r="AA813" i="1"/>
  <c r="Z813" i="1"/>
  <c r="Y813" i="1"/>
  <c r="W813" i="1"/>
  <c r="V813" i="1"/>
  <c r="AN812" i="1"/>
  <c r="AL812" i="1"/>
  <c r="AK812" i="1"/>
  <c r="AJ812" i="1"/>
  <c r="AH812" i="1"/>
  <c r="AG812" i="1"/>
  <c r="AE812" i="1"/>
  <c r="AD812" i="1"/>
  <c r="AC812" i="1"/>
  <c r="AA812" i="1"/>
  <c r="Z812" i="1"/>
  <c r="Y812" i="1"/>
  <c r="W812" i="1"/>
  <c r="V812" i="1"/>
  <c r="AN811" i="1"/>
  <c r="AL811" i="1"/>
  <c r="AK811" i="1"/>
  <c r="AJ811" i="1"/>
  <c r="AH811" i="1"/>
  <c r="AG811" i="1"/>
  <c r="AE811" i="1"/>
  <c r="AD811" i="1"/>
  <c r="AC811" i="1"/>
  <c r="AA811" i="1"/>
  <c r="Z811" i="1"/>
  <c r="Y811" i="1"/>
  <c r="W811" i="1"/>
  <c r="V811" i="1"/>
  <c r="AN810" i="1"/>
  <c r="AL810" i="1"/>
  <c r="AK810" i="1"/>
  <c r="AJ810" i="1"/>
  <c r="AH810" i="1"/>
  <c r="AG810" i="1"/>
  <c r="AE810" i="1"/>
  <c r="AD810" i="1"/>
  <c r="AC810" i="1"/>
  <c r="AA810" i="1"/>
  <c r="Z810" i="1"/>
  <c r="Y810" i="1"/>
  <c r="W810" i="1"/>
  <c r="V810" i="1"/>
  <c r="AN809" i="1"/>
  <c r="AL809" i="1"/>
  <c r="AK809" i="1"/>
  <c r="AJ809" i="1"/>
  <c r="AH809" i="1"/>
  <c r="AG809" i="1"/>
  <c r="AE809" i="1"/>
  <c r="AD809" i="1"/>
  <c r="AC809" i="1"/>
  <c r="AA809" i="1"/>
  <c r="Z809" i="1"/>
  <c r="Y809" i="1"/>
  <c r="W809" i="1"/>
  <c r="V809" i="1"/>
  <c r="AN808" i="1"/>
  <c r="AL808" i="1"/>
  <c r="AK808" i="1"/>
  <c r="AJ808" i="1"/>
  <c r="AH808" i="1"/>
  <c r="AG808" i="1"/>
  <c r="AE808" i="1"/>
  <c r="AD808" i="1"/>
  <c r="AC808" i="1"/>
  <c r="AA808" i="1"/>
  <c r="Z808" i="1"/>
  <c r="Y808" i="1"/>
  <c r="W808" i="1"/>
  <c r="V808" i="1"/>
  <c r="AN807" i="1"/>
  <c r="AL807" i="1"/>
  <c r="AK807" i="1"/>
  <c r="AJ807" i="1"/>
  <c r="AH807" i="1"/>
  <c r="AG807" i="1"/>
  <c r="AE807" i="1"/>
  <c r="AD807" i="1"/>
  <c r="AC807" i="1"/>
  <c r="AA807" i="1"/>
  <c r="Z807" i="1"/>
  <c r="Y807" i="1"/>
  <c r="W807" i="1"/>
  <c r="V807" i="1"/>
  <c r="AN806" i="1"/>
  <c r="AL806" i="1"/>
  <c r="AK806" i="1"/>
  <c r="AJ806" i="1"/>
  <c r="AH806" i="1"/>
  <c r="AG806" i="1"/>
  <c r="AE806" i="1"/>
  <c r="AD806" i="1"/>
  <c r="AA806" i="1"/>
  <c r="Z806" i="1"/>
  <c r="Y806" i="1"/>
  <c r="W806" i="1"/>
  <c r="V806" i="1"/>
  <c r="AN805" i="1"/>
  <c r="AL805" i="1"/>
  <c r="AK805" i="1"/>
  <c r="AJ805" i="1"/>
  <c r="AH805" i="1"/>
  <c r="AG805" i="1"/>
  <c r="AE805" i="1"/>
  <c r="AD805" i="1"/>
  <c r="AC805" i="1"/>
  <c r="AA805" i="1"/>
  <c r="Z805" i="1"/>
  <c r="Y805" i="1"/>
  <c r="W805" i="1"/>
  <c r="V805" i="1"/>
  <c r="AN804" i="1"/>
  <c r="AL804" i="1"/>
  <c r="AK804" i="1"/>
  <c r="AJ804" i="1"/>
  <c r="AH804" i="1"/>
  <c r="AG804" i="1"/>
  <c r="AE804" i="1"/>
  <c r="AD804" i="1"/>
  <c r="AA804" i="1"/>
  <c r="Z804" i="1"/>
  <c r="Y804" i="1"/>
  <c r="V804" i="1"/>
  <c r="AO803" i="1"/>
  <c r="AN803" i="1"/>
  <c r="AL803" i="1"/>
  <c r="AK803" i="1"/>
  <c r="AJ803" i="1"/>
  <c r="AH803" i="1"/>
  <c r="AG803" i="1"/>
  <c r="AE803" i="1"/>
  <c r="AC803" i="1"/>
  <c r="AA803" i="1"/>
  <c r="Z803" i="1"/>
  <c r="Y803" i="1"/>
  <c r="V803" i="1"/>
  <c r="AO802" i="1"/>
  <c r="AN802" i="1"/>
  <c r="AL802" i="1"/>
  <c r="AK802" i="1"/>
  <c r="AJ802" i="1"/>
  <c r="AH802" i="1"/>
  <c r="AG802" i="1"/>
  <c r="AE802" i="1"/>
  <c r="AC802" i="1"/>
  <c r="AA802" i="1"/>
  <c r="Z802" i="1"/>
  <c r="Y802" i="1"/>
  <c r="V802" i="1"/>
  <c r="AN801" i="1"/>
  <c r="AL801" i="1"/>
  <c r="AK801" i="1"/>
  <c r="AJ801" i="1"/>
  <c r="AH801" i="1"/>
  <c r="AG801" i="1"/>
  <c r="AE801" i="1"/>
  <c r="AA801" i="1"/>
  <c r="Z801" i="1"/>
  <c r="Y801" i="1"/>
  <c r="W801" i="1"/>
  <c r="V801" i="1"/>
  <c r="AN800" i="1"/>
  <c r="AL800" i="1"/>
  <c r="AK800" i="1"/>
  <c r="AJ800" i="1"/>
  <c r="AH800" i="1"/>
  <c r="AG800" i="1"/>
  <c r="AE800" i="1"/>
  <c r="AC800" i="1"/>
  <c r="AA800" i="1"/>
  <c r="Z800" i="1"/>
  <c r="Y800" i="1"/>
  <c r="W800" i="1"/>
  <c r="V800" i="1"/>
  <c r="AN799" i="1"/>
  <c r="AL799" i="1"/>
  <c r="AK799" i="1"/>
  <c r="AJ799" i="1"/>
  <c r="AH799" i="1"/>
  <c r="AG799" i="1"/>
  <c r="AE799" i="1"/>
  <c r="AC799" i="1"/>
  <c r="AA799" i="1"/>
  <c r="Z799" i="1"/>
  <c r="Y799" i="1"/>
  <c r="W799" i="1"/>
  <c r="V799" i="1"/>
  <c r="AN798" i="1"/>
  <c r="AL798" i="1"/>
  <c r="AK798" i="1"/>
  <c r="AJ798" i="1"/>
  <c r="AH798" i="1"/>
  <c r="AG798" i="1"/>
  <c r="AE798" i="1"/>
  <c r="AD798" i="1"/>
  <c r="AC798" i="1"/>
  <c r="AA798" i="1"/>
  <c r="Z798" i="1"/>
  <c r="Y798" i="1"/>
  <c r="W798" i="1"/>
  <c r="V798" i="1"/>
  <c r="AN797" i="1"/>
  <c r="AL797" i="1"/>
  <c r="AK797" i="1"/>
  <c r="AJ797" i="1"/>
  <c r="AH797" i="1"/>
  <c r="AG797" i="1"/>
  <c r="AE797" i="1"/>
  <c r="AD797" i="1"/>
  <c r="AC797" i="1"/>
  <c r="AA797" i="1"/>
  <c r="Z797" i="1"/>
  <c r="Y797" i="1"/>
  <c r="W797" i="1"/>
  <c r="V797" i="1"/>
  <c r="AL796" i="1"/>
  <c r="AK796" i="1"/>
  <c r="AJ796" i="1"/>
  <c r="AH796" i="1"/>
  <c r="AG796" i="1"/>
  <c r="AE796" i="1"/>
  <c r="AD796" i="1"/>
  <c r="Z796" i="1"/>
  <c r="Y796" i="1"/>
  <c r="AL795" i="1"/>
  <c r="AK795" i="1"/>
  <c r="AJ795" i="1"/>
  <c r="AH795" i="1"/>
  <c r="AG795" i="1"/>
  <c r="AE795" i="1"/>
  <c r="AD795" i="1"/>
  <c r="Z795" i="1"/>
  <c r="Y795" i="1"/>
  <c r="AL794" i="1"/>
  <c r="AK794" i="1"/>
  <c r="AJ794" i="1"/>
  <c r="AH794" i="1"/>
  <c r="AG794" i="1"/>
  <c r="AE794" i="1"/>
  <c r="AD794" i="1"/>
  <c r="Z794" i="1"/>
  <c r="Y794" i="1"/>
  <c r="AL793" i="1"/>
  <c r="AK793" i="1"/>
  <c r="AJ793" i="1"/>
  <c r="AH793" i="1"/>
  <c r="AG793" i="1"/>
  <c r="AE793" i="1"/>
  <c r="AD793" i="1"/>
  <c r="AC793" i="1"/>
  <c r="AA793" i="1"/>
  <c r="Z793" i="1"/>
  <c r="Y793" i="1"/>
  <c r="V793" i="1"/>
  <c r="AL792" i="1"/>
  <c r="AK792" i="1"/>
  <c r="AJ792" i="1"/>
  <c r="AH792" i="1"/>
  <c r="AG792" i="1"/>
  <c r="AE792" i="1"/>
  <c r="AD792" i="1"/>
  <c r="Z792" i="1"/>
  <c r="Y792" i="1"/>
  <c r="AL791" i="1"/>
  <c r="AK791" i="1"/>
  <c r="AJ791" i="1"/>
  <c r="AH791" i="1"/>
  <c r="AG791" i="1"/>
  <c r="AE791" i="1"/>
  <c r="AD791" i="1"/>
  <c r="Z791" i="1"/>
  <c r="Y791" i="1"/>
  <c r="AL790" i="1"/>
  <c r="AK790" i="1"/>
  <c r="AJ790" i="1"/>
  <c r="AH790" i="1"/>
  <c r="AG790" i="1"/>
  <c r="AE790" i="1"/>
  <c r="AD790" i="1"/>
  <c r="AC790" i="1"/>
  <c r="AA790" i="1"/>
  <c r="Z790" i="1"/>
  <c r="Y790" i="1"/>
  <c r="V790" i="1"/>
  <c r="AL789" i="1"/>
  <c r="AK789" i="1"/>
  <c r="AJ789" i="1"/>
  <c r="AH789" i="1"/>
  <c r="AG789" i="1"/>
  <c r="AE789" i="1"/>
  <c r="AD789" i="1"/>
  <c r="Z789" i="1"/>
  <c r="Y789" i="1"/>
  <c r="AN788" i="1"/>
  <c r="AL788" i="1"/>
  <c r="AK788" i="1"/>
  <c r="AJ788" i="1"/>
  <c r="AH788" i="1"/>
  <c r="AG788" i="1"/>
  <c r="AE788" i="1"/>
  <c r="AD788" i="1"/>
  <c r="Z788" i="1"/>
  <c r="Y788" i="1"/>
  <c r="W788" i="1"/>
  <c r="AN787" i="1"/>
  <c r="AL787" i="1"/>
  <c r="AK787" i="1"/>
  <c r="AJ787" i="1"/>
  <c r="AH787" i="1"/>
  <c r="AG787" i="1"/>
  <c r="AE787" i="1"/>
  <c r="AD787" i="1"/>
  <c r="Z787" i="1"/>
  <c r="Y787" i="1"/>
  <c r="W787" i="1"/>
  <c r="AN786" i="1"/>
  <c r="AL786" i="1"/>
  <c r="AK786" i="1"/>
  <c r="AJ786" i="1"/>
  <c r="AH786" i="1"/>
  <c r="AG786" i="1"/>
  <c r="AE786" i="1"/>
  <c r="AD786" i="1"/>
  <c r="AC786" i="1"/>
  <c r="Z786" i="1"/>
  <c r="Y786" i="1"/>
  <c r="W786" i="1"/>
  <c r="V786" i="1"/>
  <c r="AN785" i="1"/>
  <c r="AL785" i="1"/>
  <c r="AK785" i="1"/>
  <c r="AJ785" i="1"/>
  <c r="AH785" i="1"/>
  <c r="AG785" i="1"/>
  <c r="AE785" i="1"/>
  <c r="AD785" i="1"/>
  <c r="AA785" i="1"/>
  <c r="Z785" i="1"/>
  <c r="Y785" i="1"/>
  <c r="W785" i="1"/>
  <c r="V785" i="1"/>
  <c r="AN784" i="1"/>
  <c r="AL784" i="1"/>
  <c r="AK784" i="1"/>
  <c r="AJ784" i="1"/>
  <c r="AH784" i="1"/>
  <c r="AG784" i="1"/>
  <c r="AE784" i="1"/>
  <c r="AD784" i="1"/>
  <c r="Z784" i="1"/>
  <c r="Y784" i="1"/>
  <c r="W784" i="1"/>
  <c r="V784" i="1"/>
  <c r="AN783" i="1"/>
  <c r="AL783" i="1"/>
  <c r="AK783" i="1"/>
  <c r="AJ783" i="1"/>
  <c r="AH783" i="1"/>
  <c r="AG783" i="1"/>
  <c r="AE783" i="1"/>
  <c r="AD783" i="1"/>
  <c r="AC783" i="1"/>
  <c r="AA783" i="1"/>
  <c r="Z783" i="1"/>
  <c r="Y783" i="1"/>
  <c r="W783" i="1"/>
  <c r="V783" i="1"/>
  <c r="AO782" i="1"/>
  <c r="AN782" i="1"/>
  <c r="AL782" i="1"/>
  <c r="AK782" i="1"/>
  <c r="AJ782" i="1"/>
  <c r="AH782" i="1"/>
  <c r="AG782" i="1"/>
  <c r="AE782" i="1"/>
  <c r="AD782" i="1"/>
  <c r="AC782" i="1"/>
  <c r="AA782" i="1"/>
  <c r="Z782" i="1"/>
  <c r="Y782" i="1"/>
  <c r="V782" i="1"/>
  <c r="AO781" i="1"/>
  <c r="AN781" i="1"/>
  <c r="AL781" i="1"/>
  <c r="AK781" i="1"/>
  <c r="AJ781" i="1"/>
  <c r="AH781" i="1"/>
  <c r="AG781" i="1"/>
  <c r="AE781" i="1"/>
  <c r="AD781" i="1"/>
  <c r="Z781" i="1"/>
  <c r="Y781" i="1"/>
  <c r="V781" i="1"/>
  <c r="AO780" i="1"/>
  <c r="AN780" i="1"/>
  <c r="AL780" i="1"/>
  <c r="AK780" i="1"/>
  <c r="AJ780" i="1"/>
  <c r="AH780" i="1"/>
  <c r="AG780" i="1"/>
  <c r="AE780" i="1"/>
  <c r="AD780" i="1"/>
  <c r="Z780" i="1"/>
  <c r="Y780" i="1"/>
  <c r="V780" i="1"/>
  <c r="AO779" i="1"/>
  <c r="AN779" i="1"/>
  <c r="AL779" i="1"/>
  <c r="AK779" i="1"/>
  <c r="AJ779" i="1"/>
  <c r="AH779" i="1"/>
  <c r="AG779" i="1"/>
  <c r="AE779" i="1"/>
  <c r="AD779" i="1"/>
  <c r="AC779" i="1"/>
  <c r="AA779" i="1"/>
  <c r="Z779" i="1"/>
  <c r="Y779" i="1"/>
  <c r="V779" i="1"/>
  <c r="AO778" i="1"/>
  <c r="AN778" i="1"/>
  <c r="AL778" i="1"/>
  <c r="AK778" i="1"/>
  <c r="AJ778" i="1"/>
  <c r="AH778" i="1"/>
  <c r="AG778" i="1"/>
  <c r="AE778" i="1"/>
  <c r="AD778" i="1"/>
  <c r="AC778" i="1"/>
  <c r="AA778" i="1"/>
  <c r="Z778" i="1"/>
  <c r="Y778" i="1"/>
  <c r="V778" i="1"/>
  <c r="AN777" i="1"/>
  <c r="AL777" i="1"/>
  <c r="AK777" i="1"/>
  <c r="AJ777" i="1"/>
  <c r="AH777" i="1"/>
  <c r="AG777" i="1"/>
  <c r="AE777" i="1"/>
  <c r="AD777" i="1"/>
  <c r="AC777" i="1"/>
  <c r="AA777" i="1"/>
  <c r="Z777" i="1"/>
  <c r="Y777" i="1"/>
  <c r="W777" i="1"/>
  <c r="V777" i="1"/>
  <c r="AN776" i="1"/>
  <c r="AL776" i="1"/>
  <c r="AK776" i="1"/>
  <c r="AJ776" i="1"/>
  <c r="AH776" i="1"/>
  <c r="AG776" i="1"/>
  <c r="AE776" i="1"/>
  <c r="AD776" i="1"/>
  <c r="AC776" i="1"/>
  <c r="AA776" i="1"/>
  <c r="Z776" i="1"/>
  <c r="Y776" i="1"/>
  <c r="W776" i="1"/>
  <c r="V776" i="1"/>
  <c r="AN775" i="1"/>
  <c r="AL775" i="1"/>
  <c r="AK775" i="1"/>
  <c r="AJ775" i="1"/>
  <c r="AH775" i="1"/>
  <c r="AG775" i="1"/>
  <c r="AE775" i="1"/>
  <c r="AD775" i="1"/>
  <c r="AC775" i="1"/>
  <c r="AA775" i="1"/>
  <c r="Z775" i="1"/>
  <c r="Y775" i="1"/>
  <c r="W775" i="1"/>
  <c r="V775" i="1"/>
  <c r="AN774" i="1"/>
  <c r="AL774" i="1"/>
  <c r="AK774" i="1"/>
  <c r="AJ774" i="1"/>
  <c r="AH774" i="1"/>
  <c r="AG774" i="1"/>
  <c r="AE774" i="1"/>
  <c r="AD774" i="1"/>
  <c r="AC774" i="1"/>
  <c r="AA774" i="1"/>
  <c r="Z774" i="1"/>
  <c r="Y774" i="1"/>
  <c r="W774" i="1"/>
  <c r="V774" i="1"/>
  <c r="AN773" i="1"/>
  <c r="AL773" i="1"/>
  <c r="AK773" i="1"/>
  <c r="AJ773" i="1"/>
  <c r="AH773" i="1"/>
  <c r="AG773" i="1"/>
  <c r="AE773" i="1"/>
  <c r="AD773" i="1"/>
  <c r="AC773" i="1"/>
  <c r="AA773" i="1"/>
  <c r="Z773" i="1"/>
  <c r="Y773" i="1"/>
  <c r="W773" i="1"/>
  <c r="V773" i="1"/>
  <c r="AO772" i="1"/>
  <c r="AN772" i="1"/>
  <c r="AL772" i="1"/>
  <c r="AK772" i="1"/>
  <c r="AJ772" i="1"/>
  <c r="AH772" i="1"/>
  <c r="AG772" i="1"/>
  <c r="AE772" i="1"/>
  <c r="AD772" i="1"/>
  <c r="AC772" i="1"/>
  <c r="Z772" i="1"/>
  <c r="Y772" i="1"/>
  <c r="V772" i="1"/>
  <c r="AO771" i="1"/>
  <c r="AN771" i="1"/>
  <c r="AL771" i="1"/>
  <c r="AK771" i="1"/>
  <c r="AJ771" i="1"/>
  <c r="AH771" i="1"/>
  <c r="AG771" i="1"/>
  <c r="AE771" i="1"/>
  <c r="AD771" i="1"/>
  <c r="AC771" i="1"/>
  <c r="AA771" i="1"/>
  <c r="Z771" i="1"/>
  <c r="Y771" i="1"/>
  <c r="V771" i="1"/>
  <c r="AO770" i="1"/>
  <c r="AN770" i="1"/>
  <c r="AL770" i="1"/>
  <c r="AK770" i="1"/>
  <c r="AJ770" i="1"/>
  <c r="AH770" i="1"/>
  <c r="AG770" i="1"/>
  <c r="AE770" i="1"/>
  <c r="AD770" i="1"/>
  <c r="AC770" i="1"/>
  <c r="AA770" i="1"/>
  <c r="Z770" i="1"/>
  <c r="Y770" i="1"/>
  <c r="V770" i="1"/>
  <c r="AO769" i="1"/>
  <c r="AN769" i="1"/>
  <c r="AL769" i="1"/>
  <c r="AK769" i="1"/>
  <c r="AJ769" i="1"/>
  <c r="AH769" i="1"/>
  <c r="AG769" i="1"/>
  <c r="AE769" i="1"/>
  <c r="AD769" i="1"/>
  <c r="AC769" i="1"/>
  <c r="AA769" i="1"/>
  <c r="Z769" i="1"/>
  <c r="Y769" i="1"/>
  <c r="V769" i="1"/>
  <c r="AO768" i="1"/>
  <c r="AN768" i="1"/>
  <c r="AL768" i="1"/>
  <c r="AK768" i="1"/>
  <c r="AJ768" i="1"/>
  <c r="AH768" i="1"/>
  <c r="AG768" i="1"/>
  <c r="AE768" i="1"/>
  <c r="AD768" i="1"/>
  <c r="AC768" i="1"/>
  <c r="AA768" i="1"/>
  <c r="Z768" i="1"/>
  <c r="Y768" i="1"/>
  <c r="V768" i="1"/>
  <c r="AN767" i="1"/>
  <c r="AL767" i="1"/>
  <c r="AK767" i="1"/>
  <c r="AJ767" i="1"/>
  <c r="AH767" i="1"/>
  <c r="AG767" i="1"/>
  <c r="AE767" i="1"/>
  <c r="AD767" i="1"/>
  <c r="AC767" i="1"/>
  <c r="AA767" i="1"/>
  <c r="Z767" i="1"/>
  <c r="Y767" i="1"/>
  <c r="W767" i="1"/>
  <c r="V767" i="1"/>
  <c r="AN766" i="1"/>
  <c r="AL766" i="1"/>
  <c r="AK766" i="1"/>
  <c r="AJ766" i="1"/>
  <c r="AH766" i="1"/>
  <c r="AG766" i="1"/>
  <c r="AE766" i="1"/>
  <c r="AD766" i="1"/>
  <c r="AC766" i="1"/>
  <c r="AA766" i="1"/>
  <c r="Z766" i="1"/>
  <c r="Y766" i="1"/>
  <c r="W766" i="1"/>
  <c r="V766" i="1"/>
  <c r="AN765" i="1"/>
  <c r="AL765" i="1"/>
  <c r="AK765" i="1"/>
  <c r="AJ765" i="1"/>
  <c r="AH765" i="1"/>
  <c r="AG765" i="1"/>
  <c r="AE765" i="1"/>
  <c r="AD765" i="1"/>
  <c r="AC765" i="1"/>
  <c r="AA765" i="1"/>
  <c r="Z765" i="1"/>
  <c r="Y765" i="1"/>
  <c r="W765" i="1"/>
  <c r="V765" i="1"/>
  <c r="AN764" i="1"/>
  <c r="AL764" i="1"/>
  <c r="AK764" i="1"/>
  <c r="AJ764" i="1"/>
  <c r="AH764" i="1"/>
  <c r="AG764" i="1"/>
  <c r="AE764" i="1"/>
  <c r="AD764" i="1"/>
  <c r="AC764" i="1"/>
  <c r="AA764" i="1"/>
  <c r="Z764" i="1"/>
  <c r="Y764" i="1"/>
  <c r="W764" i="1"/>
  <c r="V764" i="1"/>
  <c r="AN763" i="1"/>
  <c r="AL763" i="1"/>
  <c r="AK763" i="1"/>
  <c r="AJ763" i="1"/>
  <c r="AH763" i="1"/>
  <c r="AG763" i="1"/>
  <c r="AE763" i="1"/>
  <c r="AD763" i="1"/>
  <c r="AC763" i="1"/>
  <c r="AA763" i="1"/>
  <c r="Z763" i="1"/>
  <c r="Y763" i="1"/>
  <c r="W763" i="1"/>
  <c r="V763" i="1"/>
  <c r="AN762" i="1"/>
  <c r="AL762" i="1"/>
  <c r="AK762" i="1"/>
  <c r="AJ762" i="1"/>
  <c r="AH762" i="1"/>
  <c r="AG762" i="1"/>
  <c r="AE762" i="1"/>
  <c r="AD762" i="1"/>
  <c r="AC762" i="1"/>
  <c r="AA762" i="1"/>
  <c r="Z762" i="1"/>
  <c r="Y762" i="1"/>
  <c r="W762" i="1"/>
  <c r="V762" i="1"/>
  <c r="AO761" i="1"/>
  <c r="AN761" i="1"/>
  <c r="AL761" i="1"/>
  <c r="AK761" i="1"/>
  <c r="AJ761" i="1"/>
  <c r="AH761" i="1"/>
  <c r="AG761" i="1"/>
  <c r="AE761" i="1"/>
  <c r="AC761" i="1"/>
  <c r="AA761" i="1"/>
  <c r="Z761" i="1"/>
  <c r="Y761" i="1"/>
  <c r="V761" i="1"/>
  <c r="AO760" i="1"/>
  <c r="AN760" i="1"/>
  <c r="AL760" i="1"/>
  <c r="AK760" i="1"/>
  <c r="AJ760" i="1"/>
  <c r="AH760" i="1"/>
  <c r="AG760" i="1"/>
  <c r="AE760" i="1"/>
  <c r="AC760" i="1"/>
  <c r="AA760" i="1"/>
  <c r="Z760" i="1"/>
  <c r="Y760" i="1"/>
  <c r="V760" i="1"/>
  <c r="AO759" i="1"/>
  <c r="AN759" i="1"/>
  <c r="AL759" i="1"/>
  <c r="AK759" i="1"/>
  <c r="AJ759" i="1"/>
  <c r="AH759" i="1"/>
  <c r="AG759" i="1"/>
  <c r="AE759" i="1"/>
  <c r="AC759" i="1"/>
  <c r="AA759" i="1"/>
  <c r="Z759" i="1"/>
  <c r="Y759" i="1"/>
  <c r="V759" i="1"/>
  <c r="AO758" i="1"/>
  <c r="AN758" i="1"/>
  <c r="AL758" i="1"/>
  <c r="AK758" i="1"/>
  <c r="AJ758" i="1"/>
  <c r="AH758" i="1"/>
  <c r="AG758" i="1"/>
  <c r="AE758" i="1"/>
  <c r="AC758" i="1"/>
  <c r="AA758" i="1"/>
  <c r="Z758" i="1"/>
  <c r="Y758" i="1"/>
  <c r="V758" i="1"/>
  <c r="AN757" i="1"/>
  <c r="AL757" i="1"/>
  <c r="AK757" i="1"/>
  <c r="AJ757" i="1"/>
  <c r="AH757" i="1"/>
  <c r="AG757" i="1"/>
  <c r="AE757" i="1"/>
  <c r="AD757" i="1"/>
  <c r="AA757" i="1"/>
  <c r="Z757" i="1"/>
  <c r="Y757" i="1"/>
  <c r="W757" i="1"/>
  <c r="V757" i="1"/>
  <c r="AN756" i="1"/>
  <c r="AL756" i="1"/>
  <c r="AK756" i="1"/>
  <c r="AJ756" i="1"/>
  <c r="AH756" i="1"/>
  <c r="AG756" i="1"/>
  <c r="AE756" i="1"/>
  <c r="AD756" i="1"/>
  <c r="Z756" i="1"/>
  <c r="Y756" i="1"/>
  <c r="W756" i="1"/>
  <c r="AN755" i="1"/>
  <c r="AL755" i="1"/>
  <c r="AK755" i="1"/>
  <c r="AJ755" i="1"/>
  <c r="AH755" i="1"/>
  <c r="AG755" i="1"/>
  <c r="AE755" i="1"/>
  <c r="AD755" i="1"/>
  <c r="AA755" i="1"/>
  <c r="Z755" i="1"/>
  <c r="Y755" i="1"/>
  <c r="W755" i="1"/>
  <c r="AN754" i="1"/>
  <c r="AL754" i="1"/>
  <c r="AK754" i="1"/>
  <c r="AJ754" i="1"/>
  <c r="AH754" i="1"/>
  <c r="AG754" i="1"/>
  <c r="AE754" i="1"/>
  <c r="AD754" i="1"/>
  <c r="AA754" i="1"/>
  <c r="Z754" i="1"/>
  <c r="Y754" i="1"/>
  <c r="W754" i="1"/>
  <c r="AL753" i="1"/>
  <c r="AK753" i="1"/>
  <c r="AJ753" i="1"/>
  <c r="AH753" i="1"/>
  <c r="AG753" i="1"/>
  <c r="AE753" i="1"/>
  <c r="AD753" i="1"/>
  <c r="Z753" i="1"/>
  <c r="Y753" i="1"/>
  <c r="AL752" i="1"/>
  <c r="AK752" i="1"/>
  <c r="AJ752" i="1"/>
  <c r="AH752" i="1"/>
  <c r="AG752" i="1"/>
  <c r="AE752" i="1"/>
  <c r="AD752" i="1"/>
  <c r="Z752" i="1"/>
  <c r="Y752" i="1"/>
  <c r="AN751" i="1"/>
  <c r="AL751" i="1"/>
  <c r="AK751" i="1"/>
  <c r="AJ751" i="1"/>
  <c r="AH751" i="1"/>
  <c r="AG751" i="1"/>
  <c r="AE751" i="1"/>
  <c r="AD751" i="1"/>
  <c r="AC751" i="1"/>
  <c r="AA751" i="1"/>
  <c r="Z751" i="1"/>
  <c r="Y751" i="1"/>
  <c r="W751" i="1"/>
  <c r="V751" i="1"/>
  <c r="AN750" i="1"/>
  <c r="AL750" i="1"/>
  <c r="AK750" i="1"/>
  <c r="AJ750" i="1"/>
  <c r="AH750" i="1"/>
  <c r="AG750" i="1"/>
  <c r="AE750" i="1"/>
  <c r="AD750" i="1"/>
  <c r="AC750" i="1"/>
  <c r="AA750" i="1"/>
  <c r="Z750" i="1"/>
  <c r="Y750" i="1"/>
  <c r="W750" i="1"/>
  <c r="V750" i="1"/>
  <c r="AN749" i="1"/>
  <c r="AL749" i="1"/>
  <c r="AK749" i="1"/>
  <c r="AJ749" i="1"/>
  <c r="AH749" i="1"/>
  <c r="AG749" i="1"/>
  <c r="AE749" i="1"/>
  <c r="AD749" i="1"/>
  <c r="AC749" i="1"/>
  <c r="AA749" i="1"/>
  <c r="Z749" i="1"/>
  <c r="Y749" i="1"/>
  <c r="W749" i="1"/>
  <c r="V749" i="1"/>
  <c r="AO748" i="1"/>
  <c r="AN748" i="1"/>
  <c r="AL748" i="1"/>
  <c r="AK748" i="1"/>
  <c r="AJ748" i="1"/>
  <c r="AH748" i="1"/>
  <c r="AG748" i="1"/>
  <c r="AE748" i="1"/>
  <c r="AD748" i="1"/>
  <c r="AC748" i="1"/>
  <c r="AA748" i="1"/>
  <c r="Z748" i="1"/>
  <c r="Y748" i="1"/>
  <c r="V748" i="1"/>
  <c r="AN747" i="1"/>
  <c r="AL747" i="1"/>
  <c r="AK747" i="1"/>
  <c r="AJ747" i="1"/>
  <c r="AH747" i="1"/>
  <c r="AG747" i="1"/>
  <c r="AE747" i="1"/>
  <c r="AD747" i="1"/>
  <c r="Z747" i="1"/>
  <c r="Y747" i="1"/>
  <c r="W747" i="1"/>
  <c r="AN746" i="1"/>
  <c r="AL746" i="1"/>
  <c r="AK746" i="1"/>
  <c r="AJ746" i="1"/>
  <c r="AH746" i="1"/>
  <c r="AG746" i="1"/>
  <c r="AE746" i="1"/>
  <c r="AD746" i="1"/>
  <c r="Z746" i="1"/>
  <c r="Y746" i="1"/>
  <c r="W746" i="1"/>
  <c r="AN745" i="1"/>
  <c r="AL745" i="1"/>
  <c r="AK745" i="1"/>
  <c r="AJ745" i="1"/>
  <c r="AH745" i="1"/>
  <c r="AG745" i="1"/>
  <c r="AE745" i="1"/>
  <c r="AD745" i="1"/>
  <c r="Z745" i="1"/>
  <c r="Y745" i="1"/>
  <c r="W745" i="1"/>
  <c r="AO744" i="1"/>
  <c r="AN744" i="1"/>
  <c r="AL744" i="1"/>
  <c r="AK744" i="1"/>
  <c r="AJ744" i="1"/>
  <c r="AH744" i="1"/>
  <c r="AG744" i="1"/>
  <c r="AE744" i="1"/>
  <c r="AC744" i="1"/>
  <c r="AA744" i="1"/>
  <c r="Z744" i="1"/>
  <c r="Y744" i="1"/>
  <c r="V744" i="1"/>
  <c r="AO743" i="1"/>
  <c r="AN743" i="1"/>
  <c r="AL743" i="1"/>
  <c r="AK743" i="1"/>
  <c r="AJ743" i="1"/>
  <c r="AH743" i="1"/>
  <c r="AG743" i="1"/>
  <c r="AE743" i="1"/>
  <c r="AC743" i="1"/>
  <c r="AA743" i="1"/>
  <c r="Z743" i="1"/>
  <c r="Y743" i="1"/>
  <c r="V743" i="1"/>
  <c r="AO742" i="1"/>
  <c r="AN742" i="1"/>
  <c r="AL742" i="1"/>
  <c r="AK742" i="1"/>
  <c r="AJ742" i="1"/>
  <c r="AH742" i="1"/>
  <c r="AG742" i="1"/>
  <c r="AE742" i="1"/>
  <c r="AA742" i="1"/>
  <c r="Z742" i="1"/>
  <c r="Y742" i="1"/>
  <c r="V742" i="1"/>
  <c r="AN741" i="1"/>
  <c r="AL741" i="1"/>
  <c r="AK741" i="1"/>
  <c r="AJ741" i="1"/>
  <c r="AH741" i="1"/>
  <c r="AG741" i="1"/>
  <c r="AE741" i="1"/>
  <c r="AC741" i="1"/>
  <c r="AA741" i="1"/>
  <c r="Z741" i="1"/>
  <c r="Y741" i="1"/>
  <c r="W741" i="1"/>
  <c r="V741" i="1"/>
  <c r="AO740" i="1"/>
  <c r="AN740" i="1"/>
  <c r="AL740" i="1"/>
  <c r="AK740" i="1"/>
  <c r="AJ740" i="1"/>
  <c r="AH740" i="1"/>
  <c r="AG740" i="1"/>
  <c r="AE740" i="1"/>
  <c r="AC740" i="1"/>
  <c r="AA740" i="1"/>
  <c r="Z740" i="1"/>
  <c r="Y740" i="1"/>
  <c r="V740" i="1"/>
  <c r="AO739" i="1"/>
  <c r="AN739" i="1"/>
  <c r="AL739" i="1"/>
  <c r="AK739" i="1"/>
  <c r="AJ739" i="1"/>
  <c r="AH739" i="1"/>
  <c r="AG739" i="1"/>
  <c r="AE739" i="1"/>
  <c r="AC739" i="1"/>
  <c r="AA739" i="1"/>
  <c r="Z739" i="1"/>
  <c r="Y739" i="1"/>
  <c r="V739" i="1"/>
  <c r="AO738" i="1"/>
  <c r="AN738" i="1"/>
  <c r="AL738" i="1"/>
  <c r="AK738" i="1"/>
  <c r="AJ738" i="1"/>
  <c r="AH738" i="1"/>
  <c r="AG738" i="1"/>
  <c r="AE738" i="1"/>
  <c r="AC738" i="1"/>
  <c r="AA738" i="1"/>
  <c r="Z738" i="1"/>
  <c r="Y738" i="1"/>
  <c r="V738" i="1"/>
  <c r="AO737" i="1"/>
  <c r="AN737" i="1"/>
  <c r="AL737" i="1"/>
  <c r="AK737" i="1"/>
  <c r="AJ737" i="1"/>
  <c r="AH737" i="1"/>
  <c r="AG737" i="1"/>
  <c r="AE737" i="1"/>
  <c r="AC737" i="1"/>
  <c r="AA737" i="1"/>
  <c r="Z737" i="1"/>
  <c r="Y737" i="1"/>
  <c r="V737" i="1"/>
  <c r="AO736" i="1"/>
  <c r="AN736" i="1"/>
  <c r="AL736" i="1"/>
  <c r="AK736" i="1"/>
  <c r="AJ736" i="1"/>
  <c r="AH736" i="1"/>
  <c r="AG736" i="1"/>
  <c r="AE736" i="1"/>
  <c r="AC736" i="1"/>
  <c r="AA736" i="1"/>
  <c r="Z736" i="1"/>
  <c r="Y736" i="1"/>
  <c r="V736" i="1"/>
  <c r="AO735" i="1"/>
  <c r="AN735" i="1"/>
  <c r="AL735" i="1"/>
  <c r="AK735" i="1"/>
  <c r="AJ735" i="1"/>
  <c r="AH735" i="1"/>
  <c r="AG735" i="1"/>
  <c r="AE735" i="1"/>
  <c r="AC735" i="1"/>
  <c r="AA735" i="1"/>
  <c r="Z735" i="1"/>
  <c r="Y735" i="1"/>
  <c r="V735" i="1"/>
  <c r="AO734" i="1"/>
  <c r="AN734" i="1"/>
  <c r="AL734" i="1"/>
  <c r="AK734" i="1"/>
  <c r="AJ734" i="1"/>
  <c r="AH734" i="1"/>
  <c r="AG734" i="1"/>
  <c r="AE734" i="1"/>
  <c r="AC734" i="1"/>
  <c r="AA734" i="1"/>
  <c r="Z734" i="1"/>
  <c r="Y734" i="1"/>
  <c r="V734" i="1"/>
  <c r="AN733" i="1"/>
  <c r="AL733" i="1"/>
  <c r="AK733" i="1"/>
  <c r="AJ733" i="1"/>
  <c r="AH733" i="1"/>
  <c r="AG733" i="1"/>
  <c r="AE733" i="1"/>
  <c r="AD733" i="1"/>
  <c r="AA733" i="1"/>
  <c r="Z733" i="1"/>
  <c r="Y733" i="1"/>
  <c r="W733" i="1"/>
  <c r="V733" i="1"/>
  <c r="AO732" i="1"/>
  <c r="AN732" i="1"/>
  <c r="AL732" i="1"/>
  <c r="AK732" i="1"/>
  <c r="AJ732" i="1"/>
  <c r="AH732" i="1"/>
  <c r="AG732" i="1"/>
  <c r="AE732" i="1"/>
  <c r="AC732" i="1"/>
  <c r="AA732" i="1"/>
  <c r="Z732" i="1"/>
  <c r="Y732" i="1"/>
  <c r="V732" i="1"/>
  <c r="AO731" i="1"/>
  <c r="AN731" i="1"/>
  <c r="AL731" i="1"/>
  <c r="AK731" i="1"/>
  <c r="AJ731" i="1"/>
  <c r="AH731" i="1"/>
  <c r="AG731" i="1"/>
  <c r="AE731" i="1"/>
  <c r="AC731" i="1"/>
  <c r="AA731" i="1"/>
  <c r="Z731" i="1"/>
  <c r="Y731" i="1"/>
  <c r="V731" i="1"/>
  <c r="AO730" i="1"/>
  <c r="AN730" i="1"/>
  <c r="AL730" i="1"/>
  <c r="AK730" i="1"/>
  <c r="AJ730" i="1"/>
  <c r="AH730" i="1"/>
  <c r="AG730" i="1"/>
  <c r="AE730" i="1"/>
  <c r="AC730" i="1"/>
  <c r="AA730" i="1"/>
  <c r="Z730" i="1"/>
  <c r="Y730" i="1"/>
  <c r="V730" i="1"/>
  <c r="AO729" i="1"/>
  <c r="AN729" i="1"/>
  <c r="AL729" i="1"/>
  <c r="AK729" i="1"/>
  <c r="AJ729" i="1"/>
  <c r="AH729" i="1"/>
  <c r="AG729" i="1"/>
  <c r="AE729" i="1"/>
  <c r="AD729" i="1"/>
  <c r="AC729" i="1"/>
  <c r="AA729" i="1"/>
  <c r="Z729" i="1"/>
  <c r="Y729" i="1"/>
  <c r="V729" i="1"/>
  <c r="AN728" i="1"/>
  <c r="AL728" i="1"/>
  <c r="AK728" i="1"/>
  <c r="AJ728" i="1"/>
  <c r="AH728" i="1"/>
  <c r="AG728" i="1"/>
  <c r="AE728" i="1"/>
  <c r="AD728" i="1"/>
  <c r="AC728" i="1"/>
  <c r="AA728" i="1"/>
  <c r="Z728" i="1"/>
  <c r="Y728" i="1"/>
  <c r="W728" i="1"/>
  <c r="V728" i="1"/>
  <c r="AN727" i="1"/>
  <c r="AL727" i="1"/>
  <c r="AK727" i="1"/>
  <c r="AJ727" i="1"/>
  <c r="AH727" i="1"/>
  <c r="AG727" i="1"/>
  <c r="AE727" i="1"/>
  <c r="AD727" i="1"/>
  <c r="AC727" i="1"/>
  <c r="AA727" i="1"/>
  <c r="Z727" i="1"/>
  <c r="Y727" i="1"/>
  <c r="W727" i="1"/>
  <c r="V727" i="1"/>
  <c r="AO726" i="1"/>
  <c r="AN726" i="1"/>
  <c r="AL726" i="1"/>
  <c r="AK726" i="1"/>
  <c r="AJ726" i="1"/>
  <c r="AH726" i="1"/>
  <c r="AG726" i="1"/>
  <c r="AE726" i="1"/>
  <c r="AD726" i="1"/>
  <c r="AC726" i="1"/>
  <c r="AA726" i="1"/>
  <c r="Z726" i="1"/>
  <c r="Y726" i="1"/>
  <c r="V726" i="1"/>
  <c r="AO725" i="1"/>
  <c r="AN725" i="1"/>
  <c r="AL725" i="1"/>
  <c r="AK725" i="1"/>
  <c r="AJ725" i="1"/>
  <c r="AH725" i="1"/>
  <c r="AG725" i="1"/>
  <c r="AE725" i="1"/>
  <c r="AD725" i="1"/>
  <c r="AC725" i="1"/>
  <c r="AA725" i="1"/>
  <c r="Z725" i="1"/>
  <c r="Y725" i="1"/>
  <c r="V725" i="1"/>
  <c r="AO724" i="1"/>
  <c r="AN724" i="1"/>
  <c r="AL724" i="1"/>
  <c r="AK724" i="1"/>
  <c r="AJ724" i="1"/>
  <c r="AH724" i="1"/>
  <c r="AG724" i="1"/>
  <c r="AE724" i="1"/>
  <c r="AD724" i="1"/>
  <c r="AC724" i="1"/>
  <c r="AA724" i="1"/>
  <c r="Z724" i="1"/>
  <c r="Y724" i="1"/>
  <c r="V724" i="1"/>
  <c r="AN723" i="1"/>
  <c r="AL723" i="1"/>
  <c r="AK723" i="1"/>
  <c r="AJ723" i="1"/>
  <c r="AH723" i="1"/>
  <c r="AG723" i="1"/>
  <c r="AE723" i="1"/>
  <c r="AD723" i="1"/>
  <c r="AC723" i="1"/>
  <c r="AA723" i="1"/>
  <c r="Z723" i="1"/>
  <c r="Y723" i="1"/>
  <c r="W723" i="1"/>
  <c r="V723" i="1"/>
  <c r="AN722" i="1"/>
  <c r="AL722" i="1"/>
  <c r="AK722" i="1"/>
  <c r="AJ722" i="1"/>
  <c r="AH722" i="1"/>
  <c r="AG722" i="1"/>
  <c r="AE722" i="1"/>
  <c r="AA722" i="1"/>
  <c r="Z722" i="1"/>
  <c r="Y722" i="1"/>
  <c r="W722" i="1"/>
  <c r="V722" i="1"/>
  <c r="AN721" i="1"/>
  <c r="AL721" i="1"/>
  <c r="AK721" i="1"/>
  <c r="AJ721" i="1"/>
  <c r="AH721" i="1"/>
  <c r="AG721" i="1"/>
  <c r="AE721" i="1"/>
  <c r="AA721" i="1"/>
  <c r="Z721" i="1"/>
  <c r="Y721" i="1"/>
  <c r="W721" i="1"/>
  <c r="V721" i="1"/>
  <c r="AN720" i="1"/>
  <c r="AL720" i="1"/>
  <c r="AK720" i="1"/>
  <c r="AJ720" i="1"/>
  <c r="AH720" i="1"/>
  <c r="AG720" i="1"/>
  <c r="AE720" i="1"/>
  <c r="AA720" i="1"/>
  <c r="Z720" i="1"/>
  <c r="Y720" i="1"/>
  <c r="W720" i="1"/>
  <c r="V720" i="1"/>
  <c r="AO719" i="1"/>
  <c r="AN719" i="1"/>
  <c r="AL719" i="1"/>
  <c r="AK719" i="1"/>
  <c r="AJ719" i="1"/>
  <c r="AH719" i="1"/>
  <c r="AG719" i="1"/>
  <c r="AE719" i="1"/>
  <c r="AC719" i="1"/>
  <c r="AA719" i="1"/>
  <c r="Z719" i="1"/>
  <c r="Y719" i="1"/>
  <c r="V719" i="1"/>
  <c r="AL718" i="1"/>
  <c r="AK718" i="1"/>
  <c r="AJ718" i="1"/>
  <c r="AH718" i="1"/>
  <c r="AG718" i="1"/>
  <c r="AE718" i="1"/>
  <c r="AD718" i="1"/>
  <c r="Z718" i="1"/>
  <c r="Y718" i="1"/>
  <c r="AL717" i="1"/>
  <c r="AK717" i="1"/>
  <c r="AJ717" i="1"/>
  <c r="AH717" i="1"/>
  <c r="AG717" i="1"/>
  <c r="AE717" i="1"/>
  <c r="AD717" i="1"/>
  <c r="Z717" i="1"/>
  <c r="Y717" i="1"/>
  <c r="AL716" i="1"/>
  <c r="AK716" i="1"/>
  <c r="AJ716" i="1"/>
  <c r="AH716" i="1"/>
  <c r="AG716" i="1"/>
  <c r="AE716" i="1"/>
  <c r="AD716" i="1"/>
  <c r="Z716" i="1"/>
  <c r="Y716" i="1"/>
  <c r="AL715" i="1"/>
  <c r="AK715" i="1"/>
  <c r="AJ715" i="1"/>
  <c r="AH715" i="1"/>
  <c r="AG715" i="1"/>
  <c r="AE715" i="1"/>
  <c r="AD715" i="1"/>
  <c r="Z715" i="1"/>
  <c r="Y715" i="1"/>
  <c r="AL714" i="1"/>
  <c r="AK714" i="1"/>
  <c r="AJ714" i="1"/>
  <c r="AH714" i="1"/>
  <c r="AG714" i="1"/>
  <c r="AE714" i="1"/>
  <c r="AD714" i="1"/>
  <c r="Z714" i="1"/>
  <c r="Y714" i="1"/>
  <c r="AN713" i="1"/>
  <c r="AL713" i="1"/>
  <c r="AK713" i="1"/>
  <c r="AJ713" i="1"/>
  <c r="AH713" i="1"/>
  <c r="AG713" i="1"/>
  <c r="AE713" i="1"/>
  <c r="AD713" i="1"/>
  <c r="Z713" i="1"/>
  <c r="Y713" i="1"/>
  <c r="W713" i="1"/>
  <c r="AN712" i="1"/>
  <c r="AL712" i="1"/>
  <c r="AK712" i="1"/>
  <c r="AJ712" i="1"/>
  <c r="AH712" i="1"/>
  <c r="AG712" i="1"/>
  <c r="AE712" i="1"/>
  <c r="AD712" i="1"/>
  <c r="Z712" i="1"/>
  <c r="Y712" i="1"/>
  <c r="W712" i="1"/>
  <c r="AN711" i="1"/>
  <c r="AL711" i="1"/>
  <c r="AK711" i="1"/>
  <c r="AJ711" i="1"/>
  <c r="AH711" i="1"/>
  <c r="AG711" i="1"/>
  <c r="AE711" i="1"/>
  <c r="AD711" i="1"/>
  <c r="Z711" i="1"/>
  <c r="Y711" i="1"/>
  <c r="W711" i="1"/>
  <c r="AL710" i="1"/>
  <c r="AK710" i="1"/>
  <c r="AJ710" i="1"/>
  <c r="AH710" i="1"/>
  <c r="AG710" i="1"/>
  <c r="AE710" i="1"/>
  <c r="AD710" i="1"/>
  <c r="Z710" i="1"/>
  <c r="Y710" i="1"/>
  <c r="AO709" i="1"/>
  <c r="AN709" i="1"/>
  <c r="AL709" i="1"/>
  <c r="AK709" i="1"/>
  <c r="AJ709" i="1"/>
  <c r="AH709" i="1"/>
  <c r="AG709" i="1"/>
  <c r="AE709" i="1"/>
  <c r="AD709" i="1"/>
  <c r="AC709" i="1"/>
  <c r="AA709" i="1"/>
  <c r="Z709" i="1"/>
  <c r="Y709" i="1"/>
  <c r="V709" i="1"/>
  <c r="AN708" i="1"/>
  <c r="AL708" i="1"/>
  <c r="AK708" i="1"/>
  <c r="AJ708" i="1"/>
  <c r="AH708" i="1"/>
  <c r="AG708" i="1"/>
  <c r="AE708" i="1"/>
  <c r="AD708" i="1"/>
  <c r="AC708" i="1"/>
  <c r="AA708" i="1"/>
  <c r="Z708" i="1"/>
  <c r="Y708" i="1"/>
  <c r="W708" i="1"/>
  <c r="V708" i="1"/>
  <c r="AO707" i="1"/>
  <c r="AN707" i="1"/>
  <c r="AL707" i="1"/>
  <c r="AK707" i="1"/>
  <c r="AJ707" i="1"/>
  <c r="AH707" i="1"/>
  <c r="AG707" i="1"/>
  <c r="AE707" i="1"/>
  <c r="AD707" i="1"/>
  <c r="AA707" i="1"/>
  <c r="Z707" i="1"/>
  <c r="Y707" i="1"/>
  <c r="V707" i="1"/>
  <c r="AO706" i="1"/>
  <c r="AN706" i="1"/>
  <c r="AL706" i="1"/>
  <c r="AK706" i="1"/>
  <c r="AJ706" i="1"/>
  <c r="AH706" i="1"/>
  <c r="AG706" i="1"/>
  <c r="AE706" i="1"/>
  <c r="AD706" i="1"/>
  <c r="AC706" i="1"/>
  <c r="AA706" i="1"/>
  <c r="Z706" i="1"/>
  <c r="Y706" i="1"/>
  <c r="V706" i="1"/>
  <c r="AO705" i="1"/>
  <c r="AN705" i="1"/>
  <c r="AL705" i="1"/>
  <c r="AK705" i="1"/>
  <c r="AJ705" i="1"/>
  <c r="AH705" i="1"/>
  <c r="AG705" i="1"/>
  <c r="AE705" i="1"/>
  <c r="AD705" i="1"/>
  <c r="AC705" i="1"/>
  <c r="AA705" i="1"/>
  <c r="Z705" i="1"/>
  <c r="Y705" i="1"/>
  <c r="V705" i="1"/>
  <c r="AN704" i="1"/>
  <c r="AL704" i="1"/>
  <c r="AK704" i="1"/>
  <c r="AJ704" i="1"/>
  <c r="AH704" i="1"/>
  <c r="AG704" i="1"/>
  <c r="AE704" i="1"/>
  <c r="AD704" i="1"/>
  <c r="AA704" i="1"/>
  <c r="Z704" i="1"/>
  <c r="Y704" i="1"/>
  <c r="W704" i="1"/>
  <c r="AN703" i="1"/>
  <c r="AL703" i="1"/>
  <c r="AK703" i="1"/>
  <c r="AJ703" i="1"/>
  <c r="AH703" i="1"/>
  <c r="AG703" i="1"/>
  <c r="AE703" i="1"/>
  <c r="AD703" i="1"/>
  <c r="AA703" i="1"/>
  <c r="Z703" i="1"/>
  <c r="Y703" i="1"/>
  <c r="W703" i="1"/>
  <c r="V703" i="1"/>
  <c r="AN702" i="1"/>
  <c r="AL702" i="1"/>
  <c r="AK702" i="1"/>
  <c r="AJ702" i="1"/>
  <c r="AH702" i="1"/>
  <c r="AG702" i="1"/>
  <c r="AE702" i="1"/>
  <c r="AD702" i="1"/>
  <c r="AA702" i="1"/>
  <c r="Z702" i="1"/>
  <c r="Y702" i="1"/>
  <c r="W702" i="1"/>
  <c r="V702" i="1"/>
  <c r="AL701" i="1"/>
  <c r="AK701" i="1"/>
  <c r="AJ701" i="1"/>
  <c r="AH701" i="1"/>
  <c r="AG701" i="1"/>
  <c r="AE701" i="1"/>
  <c r="AD701" i="1"/>
  <c r="Z701" i="1"/>
  <c r="Y701" i="1"/>
  <c r="AL700" i="1"/>
  <c r="AK700" i="1"/>
  <c r="AJ700" i="1"/>
  <c r="AH700" i="1"/>
  <c r="AG700" i="1"/>
  <c r="AE700" i="1"/>
  <c r="AD700" i="1"/>
  <c r="Z700" i="1"/>
  <c r="Y700" i="1"/>
  <c r="AL699" i="1"/>
  <c r="AK699" i="1"/>
  <c r="AJ699" i="1"/>
  <c r="AH699" i="1"/>
  <c r="AG699" i="1"/>
  <c r="AE699" i="1"/>
  <c r="AD699" i="1"/>
  <c r="Z699" i="1"/>
  <c r="Y699" i="1"/>
  <c r="AL698" i="1"/>
  <c r="AK698" i="1"/>
  <c r="AJ698" i="1"/>
  <c r="AH698" i="1"/>
  <c r="AG698" i="1"/>
  <c r="AE698" i="1"/>
  <c r="AD698" i="1"/>
  <c r="Z698" i="1"/>
  <c r="Y698" i="1"/>
  <c r="AN697" i="1"/>
  <c r="AL697" i="1"/>
  <c r="AK697" i="1"/>
  <c r="AJ697" i="1"/>
  <c r="AH697" i="1"/>
  <c r="AG697" i="1"/>
  <c r="AE697" i="1"/>
  <c r="AD697" i="1"/>
  <c r="Z697" i="1"/>
  <c r="Y697" i="1"/>
  <c r="W697" i="1"/>
  <c r="V697" i="1"/>
  <c r="AO696" i="1"/>
  <c r="AN696" i="1"/>
  <c r="AL696" i="1"/>
  <c r="AK696" i="1"/>
  <c r="AJ696" i="1"/>
  <c r="AH696" i="1"/>
  <c r="AG696" i="1"/>
  <c r="AE696" i="1"/>
  <c r="AC696" i="1"/>
  <c r="AA696" i="1"/>
  <c r="Z696" i="1"/>
  <c r="Y696" i="1"/>
  <c r="V696" i="1"/>
  <c r="AO695" i="1"/>
  <c r="AN695" i="1"/>
  <c r="AL695" i="1"/>
  <c r="AK695" i="1"/>
  <c r="AJ695" i="1"/>
  <c r="AH695" i="1"/>
  <c r="AG695" i="1"/>
  <c r="AE695" i="1"/>
  <c r="AC695" i="1"/>
  <c r="AA695" i="1"/>
  <c r="Z695" i="1"/>
  <c r="Y695" i="1"/>
  <c r="V695" i="1"/>
  <c r="AO694" i="1"/>
  <c r="AN694" i="1"/>
  <c r="AL694" i="1"/>
  <c r="AK694" i="1"/>
  <c r="AJ694" i="1"/>
  <c r="AH694" i="1"/>
  <c r="AG694" i="1"/>
  <c r="AE694" i="1"/>
  <c r="AC694" i="1"/>
  <c r="AA694" i="1"/>
  <c r="Z694" i="1"/>
  <c r="Y694" i="1"/>
  <c r="V694" i="1"/>
  <c r="AO693" i="1"/>
  <c r="AN693" i="1"/>
  <c r="AL693" i="1"/>
  <c r="AK693" i="1"/>
  <c r="AJ693" i="1"/>
  <c r="AH693" i="1"/>
  <c r="AG693" i="1"/>
  <c r="AE693" i="1"/>
  <c r="AC693" i="1"/>
  <c r="AA693" i="1"/>
  <c r="Z693" i="1"/>
  <c r="Y693" i="1"/>
  <c r="V693" i="1"/>
  <c r="AL692" i="1"/>
  <c r="AK692" i="1"/>
  <c r="AJ692" i="1"/>
  <c r="AH692" i="1"/>
  <c r="AG692" i="1"/>
  <c r="AE692" i="1"/>
  <c r="AD692" i="1"/>
  <c r="AA692" i="1"/>
  <c r="Z692" i="1"/>
  <c r="Y692" i="1"/>
  <c r="V692" i="1"/>
  <c r="AL691" i="1"/>
  <c r="AK691" i="1"/>
  <c r="AJ691" i="1"/>
  <c r="AH691" i="1"/>
  <c r="AG691" i="1"/>
  <c r="AE691" i="1"/>
  <c r="AD691" i="1"/>
  <c r="AA691" i="1"/>
  <c r="Z691" i="1"/>
  <c r="Y691" i="1"/>
  <c r="V691" i="1"/>
  <c r="AL690" i="1"/>
  <c r="AK690" i="1"/>
  <c r="AJ690" i="1"/>
  <c r="AH690" i="1"/>
  <c r="AG690" i="1"/>
  <c r="AE690" i="1"/>
  <c r="AD690" i="1"/>
  <c r="AA690" i="1"/>
  <c r="Z690" i="1"/>
  <c r="Y690" i="1"/>
  <c r="V690" i="1"/>
  <c r="AN689" i="1"/>
  <c r="AL689" i="1"/>
  <c r="AK689" i="1"/>
  <c r="AJ689" i="1"/>
  <c r="AH689" i="1"/>
  <c r="AG689" i="1"/>
  <c r="AE689" i="1"/>
  <c r="AD689" i="1"/>
  <c r="AC689" i="1"/>
  <c r="AA689" i="1"/>
  <c r="Z689" i="1"/>
  <c r="Y689" i="1"/>
  <c r="W689" i="1"/>
  <c r="V689" i="1"/>
  <c r="AO688" i="1"/>
  <c r="AN688" i="1"/>
  <c r="AL688" i="1"/>
  <c r="AK688" i="1"/>
  <c r="AJ688" i="1"/>
  <c r="AH688" i="1"/>
  <c r="AG688" i="1"/>
  <c r="AE688" i="1"/>
  <c r="AC688" i="1"/>
  <c r="AA688" i="1"/>
  <c r="Z688" i="1"/>
  <c r="Y688" i="1"/>
  <c r="V688" i="1"/>
  <c r="AO687" i="1"/>
  <c r="AN687" i="1"/>
  <c r="AL687" i="1"/>
  <c r="AK687" i="1"/>
  <c r="AJ687" i="1"/>
  <c r="AH687" i="1"/>
  <c r="AG687" i="1"/>
  <c r="AE687" i="1"/>
  <c r="AC687" i="1"/>
  <c r="AA687" i="1"/>
  <c r="Z687" i="1"/>
  <c r="Y687" i="1"/>
  <c r="V687" i="1"/>
  <c r="AN686" i="1"/>
  <c r="AL686" i="1"/>
  <c r="AK686" i="1"/>
  <c r="AJ686" i="1"/>
  <c r="AH686" i="1"/>
  <c r="AG686" i="1"/>
  <c r="AE686" i="1"/>
  <c r="AA686" i="1"/>
  <c r="Z686" i="1"/>
  <c r="Y686" i="1"/>
  <c r="W686" i="1"/>
  <c r="V686" i="1"/>
  <c r="AL685" i="1"/>
  <c r="AK685" i="1"/>
  <c r="AJ685" i="1"/>
  <c r="AH685" i="1"/>
  <c r="AG685" i="1"/>
  <c r="AE685" i="1"/>
  <c r="AD685" i="1"/>
  <c r="Z685" i="1"/>
  <c r="Y685" i="1"/>
  <c r="AL684" i="1"/>
  <c r="AK684" i="1"/>
  <c r="AJ684" i="1"/>
  <c r="AH684" i="1"/>
  <c r="AG684" i="1"/>
  <c r="AE684" i="1"/>
  <c r="AD684" i="1"/>
  <c r="Z684" i="1"/>
  <c r="Y684" i="1"/>
  <c r="AL683" i="1"/>
  <c r="AK683" i="1"/>
  <c r="AJ683" i="1"/>
  <c r="AH683" i="1"/>
  <c r="AG683" i="1"/>
  <c r="AE683" i="1"/>
  <c r="AD683" i="1"/>
  <c r="Z683" i="1"/>
  <c r="Y683" i="1"/>
  <c r="AO682" i="1"/>
  <c r="AN682" i="1"/>
  <c r="AL682" i="1"/>
  <c r="AK682" i="1"/>
  <c r="AJ682" i="1"/>
  <c r="AH682" i="1"/>
  <c r="AG682" i="1"/>
  <c r="AE682" i="1"/>
  <c r="AD682" i="1"/>
  <c r="AC682" i="1"/>
  <c r="AA682" i="1"/>
  <c r="Z682" i="1"/>
  <c r="Y682" i="1"/>
  <c r="V682" i="1"/>
  <c r="AL681" i="1"/>
  <c r="AK681" i="1"/>
  <c r="AJ681" i="1"/>
  <c r="AH681" i="1"/>
  <c r="AG681" i="1"/>
  <c r="AE681" i="1"/>
  <c r="AD681" i="1"/>
  <c r="Z681" i="1"/>
  <c r="Y681" i="1"/>
  <c r="AL680" i="1"/>
  <c r="AK680" i="1"/>
  <c r="AJ680" i="1"/>
  <c r="AH680" i="1"/>
  <c r="AG680" i="1"/>
  <c r="AE680" i="1"/>
  <c r="AD680" i="1"/>
  <c r="Z680" i="1"/>
  <c r="Y680" i="1"/>
  <c r="AO679" i="1"/>
  <c r="AN679" i="1"/>
  <c r="AL679" i="1"/>
  <c r="AK679" i="1"/>
  <c r="AJ679" i="1"/>
  <c r="AH679" i="1"/>
  <c r="AG679" i="1"/>
  <c r="AE679" i="1"/>
  <c r="AD679" i="1"/>
  <c r="AC679" i="1"/>
  <c r="AA679" i="1"/>
  <c r="Z679" i="1"/>
  <c r="Y679" i="1"/>
  <c r="W679" i="1"/>
  <c r="V679" i="1"/>
  <c r="AN678" i="1"/>
  <c r="AL678" i="1"/>
  <c r="AK678" i="1"/>
  <c r="AJ678" i="1"/>
  <c r="AH678" i="1"/>
  <c r="AG678" i="1"/>
  <c r="AE678" i="1"/>
  <c r="AD678" i="1"/>
  <c r="AA678" i="1"/>
  <c r="Z678" i="1"/>
  <c r="Y678" i="1"/>
  <c r="W678" i="1"/>
  <c r="V678" i="1"/>
  <c r="AO677" i="1"/>
  <c r="AN677" i="1"/>
  <c r="AL677" i="1"/>
  <c r="AK677" i="1"/>
  <c r="AJ677" i="1"/>
  <c r="AH677" i="1"/>
  <c r="AG677" i="1"/>
  <c r="AE677" i="1"/>
  <c r="AD677" i="1"/>
  <c r="AC677" i="1"/>
  <c r="AA677" i="1"/>
  <c r="Z677" i="1"/>
  <c r="Y677" i="1"/>
  <c r="W677" i="1"/>
  <c r="V677" i="1"/>
  <c r="AO676" i="1"/>
  <c r="AN676" i="1"/>
  <c r="AL676" i="1"/>
  <c r="AK676" i="1"/>
  <c r="AJ676" i="1"/>
  <c r="AH676" i="1"/>
  <c r="AG676" i="1"/>
  <c r="AE676" i="1"/>
  <c r="AD676" i="1"/>
  <c r="AC676" i="1"/>
  <c r="AA676" i="1"/>
  <c r="Z676" i="1"/>
  <c r="Y676" i="1"/>
  <c r="W676" i="1"/>
  <c r="V676" i="1"/>
  <c r="AO675" i="1"/>
  <c r="AN675" i="1"/>
  <c r="AL675" i="1"/>
  <c r="AK675" i="1"/>
  <c r="AJ675" i="1"/>
  <c r="AH675" i="1"/>
  <c r="AG675" i="1"/>
  <c r="AE675" i="1"/>
  <c r="AD675" i="1"/>
  <c r="AC675" i="1"/>
  <c r="AA675" i="1"/>
  <c r="Z675" i="1"/>
  <c r="Y675" i="1"/>
  <c r="W675" i="1"/>
  <c r="V675" i="1"/>
  <c r="AO674" i="1"/>
  <c r="AN674" i="1"/>
  <c r="AL674" i="1"/>
  <c r="AK674" i="1"/>
  <c r="AJ674" i="1"/>
  <c r="AH674" i="1"/>
  <c r="AG674" i="1"/>
  <c r="AE674" i="1"/>
  <c r="AD674" i="1"/>
  <c r="AC674" i="1"/>
  <c r="AA674" i="1"/>
  <c r="Z674" i="1"/>
  <c r="Y674" i="1"/>
  <c r="W674" i="1"/>
  <c r="V674" i="1"/>
  <c r="AO673" i="1"/>
  <c r="AN673" i="1"/>
  <c r="AL673" i="1"/>
  <c r="AK673" i="1"/>
  <c r="AJ673" i="1"/>
  <c r="AH673" i="1"/>
  <c r="AG673" i="1"/>
  <c r="AE673" i="1"/>
  <c r="AD673" i="1"/>
  <c r="AC673" i="1"/>
  <c r="AA673" i="1"/>
  <c r="Z673" i="1"/>
  <c r="Y673" i="1"/>
  <c r="W673" i="1"/>
  <c r="V673" i="1"/>
  <c r="AO672" i="1"/>
  <c r="AN672" i="1"/>
  <c r="AL672" i="1"/>
  <c r="AK672" i="1"/>
  <c r="AJ672" i="1"/>
  <c r="AH672" i="1"/>
  <c r="AG672" i="1"/>
  <c r="AE672" i="1"/>
  <c r="AD672" i="1"/>
  <c r="AC672" i="1"/>
  <c r="AA672" i="1"/>
  <c r="Z672" i="1"/>
  <c r="Y672" i="1"/>
  <c r="W672" i="1"/>
  <c r="V672" i="1"/>
  <c r="AN671" i="1"/>
  <c r="AL671" i="1"/>
  <c r="AK671" i="1"/>
  <c r="AJ671" i="1"/>
  <c r="AH671" i="1"/>
  <c r="AG671" i="1"/>
  <c r="AE671" i="1"/>
  <c r="AD671" i="1"/>
  <c r="AC671" i="1"/>
  <c r="AA671" i="1"/>
  <c r="Z671" i="1"/>
  <c r="Y671" i="1"/>
  <c r="W671" i="1"/>
  <c r="V671" i="1"/>
  <c r="AO670" i="1"/>
  <c r="AN670" i="1"/>
  <c r="AL670" i="1"/>
  <c r="AK670" i="1"/>
  <c r="AJ670" i="1"/>
  <c r="AH670" i="1"/>
  <c r="AG670" i="1"/>
  <c r="AE670" i="1"/>
  <c r="AD670" i="1"/>
  <c r="AC670" i="1"/>
  <c r="Z670" i="1"/>
  <c r="Y670" i="1"/>
  <c r="W670" i="1"/>
  <c r="V670" i="1"/>
  <c r="AO669" i="1"/>
  <c r="AN669" i="1"/>
  <c r="AL669" i="1"/>
  <c r="AK669" i="1"/>
  <c r="AJ669" i="1"/>
  <c r="AH669" i="1"/>
  <c r="AG669" i="1"/>
  <c r="AE669" i="1"/>
  <c r="AD669" i="1"/>
  <c r="AC669" i="1"/>
  <c r="Z669" i="1"/>
  <c r="Y669" i="1"/>
  <c r="W669" i="1"/>
  <c r="V669" i="1"/>
  <c r="AO668" i="1"/>
  <c r="AN668" i="1"/>
  <c r="AL668" i="1"/>
  <c r="AK668" i="1"/>
  <c r="AJ668" i="1"/>
  <c r="AH668" i="1"/>
  <c r="AG668" i="1"/>
  <c r="AE668" i="1"/>
  <c r="AD668" i="1"/>
  <c r="AC668" i="1"/>
  <c r="AA668" i="1"/>
  <c r="Z668" i="1"/>
  <c r="Y668" i="1"/>
  <c r="W668" i="1"/>
  <c r="V668" i="1"/>
  <c r="AO667" i="1"/>
  <c r="AN667" i="1"/>
  <c r="AL667" i="1"/>
  <c r="AK667" i="1"/>
  <c r="AJ667" i="1"/>
  <c r="AH667" i="1"/>
  <c r="AG667" i="1"/>
  <c r="AE667" i="1"/>
  <c r="AD667" i="1"/>
  <c r="AC667" i="1"/>
  <c r="Z667" i="1"/>
  <c r="Y667" i="1"/>
  <c r="W667" i="1"/>
  <c r="V667" i="1"/>
  <c r="AO666" i="1"/>
  <c r="AN666" i="1"/>
  <c r="AL666" i="1"/>
  <c r="AK666" i="1"/>
  <c r="AJ666" i="1"/>
  <c r="AH666" i="1"/>
  <c r="AG666" i="1"/>
  <c r="AE666" i="1"/>
  <c r="AD666" i="1"/>
  <c r="AC666" i="1"/>
  <c r="Z666" i="1"/>
  <c r="Y666" i="1"/>
  <c r="W666" i="1"/>
  <c r="V666" i="1"/>
  <c r="AO665" i="1"/>
  <c r="AN665" i="1"/>
  <c r="AL665" i="1"/>
  <c r="AK665" i="1"/>
  <c r="AJ665" i="1"/>
  <c r="AH665" i="1"/>
  <c r="AG665" i="1"/>
  <c r="AE665" i="1"/>
  <c r="AD665" i="1"/>
  <c r="AC665" i="1"/>
  <c r="AA665" i="1"/>
  <c r="Z665" i="1"/>
  <c r="Y665" i="1"/>
  <c r="W665" i="1"/>
  <c r="V665" i="1"/>
  <c r="AO664" i="1"/>
  <c r="AN664" i="1"/>
  <c r="AL664" i="1"/>
  <c r="AK664" i="1"/>
  <c r="AJ664" i="1"/>
  <c r="AH664" i="1"/>
  <c r="AG664" i="1"/>
  <c r="AE664" i="1"/>
  <c r="AD664" i="1"/>
  <c r="AC664" i="1"/>
  <c r="AA664" i="1"/>
  <c r="Z664" i="1"/>
  <c r="Y664" i="1"/>
  <c r="W664" i="1"/>
  <c r="V664" i="1"/>
  <c r="AO663" i="1"/>
  <c r="AN663" i="1"/>
  <c r="AL663" i="1"/>
  <c r="AK663" i="1"/>
  <c r="AJ663" i="1"/>
  <c r="AH663" i="1"/>
  <c r="AG663" i="1"/>
  <c r="AE663" i="1"/>
  <c r="AD663" i="1"/>
  <c r="AC663" i="1"/>
  <c r="AA663" i="1"/>
  <c r="Z663" i="1"/>
  <c r="Y663" i="1"/>
  <c r="W663" i="1"/>
  <c r="V663" i="1"/>
  <c r="AO662" i="1"/>
  <c r="AN662" i="1"/>
  <c r="AL662" i="1"/>
  <c r="AK662" i="1"/>
  <c r="AJ662" i="1"/>
  <c r="AH662" i="1"/>
  <c r="AG662" i="1"/>
  <c r="AE662" i="1"/>
  <c r="AD662" i="1"/>
  <c r="AC662" i="1"/>
  <c r="AA662" i="1"/>
  <c r="Z662" i="1"/>
  <c r="Y662" i="1"/>
  <c r="W662" i="1"/>
  <c r="V662" i="1"/>
  <c r="AN661" i="1"/>
  <c r="AL661" i="1"/>
  <c r="AK661" i="1"/>
  <c r="AJ661" i="1"/>
  <c r="AH661" i="1"/>
  <c r="AG661" i="1"/>
  <c r="AE661" i="1"/>
  <c r="AD661" i="1"/>
  <c r="AC661" i="1"/>
  <c r="AA661" i="1"/>
  <c r="Z661" i="1"/>
  <c r="Y661" i="1"/>
  <c r="W661" i="1"/>
  <c r="V661" i="1"/>
  <c r="AO660" i="1"/>
  <c r="AN660" i="1"/>
  <c r="AL660" i="1"/>
  <c r="AK660" i="1"/>
  <c r="AJ660" i="1"/>
  <c r="AH660" i="1"/>
  <c r="AG660" i="1"/>
  <c r="AE660" i="1"/>
  <c r="AD660" i="1"/>
  <c r="AC660" i="1"/>
  <c r="Z660" i="1"/>
  <c r="Y660" i="1"/>
  <c r="W660" i="1"/>
  <c r="V660" i="1"/>
  <c r="AO659" i="1"/>
  <c r="AN659" i="1"/>
  <c r="AL659" i="1"/>
  <c r="AK659" i="1"/>
  <c r="AJ659" i="1"/>
  <c r="AH659" i="1"/>
  <c r="AG659" i="1"/>
  <c r="AE659" i="1"/>
  <c r="AD659" i="1"/>
  <c r="AC659" i="1"/>
  <c r="Z659" i="1"/>
  <c r="Y659" i="1"/>
  <c r="W659" i="1"/>
  <c r="V659" i="1"/>
  <c r="AO658" i="1"/>
  <c r="AN658" i="1"/>
  <c r="AL658" i="1"/>
  <c r="AK658" i="1"/>
  <c r="AJ658" i="1"/>
  <c r="AH658" i="1"/>
  <c r="AG658" i="1"/>
  <c r="AE658" i="1"/>
  <c r="AD658" i="1"/>
  <c r="AC658" i="1"/>
  <c r="AA658" i="1"/>
  <c r="Z658" i="1"/>
  <c r="Y658" i="1"/>
  <c r="W658" i="1"/>
  <c r="V658" i="1"/>
  <c r="AN657" i="1"/>
  <c r="AL657" i="1"/>
  <c r="AK657" i="1"/>
  <c r="AJ657" i="1"/>
  <c r="AH657" i="1"/>
  <c r="AG657" i="1"/>
  <c r="AE657" i="1"/>
  <c r="AD657" i="1"/>
  <c r="AC657" i="1"/>
  <c r="Z657" i="1"/>
  <c r="Y657" i="1"/>
  <c r="W657" i="1"/>
  <c r="V657" i="1"/>
  <c r="AO656" i="1"/>
  <c r="AN656" i="1"/>
  <c r="AL656" i="1"/>
  <c r="AK656" i="1"/>
  <c r="AJ656" i="1"/>
  <c r="AH656" i="1"/>
  <c r="AG656" i="1"/>
  <c r="AE656" i="1"/>
  <c r="AD656" i="1"/>
  <c r="AC656" i="1"/>
  <c r="AA656" i="1"/>
  <c r="Z656" i="1"/>
  <c r="Y656" i="1"/>
  <c r="W656" i="1"/>
  <c r="V656" i="1"/>
  <c r="AO655" i="1"/>
  <c r="AN655" i="1"/>
  <c r="AL655" i="1"/>
  <c r="AK655" i="1"/>
  <c r="AJ655" i="1"/>
  <c r="AH655" i="1"/>
  <c r="AG655" i="1"/>
  <c r="AE655" i="1"/>
  <c r="AD655" i="1"/>
  <c r="AC655" i="1"/>
  <c r="AA655" i="1"/>
  <c r="Z655" i="1"/>
  <c r="Y655" i="1"/>
  <c r="W655" i="1"/>
  <c r="V655" i="1"/>
  <c r="AO654" i="1"/>
  <c r="AN654" i="1"/>
  <c r="AL654" i="1"/>
  <c r="AJ654" i="1"/>
  <c r="AK654" i="1" s="1"/>
  <c r="AH654" i="1"/>
  <c r="AG654" i="1"/>
  <c r="AE654" i="1"/>
  <c r="AD654" i="1"/>
  <c r="AC654" i="1"/>
  <c r="AA654" i="1"/>
  <c r="Z654" i="1"/>
  <c r="Y654" i="1"/>
  <c r="W654" i="1"/>
  <c r="V654" i="1"/>
  <c r="AO653" i="1"/>
  <c r="AN653" i="1"/>
  <c r="AL653" i="1"/>
  <c r="AK653" i="1"/>
  <c r="AJ653" i="1"/>
  <c r="AH653" i="1"/>
  <c r="AG653" i="1"/>
  <c r="AE653" i="1"/>
  <c r="AD653" i="1"/>
  <c r="AC653" i="1"/>
  <c r="AA653" i="1"/>
  <c r="Z653" i="1"/>
  <c r="Y653" i="1"/>
  <c r="W653" i="1"/>
  <c r="V653" i="1"/>
  <c r="AO652" i="1"/>
  <c r="AN652" i="1"/>
  <c r="AL652" i="1"/>
  <c r="AK652" i="1"/>
  <c r="AJ652" i="1"/>
  <c r="AH652" i="1"/>
  <c r="AG652" i="1"/>
  <c r="AE652" i="1"/>
  <c r="AD652" i="1"/>
  <c r="AC652" i="1"/>
  <c r="AA652" i="1"/>
  <c r="Z652" i="1"/>
  <c r="Y652" i="1"/>
  <c r="W652" i="1"/>
  <c r="V652" i="1"/>
  <c r="AO651" i="1"/>
  <c r="AN651" i="1"/>
  <c r="AL651" i="1"/>
  <c r="AK651" i="1"/>
  <c r="AJ651" i="1"/>
  <c r="AH651" i="1"/>
  <c r="AG651" i="1"/>
  <c r="AE651" i="1"/>
  <c r="AD651" i="1"/>
  <c r="AC651" i="1"/>
  <c r="AA651" i="1"/>
  <c r="Z651" i="1"/>
  <c r="Y651" i="1"/>
  <c r="W651" i="1"/>
  <c r="V651" i="1"/>
  <c r="AO650" i="1"/>
  <c r="AN650" i="1"/>
  <c r="AL650" i="1"/>
  <c r="AK650" i="1"/>
  <c r="AJ650" i="1"/>
  <c r="AH650" i="1"/>
  <c r="AG650" i="1"/>
  <c r="AE650" i="1"/>
  <c r="AD650" i="1"/>
  <c r="AC650" i="1"/>
  <c r="AA650" i="1"/>
  <c r="Z650" i="1"/>
  <c r="Y650" i="1"/>
  <c r="W650" i="1"/>
  <c r="V650" i="1"/>
  <c r="AO649" i="1"/>
  <c r="AN649" i="1"/>
  <c r="AL649" i="1"/>
  <c r="AK649" i="1"/>
  <c r="AJ649" i="1"/>
  <c r="AH649" i="1"/>
  <c r="AG649" i="1"/>
  <c r="AE649" i="1"/>
  <c r="AD649" i="1"/>
  <c r="AC649" i="1"/>
  <c r="AA649" i="1"/>
  <c r="Z649" i="1"/>
  <c r="Y649" i="1"/>
  <c r="W649" i="1"/>
  <c r="V649" i="1"/>
  <c r="AO648" i="1"/>
  <c r="AN648" i="1"/>
  <c r="AL648" i="1"/>
  <c r="AK648" i="1"/>
  <c r="AJ648" i="1"/>
  <c r="AH648" i="1"/>
  <c r="AG648" i="1"/>
  <c r="AE648" i="1"/>
  <c r="AD648" i="1"/>
  <c r="AC648" i="1"/>
  <c r="AA648" i="1"/>
  <c r="Z648" i="1"/>
  <c r="Y648" i="1"/>
  <c r="W648" i="1"/>
  <c r="V648" i="1"/>
  <c r="AN647" i="1"/>
  <c r="AL647" i="1"/>
  <c r="AJ647" i="1"/>
  <c r="AK647" i="1" s="1"/>
  <c r="AH647" i="1"/>
  <c r="AG647" i="1"/>
  <c r="AE647" i="1"/>
  <c r="AD647" i="1"/>
  <c r="AC647" i="1"/>
  <c r="AA647" i="1"/>
  <c r="Z647" i="1"/>
  <c r="Y647" i="1"/>
  <c r="W647" i="1"/>
  <c r="V647" i="1"/>
  <c r="AN646" i="1"/>
  <c r="AL646" i="1"/>
  <c r="AJ646" i="1"/>
  <c r="AK646" i="1" s="1"/>
  <c r="AH646" i="1"/>
  <c r="AG646" i="1"/>
  <c r="AE646" i="1"/>
  <c r="AD646" i="1"/>
  <c r="AC646" i="1"/>
  <c r="AA646" i="1"/>
  <c r="Z646" i="1"/>
  <c r="Y646" i="1"/>
  <c r="W646" i="1"/>
  <c r="V646" i="1"/>
  <c r="AO645" i="1"/>
  <c r="AN645" i="1"/>
  <c r="AL645" i="1"/>
  <c r="AK645" i="1"/>
  <c r="AJ645" i="1"/>
  <c r="AH645" i="1"/>
  <c r="AG645" i="1"/>
  <c r="AE645" i="1"/>
  <c r="AD645" i="1"/>
  <c r="AC645" i="1"/>
  <c r="AA645" i="1"/>
  <c r="Z645" i="1"/>
  <c r="Y645" i="1"/>
  <c r="W645" i="1"/>
  <c r="V645" i="1"/>
  <c r="AO644" i="1"/>
  <c r="AN644" i="1"/>
  <c r="AL644" i="1"/>
  <c r="AK644" i="1"/>
  <c r="AJ644" i="1"/>
  <c r="AH644" i="1"/>
  <c r="AG644" i="1"/>
  <c r="AE644" i="1"/>
  <c r="AD644" i="1"/>
  <c r="AA644" i="1"/>
  <c r="Z644" i="1"/>
  <c r="Y644" i="1"/>
  <c r="W644" i="1"/>
  <c r="AO643" i="1"/>
  <c r="AN643" i="1"/>
  <c r="AL643" i="1"/>
  <c r="AK643" i="1"/>
  <c r="AJ643" i="1"/>
  <c r="AH643" i="1"/>
  <c r="AG643" i="1"/>
  <c r="AE643" i="1"/>
  <c r="AD643" i="1"/>
  <c r="AC643" i="1"/>
  <c r="AA643" i="1"/>
  <c r="Z643" i="1"/>
  <c r="Y643" i="1"/>
  <c r="W643" i="1"/>
  <c r="V643" i="1"/>
  <c r="AO642" i="1"/>
  <c r="AN642" i="1"/>
  <c r="AL642" i="1"/>
  <c r="AK642" i="1"/>
  <c r="AJ642" i="1"/>
  <c r="AH642" i="1"/>
  <c r="AG642" i="1"/>
  <c r="AE642" i="1"/>
  <c r="AD642" i="1"/>
  <c r="AC642" i="1"/>
  <c r="AA642" i="1"/>
  <c r="Z642" i="1"/>
  <c r="Y642" i="1"/>
  <c r="W642" i="1"/>
  <c r="V642" i="1"/>
  <c r="AO641" i="1"/>
  <c r="AN641" i="1"/>
  <c r="AL641" i="1"/>
  <c r="AK641" i="1"/>
  <c r="AJ641" i="1"/>
  <c r="AH641" i="1"/>
  <c r="AG641" i="1"/>
  <c r="AE641" i="1"/>
  <c r="AD641" i="1"/>
  <c r="AC641" i="1"/>
  <c r="AA641" i="1"/>
  <c r="Z641" i="1"/>
  <c r="Y641" i="1"/>
  <c r="W641" i="1"/>
  <c r="V641" i="1"/>
  <c r="AO640" i="1"/>
  <c r="AN640" i="1"/>
  <c r="AL640" i="1"/>
  <c r="AK640" i="1"/>
  <c r="AJ640" i="1"/>
  <c r="AH640" i="1"/>
  <c r="AG640" i="1"/>
  <c r="AE640" i="1"/>
  <c r="AD640" i="1"/>
  <c r="AC640" i="1"/>
  <c r="AA640" i="1"/>
  <c r="Z640" i="1"/>
  <c r="Y640" i="1"/>
  <c r="W640" i="1"/>
  <c r="V640" i="1"/>
  <c r="AO639" i="1"/>
  <c r="AN639" i="1"/>
  <c r="AL639" i="1"/>
  <c r="AK639" i="1"/>
  <c r="AJ639" i="1"/>
  <c r="AH639" i="1"/>
  <c r="AG639" i="1"/>
  <c r="AE639" i="1"/>
  <c r="AD639" i="1"/>
  <c r="AC639" i="1"/>
  <c r="AA639" i="1"/>
  <c r="Z639" i="1"/>
  <c r="Y639" i="1"/>
  <c r="W639" i="1"/>
  <c r="V639" i="1"/>
  <c r="AO638" i="1"/>
  <c r="AN638" i="1"/>
  <c r="AL638" i="1"/>
  <c r="AK638" i="1"/>
  <c r="AJ638" i="1"/>
  <c r="AH638" i="1"/>
  <c r="AG638" i="1"/>
  <c r="AE638" i="1"/>
  <c r="AD638" i="1"/>
  <c r="AC638" i="1"/>
  <c r="AA638" i="1"/>
  <c r="Z638" i="1"/>
  <c r="Y638" i="1"/>
  <c r="W638" i="1"/>
  <c r="V638" i="1"/>
  <c r="AO637" i="1"/>
  <c r="AN637" i="1"/>
  <c r="AL637" i="1"/>
  <c r="AK637" i="1"/>
  <c r="AJ637" i="1"/>
  <c r="AH637" i="1"/>
  <c r="AG637" i="1"/>
  <c r="AE637" i="1"/>
  <c r="AD637" i="1"/>
  <c r="AC637" i="1"/>
  <c r="AA637" i="1"/>
  <c r="Z637" i="1"/>
  <c r="Y637" i="1"/>
  <c r="W637" i="1"/>
  <c r="V637" i="1"/>
  <c r="AO636" i="1"/>
  <c r="AN636" i="1"/>
  <c r="AL636" i="1"/>
  <c r="AK636" i="1"/>
  <c r="AJ636" i="1"/>
  <c r="AH636" i="1"/>
  <c r="AG636" i="1"/>
  <c r="AE636" i="1"/>
  <c r="AD636" i="1"/>
  <c r="AC636" i="1"/>
  <c r="AA636" i="1"/>
  <c r="Z636" i="1"/>
  <c r="Y636" i="1"/>
  <c r="W636" i="1"/>
  <c r="V636" i="1"/>
  <c r="AO635" i="1"/>
  <c r="AN635" i="1"/>
  <c r="AL635" i="1"/>
  <c r="AK635" i="1"/>
  <c r="AJ635" i="1"/>
  <c r="AH635" i="1"/>
  <c r="AG635" i="1"/>
  <c r="AE635" i="1"/>
  <c r="AD635" i="1"/>
  <c r="AC635" i="1"/>
  <c r="AA635" i="1"/>
  <c r="Z635" i="1"/>
  <c r="Y635" i="1"/>
  <c r="W635" i="1"/>
  <c r="V635" i="1"/>
  <c r="AO634" i="1"/>
  <c r="AN634" i="1"/>
  <c r="AL634" i="1"/>
  <c r="AK634" i="1"/>
  <c r="AJ634" i="1"/>
  <c r="AH634" i="1"/>
  <c r="AG634" i="1"/>
  <c r="AE634" i="1"/>
  <c r="AD634" i="1"/>
  <c r="AC634" i="1"/>
  <c r="AA634" i="1"/>
  <c r="Z634" i="1"/>
  <c r="Y634" i="1"/>
  <c r="W634" i="1"/>
  <c r="V634" i="1"/>
  <c r="AO633" i="1"/>
  <c r="AN633" i="1"/>
  <c r="AL633" i="1"/>
  <c r="AK633" i="1"/>
  <c r="AJ633" i="1"/>
  <c r="AH633" i="1"/>
  <c r="AG633" i="1"/>
  <c r="AE633" i="1"/>
  <c r="AD633" i="1"/>
  <c r="AC633" i="1"/>
  <c r="AA633" i="1"/>
  <c r="Z633" i="1"/>
  <c r="Y633" i="1"/>
  <c r="W633" i="1"/>
  <c r="V633" i="1"/>
  <c r="AO632" i="1"/>
  <c r="AN632" i="1"/>
  <c r="AL632" i="1"/>
  <c r="AK632" i="1"/>
  <c r="AJ632" i="1"/>
  <c r="AH632" i="1"/>
  <c r="AG632" i="1"/>
  <c r="AE632" i="1"/>
  <c r="AD632" i="1"/>
  <c r="AC632" i="1"/>
  <c r="AA632" i="1"/>
  <c r="Z632" i="1"/>
  <c r="Y632" i="1"/>
  <c r="W632" i="1"/>
  <c r="V632" i="1"/>
  <c r="AO631" i="1"/>
  <c r="AN631" i="1"/>
  <c r="AL631" i="1"/>
  <c r="AK631" i="1"/>
  <c r="AJ631" i="1"/>
  <c r="AH631" i="1"/>
  <c r="AG631" i="1"/>
  <c r="AE631" i="1"/>
  <c r="AD631" i="1"/>
  <c r="AC631" i="1"/>
  <c r="AA631" i="1"/>
  <c r="Z631" i="1"/>
  <c r="Y631" i="1"/>
  <c r="W631" i="1"/>
  <c r="V631" i="1"/>
  <c r="AO630" i="1"/>
  <c r="AN630" i="1"/>
  <c r="AL630" i="1"/>
  <c r="AK630" i="1"/>
  <c r="AJ630" i="1"/>
  <c r="AH630" i="1"/>
  <c r="AG630" i="1"/>
  <c r="AE630" i="1"/>
  <c r="AD630" i="1"/>
  <c r="AC630" i="1"/>
  <c r="AA630" i="1"/>
  <c r="Z630" i="1"/>
  <c r="Y630" i="1"/>
  <c r="W630" i="1"/>
  <c r="V630" i="1"/>
  <c r="AO629" i="1"/>
  <c r="AN629" i="1"/>
  <c r="AL629" i="1"/>
  <c r="AK629" i="1"/>
  <c r="AJ629" i="1"/>
  <c r="AH629" i="1"/>
  <c r="AG629" i="1"/>
  <c r="AE629" i="1"/>
  <c r="AD629" i="1"/>
  <c r="AC629" i="1"/>
  <c r="AA629" i="1"/>
  <c r="Z629" i="1"/>
  <c r="Y629" i="1"/>
  <c r="W629" i="1"/>
  <c r="V629" i="1"/>
  <c r="AO628" i="1"/>
  <c r="AN628" i="1"/>
  <c r="AL628" i="1"/>
  <c r="AK628" i="1"/>
  <c r="AJ628" i="1"/>
  <c r="AH628" i="1"/>
  <c r="AG628" i="1"/>
  <c r="AE628" i="1"/>
  <c r="AD628" i="1"/>
  <c r="AC628" i="1"/>
  <c r="AA628" i="1"/>
  <c r="Z628" i="1"/>
  <c r="Y628" i="1"/>
  <c r="W628" i="1"/>
  <c r="V628" i="1"/>
  <c r="AN627" i="1"/>
  <c r="AL627" i="1"/>
  <c r="AK627" i="1"/>
  <c r="AJ627" i="1"/>
  <c r="AH627" i="1"/>
  <c r="AG627" i="1"/>
  <c r="AE627" i="1"/>
  <c r="AC627" i="1"/>
  <c r="AA627" i="1"/>
  <c r="Z627" i="1"/>
  <c r="Y627" i="1"/>
  <c r="W627" i="1"/>
  <c r="V627" i="1"/>
  <c r="AN626" i="1"/>
  <c r="AL626" i="1"/>
  <c r="AK626" i="1"/>
  <c r="AJ626" i="1"/>
  <c r="AH626" i="1"/>
  <c r="AG626" i="1"/>
  <c r="AE626" i="1"/>
  <c r="AC626" i="1"/>
  <c r="AA626" i="1"/>
  <c r="Z626" i="1"/>
  <c r="Y626" i="1"/>
  <c r="W626" i="1"/>
  <c r="V626" i="1"/>
  <c r="AN625" i="1"/>
  <c r="AL625" i="1"/>
  <c r="AK625" i="1"/>
  <c r="AJ625" i="1"/>
  <c r="AH625" i="1"/>
  <c r="AG625" i="1"/>
  <c r="AE625" i="1"/>
  <c r="AC625" i="1"/>
  <c r="AA625" i="1"/>
  <c r="Z625" i="1"/>
  <c r="Y625" i="1"/>
  <c r="W625" i="1"/>
  <c r="V625" i="1"/>
  <c r="AO624" i="1"/>
  <c r="AN624" i="1"/>
  <c r="AL624" i="1"/>
  <c r="AK624" i="1"/>
  <c r="AJ624" i="1"/>
  <c r="AH624" i="1"/>
  <c r="AG624" i="1"/>
  <c r="AE624" i="1"/>
  <c r="AD624" i="1"/>
  <c r="AC624" i="1"/>
  <c r="AA624" i="1"/>
  <c r="Z624" i="1"/>
  <c r="Y624" i="1"/>
  <c r="W624" i="1"/>
  <c r="V624" i="1"/>
  <c r="AN623" i="1"/>
  <c r="AL623" i="1"/>
  <c r="AK623" i="1"/>
  <c r="AJ623" i="1"/>
  <c r="AH623" i="1"/>
  <c r="AG623" i="1"/>
  <c r="AE623" i="1"/>
  <c r="AD623" i="1"/>
  <c r="AA623" i="1"/>
  <c r="Z623" i="1"/>
  <c r="Y623" i="1"/>
  <c r="W623" i="1"/>
  <c r="AO622" i="1"/>
  <c r="AN622" i="1"/>
  <c r="AL622" i="1"/>
  <c r="AK622" i="1"/>
  <c r="AJ622" i="1"/>
  <c r="AH622" i="1"/>
  <c r="AG622" i="1"/>
  <c r="AE622" i="1"/>
  <c r="AD622" i="1"/>
  <c r="AC622" i="1"/>
  <c r="AA622" i="1"/>
  <c r="Z622" i="1"/>
  <c r="Y622" i="1"/>
  <c r="W622" i="1"/>
  <c r="V622" i="1"/>
  <c r="AO621" i="1"/>
  <c r="AN621" i="1"/>
  <c r="AL621" i="1"/>
  <c r="AK621" i="1"/>
  <c r="AJ621" i="1"/>
  <c r="AH621" i="1"/>
  <c r="AG621" i="1"/>
  <c r="AE621" i="1"/>
  <c r="AD621" i="1"/>
  <c r="AC621" i="1"/>
  <c r="AA621" i="1"/>
  <c r="Z621" i="1"/>
  <c r="Y621" i="1"/>
  <c r="W621" i="1"/>
  <c r="V621" i="1"/>
  <c r="AO620" i="1"/>
  <c r="AN620" i="1"/>
  <c r="AL620" i="1"/>
  <c r="AK620" i="1"/>
  <c r="AJ620" i="1"/>
  <c r="AH620" i="1"/>
  <c r="AG620" i="1"/>
  <c r="AE620" i="1"/>
  <c r="AD620" i="1"/>
  <c r="AC620" i="1"/>
  <c r="AA620" i="1"/>
  <c r="Z620" i="1"/>
  <c r="Y620" i="1"/>
  <c r="W620" i="1"/>
  <c r="V620" i="1"/>
  <c r="AN619" i="1"/>
  <c r="AL619" i="1"/>
  <c r="AJ619" i="1"/>
  <c r="AK619" i="1" s="1"/>
  <c r="AH619" i="1"/>
  <c r="AG619" i="1"/>
  <c r="AE619" i="1"/>
  <c r="AD619" i="1"/>
  <c r="AC619" i="1"/>
  <c r="AA619" i="1"/>
  <c r="Z619" i="1"/>
  <c r="Y619" i="1"/>
  <c r="W619" i="1"/>
  <c r="V619" i="1"/>
  <c r="AO618" i="1"/>
  <c r="AN618" i="1"/>
  <c r="AL618" i="1"/>
  <c r="AJ618" i="1"/>
  <c r="AK618" i="1" s="1"/>
  <c r="AH618" i="1"/>
  <c r="AG618" i="1"/>
  <c r="AE618" i="1"/>
  <c r="AD618" i="1"/>
  <c r="AC618" i="1"/>
  <c r="AA618" i="1"/>
  <c r="Z618" i="1"/>
  <c r="Y618" i="1"/>
  <c r="W618" i="1"/>
  <c r="V618" i="1"/>
  <c r="AN617" i="1"/>
  <c r="AL617" i="1"/>
  <c r="AJ617" i="1"/>
  <c r="AK617" i="1" s="1"/>
  <c r="AH617" i="1"/>
  <c r="AG617" i="1"/>
  <c r="AE617" i="1"/>
  <c r="AD617" i="1"/>
  <c r="AC617" i="1"/>
  <c r="AA617" i="1"/>
  <c r="Z617" i="1"/>
  <c r="Y617" i="1"/>
  <c r="W617" i="1"/>
  <c r="V617" i="1"/>
  <c r="AN616" i="1"/>
  <c r="AL616" i="1"/>
  <c r="AJ616" i="1"/>
  <c r="AK616" i="1" s="1"/>
  <c r="AH616" i="1"/>
  <c r="AG616" i="1"/>
  <c r="AE616" i="1"/>
  <c r="AD616" i="1"/>
  <c r="AC616" i="1"/>
  <c r="AA616" i="1"/>
  <c r="Z616" i="1"/>
  <c r="Y616" i="1"/>
  <c r="W616" i="1"/>
  <c r="AO615" i="1"/>
  <c r="AN615" i="1"/>
  <c r="AL615" i="1"/>
  <c r="AK615" i="1"/>
  <c r="AJ615" i="1"/>
  <c r="AH615" i="1"/>
  <c r="AG615" i="1"/>
  <c r="AE615" i="1"/>
  <c r="AD615" i="1"/>
  <c r="AC615" i="1"/>
  <c r="AA615" i="1"/>
  <c r="Z615" i="1"/>
  <c r="Y615" i="1"/>
  <c r="W615" i="1"/>
  <c r="V615" i="1"/>
  <c r="AO614" i="1"/>
  <c r="AN614" i="1"/>
  <c r="AL614" i="1"/>
  <c r="AK614" i="1"/>
  <c r="AJ614" i="1"/>
  <c r="AH614" i="1"/>
  <c r="AG614" i="1"/>
  <c r="AE614" i="1"/>
  <c r="AD614" i="1"/>
  <c r="AC614" i="1"/>
  <c r="AA614" i="1"/>
  <c r="Z614" i="1"/>
  <c r="Y614" i="1"/>
  <c r="W614" i="1"/>
  <c r="V614" i="1"/>
  <c r="AO613" i="1"/>
  <c r="AN613" i="1"/>
  <c r="AL613" i="1"/>
  <c r="AK613" i="1"/>
  <c r="AJ613" i="1"/>
  <c r="AH613" i="1"/>
  <c r="AG613" i="1"/>
  <c r="AE613" i="1"/>
  <c r="AD613" i="1"/>
  <c r="AC613" i="1"/>
  <c r="AA613" i="1"/>
  <c r="Z613" i="1"/>
  <c r="Y613" i="1"/>
  <c r="W613" i="1"/>
  <c r="V613" i="1"/>
  <c r="AO612" i="1"/>
  <c r="AN612" i="1"/>
  <c r="AL612" i="1"/>
  <c r="AK612" i="1"/>
  <c r="AJ612" i="1"/>
  <c r="AH612" i="1"/>
  <c r="AG612" i="1"/>
  <c r="AE612" i="1"/>
  <c r="AD612" i="1"/>
  <c r="AC612" i="1"/>
  <c r="AA612" i="1"/>
  <c r="Z612" i="1"/>
  <c r="Y612" i="1"/>
  <c r="W612" i="1"/>
  <c r="V612" i="1"/>
  <c r="AO611" i="1"/>
  <c r="AN611" i="1"/>
  <c r="AL611" i="1"/>
  <c r="AK611" i="1"/>
  <c r="AJ611" i="1"/>
  <c r="AH611" i="1"/>
  <c r="AG611" i="1"/>
  <c r="AE611" i="1"/>
  <c r="AD611" i="1"/>
  <c r="AC611" i="1"/>
  <c r="AA611" i="1"/>
  <c r="Z611" i="1"/>
  <c r="Y611" i="1"/>
  <c r="W611" i="1"/>
  <c r="V611" i="1"/>
  <c r="AO610" i="1"/>
  <c r="AN610" i="1"/>
  <c r="AL610" i="1"/>
  <c r="AK610" i="1"/>
  <c r="AJ610" i="1"/>
  <c r="AH610" i="1"/>
  <c r="AG610" i="1"/>
  <c r="AE610" i="1"/>
  <c r="AD610" i="1"/>
  <c r="AC610" i="1"/>
  <c r="AA610" i="1"/>
  <c r="Z610" i="1"/>
  <c r="Y610" i="1"/>
  <c r="W610" i="1"/>
  <c r="V610" i="1"/>
  <c r="AO609" i="1"/>
  <c r="AN609" i="1"/>
  <c r="AL609" i="1"/>
  <c r="AK609" i="1"/>
  <c r="AJ609" i="1"/>
  <c r="AH609" i="1"/>
  <c r="AG609" i="1"/>
  <c r="AE609" i="1"/>
  <c r="AD609" i="1"/>
  <c r="AC609" i="1"/>
  <c r="AA609" i="1"/>
  <c r="Z609" i="1"/>
  <c r="Y609" i="1"/>
  <c r="W609" i="1"/>
  <c r="V609" i="1"/>
  <c r="AO608" i="1"/>
  <c r="AN608" i="1"/>
  <c r="AL608" i="1"/>
  <c r="AK608" i="1"/>
  <c r="AJ608" i="1"/>
  <c r="AH608" i="1"/>
  <c r="AG608" i="1"/>
  <c r="AE608" i="1"/>
  <c r="AD608" i="1"/>
  <c r="AC608" i="1"/>
  <c r="AA608" i="1"/>
  <c r="Z608" i="1"/>
  <c r="Y608" i="1"/>
  <c r="W608" i="1"/>
  <c r="V608" i="1"/>
  <c r="AO607" i="1"/>
  <c r="AN607" i="1"/>
  <c r="AL607" i="1"/>
  <c r="AK607" i="1"/>
  <c r="AJ607" i="1"/>
  <c r="AH607" i="1"/>
  <c r="AG607" i="1"/>
  <c r="AE607" i="1"/>
  <c r="AD607" i="1"/>
  <c r="AC607" i="1"/>
  <c r="AA607" i="1"/>
  <c r="Z607" i="1"/>
  <c r="Y607" i="1"/>
  <c r="W607" i="1"/>
  <c r="V607" i="1"/>
  <c r="AO606" i="1"/>
  <c r="AN606" i="1"/>
  <c r="AL606" i="1"/>
  <c r="AK606" i="1"/>
  <c r="AJ606" i="1"/>
  <c r="AH606" i="1"/>
  <c r="AG606" i="1"/>
  <c r="AE606" i="1"/>
  <c r="AD606" i="1"/>
  <c r="AC606" i="1"/>
  <c r="AA606" i="1"/>
  <c r="Z606" i="1"/>
  <c r="Y606" i="1"/>
  <c r="W606" i="1"/>
  <c r="V606" i="1"/>
  <c r="AO605" i="1"/>
  <c r="AN605" i="1"/>
  <c r="AL605" i="1"/>
  <c r="AK605" i="1"/>
  <c r="AJ605" i="1"/>
  <c r="AH605" i="1"/>
  <c r="AG605" i="1"/>
  <c r="AE605" i="1"/>
  <c r="AD605" i="1"/>
  <c r="AC605" i="1"/>
  <c r="AA605" i="1"/>
  <c r="Z605" i="1"/>
  <c r="Y605" i="1"/>
  <c r="W605" i="1"/>
  <c r="V605" i="1"/>
  <c r="AO604" i="1"/>
  <c r="AN604" i="1"/>
  <c r="AL604" i="1"/>
  <c r="AJ604" i="1"/>
  <c r="AK604" i="1" s="1"/>
  <c r="AH604" i="1"/>
  <c r="AG604" i="1"/>
  <c r="AE604" i="1"/>
  <c r="AD604" i="1"/>
  <c r="AA604" i="1"/>
  <c r="Z604" i="1"/>
  <c r="Y604" i="1"/>
  <c r="W604" i="1"/>
  <c r="V604" i="1"/>
  <c r="AO603" i="1"/>
  <c r="AN603" i="1"/>
  <c r="AL603" i="1"/>
  <c r="AJ603" i="1"/>
  <c r="AK603" i="1" s="1"/>
  <c r="AH603" i="1"/>
  <c r="AG603" i="1"/>
  <c r="AE603" i="1"/>
  <c r="AD603" i="1"/>
  <c r="AA603" i="1"/>
  <c r="Z603" i="1"/>
  <c r="Y603" i="1"/>
  <c r="W603" i="1"/>
  <c r="V603" i="1"/>
  <c r="AN602" i="1"/>
  <c r="AL602" i="1"/>
  <c r="AK602" i="1"/>
  <c r="AJ602" i="1"/>
  <c r="AH602" i="1"/>
  <c r="AG602" i="1"/>
  <c r="AE602" i="1"/>
  <c r="AD602" i="1"/>
  <c r="AC602" i="1"/>
  <c r="AA602" i="1"/>
  <c r="Z602" i="1"/>
  <c r="Y602" i="1"/>
  <c r="W602" i="1"/>
  <c r="V602" i="1"/>
  <c r="AO601" i="1"/>
  <c r="AN601" i="1"/>
  <c r="AL601" i="1"/>
  <c r="AK601" i="1"/>
  <c r="AJ601" i="1"/>
  <c r="AH601" i="1"/>
  <c r="AG601" i="1"/>
  <c r="AE601" i="1"/>
  <c r="AD601" i="1"/>
  <c r="AC601" i="1"/>
  <c r="AA601" i="1"/>
  <c r="Z601" i="1"/>
  <c r="Y601" i="1"/>
  <c r="W601" i="1"/>
  <c r="V601" i="1"/>
  <c r="AN600" i="1"/>
  <c r="AL600" i="1"/>
  <c r="AK600" i="1"/>
  <c r="AJ600" i="1"/>
  <c r="AH600" i="1"/>
  <c r="AG600" i="1"/>
  <c r="AE600" i="1"/>
  <c r="AD600" i="1"/>
  <c r="Z600" i="1"/>
  <c r="W600" i="1"/>
  <c r="AO599" i="1"/>
  <c r="AN599" i="1"/>
  <c r="AL599" i="1"/>
  <c r="AK599" i="1"/>
  <c r="AJ599" i="1"/>
  <c r="AH599" i="1"/>
  <c r="AG599" i="1"/>
  <c r="AE599" i="1"/>
  <c r="AD599" i="1"/>
  <c r="AC599" i="1"/>
  <c r="AA599" i="1"/>
  <c r="Z599" i="1"/>
  <c r="Y599" i="1"/>
  <c r="W599" i="1"/>
  <c r="V599" i="1"/>
  <c r="AO598" i="1"/>
  <c r="AN598" i="1"/>
  <c r="AL598" i="1"/>
  <c r="AK598" i="1"/>
  <c r="AJ598" i="1"/>
  <c r="AH598" i="1"/>
  <c r="AG598" i="1"/>
  <c r="AE598" i="1"/>
  <c r="AD598" i="1"/>
  <c r="AC598" i="1"/>
  <c r="AA598" i="1"/>
  <c r="Z598" i="1"/>
  <c r="Y598" i="1"/>
  <c r="W598" i="1"/>
  <c r="V598" i="1"/>
  <c r="AO597" i="1"/>
  <c r="AN597" i="1"/>
  <c r="AL597" i="1"/>
  <c r="AK597" i="1"/>
  <c r="AJ597" i="1"/>
  <c r="AH597" i="1"/>
  <c r="AG597" i="1"/>
  <c r="AE597" i="1"/>
  <c r="AD597" i="1"/>
  <c r="AC597" i="1"/>
  <c r="AA597" i="1"/>
  <c r="Z597" i="1"/>
  <c r="Y597" i="1"/>
  <c r="W597" i="1"/>
  <c r="V597" i="1"/>
  <c r="AO596" i="1"/>
  <c r="AN596" i="1"/>
  <c r="AL596" i="1"/>
  <c r="AK596" i="1"/>
  <c r="AJ596" i="1"/>
  <c r="AH596" i="1"/>
  <c r="AG596" i="1"/>
  <c r="AE596" i="1"/>
  <c r="AD596" i="1"/>
  <c r="AC596" i="1"/>
  <c r="AA596" i="1"/>
  <c r="Z596" i="1"/>
  <c r="Y596" i="1"/>
  <c r="W596" i="1"/>
  <c r="V596" i="1"/>
  <c r="AO595" i="1"/>
  <c r="AN595" i="1"/>
  <c r="AL595" i="1"/>
  <c r="AK595" i="1"/>
  <c r="AJ595" i="1"/>
  <c r="AH595" i="1"/>
  <c r="AG595" i="1"/>
  <c r="AE595" i="1"/>
  <c r="AD595" i="1"/>
  <c r="AC595" i="1"/>
  <c r="AA595" i="1"/>
  <c r="Z595" i="1"/>
  <c r="Y595" i="1"/>
  <c r="W595" i="1"/>
  <c r="V595" i="1"/>
  <c r="AN594" i="1"/>
  <c r="AL594" i="1"/>
  <c r="AK594" i="1"/>
  <c r="AJ594" i="1"/>
  <c r="AH594" i="1"/>
  <c r="AG594" i="1"/>
  <c r="AE594" i="1"/>
  <c r="AC594" i="1"/>
  <c r="AA594" i="1"/>
  <c r="Z594" i="1"/>
  <c r="Y594" i="1"/>
  <c r="W594" i="1"/>
  <c r="V594" i="1"/>
  <c r="AN593" i="1"/>
  <c r="AL593" i="1"/>
  <c r="AK593" i="1"/>
  <c r="AJ593" i="1"/>
  <c r="AH593" i="1"/>
  <c r="AG593" i="1"/>
  <c r="AE593" i="1"/>
  <c r="AC593" i="1"/>
  <c r="AA593" i="1"/>
  <c r="Z593" i="1"/>
  <c r="Y593" i="1"/>
  <c r="V593" i="1"/>
  <c r="AN592" i="1"/>
  <c r="AL592" i="1"/>
  <c r="AK592" i="1"/>
  <c r="AJ592" i="1"/>
  <c r="AH592" i="1"/>
  <c r="AG592" i="1"/>
  <c r="AE592" i="1"/>
  <c r="AC592" i="1"/>
  <c r="AA592" i="1"/>
  <c r="Z592" i="1"/>
  <c r="Y592" i="1"/>
  <c r="V592" i="1"/>
  <c r="AN591" i="1"/>
  <c r="AL591" i="1"/>
  <c r="AJ591" i="1"/>
  <c r="AK591" i="1" s="1"/>
  <c r="AH591" i="1"/>
  <c r="AG591" i="1"/>
  <c r="AE591" i="1"/>
  <c r="AD591" i="1"/>
  <c r="AC591" i="1"/>
  <c r="AA591" i="1"/>
  <c r="Z591" i="1"/>
  <c r="Y591" i="1"/>
  <c r="W591" i="1"/>
  <c r="AN590" i="1"/>
  <c r="AL590" i="1"/>
  <c r="AK590" i="1"/>
  <c r="AJ590" i="1"/>
  <c r="AH590" i="1"/>
  <c r="AG590" i="1"/>
  <c r="AE590" i="1"/>
  <c r="AD590" i="1"/>
  <c r="Z590" i="1"/>
  <c r="Y590" i="1"/>
  <c r="W590" i="1"/>
  <c r="AN589" i="1"/>
  <c r="AL589" i="1"/>
  <c r="AK589" i="1"/>
  <c r="AJ589" i="1"/>
  <c r="AH589" i="1"/>
  <c r="AG589" i="1"/>
  <c r="AE589" i="1"/>
  <c r="AD589" i="1"/>
  <c r="Z589" i="1"/>
  <c r="Y589" i="1"/>
  <c r="W589" i="1"/>
  <c r="AO588" i="1"/>
  <c r="AN588" i="1"/>
  <c r="AL588" i="1"/>
  <c r="AK588" i="1"/>
  <c r="AJ588" i="1"/>
  <c r="AH588" i="1"/>
  <c r="AG588" i="1"/>
  <c r="AE588" i="1"/>
  <c r="AD588" i="1"/>
  <c r="AC588" i="1"/>
  <c r="AA588" i="1"/>
  <c r="Z588" i="1"/>
  <c r="Y588" i="1"/>
  <c r="W588" i="1"/>
  <c r="V588" i="1"/>
  <c r="AO587" i="1"/>
  <c r="AN587" i="1"/>
  <c r="AL587" i="1"/>
  <c r="AK587" i="1"/>
  <c r="AJ587" i="1"/>
  <c r="AH587" i="1"/>
  <c r="AG587" i="1"/>
  <c r="AE587" i="1"/>
  <c r="AC587" i="1"/>
  <c r="AA587" i="1"/>
  <c r="Z587" i="1"/>
  <c r="Y587" i="1"/>
  <c r="V587" i="1"/>
  <c r="AN586" i="1"/>
  <c r="AL586" i="1"/>
  <c r="AK586" i="1"/>
  <c r="AJ586" i="1"/>
  <c r="AH586" i="1"/>
  <c r="AG586" i="1"/>
  <c r="AE586" i="1"/>
  <c r="AC586" i="1"/>
  <c r="AA586" i="1"/>
  <c r="Z586" i="1"/>
  <c r="Y586" i="1"/>
  <c r="W586" i="1"/>
  <c r="V586" i="1"/>
  <c r="AN585" i="1"/>
  <c r="AL585" i="1"/>
  <c r="AK585" i="1"/>
  <c r="AJ585" i="1"/>
  <c r="AH585" i="1"/>
  <c r="AG585" i="1"/>
  <c r="AE585" i="1"/>
  <c r="AC585" i="1"/>
  <c r="AA585" i="1"/>
  <c r="Z585" i="1"/>
  <c r="Y585" i="1"/>
  <c r="W585" i="1"/>
  <c r="V585" i="1"/>
  <c r="AN584" i="1"/>
  <c r="AL584" i="1"/>
  <c r="AK584" i="1"/>
  <c r="AJ584" i="1"/>
  <c r="AH584" i="1"/>
  <c r="AG584" i="1"/>
  <c r="AE584" i="1"/>
  <c r="AC584" i="1"/>
  <c r="AA584" i="1"/>
  <c r="Z584" i="1"/>
  <c r="Y584" i="1"/>
  <c r="W584" i="1"/>
  <c r="V584" i="1"/>
  <c r="AO583" i="1"/>
  <c r="AN583" i="1"/>
  <c r="AL583" i="1"/>
  <c r="AK583" i="1"/>
  <c r="AJ583" i="1"/>
  <c r="AH583" i="1"/>
  <c r="AG583" i="1"/>
  <c r="AE583" i="1"/>
  <c r="AC583" i="1"/>
  <c r="AA583" i="1"/>
  <c r="Z583" i="1"/>
  <c r="Y583" i="1"/>
  <c r="V583" i="1"/>
  <c r="AO582" i="1"/>
  <c r="AN582" i="1"/>
  <c r="AL582" i="1"/>
  <c r="AK582" i="1"/>
  <c r="AJ582" i="1"/>
  <c r="AH582" i="1"/>
  <c r="AG582" i="1"/>
  <c r="AE582" i="1"/>
  <c r="AD582" i="1"/>
  <c r="AC582" i="1"/>
  <c r="AA582" i="1"/>
  <c r="Z582" i="1"/>
  <c r="Y582" i="1"/>
  <c r="W582" i="1"/>
  <c r="V582" i="1"/>
  <c r="AO581" i="1"/>
  <c r="AN581" i="1"/>
  <c r="AL581" i="1"/>
  <c r="AK581" i="1"/>
  <c r="AJ581" i="1"/>
  <c r="AH581" i="1"/>
  <c r="AG581" i="1"/>
  <c r="AE581" i="1"/>
  <c r="AD581" i="1"/>
  <c r="AC581" i="1"/>
  <c r="AA581" i="1"/>
  <c r="Z581" i="1"/>
  <c r="Y581" i="1"/>
  <c r="W581" i="1"/>
  <c r="V581" i="1"/>
  <c r="AO580" i="1"/>
  <c r="AN580" i="1"/>
  <c r="AL580" i="1"/>
  <c r="AJ580" i="1"/>
  <c r="AK580" i="1" s="1"/>
  <c r="AH580" i="1"/>
  <c r="AG580" i="1"/>
  <c r="AE580" i="1"/>
  <c r="AD580" i="1"/>
  <c r="AA580" i="1"/>
  <c r="Z580" i="1"/>
  <c r="Y580" i="1"/>
  <c r="W580" i="1"/>
  <c r="V580" i="1"/>
  <c r="AO579" i="1"/>
  <c r="AN579" i="1"/>
  <c r="AL579" i="1"/>
  <c r="AJ579" i="1"/>
  <c r="AK579" i="1" s="1"/>
  <c r="AH579" i="1"/>
  <c r="AG579" i="1"/>
  <c r="AE579" i="1"/>
  <c r="AD579" i="1"/>
  <c r="AA579" i="1"/>
  <c r="Z579" i="1"/>
  <c r="Y579" i="1"/>
  <c r="W579" i="1"/>
  <c r="V579" i="1"/>
  <c r="AO578" i="1"/>
  <c r="AN578" i="1"/>
  <c r="AL578" i="1"/>
  <c r="AK578" i="1"/>
  <c r="AJ578" i="1"/>
  <c r="AH578" i="1"/>
  <c r="AG578" i="1"/>
  <c r="AE578" i="1"/>
  <c r="AD578" i="1"/>
  <c r="AC578" i="1"/>
  <c r="AA578" i="1"/>
  <c r="Z578" i="1"/>
  <c r="Y578" i="1"/>
  <c r="W578" i="1"/>
  <c r="V578" i="1"/>
  <c r="AN577" i="1"/>
  <c r="AL577" i="1"/>
  <c r="AJ577" i="1"/>
  <c r="AK577" i="1" s="1"/>
  <c r="AH577" i="1"/>
  <c r="AG577" i="1"/>
  <c r="AE577" i="1"/>
  <c r="AD577" i="1"/>
  <c r="AC577" i="1"/>
  <c r="AA577" i="1"/>
  <c r="Z577" i="1"/>
  <c r="Y577" i="1"/>
  <c r="W577" i="1"/>
  <c r="V577" i="1"/>
  <c r="AN576" i="1"/>
  <c r="AL576" i="1"/>
  <c r="AK576" i="1"/>
  <c r="AJ576" i="1"/>
  <c r="AH576" i="1"/>
  <c r="AG576" i="1"/>
  <c r="AE576" i="1"/>
  <c r="AD576" i="1"/>
  <c r="AC576" i="1"/>
  <c r="AA576" i="1"/>
  <c r="Z576" i="1"/>
  <c r="Y576" i="1"/>
  <c r="W576" i="1"/>
  <c r="AN575" i="1"/>
  <c r="AL575" i="1"/>
  <c r="AJ575" i="1"/>
  <c r="AK575" i="1" s="1"/>
  <c r="AH575" i="1"/>
  <c r="AG575" i="1"/>
  <c r="AE575" i="1"/>
  <c r="AD575" i="1"/>
  <c r="AC575" i="1"/>
  <c r="AA575" i="1"/>
  <c r="Z575" i="1"/>
  <c r="Y575" i="1"/>
  <c r="W575" i="1"/>
  <c r="V575" i="1"/>
  <c r="AN574" i="1"/>
  <c r="AL574" i="1"/>
  <c r="AK574" i="1"/>
  <c r="AJ574" i="1"/>
  <c r="AH574" i="1"/>
  <c r="AG574" i="1"/>
  <c r="AE574" i="1"/>
  <c r="AD574" i="1"/>
  <c r="AC574" i="1"/>
  <c r="AA574" i="1"/>
  <c r="Z574" i="1"/>
  <c r="Y574" i="1"/>
  <c r="W574" i="1"/>
  <c r="AN573" i="1"/>
  <c r="AL573" i="1"/>
  <c r="AJ573" i="1"/>
  <c r="AK573" i="1" s="1"/>
  <c r="AH573" i="1"/>
  <c r="AG573" i="1"/>
  <c r="AE573" i="1"/>
  <c r="AD573" i="1"/>
  <c r="AC573" i="1"/>
  <c r="AA573" i="1"/>
  <c r="Z573" i="1"/>
  <c r="Y573" i="1"/>
  <c r="W573" i="1"/>
  <c r="V573" i="1"/>
  <c r="AN572" i="1"/>
  <c r="AL572" i="1"/>
  <c r="AK572" i="1"/>
  <c r="AJ572" i="1"/>
  <c r="AH572" i="1"/>
  <c r="AG572" i="1"/>
  <c r="AE572" i="1"/>
  <c r="AC572" i="1"/>
  <c r="AA572" i="1"/>
  <c r="Z572" i="1"/>
  <c r="Y572" i="1"/>
  <c r="W572" i="1"/>
  <c r="V572" i="1"/>
  <c r="AO571" i="1"/>
  <c r="AN571" i="1"/>
  <c r="AL571" i="1"/>
  <c r="AK571" i="1"/>
  <c r="AJ571" i="1"/>
  <c r="AH571" i="1"/>
  <c r="AG571" i="1"/>
  <c r="AE571" i="1"/>
  <c r="AC571" i="1"/>
  <c r="AA571" i="1"/>
  <c r="Z571" i="1"/>
  <c r="Y571" i="1"/>
  <c r="W571" i="1"/>
  <c r="V571" i="1"/>
  <c r="AN570" i="1"/>
  <c r="AL570" i="1"/>
  <c r="AK570" i="1"/>
  <c r="AJ570" i="1"/>
  <c r="AH570" i="1"/>
  <c r="AG570" i="1"/>
  <c r="AE570" i="1"/>
  <c r="AC570" i="1"/>
  <c r="AA570" i="1"/>
  <c r="Z570" i="1"/>
  <c r="Y570" i="1"/>
  <c r="W570" i="1"/>
  <c r="V570" i="1"/>
  <c r="AO569" i="1"/>
  <c r="AN569" i="1"/>
  <c r="AL569" i="1"/>
  <c r="AK569" i="1"/>
  <c r="AJ569" i="1"/>
  <c r="AH569" i="1"/>
  <c r="AG569" i="1"/>
  <c r="AE569" i="1"/>
  <c r="AD569" i="1"/>
  <c r="AC569" i="1"/>
  <c r="AA569" i="1"/>
  <c r="Z569" i="1"/>
  <c r="Y569" i="1"/>
  <c r="W569" i="1"/>
  <c r="V569" i="1"/>
  <c r="AO568" i="1"/>
  <c r="AN568" i="1"/>
  <c r="AL568" i="1"/>
  <c r="AK568" i="1"/>
  <c r="AJ568" i="1"/>
  <c r="AH568" i="1"/>
  <c r="AG568" i="1"/>
  <c r="AE568" i="1"/>
  <c r="AD568" i="1"/>
  <c r="AC568" i="1"/>
  <c r="AA568" i="1"/>
  <c r="Z568" i="1"/>
  <c r="Y568" i="1"/>
  <c r="W568" i="1"/>
  <c r="V568" i="1"/>
  <c r="AO567" i="1"/>
  <c r="AN567" i="1"/>
  <c r="AL567" i="1"/>
  <c r="AK567" i="1"/>
  <c r="AJ567" i="1"/>
  <c r="AH567" i="1"/>
  <c r="AG567" i="1"/>
  <c r="AE567" i="1"/>
  <c r="AD567" i="1"/>
  <c r="AA567" i="1"/>
  <c r="Z567" i="1"/>
  <c r="Y567" i="1"/>
  <c r="W567" i="1"/>
  <c r="AN566" i="1"/>
  <c r="AL566" i="1"/>
  <c r="AK566" i="1"/>
  <c r="AJ566" i="1"/>
  <c r="AH566" i="1"/>
  <c r="AG566" i="1"/>
  <c r="AE566" i="1"/>
  <c r="AD566" i="1"/>
  <c r="AC566" i="1"/>
  <c r="Z566" i="1"/>
  <c r="Y566" i="1"/>
  <c r="W566" i="1"/>
  <c r="V566" i="1"/>
  <c r="AN565" i="1"/>
  <c r="AL565" i="1"/>
  <c r="AK565" i="1"/>
  <c r="AJ565" i="1"/>
  <c r="AH565" i="1"/>
  <c r="AG565" i="1"/>
  <c r="AE565" i="1"/>
  <c r="AD565" i="1"/>
  <c r="AC565" i="1"/>
  <c r="Z565" i="1"/>
  <c r="Y565" i="1"/>
  <c r="W565" i="1"/>
  <c r="V565" i="1"/>
  <c r="AN564" i="1"/>
  <c r="AL564" i="1"/>
  <c r="AK564" i="1"/>
  <c r="AJ564" i="1"/>
  <c r="AH564" i="1"/>
  <c r="AG564" i="1"/>
  <c r="AE564" i="1"/>
  <c r="AC564" i="1"/>
  <c r="AA564" i="1"/>
  <c r="Z564" i="1"/>
  <c r="Y564" i="1"/>
  <c r="W564" i="1"/>
  <c r="V564" i="1"/>
  <c r="AN563" i="1"/>
  <c r="AL563" i="1"/>
  <c r="AK563" i="1"/>
  <c r="AJ563" i="1"/>
  <c r="AH563" i="1"/>
  <c r="AG563" i="1"/>
  <c r="AE563" i="1"/>
  <c r="AC563" i="1"/>
  <c r="AA563" i="1"/>
  <c r="Z563" i="1"/>
  <c r="Y563" i="1"/>
  <c r="W563" i="1"/>
  <c r="V563" i="1"/>
  <c r="AN562" i="1"/>
  <c r="AL562" i="1"/>
  <c r="AK562" i="1"/>
  <c r="AJ562" i="1"/>
  <c r="AH562" i="1"/>
  <c r="AG562" i="1"/>
  <c r="AE562" i="1"/>
  <c r="AC562" i="1"/>
  <c r="AA562" i="1"/>
  <c r="Z562" i="1"/>
  <c r="Y562" i="1"/>
  <c r="W562" i="1"/>
  <c r="V562" i="1"/>
  <c r="AN561" i="1"/>
  <c r="AL561" i="1"/>
  <c r="AK561" i="1"/>
  <c r="AJ561" i="1"/>
  <c r="AH561" i="1"/>
  <c r="AG561" i="1"/>
  <c r="AE561" i="1"/>
  <c r="AC561" i="1"/>
  <c r="AA561" i="1"/>
  <c r="Z561" i="1"/>
  <c r="Y561" i="1"/>
  <c r="W561" i="1"/>
  <c r="V561" i="1"/>
  <c r="AN560" i="1"/>
  <c r="AL560" i="1"/>
  <c r="AK560" i="1"/>
  <c r="AJ560" i="1"/>
  <c r="AH560" i="1"/>
  <c r="AG560" i="1"/>
  <c r="AE560" i="1"/>
  <c r="AC560" i="1"/>
  <c r="AA560" i="1"/>
  <c r="Z560" i="1"/>
  <c r="Y560" i="1"/>
  <c r="W560" i="1"/>
  <c r="V560" i="1"/>
  <c r="AO559" i="1"/>
  <c r="AN559" i="1"/>
  <c r="AL559" i="1"/>
  <c r="AK559" i="1"/>
  <c r="AJ559" i="1"/>
  <c r="AH559" i="1"/>
  <c r="AG559" i="1"/>
  <c r="AE559" i="1"/>
  <c r="AC559" i="1"/>
  <c r="AA559" i="1"/>
  <c r="Z559" i="1"/>
  <c r="Y559" i="1"/>
  <c r="V559" i="1"/>
  <c r="AN558" i="1"/>
  <c r="AL558" i="1"/>
  <c r="AK558" i="1"/>
  <c r="AJ558" i="1"/>
  <c r="AH558" i="1"/>
  <c r="AG558" i="1"/>
  <c r="AE558" i="1"/>
  <c r="AC558" i="1"/>
  <c r="AA558" i="1"/>
  <c r="Z558" i="1"/>
  <c r="Y558" i="1"/>
  <c r="W558" i="1"/>
  <c r="V558" i="1"/>
  <c r="AO557" i="1"/>
  <c r="AN557" i="1"/>
  <c r="AL557" i="1"/>
  <c r="AK557" i="1"/>
  <c r="AJ557" i="1"/>
  <c r="AH557" i="1"/>
  <c r="AG557" i="1"/>
  <c r="AE557" i="1"/>
  <c r="AC557" i="1"/>
  <c r="AA557" i="1"/>
  <c r="Z557" i="1"/>
  <c r="Y557" i="1"/>
  <c r="V557" i="1"/>
  <c r="AN556" i="1"/>
  <c r="AL556" i="1"/>
  <c r="AK556" i="1"/>
  <c r="AJ556" i="1"/>
  <c r="AH556" i="1"/>
  <c r="AG556" i="1"/>
  <c r="AE556" i="1"/>
  <c r="AC556" i="1"/>
  <c r="AA556" i="1"/>
  <c r="Z556" i="1"/>
  <c r="Y556" i="1"/>
  <c r="W556" i="1"/>
  <c r="V556" i="1"/>
  <c r="AN555" i="1"/>
  <c r="AL555" i="1"/>
  <c r="AK555" i="1"/>
  <c r="AJ555" i="1"/>
  <c r="AH555" i="1"/>
  <c r="AG555" i="1"/>
  <c r="AE555" i="1"/>
  <c r="AC555" i="1"/>
  <c r="AA555" i="1"/>
  <c r="Z555" i="1"/>
  <c r="Y555" i="1"/>
  <c r="W555" i="1"/>
  <c r="V555" i="1"/>
  <c r="AN554" i="1"/>
  <c r="AL554" i="1"/>
  <c r="AK554" i="1"/>
  <c r="AJ554" i="1"/>
  <c r="AH554" i="1"/>
  <c r="AG554" i="1"/>
  <c r="AE554" i="1"/>
  <c r="AC554" i="1"/>
  <c r="AA554" i="1"/>
  <c r="Z554" i="1"/>
  <c r="Y554" i="1"/>
  <c r="W554" i="1"/>
  <c r="V554" i="1"/>
  <c r="AO553" i="1"/>
  <c r="AN553" i="1"/>
  <c r="AL553" i="1"/>
  <c r="AK553" i="1"/>
  <c r="AJ553" i="1"/>
  <c r="AH553" i="1"/>
  <c r="AG553" i="1"/>
  <c r="AE553" i="1"/>
  <c r="AC553" i="1"/>
  <c r="AA553" i="1"/>
  <c r="Z553" i="1"/>
  <c r="Y553" i="1"/>
  <c r="W553" i="1"/>
  <c r="V553" i="1"/>
  <c r="AO552" i="1"/>
  <c r="AN552" i="1"/>
  <c r="AL552" i="1"/>
  <c r="AK552" i="1"/>
  <c r="AJ552" i="1"/>
  <c r="AH552" i="1"/>
  <c r="AG552" i="1"/>
  <c r="AE552" i="1"/>
  <c r="AD552" i="1"/>
  <c r="AC552" i="1"/>
  <c r="AA552" i="1"/>
  <c r="Z552" i="1"/>
  <c r="Y552" i="1"/>
  <c r="W552" i="1"/>
  <c r="V552" i="1"/>
  <c r="AN551" i="1"/>
  <c r="AL551" i="1"/>
  <c r="AK551" i="1"/>
  <c r="AJ551" i="1"/>
  <c r="AH551" i="1"/>
  <c r="AG551" i="1"/>
  <c r="AE551" i="1"/>
  <c r="AD551" i="1"/>
  <c r="Z551" i="1"/>
  <c r="Y551" i="1"/>
  <c r="W551" i="1"/>
  <c r="AN550" i="1"/>
  <c r="AL550" i="1"/>
  <c r="AK550" i="1"/>
  <c r="AJ550" i="1"/>
  <c r="AH550" i="1"/>
  <c r="AG550" i="1"/>
  <c r="AE550" i="1"/>
  <c r="AD550" i="1"/>
  <c r="Z550" i="1"/>
  <c r="Y550" i="1"/>
  <c r="W550" i="1"/>
  <c r="AO549" i="1"/>
  <c r="AN549" i="1"/>
  <c r="AL549" i="1"/>
  <c r="AK549" i="1"/>
  <c r="AJ549" i="1"/>
  <c r="AH549" i="1"/>
  <c r="AG549" i="1"/>
  <c r="AE549" i="1"/>
  <c r="AD549" i="1"/>
  <c r="AC549" i="1"/>
  <c r="AA549" i="1"/>
  <c r="Z549" i="1"/>
  <c r="Y549" i="1"/>
  <c r="W549" i="1"/>
  <c r="V549" i="1"/>
  <c r="AN548" i="1"/>
  <c r="AL548" i="1"/>
  <c r="AK548" i="1"/>
  <c r="AJ548" i="1"/>
  <c r="AH548" i="1"/>
  <c r="AG548" i="1"/>
  <c r="AE548" i="1"/>
  <c r="AD548" i="1"/>
  <c r="AC548" i="1"/>
  <c r="AA548" i="1"/>
  <c r="Z548" i="1"/>
  <c r="Y548" i="1"/>
  <c r="W548" i="1"/>
  <c r="V548" i="1"/>
  <c r="AN547" i="1"/>
  <c r="AL547" i="1"/>
  <c r="AK547" i="1"/>
  <c r="AJ547" i="1"/>
  <c r="AH547" i="1"/>
  <c r="AG547" i="1"/>
  <c r="AE547" i="1"/>
  <c r="AD547" i="1"/>
  <c r="AC547" i="1"/>
  <c r="AA547" i="1"/>
  <c r="Z547" i="1"/>
  <c r="Y547" i="1"/>
  <c r="W547" i="1"/>
  <c r="V547" i="1"/>
  <c r="AO546" i="1"/>
  <c r="AN546" i="1"/>
  <c r="AL546" i="1"/>
  <c r="AK546" i="1"/>
  <c r="AJ546" i="1"/>
  <c r="AH546" i="1"/>
  <c r="AG546" i="1"/>
  <c r="AE546" i="1"/>
  <c r="AC546" i="1"/>
  <c r="AA546" i="1"/>
  <c r="Z546" i="1"/>
  <c r="Y546" i="1"/>
  <c r="W546" i="1"/>
  <c r="V546" i="1"/>
  <c r="AN545" i="1"/>
  <c r="AL545" i="1"/>
  <c r="AK545" i="1"/>
  <c r="AJ545" i="1"/>
  <c r="AH545" i="1"/>
  <c r="AG545" i="1"/>
  <c r="AE545" i="1"/>
  <c r="AC545" i="1"/>
  <c r="AA545" i="1"/>
  <c r="Z545" i="1"/>
  <c r="Y545" i="1"/>
  <c r="W545" i="1"/>
  <c r="V545" i="1"/>
  <c r="AO544" i="1"/>
  <c r="AN544" i="1"/>
  <c r="AL544" i="1"/>
  <c r="AK544" i="1"/>
  <c r="AJ544" i="1"/>
  <c r="AH544" i="1"/>
  <c r="AG544" i="1"/>
  <c r="AE544" i="1"/>
  <c r="AC544" i="1"/>
  <c r="AA544" i="1"/>
  <c r="Z544" i="1"/>
  <c r="Y544" i="1"/>
  <c r="W544" i="1"/>
  <c r="V544" i="1"/>
  <c r="AO543" i="1"/>
  <c r="AN543" i="1"/>
  <c r="AL543" i="1"/>
  <c r="AK543" i="1"/>
  <c r="AJ543" i="1"/>
  <c r="AH543" i="1"/>
  <c r="AG543" i="1"/>
  <c r="AE543" i="1"/>
  <c r="AC543" i="1"/>
  <c r="AA543" i="1"/>
  <c r="Z543" i="1"/>
  <c r="Y543" i="1"/>
  <c r="V543" i="1"/>
  <c r="AN542" i="1"/>
  <c r="AL542" i="1"/>
  <c r="AK542" i="1"/>
  <c r="AJ542" i="1"/>
  <c r="AH542" i="1"/>
  <c r="AG542" i="1"/>
  <c r="AE542" i="1"/>
  <c r="AC542" i="1"/>
  <c r="AA542" i="1"/>
  <c r="Z542" i="1"/>
  <c r="Y542" i="1"/>
  <c r="W542" i="1"/>
  <c r="V542" i="1"/>
  <c r="AO541" i="1"/>
  <c r="AN541" i="1"/>
  <c r="AL541" i="1"/>
  <c r="AK541" i="1"/>
  <c r="AJ541" i="1"/>
  <c r="AH541" i="1"/>
  <c r="AG541" i="1"/>
  <c r="AE541" i="1"/>
  <c r="AC541" i="1"/>
  <c r="AA541" i="1"/>
  <c r="Z541" i="1"/>
  <c r="Y541" i="1"/>
  <c r="W541" i="1"/>
  <c r="V541" i="1"/>
  <c r="AO540" i="1"/>
  <c r="AN540" i="1"/>
  <c r="AL540" i="1"/>
  <c r="AK540" i="1"/>
  <c r="AJ540" i="1"/>
  <c r="AH540" i="1"/>
  <c r="AG540" i="1"/>
  <c r="AE540" i="1"/>
  <c r="AC540" i="1"/>
  <c r="AA540" i="1"/>
  <c r="Z540" i="1"/>
  <c r="Y540" i="1"/>
  <c r="V540" i="1"/>
  <c r="AO539" i="1"/>
  <c r="AN539" i="1"/>
  <c r="AL539" i="1"/>
  <c r="AK539" i="1"/>
  <c r="AJ539" i="1"/>
  <c r="AH539" i="1"/>
  <c r="AG539" i="1"/>
  <c r="AE539" i="1"/>
  <c r="AD539" i="1"/>
  <c r="AC539" i="1"/>
  <c r="AA539" i="1"/>
  <c r="Z539" i="1"/>
  <c r="Y539" i="1"/>
  <c r="W539" i="1"/>
  <c r="V539" i="1"/>
  <c r="AO538" i="1"/>
  <c r="AN538" i="1"/>
  <c r="AL538" i="1"/>
  <c r="AK538" i="1"/>
  <c r="AJ538" i="1"/>
  <c r="AH538" i="1"/>
  <c r="AG538" i="1"/>
  <c r="AE538" i="1"/>
  <c r="AD538" i="1"/>
  <c r="AC538" i="1"/>
  <c r="AA538" i="1"/>
  <c r="Y538" i="1"/>
  <c r="W538" i="1"/>
  <c r="V538" i="1"/>
  <c r="AO537" i="1"/>
  <c r="AN537" i="1"/>
  <c r="AL537" i="1"/>
  <c r="AK537" i="1"/>
  <c r="AJ537" i="1"/>
  <c r="AH537" i="1"/>
  <c r="AG537" i="1"/>
  <c r="AE537" i="1"/>
  <c r="AD537" i="1"/>
  <c r="AC537" i="1"/>
  <c r="AA537" i="1"/>
  <c r="Y537" i="1"/>
  <c r="W537" i="1"/>
  <c r="V537" i="1"/>
  <c r="AO536" i="1"/>
  <c r="AN536" i="1"/>
  <c r="AL536" i="1"/>
  <c r="AK536" i="1"/>
  <c r="AJ536" i="1"/>
  <c r="AH536" i="1"/>
  <c r="AG536" i="1"/>
  <c r="AE536" i="1"/>
  <c r="AD536" i="1"/>
  <c r="AC536" i="1"/>
  <c r="AA536" i="1"/>
  <c r="Y536" i="1"/>
  <c r="W536" i="1"/>
  <c r="V536" i="1"/>
  <c r="AO535" i="1"/>
  <c r="AN535" i="1"/>
  <c r="AL535" i="1"/>
  <c r="AK535" i="1"/>
  <c r="AJ535" i="1"/>
  <c r="AH535" i="1"/>
  <c r="AG535" i="1"/>
  <c r="AE535" i="1"/>
  <c r="AD535" i="1"/>
  <c r="AC535" i="1"/>
  <c r="AA535" i="1"/>
  <c r="Z535" i="1"/>
  <c r="Y535" i="1"/>
  <c r="W535" i="1"/>
  <c r="V535" i="1"/>
  <c r="AO534" i="1"/>
  <c r="AN534" i="1"/>
  <c r="AL534" i="1"/>
  <c r="AK534" i="1"/>
  <c r="AJ534" i="1"/>
  <c r="AH534" i="1"/>
  <c r="AG534" i="1"/>
  <c r="AE534" i="1"/>
  <c r="AD534" i="1"/>
  <c r="AC534" i="1"/>
  <c r="AA534" i="1"/>
  <c r="Z534" i="1"/>
  <c r="Y534" i="1"/>
  <c r="W534" i="1"/>
  <c r="V534" i="1"/>
  <c r="AO533" i="1"/>
  <c r="AN533" i="1"/>
  <c r="AL533" i="1"/>
  <c r="AK533" i="1"/>
  <c r="AJ533" i="1"/>
  <c r="AH533" i="1"/>
  <c r="AG533" i="1"/>
  <c r="AE533" i="1"/>
  <c r="AD533" i="1"/>
  <c r="AC533" i="1"/>
  <c r="AA533" i="1"/>
  <c r="Z533" i="1"/>
  <c r="Y533" i="1"/>
  <c r="W533" i="1"/>
  <c r="V533" i="1"/>
  <c r="AO532" i="1"/>
  <c r="AN532" i="1"/>
  <c r="AL532" i="1"/>
  <c r="AK532" i="1"/>
  <c r="AJ532" i="1"/>
  <c r="AH532" i="1"/>
  <c r="AG532" i="1"/>
  <c r="AE532" i="1"/>
  <c r="AD532" i="1"/>
  <c r="AC532" i="1"/>
  <c r="AA532" i="1"/>
  <c r="Z532" i="1"/>
  <c r="Y532" i="1"/>
  <c r="W532" i="1"/>
  <c r="V532" i="1"/>
  <c r="AO531" i="1"/>
  <c r="AN531" i="1"/>
  <c r="AL531" i="1"/>
  <c r="AK531" i="1"/>
  <c r="AJ531" i="1"/>
  <c r="AH531" i="1"/>
  <c r="AG531" i="1"/>
  <c r="AE531" i="1"/>
  <c r="AD531" i="1"/>
  <c r="AC531" i="1"/>
  <c r="AA531" i="1"/>
  <c r="Z531" i="1"/>
  <c r="Y531" i="1"/>
  <c r="W531" i="1"/>
  <c r="V531" i="1"/>
  <c r="AO530" i="1"/>
  <c r="AN530" i="1"/>
  <c r="AL530" i="1"/>
  <c r="AK530" i="1"/>
  <c r="AJ530" i="1"/>
  <c r="AH530" i="1"/>
  <c r="AG530" i="1"/>
  <c r="AE530" i="1"/>
  <c r="AD530" i="1"/>
  <c r="AC530" i="1"/>
  <c r="AA530" i="1"/>
  <c r="Z530" i="1"/>
  <c r="Y530" i="1"/>
  <c r="W530" i="1"/>
  <c r="V530" i="1"/>
  <c r="AO529" i="1"/>
  <c r="AN529" i="1"/>
  <c r="AL529" i="1"/>
  <c r="AK529" i="1"/>
  <c r="AJ529" i="1"/>
  <c r="AH529" i="1"/>
  <c r="AG529" i="1"/>
  <c r="AE529" i="1"/>
  <c r="AD529" i="1"/>
  <c r="AC529" i="1"/>
  <c r="AA529" i="1"/>
  <c r="Z529" i="1"/>
  <c r="Y529" i="1"/>
  <c r="W529" i="1"/>
  <c r="V529" i="1"/>
  <c r="AO528" i="1"/>
  <c r="AN528" i="1"/>
  <c r="AL528" i="1"/>
  <c r="AK528" i="1"/>
  <c r="AJ528" i="1"/>
  <c r="AH528" i="1"/>
  <c r="AG528" i="1"/>
  <c r="AE528" i="1"/>
  <c r="AD528" i="1"/>
  <c r="AC528" i="1"/>
  <c r="AA528" i="1"/>
  <c r="Z528" i="1"/>
  <c r="Y528" i="1"/>
  <c r="W528" i="1"/>
  <c r="V528" i="1"/>
  <c r="AO527" i="1"/>
  <c r="AN527" i="1"/>
  <c r="AL527" i="1"/>
  <c r="AK527" i="1"/>
  <c r="AJ527" i="1"/>
  <c r="AH527" i="1"/>
  <c r="AG527" i="1"/>
  <c r="AE527" i="1"/>
  <c r="AD527" i="1"/>
  <c r="AC527" i="1"/>
  <c r="AA527" i="1"/>
  <c r="Z527" i="1"/>
  <c r="Y527" i="1"/>
  <c r="W527" i="1"/>
  <c r="V527" i="1"/>
  <c r="AO526" i="1"/>
  <c r="AN526" i="1"/>
  <c r="AL526" i="1"/>
  <c r="AK526" i="1"/>
  <c r="AJ526" i="1"/>
  <c r="AH526" i="1"/>
  <c r="AG526" i="1"/>
  <c r="AE526" i="1"/>
  <c r="AD526" i="1"/>
  <c r="AC526" i="1"/>
  <c r="AA526" i="1"/>
  <c r="Z526" i="1"/>
  <c r="Y526" i="1"/>
  <c r="W526" i="1"/>
  <c r="V526" i="1"/>
  <c r="AO525" i="1"/>
  <c r="AN525" i="1"/>
  <c r="AL525" i="1"/>
  <c r="AK525" i="1"/>
  <c r="AJ525" i="1"/>
  <c r="AH525" i="1"/>
  <c r="AG525" i="1"/>
  <c r="AE525" i="1"/>
  <c r="AD525" i="1"/>
  <c r="AC525" i="1"/>
  <c r="AA525" i="1"/>
  <c r="Z525" i="1"/>
  <c r="Y525" i="1"/>
  <c r="W525" i="1"/>
  <c r="V525" i="1"/>
  <c r="AO524" i="1"/>
  <c r="AN524" i="1"/>
  <c r="AL524" i="1"/>
  <c r="AK524" i="1"/>
  <c r="AJ524" i="1"/>
  <c r="AH524" i="1"/>
  <c r="AG524" i="1"/>
  <c r="AE524" i="1"/>
  <c r="AD524" i="1"/>
  <c r="AC524" i="1"/>
  <c r="AA524" i="1"/>
  <c r="Z524" i="1"/>
  <c r="Y524" i="1"/>
  <c r="W524" i="1"/>
  <c r="V524" i="1"/>
  <c r="AN523" i="1"/>
  <c r="AL523" i="1"/>
  <c r="AK523" i="1"/>
  <c r="AJ523" i="1"/>
  <c r="AH523" i="1"/>
  <c r="AG523" i="1"/>
  <c r="AE523" i="1"/>
  <c r="AD523" i="1"/>
  <c r="AA523" i="1"/>
  <c r="Z523" i="1"/>
  <c r="Y523" i="1"/>
  <c r="W523" i="1"/>
  <c r="AN522" i="1"/>
  <c r="AL522" i="1"/>
  <c r="AK522" i="1"/>
  <c r="AJ522" i="1"/>
  <c r="AH522" i="1"/>
  <c r="AG522" i="1"/>
  <c r="AE522" i="1"/>
  <c r="AD522" i="1"/>
  <c r="AC522" i="1"/>
  <c r="AA522" i="1"/>
  <c r="Z522" i="1"/>
  <c r="Y522" i="1"/>
  <c r="W522" i="1"/>
  <c r="V522" i="1"/>
  <c r="AO521" i="1"/>
  <c r="AN521" i="1"/>
  <c r="AL521" i="1"/>
  <c r="AK521" i="1"/>
  <c r="AJ521" i="1"/>
  <c r="AH521" i="1"/>
  <c r="AG521" i="1"/>
  <c r="AE521" i="1"/>
  <c r="AD521" i="1"/>
  <c r="AC521" i="1"/>
  <c r="AA521" i="1"/>
  <c r="Z521" i="1"/>
  <c r="Y521" i="1"/>
  <c r="W521" i="1"/>
  <c r="V521" i="1"/>
  <c r="AN520" i="1"/>
  <c r="AL520" i="1"/>
  <c r="AK520" i="1"/>
  <c r="AJ520" i="1"/>
  <c r="AH520" i="1"/>
  <c r="AG520" i="1"/>
  <c r="AE520" i="1"/>
  <c r="AD520" i="1"/>
  <c r="AC520" i="1"/>
  <c r="AA520" i="1"/>
  <c r="Z520" i="1"/>
  <c r="Y520" i="1"/>
  <c r="W520" i="1"/>
  <c r="V520" i="1"/>
  <c r="AN519" i="1"/>
  <c r="AL519" i="1"/>
  <c r="AK519" i="1"/>
  <c r="AJ519" i="1"/>
  <c r="AH519" i="1"/>
  <c r="AG519" i="1"/>
  <c r="AE519" i="1"/>
  <c r="AD519" i="1"/>
  <c r="AC519" i="1"/>
  <c r="AA519" i="1"/>
  <c r="Z519" i="1"/>
  <c r="Y519" i="1"/>
  <c r="W519" i="1"/>
  <c r="V519" i="1"/>
  <c r="AO518" i="1"/>
  <c r="AN518" i="1"/>
  <c r="AL518" i="1"/>
  <c r="AK518" i="1"/>
  <c r="AJ518" i="1"/>
  <c r="AH518" i="1"/>
  <c r="AG518" i="1"/>
  <c r="AE518" i="1"/>
  <c r="AD518" i="1"/>
  <c r="AC518" i="1"/>
  <c r="AA518" i="1"/>
  <c r="Z518" i="1"/>
  <c r="Y518" i="1"/>
  <c r="W518" i="1"/>
  <c r="V518" i="1"/>
  <c r="AO517" i="1"/>
  <c r="AN517" i="1"/>
  <c r="AL517" i="1"/>
  <c r="AK517" i="1"/>
  <c r="AJ517" i="1"/>
  <c r="AH517" i="1"/>
  <c r="AG517" i="1"/>
  <c r="AE517" i="1"/>
  <c r="AD517" i="1"/>
  <c r="AC517" i="1"/>
  <c r="Z517" i="1"/>
  <c r="Y517" i="1"/>
  <c r="W517" i="1"/>
  <c r="V517" i="1"/>
  <c r="AO516" i="1"/>
  <c r="AN516" i="1"/>
  <c r="AL516" i="1"/>
  <c r="AK516" i="1"/>
  <c r="AJ516" i="1"/>
  <c r="AH516" i="1"/>
  <c r="AG516" i="1"/>
  <c r="AE516" i="1"/>
  <c r="AD516" i="1"/>
  <c r="AC516" i="1"/>
  <c r="AA516" i="1"/>
  <c r="Z516" i="1"/>
  <c r="Y516" i="1"/>
  <c r="W516" i="1"/>
  <c r="V516" i="1"/>
  <c r="AO515" i="1"/>
  <c r="AN515" i="1"/>
  <c r="AL515" i="1"/>
  <c r="AK515" i="1"/>
  <c r="AJ515" i="1"/>
  <c r="AH515" i="1"/>
  <c r="AG515" i="1"/>
  <c r="AE515" i="1"/>
  <c r="AD515" i="1"/>
  <c r="AC515" i="1"/>
  <c r="AA515" i="1"/>
  <c r="Z515" i="1"/>
  <c r="Y515" i="1"/>
  <c r="W515" i="1"/>
  <c r="V515" i="1"/>
  <c r="AO514" i="1"/>
  <c r="AN514" i="1"/>
  <c r="AL514" i="1"/>
  <c r="AK514" i="1"/>
  <c r="AJ514" i="1"/>
  <c r="AH514" i="1"/>
  <c r="AG514" i="1"/>
  <c r="AE514" i="1"/>
  <c r="AD514" i="1"/>
  <c r="AC514" i="1"/>
  <c r="AA514" i="1"/>
  <c r="Z514" i="1"/>
  <c r="Y514" i="1"/>
  <c r="W514" i="1"/>
  <c r="V514" i="1"/>
  <c r="AO513" i="1"/>
  <c r="AN513" i="1"/>
  <c r="AL513" i="1"/>
  <c r="AK513" i="1"/>
  <c r="AJ513" i="1"/>
  <c r="AH513" i="1"/>
  <c r="AG513" i="1"/>
  <c r="AE513" i="1"/>
  <c r="AD513" i="1"/>
  <c r="AC513" i="1"/>
  <c r="AA513" i="1"/>
  <c r="Z513" i="1"/>
  <c r="Y513" i="1"/>
  <c r="W513" i="1"/>
  <c r="V513" i="1"/>
  <c r="AO512" i="1"/>
  <c r="AN512" i="1"/>
  <c r="AL512" i="1"/>
  <c r="AK512" i="1"/>
  <c r="AJ512" i="1"/>
  <c r="AH512" i="1"/>
  <c r="AG512" i="1"/>
  <c r="AE512" i="1"/>
  <c r="AC512" i="1"/>
  <c r="AA512" i="1"/>
  <c r="Z512" i="1"/>
  <c r="Y512" i="1"/>
  <c r="V512" i="1"/>
  <c r="AN511" i="1"/>
  <c r="AL511" i="1"/>
  <c r="AK511" i="1"/>
  <c r="AJ511" i="1"/>
  <c r="AH511" i="1"/>
  <c r="AG511" i="1"/>
  <c r="AE511" i="1"/>
  <c r="AC511" i="1"/>
  <c r="AA511" i="1"/>
  <c r="Z511" i="1"/>
  <c r="Y511" i="1"/>
  <c r="W511" i="1"/>
  <c r="V511" i="1"/>
  <c r="AO510" i="1"/>
  <c r="AN510" i="1"/>
  <c r="AL510" i="1"/>
  <c r="AJ510" i="1"/>
  <c r="AK510" i="1" s="1"/>
  <c r="AH510" i="1"/>
  <c r="AG510" i="1"/>
  <c r="AE510" i="1"/>
  <c r="AD510" i="1"/>
  <c r="AC510" i="1"/>
  <c r="AA510" i="1"/>
  <c r="Z510" i="1"/>
  <c r="Y510" i="1"/>
  <c r="W510" i="1"/>
  <c r="V510" i="1"/>
  <c r="AO509" i="1"/>
  <c r="AN509" i="1"/>
  <c r="AL509" i="1"/>
  <c r="AJ509" i="1"/>
  <c r="AK509" i="1" s="1"/>
  <c r="AH509" i="1"/>
  <c r="AG509" i="1"/>
  <c r="AE509" i="1"/>
  <c r="AD509" i="1"/>
  <c r="AC509" i="1"/>
  <c r="AA509" i="1"/>
  <c r="Z509" i="1"/>
  <c r="Y509" i="1"/>
  <c r="W509" i="1"/>
  <c r="V509" i="1"/>
  <c r="AO508" i="1"/>
  <c r="AN508" i="1"/>
  <c r="AL508" i="1"/>
  <c r="AJ508" i="1"/>
  <c r="AK508" i="1" s="1"/>
  <c r="AH508" i="1"/>
  <c r="AG508" i="1"/>
  <c r="AE508" i="1"/>
  <c r="AD508" i="1"/>
  <c r="AC508" i="1"/>
  <c r="AA508" i="1"/>
  <c r="Z508" i="1"/>
  <c r="Y508" i="1"/>
  <c r="W508" i="1"/>
  <c r="V508" i="1"/>
  <c r="AN507" i="1"/>
  <c r="AL507" i="1"/>
  <c r="AK507" i="1"/>
  <c r="AJ507" i="1"/>
  <c r="AH507" i="1"/>
  <c r="AG507" i="1"/>
  <c r="AE507" i="1"/>
  <c r="AC507" i="1"/>
  <c r="AA507" i="1"/>
  <c r="Z507" i="1"/>
  <c r="Y507" i="1"/>
  <c r="W507" i="1"/>
  <c r="V507" i="1"/>
  <c r="AN506" i="1"/>
  <c r="AL506" i="1"/>
  <c r="AK506" i="1"/>
  <c r="AJ506" i="1"/>
  <c r="AH506" i="1"/>
  <c r="AG506" i="1"/>
  <c r="AE506" i="1"/>
  <c r="AC506" i="1"/>
  <c r="AA506" i="1"/>
  <c r="Z506" i="1"/>
  <c r="Y506" i="1"/>
  <c r="V506" i="1"/>
  <c r="AN505" i="1"/>
  <c r="AL505" i="1"/>
  <c r="AK505" i="1"/>
  <c r="AJ505" i="1"/>
  <c r="AH505" i="1"/>
  <c r="AG505" i="1"/>
  <c r="AE505" i="1"/>
  <c r="AC505" i="1"/>
  <c r="AA505" i="1"/>
  <c r="Z505" i="1"/>
  <c r="Y505" i="1"/>
  <c r="W505" i="1"/>
  <c r="V505" i="1"/>
  <c r="AN504" i="1"/>
  <c r="AL504" i="1"/>
  <c r="AK504" i="1"/>
  <c r="AJ504" i="1"/>
  <c r="AH504" i="1"/>
  <c r="AG504" i="1"/>
  <c r="AE504" i="1"/>
  <c r="AC504" i="1"/>
  <c r="AA504" i="1"/>
  <c r="Z504" i="1"/>
  <c r="Y504" i="1"/>
  <c r="W504" i="1"/>
  <c r="V504" i="1"/>
  <c r="AN503" i="1"/>
  <c r="AL503" i="1"/>
  <c r="AK503" i="1"/>
  <c r="AJ503" i="1"/>
  <c r="AH503" i="1"/>
  <c r="AG503" i="1"/>
  <c r="AE503" i="1"/>
  <c r="AC503" i="1"/>
  <c r="AA503" i="1"/>
  <c r="Z503" i="1"/>
  <c r="Y503" i="1"/>
  <c r="W503" i="1"/>
  <c r="V503" i="1"/>
  <c r="AO502" i="1"/>
  <c r="AN502" i="1"/>
  <c r="AL502" i="1"/>
  <c r="AK502" i="1"/>
  <c r="AJ502" i="1"/>
  <c r="AH502" i="1"/>
  <c r="AG502" i="1"/>
  <c r="AE502" i="1"/>
  <c r="AD502" i="1"/>
  <c r="AC502" i="1"/>
  <c r="AA502" i="1"/>
  <c r="Z502" i="1"/>
  <c r="Y502" i="1"/>
  <c r="W502" i="1"/>
  <c r="V502" i="1"/>
  <c r="AO501" i="1"/>
  <c r="AN501" i="1"/>
  <c r="AL501" i="1"/>
  <c r="AK501" i="1"/>
  <c r="AJ501" i="1"/>
  <c r="AH501" i="1"/>
  <c r="AG501" i="1"/>
  <c r="AE501" i="1"/>
  <c r="AD501" i="1"/>
  <c r="AC501" i="1"/>
  <c r="AA501" i="1"/>
  <c r="Z501" i="1"/>
  <c r="Y501" i="1"/>
  <c r="W501" i="1"/>
  <c r="V501" i="1"/>
  <c r="AO500" i="1"/>
  <c r="AN500" i="1"/>
  <c r="AL500" i="1"/>
  <c r="AK500" i="1"/>
  <c r="AJ500" i="1"/>
  <c r="AH500" i="1"/>
  <c r="AG500" i="1"/>
  <c r="AE500" i="1"/>
  <c r="AD500" i="1"/>
  <c r="AC500" i="1"/>
  <c r="AA500" i="1"/>
  <c r="Z500" i="1"/>
  <c r="Y500" i="1"/>
  <c r="W500" i="1"/>
  <c r="V500" i="1"/>
  <c r="AO499" i="1"/>
  <c r="AN499" i="1"/>
  <c r="AL499" i="1"/>
  <c r="AK499" i="1"/>
  <c r="AJ499" i="1"/>
  <c r="AH499" i="1"/>
  <c r="AG499" i="1"/>
  <c r="AE499" i="1"/>
  <c r="AD499" i="1"/>
  <c r="AC499" i="1"/>
  <c r="AA499" i="1"/>
  <c r="Z499" i="1"/>
  <c r="Y499" i="1"/>
  <c r="W499" i="1"/>
  <c r="V499" i="1"/>
  <c r="AO498" i="1"/>
  <c r="AN498" i="1"/>
  <c r="AL498" i="1"/>
  <c r="AJ498" i="1"/>
  <c r="AK498" i="1" s="1"/>
  <c r="AH498" i="1"/>
  <c r="AG498" i="1"/>
  <c r="AE498" i="1"/>
  <c r="AD498" i="1"/>
  <c r="AC498" i="1"/>
  <c r="AA498" i="1"/>
  <c r="Z498" i="1"/>
  <c r="Y498" i="1"/>
  <c r="W498" i="1"/>
  <c r="V498" i="1"/>
  <c r="AO497" i="1"/>
  <c r="AN497" i="1"/>
  <c r="AL497" i="1"/>
  <c r="AJ497" i="1"/>
  <c r="AK497" i="1" s="1"/>
  <c r="AH497" i="1"/>
  <c r="AG497" i="1"/>
  <c r="AE497" i="1"/>
  <c r="AD497" i="1"/>
  <c r="AC497" i="1"/>
  <c r="AA497" i="1"/>
  <c r="Z497" i="1"/>
  <c r="Y497" i="1"/>
  <c r="W497" i="1"/>
  <c r="V497" i="1"/>
  <c r="AO496" i="1"/>
  <c r="AN496" i="1"/>
  <c r="AL496" i="1"/>
  <c r="AK496" i="1"/>
  <c r="AJ496" i="1"/>
  <c r="AH496" i="1"/>
  <c r="AG496" i="1"/>
  <c r="AE496" i="1"/>
  <c r="AD496" i="1"/>
  <c r="AC496" i="1"/>
  <c r="AA496" i="1"/>
  <c r="Z496" i="1"/>
  <c r="Y496" i="1"/>
  <c r="W496" i="1"/>
  <c r="V496" i="1"/>
  <c r="AO495" i="1"/>
  <c r="AN495" i="1"/>
  <c r="AL495" i="1"/>
  <c r="AK495" i="1"/>
  <c r="AJ495" i="1"/>
  <c r="AH495" i="1"/>
  <c r="AG495" i="1"/>
  <c r="AE495" i="1"/>
  <c r="AD495" i="1"/>
  <c r="AC495" i="1"/>
  <c r="AA495" i="1"/>
  <c r="Z495" i="1"/>
  <c r="Y495" i="1"/>
  <c r="W495" i="1"/>
  <c r="V495" i="1"/>
  <c r="AO494" i="1"/>
  <c r="AN494" i="1"/>
  <c r="AL494" i="1"/>
  <c r="AK494" i="1"/>
  <c r="AJ494" i="1"/>
  <c r="AH494" i="1"/>
  <c r="AG494" i="1"/>
  <c r="AE494" i="1"/>
  <c r="AD494" i="1"/>
  <c r="AC494" i="1"/>
  <c r="AA494" i="1"/>
  <c r="Z494" i="1"/>
  <c r="Y494" i="1"/>
  <c r="W494" i="1"/>
  <c r="V494" i="1"/>
  <c r="AO493" i="1"/>
  <c r="AN493" i="1"/>
  <c r="AL493" i="1"/>
  <c r="AK493" i="1"/>
  <c r="AJ493" i="1"/>
  <c r="AH493" i="1"/>
  <c r="AG493" i="1"/>
  <c r="AE493" i="1"/>
  <c r="AD493" i="1"/>
  <c r="AC493" i="1"/>
  <c r="AA493" i="1"/>
  <c r="Z493" i="1"/>
  <c r="Y493" i="1"/>
  <c r="W493" i="1"/>
  <c r="V493" i="1"/>
  <c r="AO492" i="1"/>
  <c r="AN492" i="1"/>
  <c r="AL492" i="1"/>
  <c r="AK492" i="1"/>
  <c r="AJ492" i="1"/>
  <c r="AH492" i="1"/>
  <c r="AG492" i="1"/>
  <c r="AE492" i="1"/>
  <c r="AD492" i="1"/>
  <c r="AC492" i="1"/>
  <c r="Z492" i="1"/>
  <c r="Y492" i="1"/>
  <c r="W492" i="1"/>
  <c r="V492" i="1"/>
  <c r="AO491" i="1"/>
  <c r="AN491" i="1"/>
  <c r="AL491" i="1"/>
  <c r="AJ491" i="1"/>
  <c r="AK491" i="1" s="1"/>
  <c r="AH491" i="1"/>
  <c r="AG491" i="1"/>
  <c r="AD491" i="1"/>
  <c r="AA491" i="1"/>
  <c r="Z491" i="1"/>
  <c r="Y491" i="1"/>
  <c r="W491" i="1"/>
  <c r="AO490" i="1"/>
  <c r="AN490" i="1"/>
  <c r="AL490" i="1"/>
  <c r="AK490" i="1"/>
  <c r="AJ490" i="1"/>
  <c r="AH490" i="1"/>
  <c r="AG490" i="1"/>
  <c r="AE490" i="1"/>
  <c r="AD490" i="1"/>
  <c r="AC490" i="1"/>
  <c r="Z490" i="1"/>
  <c r="Y490" i="1"/>
  <c r="W490" i="1"/>
  <c r="V490" i="1"/>
  <c r="AO489" i="1"/>
  <c r="AN489" i="1"/>
  <c r="AL489" i="1"/>
  <c r="AJ489" i="1"/>
  <c r="AK489" i="1" s="1"/>
  <c r="AH489" i="1"/>
  <c r="AG489" i="1"/>
  <c r="AE489" i="1"/>
  <c r="AD489" i="1"/>
  <c r="AC489" i="1"/>
  <c r="AA489" i="1"/>
  <c r="Z489" i="1"/>
  <c r="Y489" i="1"/>
  <c r="W489" i="1"/>
  <c r="V489" i="1"/>
  <c r="AO488" i="1"/>
  <c r="AN488" i="1"/>
  <c r="AL488" i="1"/>
  <c r="AJ488" i="1"/>
  <c r="AK488" i="1" s="1"/>
  <c r="AH488" i="1"/>
  <c r="AG488" i="1"/>
  <c r="AE488" i="1"/>
  <c r="AD488" i="1"/>
  <c r="AC488" i="1"/>
  <c r="AA488" i="1"/>
  <c r="Z488" i="1"/>
  <c r="Y488" i="1"/>
  <c r="W488" i="1"/>
  <c r="V488" i="1"/>
  <c r="AO487" i="1"/>
  <c r="AN487" i="1"/>
  <c r="AL487" i="1"/>
  <c r="AK487" i="1"/>
  <c r="AJ487" i="1"/>
  <c r="AH487" i="1"/>
  <c r="AG487" i="1"/>
  <c r="AE487" i="1"/>
  <c r="AD487" i="1"/>
  <c r="AC487" i="1"/>
  <c r="AA487" i="1"/>
  <c r="Z487" i="1"/>
  <c r="Y487" i="1"/>
  <c r="W487" i="1"/>
  <c r="V487" i="1"/>
  <c r="AO486" i="1"/>
  <c r="AN486" i="1"/>
  <c r="AL486" i="1"/>
  <c r="AK486" i="1"/>
  <c r="AJ486" i="1"/>
  <c r="AH486" i="1"/>
  <c r="AG486" i="1"/>
  <c r="AE486" i="1"/>
  <c r="AD486" i="1"/>
  <c r="AC486" i="1"/>
  <c r="Z486" i="1"/>
  <c r="Y486" i="1"/>
  <c r="W486" i="1"/>
  <c r="V486" i="1"/>
  <c r="AO485" i="1"/>
  <c r="AN485" i="1"/>
  <c r="AL485" i="1"/>
  <c r="AK485" i="1"/>
  <c r="AJ485" i="1"/>
  <c r="AH485" i="1"/>
  <c r="AG485" i="1"/>
  <c r="AE485" i="1"/>
  <c r="AD485" i="1"/>
  <c r="AC485" i="1"/>
  <c r="Z485" i="1"/>
  <c r="Y485" i="1"/>
  <c r="W485" i="1"/>
  <c r="V485" i="1"/>
  <c r="AO484" i="1"/>
  <c r="AN484" i="1"/>
  <c r="AL484" i="1"/>
  <c r="AK484" i="1"/>
  <c r="AJ484" i="1"/>
  <c r="AH484" i="1"/>
  <c r="AG484" i="1"/>
  <c r="AE484" i="1"/>
  <c r="AD484" i="1"/>
  <c r="AA484" i="1"/>
  <c r="Z484" i="1"/>
  <c r="Y484" i="1"/>
  <c r="W484" i="1"/>
  <c r="V484" i="1"/>
  <c r="AO483" i="1"/>
  <c r="AN483" i="1"/>
  <c r="AL483" i="1"/>
  <c r="AK483" i="1"/>
  <c r="AJ483" i="1"/>
  <c r="AH483" i="1"/>
  <c r="AG483" i="1"/>
  <c r="AE483" i="1"/>
  <c r="AD483" i="1"/>
  <c r="AA483" i="1"/>
  <c r="Z483" i="1"/>
  <c r="Y483" i="1"/>
  <c r="W483" i="1"/>
  <c r="V483" i="1"/>
  <c r="AO482" i="1"/>
  <c r="AN482" i="1"/>
  <c r="AL482" i="1"/>
  <c r="AK482" i="1"/>
  <c r="AJ482" i="1"/>
  <c r="AH482" i="1"/>
  <c r="AG482" i="1"/>
  <c r="AE482" i="1"/>
  <c r="AD482" i="1"/>
  <c r="AA482" i="1"/>
  <c r="Z482" i="1"/>
  <c r="Y482" i="1"/>
  <c r="W482" i="1"/>
  <c r="V482" i="1"/>
  <c r="AO481" i="1"/>
  <c r="AN481" i="1"/>
  <c r="AL481" i="1"/>
  <c r="AK481" i="1"/>
  <c r="AJ481" i="1"/>
  <c r="AH481" i="1"/>
  <c r="AG481" i="1"/>
  <c r="AE481" i="1"/>
  <c r="AD481" i="1"/>
  <c r="AA481" i="1"/>
  <c r="Z481" i="1"/>
  <c r="Y481" i="1"/>
  <c r="W481" i="1"/>
  <c r="V481" i="1"/>
  <c r="AO480" i="1"/>
  <c r="AN480" i="1"/>
  <c r="AL480" i="1"/>
  <c r="AJ480" i="1"/>
  <c r="AK480" i="1" s="1"/>
  <c r="AH480" i="1"/>
  <c r="AG480" i="1"/>
  <c r="AE480" i="1"/>
  <c r="AD480" i="1"/>
  <c r="AC480" i="1"/>
  <c r="AA480" i="1"/>
  <c r="Z480" i="1"/>
  <c r="Y480" i="1"/>
  <c r="W480" i="1"/>
  <c r="V480" i="1"/>
  <c r="AO479" i="1"/>
  <c r="AN479" i="1"/>
  <c r="AL479" i="1"/>
  <c r="AK479" i="1"/>
  <c r="AJ479" i="1"/>
  <c r="AH479" i="1"/>
  <c r="AG479" i="1"/>
  <c r="AE479" i="1"/>
  <c r="AD479" i="1"/>
  <c r="AC479" i="1"/>
  <c r="AA479" i="1"/>
  <c r="Z479" i="1"/>
  <c r="Y479" i="1"/>
  <c r="W479" i="1"/>
  <c r="V479" i="1"/>
  <c r="AO478" i="1"/>
  <c r="AN478" i="1"/>
  <c r="AL478" i="1"/>
  <c r="AK478" i="1"/>
  <c r="AJ478" i="1"/>
  <c r="AH478" i="1"/>
  <c r="AG478" i="1"/>
  <c r="AE478" i="1"/>
  <c r="AD478" i="1"/>
  <c r="AC478" i="1"/>
  <c r="AA478" i="1"/>
  <c r="Z478" i="1"/>
  <c r="Y478" i="1"/>
  <c r="W478" i="1"/>
  <c r="V478" i="1"/>
  <c r="AN477" i="1"/>
  <c r="AL477" i="1"/>
  <c r="AK477" i="1"/>
  <c r="AJ477" i="1"/>
  <c r="AH477" i="1"/>
  <c r="AG477" i="1"/>
  <c r="AE477" i="1"/>
  <c r="AD477" i="1"/>
  <c r="AC477" i="1"/>
  <c r="AA477" i="1"/>
  <c r="Z477" i="1"/>
  <c r="Y477" i="1"/>
  <c r="W477" i="1"/>
  <c r="V477" i="1"/>
  <c r="AN476" i="1"/>
  <c r="AL476" i="1"/>
  <c r="AK476" i="1"/>
  <c r="AJ476" i="1"/>
  <c r="AH476" i="1"/>
  <c r="AG476" i="1"/>
  <c r="AE476" i="1"/>
  <c r="AD476" i="1"/>
  <c r="AC476" i="1"/>
  <c r="AA476" i="1"/>
  <c r="Z476" i="1"/>
  <c r="Y476" i="1"/>
  <c r="W476" i="1"/>
  <c r="V476" i="1"/>
  <c r="AN475" i="1"/>
  <c r="AL475" i="1"/>
  <c r="AK475" i="1"/>
  <c r="AJ475" i="1"/>
  <c r="AH475" i="1"/>
  <c r="AG475" i="1"/>
  <c r="AE475" i="1"/>
  <c r="AD475" i="1"/>
  <c r="AC475" i="1"/>
  <c r="AA475" i="1"/>
  <c r="Z475" i="1"/>
  <c r="Y475" i="1"/>
  <c r="W475" i="1"/>
  <c r="V475" i="1"/>
  <c r="AN474" i="1"/>
  <c r="AL474" i="1"/>
  <c r="AK474" i="1"/>
  <c r="AJ474" i="1"/>
  <c r="AH474" i="1"/>
  <c r="AG474" i="1"/>
  <c r="AE474" i="1"/>
  <c r="AD474" i="1"/>
  <c r="AC474" i="1"/>
  <c r="AA474" i="1"/>
  <c r="Z474" i="1"/>
  <c r="Y474" i="1"/>
  <c r="W474" i="1"/>
  <c r="V474" i="1"/>
  <c r="AN473" i="1"/>
  <c r="AL473" i="1"/>
  <c r="AK473" i="1"/>
  <c r="AJ473" i="1"/>
  <c r="AH473" i="1"/>
  <c r="AG473" i="1"/>
  <c r="AE473" i="1"/>
  <c r="AD473" i="1"/>
  <c r="AC473" i="1"/>
  <c r="AA473" i="1"/>
  <c r="Z473" i="1"/>
  <c r="Y473" i="1"/>
  <c r="W473" i="1"/>
  <c r="V473" i="1"/>
  <c r="AN472" i="1"/>
  <c r="AL472" i="1"/>
  <c r="AK472" i="1"/>
  <c r="AJ472" i="1"/>
  <c r="AH472" i="1"/>
  <c r="AG472" i="1"/>
  <c r="AE472" i="1"/>
  <c r="AD472" i="1"/>
  <c r="AC472" i="1"/>
  <c r="AA472" i="1"/>
  <c r="Z472" i="1"/>
  <c r="Y472" i="1"/>
  <c r="W472" i="1"/>
  <c r="V472" i="1"/>
  <c r="AO471" i="1"/>
  <c r="AN471" i="1"/>
  <c r="AL471" i="1"/>
  <c r="AK471" i="1"/>
  <c r="AJ471" i="1"/>
  <c r="AH471" i="1"/>
  <c r="AG471" i="1"/>
  <c r="AE471" i="1"/>
  <c r="AD471" i="1"/>
  <c r="AC471" i="1"/>
  <c r="AA471" i="1"/>
  <c r="Z471" i="1"/>
  <c r="Y471" i="1"/>
  <c r="W471" i="1"/>
  <c r="V471" i="1"/>
  <c r="AO470" i="1"/>
  <c r="AN470" i="1"/>
  <c r="AL470" i="1"/>
  <c r="AK470" i="1"/>
  <c r="AJ470" i="1"/>
  <c r="AH470" i="1"/>
  <c r="AG470" i="1"/>
  <c r="AE470" i="1"/>
  <c r="AD470" i="1"/>
  <c r="AC470" i="1"/>
  <c r="Z470" i="1"/>
  <c r="Y470" i="1"/>
  <c r="W470" i="1"/>
  <c r="V470" i="1"/>
  <c r="AO469" i="1"/>
  <c r="AN469" i="1"/>
  <c r="AL469" i="1"/>
  <c r="AK469" i="1"/>
  <c r="AJ469" i="1"/>
  <c r="AH469" i="1"/>
  <c r="AG469" i="1"/>
  <c r="AE469" i="1"/>
  <c r="AD469" i="1"/>
  <c r="AC469" i="1"/>
  <c r="AA469" i="1"/>
  <c r="Z469" i="1"/>
  <c r="Y469" i="1"/>
  <c r="W469" i="1"/>
  <c r="V469" i="1"/>
  <c r="AO468" i="1"/>
  <c r="AN468" i="1"/>
  <c r="AL468" i="1"/>
  <c r="AK468" i="1"/>
  <c r="AJ468" i="1"/>
  <c r="AH468" i="1"/>
  <c r="AG468" i="1"/>
  <c r="AE468" i="1"/>
  <c r="AD468" i="1"/>
  <c r="AC468" i="1"/>
  <c r="AA468" i="1"/>
  <c r="Z468" i="1"/>
  <c r="Y468" i="1"/>
  <c r="W468" i="1"/>
  <c r="V468" i="1"/>
  <c r="AO467" i="1"/>
  <c r="AN467" i="1"/>
  <c r="AL467" i="1"/>
  <c r="AK467" i="1"/>
  <c r="AJ467" i="1"/>
  <c r="AH467" i="1"/>
  <c r="AG467" i="1"/>
  <c r="AE467" i="1"/>
  <c r="AD467" i="1"/>
  <c r="AC467" i="1"/>
  <c r="AA467" i="1"/>
  <c r="Z467" i="1"/>
  <c r="Y467" i="1"/>
  <c r="W467" i="1"/>
  <c r="V467" i="1"/>
  <c r="AO466" i="1"/>
  <c r="AN466" i="1"/>
  <c r="AL466" i="1"/>
  <c r="AK466" i="1"/>
  <c r="AJ466" i="1"/>
  <c r="AH466" i="1"/>
  <c r="AG466" i="1"/>
  <c r="AE466" i="1"/>
  <c r="AD466" i="1"/>
  <c r="AC466" i="1"/>
  <c r="AA466" i="1"/>
  <c r="Z466" i="1"/>
  <c r="Y466" i="1"/>
  <c r="W466" i="1"/>
  <c r="V466" i="1"/>
  <c r="AO465" i="1"/>
  <c r="AN465" i="1"/>
  <c r="AL465" i="1"/>
  <c r="AK465" i="1"/>
  <c r="AJ465" i="1"/>
  <c r="AH465" i="1"/>
  <c r="AG465" i="1"/>
  <c r="AE465" i="1"/>
  <c r="AD465" i="1"/>
  <c r="AC465" i="1"/>
  <c r="AA465" i="1"/>
  <c r="Z465" i="1"/>
  <c r="Y465" i="1"/>
  <c r="W465" i="1"/>
  <c r="V465" i="1"/>
  <c r="AO464" i="1"/>
  <c r="AN464" i="1"/>
  <c r="AL464" i="1"/>
  <c r="AK464" i="1"/>
  <c r="AJ464" i="1"/>
  <c r="AH464" i="1"/>
  <c r="AG464" i="1"/>
  <c r="AE464" i="1"/>
  <c r="AD464" i="1"/>
  <c r="AC464" i="1"/>
  <c r="AA464" i="1"/>
  <c r="Z464" i="1"/>
  <c r="Y464" i="1"/>
  <c r="W464" i="1"/>
  <c r="V464" i="1"/>
  <c r="AO463" i="1"/>
  <c r="AN463" i="1"/>
  <c r="AL463" i="1"/>
  <c r="AK463" i="1"/>
  <c r="AJ463" i="1"/>
  <c r="AH463" i="1"/>
  <c r="AG463" i="1"/>
  <c r="AE463" i="1"/>
  <c r="AD463" i="1"/>
  <c r="AC463" i="1"/>
  <c r="AA463" i="1"/>
  <c r="Z463" i="1"/>
  <c r="Y463" i="1"/>
  <c r="W463" i="1"/>
  <c r="V463" i="1"/>
  <c r="AN462" i="1"/>
  <c r="AL462" i="1"/>
  <c r="AK462" i="1"/>
  <c r="AJ462" i="1"/>
  <c r="AH462" i="1"/>
  <c r="AG462" i="1"/>
  <c r="AE462" i="1"/>
  <c r="AC462" i="1"/>
  <c r="AA462" i="1"/>
  <c r="Z462" i="1"/>
  <c r="Y462" i="1"/>
  <c r="W462" i="1"/>
  <c r="V462" i="1"/>
  <c r="AN461" i="1"/>
  <c r="AL461" i="1"/>
  <c r="AK461" i="1"/>
  <c r="AJ461" i="1"/>
  <c r="AH461" i="1"/>
  <c r="AG461" i="1"/>
  <c r="AE461" i="1"/>
  <c r="AC461" i="1"/>
  <c r="AA461" i="1"/>
  <c r="Z461" i="1"/>
  <c r="Y461" i="1"/>
  <c r="W461" i="1"/>
  <c r="V461" i="1"/>
  <c r="AN460" i="1"/>
  <c r="AL460" i="1"/>
  <c r="AK460" i="1"/>
  <c r="AJ460" i="1"/>
  <c r="AH460" i="1"/>
  <c r="AG460" i="1"/>
  <c r="AE460" i="1"/>
  <c r="AC460" i="1"/>
  <c r="AA460" i="1"/>
  <c r="Z460" i="1"/>
  <c r="Y460" i="1"/>
  <c r="W460" i="1"/>
  <c r="V460" i="1"/>
  <c r="AO459" i="1"/>
  <c r="AN459" i="1"/>
  <c r="AL459" i="1"/>
  <c r="AK459" i="1"/>
  <c r="AJ459" i="1"/>
  <c r="AH459" i="1"/>
  <c r="AG459" i="1"/>
  <c r="AE459" i="1"/>
  <c r="AD459" i="1"/>
  <c r="AC459" i="1"/>
  <c r="AA459" i="1"/>
  <c r="Z459" i="1"/>
  <c r="Y459" i="1"/>
  <c r="W459" i="1"/>
  <c r="V459" i="1"/>
  <c r="AO458" i="1"/>
  <c r="AN458" i="1"/>
  <c r="AL458" i="1"/>
  <c r="AK458" i="1"/>
  <c r="AJ458" i="1"/>
  <c r="AH458" i="1"/>
  <c r="AG458" i="1"/>
  <c r="AE458" i="1"/>
  <c r="AD458" i="1"/>
  <c r="AC458" i="1"/>
  <c r="AA458" i="1"/>
  <c r="Z458" i="1"/>
  <c r="Y458" i="1"/>
  <c r="W458" i="1"/>
  <c r="V458" i="1"/>
  <c r="AO457" i="1"/>
  <c r="AN457" i="1"/>
  <c r="AL457" i="1"/>
  <c r="AK457" i="1"/>
  <c r="AJ457" i="1"/>
  <c r="AH457" i="1"/>
  <c r="AG457" i="1"/>
  <c r="AE457" i="1"/>
  <c r="AD457" i="1"/>
  <c r="AC457" i="1"/>
  <c r="AA457" i="1"/>
  <c r="Z457" i="1"/>
  <c r="Y457" i="1"/>
  <c r="W457" i="1"/>
  <c r="V457" i="1"/>
  <c r="AO456" i="1"/>
  <c r="AN456" i="1"/>
  <c r="AL456" i="1"/>
  <c r="AK456" i="1"/>
  <c r="AJ456" i="1"/>
  <c r="AH456" i="1"/>
  <c r="AG456" i="1"/>
  <c r="AE456" i="1"/>
  <c r="AD456" i="1"/>
  <c r="AC456" i="1"/>
  <c r="AA456" i="1"/>
  <c r="Z456" i="1"/>
  <c r="Y456" i="1"/>
  <c r="W456" i="1"/>
  <c r="V456" i="1"/>
  <c r="AO455" i="1"/>
  <c r="AN455" i="1"/>
  <c r="AM455" i="1"/>
  <c r="AL455" i="1"/>
  <c r="AK455" i="1"/>
  <c r="AJ455" i="1"/>
  <c r="AH455" i="1"/>
  <c r="AG455" i="1"/>
  <c r="AE455" i="1"/>
  <c r="AC455" i="1"/>
  <c r="AA455" i="1"/>
  <c r="Z455" i="1"/>
  <c r="Y455" i="1"/>
  <c r="AO454" i="1"/>
  <c r="AN454" i="1"/>
  <c r="AM454" i="1"/>
  <c r="AL454" i="1"/>
  <c r="AK454" i="1"/>
  <c r="AJ454" i="1"/>
  <c r="AH454" i="1"/>
  <c r="AG454" i="1"/>
  <c r="AE454" i="1"/>
  <c r="AC454" i="1"/>
  <c r="AA454" i="1"/>
  <c r="Z454" i="1"/>
  <c r="Y454" i="1"/>
  <c r="AO453" i="1"/>
  <c r="AN453" i="1"/>
  <c r="AM453" i="1"/>
  <c r="AL453" i="1"/>
  <c r="AK453" i="1"/>
  <c r="AJ453" i="1"/>
  <c r="AH453" i="1"/>
  <c r="AG453" i="1"/>
  <c r="AE453" i="1"/>
  <c r="AC453" i="1"/>
  <c r="AA453" i="1"/>
  <c r="Z453" i="1"/>
  <c r="Y453" i="1"/>
  <c r="AO452" i="1"/>
  <c r="AN452" i="1"/>
  <c r="AL452" i="1"/>
  <c r="AK452" i="1"/>
  <c r="AJ452" i="1"/>
  <c r="AH452" i="1"/>
  <c r="AG452" i="1"/>
  <c r="AE452" i="1"/>
  <c r="AC452" i="1"/>
  <c r="AA452" i="1"/>
  <c r="Z452" i="1"/>
  <c r="Y452" i="1"/>
  <c r="W452" i="1"/>
  <c r="AO451" i="1"/>
  <c r="AN451" i="1"/>
  <c r="AM451" i="1"/>
  <c r="AL451" i="1"/>
  <c r="AK451" i="1"/>
  <c r="AJ451" i="1"/>
  <c r="AH451" i="1"/>
  <c r="AG451" i="1"/>
  <c r="AE451" i="1"/>
  <c r="AC451" i="1"/>
  <c r="AA451" i="1"/>
  <c r="Z451" i="1"/>
  <c r="Y451" i="1"/>
  <c r="AO450" i="1"/>
  <c r="AN450" i="1"/>
  <c r="AM450" i="1"/>
  <c r="AL450" i="1"/>
  <c r="AK450" i="1"/>
  <c r="AJ450" i="1"/>
  <c r="AH450" i="1"/>
  <c r="AG450" i="1"/>
  <c r="AE450" i="1"/>
  <c r="AC450" i="1"/>
  <c r="AA450" i="1"/>
  <c r="Z450" i="1"/>
  <c r="Y450" i="1"/>
  <c r="AO449" i="1"/>
  <c r="AN449" i="1"/>
  <c r="AM449" i="1"/>
  <c r="AL449" i="1"/>
  <c r="AK449" i="1"/>
  <c r="AJ449" i="1"/>
  <c r="AH449" i="1"/>
  <c r="AG449" i="1"/>
  <c r="AE449" i="1"/>
  <c r="AC449" i="1"/>
  <c r="AA449" i="1"/>
  <c r="Z449" i="1"/>
  <c r="Y449" i="1"/>
  <c r="AO448" i="1"/>
  <c r="AN448" i="1"/>
  <c r="AL448" i="1"/>
  <c r="AK448" i="1"/>
  <c r="AJ448" i="1"/>
  <c r="AH448" i="1"/>
  <c r="AG448" i="1"/>
  <c r="AE448" i="1"/>
  <c r="AC448" i="1"/>
  <c r="AA448" i="1"/>
  <c r="Z448" i="1"/>
  <c r="Y448" i="1"/>
  <c r="W448" i="1"/>
  <c r="AO447" i="1"/>
  <c r="AN447" i="1"/>
  <c r="AL447" i="1"/>
  <c r="AK447" i="1"/>
  <c r="AJ447" i="1"/>
  <c r="AH447" i="1"/>
  <c r="AG447" i="1"/>
  <c r="AE447" i="1"/>
  <c r="AC447" i="1"/>
  <c r="AA447" i="1"/>
  <c r="Z447" i="1"/>
  <c r="Y447" i="1"/>
  <c r="W447" i="1"/>
  <c r="AO446" i="1"/>
  <c r="AN446" i="1"/>
  <c r="AM446" i="1"/>
  <c r="AL446" i="1"/>
  <c r="AK446" i="1"/>
  <c r="AJ446" i="1"/>
  <c r="AH446" i="1"/>
  <c r="AG446" i="1"/>
  <c r="AE446" i="1"/>
  <c r="AC446" i="1"/>
  <c r="AA446" i="1"/>
  <c r="Z446" i="1"/>
  <c r="Y446" i="1"/>
  <c r="AO445" i="1"/>
  <c r="AN445" i="1"/>
  <c r="AL445" i="1"/>
  <c r="AK445" i="1"/>
  <c r="AJ445" i="1"/>
  <c r="AH445" i="1"/>
  <c r="AG445" i="1"/>
  <c r="AE445" i="1"/>
  <c r="AC445" i="1"/>
  <c r="AA445" i="1"/>
  <c r="Z445" i="1"/>
  <c r="Y445" i="1"/>
  <c r="W445" i="1"/>
  <c r="AO444" i="1"/>
  <c r="AN444" i="1"/>
  <c r="AL444" i="1"/>
  <c r="AK444" i="1"/>
  <c r="AJ444" i="1"/>
  <c r="AH444" i="1"/>
  <c r="AG444" i="1"/>
  <c r="AE444" i="1"/>
  <c r="AC444" i="1"/>
  <c r="AA444" i="1"/>
  <c r="Z444" i="1"/>
  <c r="Y444" i="1"/>
  <c r="W444" i="1"/>
  <c r="AO443" i="1"/>
  <c r="AN443" i="1"/>
  <c r="AL443" i="1"/>
  <c r="AK443" i="1"/>
  <c r="AJ443" i="1"/>
  <c r="AH443" i="1"/>
  <c r="AG443" i="1"/>
  <c r="AE443" i="1"/>
  <c r="AC443" i="1"/>
  <c r="AA443" i="1"/>
  <c r="Z443" i="1"/>
  <c r="Y443" i="1"/>
  <c r="W443" i="1"/>
  <c r="AO442" i="1"/>
  <c r="AN442" i="1"/>
  <c r="AM442" i="1"/>
  <c r="AL442" i="1"/>
  <c r="AK442" i="1"/>
  <c r="AJ442" i="1"/>
  <c r="AH442" i="1"/>
  <c r="AG442" i="1"/>
  <c r="AE442" i="1"/>
  <c r="AC442" i="1"/>
  <c r="AA442" i="1"/>
  <c r="Z442" i="1"/>
  <c r="Y442" i="1"/>
  <c r="AO441" i="1"/>
  <c r="AN441" i="1"/>
  <c r="AL441" i="1"/>
  <c r="AK441" i="1"/>
  <c r="AJ441" i="1"/>
  <c r="AH441" i="1"/>
  <c r="AG441" i="1"/>
  <c r="AE441" i="1"/>
  <c r="AC441" i="1"/>
  <c r="AA441" i="1"/>
  <c r="Z441" i="1"/>
  <c r="Y441" i="1"/>
  <c r="W441" i="1"/>
  <c r="AO440" i="1"/>
  <c r="AN440" i="1"/>
  <c r="AM440" i="1"/>
  <c r="AL440" i="1"/>
  <c r="AK440" i="1"/>
  <c r="AJ440" i="1"/>
  <c r="AH440" i="1"/>
  <c r="AG440" i="1"/>
  <c r="AE440" i="1"/>
  <c r="AC440" i="1"/>
  <c r="AA440" i="1"/>
  <c r="Z440" i="1"/>
  <c r="Y440" i="1"/>
  <c r="AO439" i="1"/>
  <c r="AN439" i="1"/>
  <c r="AM439" i="1"/>
  <c r="AL439" i="1"/>
  <c r="AK439" i="1"/>
  <c r="AJ439" i="1"/>
  <c r="AH439" i="1"/>
  <c r="AG439" i="1"/>
  <c r="AE439" i="1"/>
  <c r="AC439" i="1"/>
  <c r="AA439" i="1"/>
  <c r="Z439" i="1"/>
  <c r="Y439" i="1"/>
  <c r="AO438" i="1"/>
  <c r="AN438" i="1"/>
  <c r="AM438" i="1"/>
  <c r="AL438" i="1"/>
  <c r="AK438" i="1"/>
  <c r="AJ438" i="1"/>
  <c r="AH438" i="1"/>
  <c r="AG438" i="1"/>
  <c r="AE438" i="1"/>
  <c r="AC438" i="1"/>
  <c r="AA438" i="1"/>
  <c r="Z438" i="1"/>
  <c r="Y438" i="1"/>
  <c r="AO437" i="1"/>
  <c r="AN437" i="1"/>
  <c r="AM437" i="1"/>
  <c r="AL437" i="1"/>
  <c r="AK437" i="1"/>
  <c r="AJ437" i="1"/>
  <c r="AH437" i="1"/>
  <c r="AG437" i="1"/>
  <c r="AE437" i="1"/>
  <c r="AC437" i="1"/>
  <c r="AA437" i="1"/>
  <c r="Z437" i="1"/>
  <c r="Y437" i="1"/>
  <c r="AO436" i="1"/>
  <c r="AN436" i="1"/>
  <c r="AM436" i="1"/>
  <c r="AL436" i="1"/>
  <c r="AK436" i="1"/>
  <c r="AJ436" i="1"/>
  <c r="AH436" i="1"/>
  <c r="AG436" i="1"/>
  <c r="AE436" i="1"/>
  <c r="AC436" i="1"/>
  <c r="AA436" i="1"/>
  <c r="Z436" i="1"/>
  <c r="Y436" i="1"/>
  <c r="AO435" i="1"/>
  <c r="AN435" i="1"/>
  <c r="AM435" i="1"/>
  <c r="AL435" i="1"/>
  <c r="AK435" i="1"/>
  <c r="AJ435" i="1"/>
  <c r="AH435" i="1"/>
  <c r="AG435" i="1"/>
  <c r="AE435" i="1"/>
  <c r="AC435" i="1"/>
  <c r="AA435" i="1"/>
  <c r="Z435" i="1"/>
  <c r="Y435" i="1"/>
  <c r="AO434" i="1"/>
  <c r="AN434" i="1"/>
  <c r="AM434" i="1"/>
  <c r="AL434" i="1"/>
  <c r="AK434" i="1"/>
  <c r="AJ434" i="1"/>
  <c r="AH434" i="1"/>
  <c r="AG434" i="1"/>
  <c r="AE434" i="1"/>
  <c r="AC434" i="1"/>
  <c r="AA434" i="1"/>
  <c r="Z434" i="1"/>
  <c r="Y434" i="1"/>
  <c r="AO433" i="1"/>
  <c r="AN433" i="1"/>
  <c r="AM433" i="1"/>
  <c r="AL433" i="1"/>
  <c r="AK433" i="1"/>
  <c r="AJ433" i="1"/>
  <c r="AH433" i="1"/>
  <c r="AG433" i="1"/>
  <c r="AE433" i="1"/>
  <c r="AC433" i="1"/>
  <c r="AA433" i="1"/>
  <c r="Z433" i="1"/>
  <c r="Y433" i="1"/>
  <c r="AO432" i="1"/>
  <c r="AN432" i="1"/>
  <c r="AM432" i="1"/>
  <c r="AL432" i="1"/>
  <c r="AK432" i="1"/>
  <c r="AJ432" i="1"/>
  <c r="AH432" i="1"/>
  <c r="AG432" i="1"/>
  <c r="AE432" i="1"/>
  <c r="AC432" i="1"/>
  <c r="AA432" i="1"/>
  <c r="Z432" i="1"/>
  <c r="Y432" i="1"/>
  <c r="AO431" i="1"/>
  <c r="AN431" i="1"/>
  <c r="AM431" i="1"/>
  <c r="AL431" i="1"/>
  <c r="AK431" i="1"/>
  <c r="AJ431" i="1"/>
  <c r="AH431" i="1"/>
  <c r="AG431" i="1"/>
  <c r="AE431" i="1"/>
  <c r="AC431" i="1"/>
  <c r="AA431" i="1"/>
  <c r="Z431" i="1"/>
  <c r="Y431" i="1"/>
  <c r="AO430" i="1"/>
  <c r="AN430" i="1"/>
  <c r="AM430" i="1"/>
  <c r="AL430" i="1"/>
  <c r="AK430" i="1"/>
  <c r="AJ430" i="1"/>
  <c r="AH430" i="1"/>
  <c r="AG430" i="1"/>
  <c r="AE430" i="1"/>
  <c r="AC430" i="1"/>
  <c r="AA430" i="1"/>
  <c r="Z430" i="1"/>
  <c r="Y430" i="1"/>
  <c r="AO429" i="1"/>
  <c r="AN429" i="1"/>
  <c r="AM429" i="1"/>
  <c r="AL429" i="1"/>
  <c r="AK429" i="1"/>
  <c r="AJ429" i="1"/>
  <c r="AH429" i="1"/>
  <c r="AG429" i="1"/>
  <c r="AE429" i="1"/>
  <c r="AC429" i="1"/>
  <c r="AA429" i="1"/>
  <c r="Z429" i="1"/>
  <c r="Y429" i="1"/>
  <c r="AO428" i="1"/>
  <c r="AN428" i="1"/>
  <c r="AM428" i="1"/>
  <c r="AL428" i="1"/>
  <c r="AK428" i="1"/>
  <c r="AJ428" i="1"/>
  <c r="AH428" i="1"/>
  <c r="AG428" i="1"/>
  <c r="AE428" i="1"/>
  <c r="AC428" i="1"/>
  <c r="AA428" i="1"/>
  <c r="Z428" i="1"/>
  <c r="Y428" i="1"/>
  <c r="AO427" i="1"/>
  <c r="AN427" i="1"/>
  <c r="AL427" i="1"/>
  <c r="AK427" i="1"/>
  <c r="AJ427" i="1"/>
  <c r="AH427" i="1"/>
  <c r="AG427" i="1"/>
  <c r="AE427" i="1"/>
  <c r="AC427" i="1"/>
  <c r="AA427" i="1"/>
  <c r="Z427" i="1"/>
  <c r="Y427" i="1"/>
  <c r="W427" i="1"/>
  <c r="AO426" i="1"/>
  <c r="AN426" i="1"/>
  <c r="AL426" i="1"/>
  <c r="AK426" i="1"/>
  <c r="AJ426" i="1"/>
  <c r="AH426" i="1"/>
  <c r="AG426" i="1"/>
  <c r="AE426" i="1"/>
  <c r="AC426" i="1"/>
  <c r="AA426" i="1"/>
  <c r="Z426" i="1"/>
  <c r="Y426" i="1"/>
  <c r="W426" i="1"/>
  <c r="AO425" i="1"/>
  <c r="AN425" i="1"/>
  <c r="AL425" i="1"/>
  <c r="AK425" i="1"/>
  <c r="AJ425" i="1"/>
  <c r="AH425" i="1"/>
  <c r="AG425" i="1"/>
  <c r="AE425" i="1"/>
  <c r="AC425" i="1"/>
  <c r="AA425" i="1"/>
  <c r="Z425" i="1"/>
  <c r="Y425" i="1"/>
  <c r="W425" i="1"/>
  <c r="AO424" i="1"/>
  <c r="AN424" i="1"/>
  <c r="AL424" i="1"/>
  <c r="AK424" i="1"/>
  <c r="AJ424" i="1"/>
  <c r="AH424" i="1"/>
  <c r="AG424" i="1"/>
  <c r="AE424" i="1"/>
  <c r="AC424" i="1"/>
  <c r="AA424" i="1"/>
  <c r="Z424" i="1"/>
  <c r="Y424" i="1"/>
  <c r="W424" i="1"/>
  <c r="AO423" i="1"/>
  <c r="AN423" i="1"/>
  <c r="AL423" i="1"/>
  <c r="AK423" i="1"/>
  <c r="AJ423" i="1"/>
  <c r="AH423" i="1"/>
  <c r="AG423" i="1"/>
  <c r="AE423" i="1"/>
  <c r="AC423" i="1"/>
  <c r="AA423" i="1"/>
  <c r="Z423" i="1"/>
  <c r="Y423" i="1"/>
  <c r="W423" i="1"/>
  <c r="AO422" i="1"/>
  <c r="AN422" i="1"/>
  <c r="AL422" i="1"/>
  <c r="AK422" i="1"/>
  <c r="AJ422" i="1"/>
  <c r="AH422" i="1"/>
  <c r="AG422" i="1"/>
  <c r="AE422" i="1"/>
  <c r="AC422" i="1"/>
  <c r="AA422" i="1"/>
  <c r="Z422" i="1"/>
  <c r="Y422" i="1"/>
  <c r="W422" i="1"/>
  <c r="AO421" i="1"/>
  <c r="AN421" i="1"/>
  <c r="AL421" i="1"/>
  <c r="AK421" i="1"/>
  <c r="AJ421" i="1"/>
  <c r="AH421" i="1"/>
  <c r="AG421" i="1"/>
  <c r="AE421" i="1"/>
  <c r="AC421" i="1"/>
  <c r="AA421" i="1"/>
  <c r="Z421" i="1"/>
  <c r="Y421" i="1"/>
  <c r="W421" i="1"/>
  <c r="AO420" i="1"/>
  <c r="AN420" i="1"/>
  <c r="AM420" i="1"/>
  <c r="AL420" i="1"/>
  <c r="AK420" i="1"/>
  <c r="AJ420" i="1"/>
  <c r="AH420" i="1"/>
  <c r="AG420" i="1"/>
  <c r="AE420" i="1"/>
  <c r="AC420" i="1"/>
  <c r="AA420" i="1"/>
  <c r="Z420" i="1"/>
  <c r="Y420" i="1"/>
  <c r="AO419" i="1"/>
  <c r="AN419" i="1"/>
  <c r="AL419" i="1"/>
  <c r="AK419" i="1"/>
  <c r="AJ419" i="1"/>
  <c r="AH419" i="1"/>
  <c r="AG419" i="1"/>
  <c r="AE419" i="1"/>
  <c r="AC419" i="1"/>
  <c r="AA419" i="1"/>
  <c r="Z419" i="1"/>
  <c r="Y419" i="1"/>
  <c r="W419" i="1"/>
  <c r="AO418" i="1"/>
  <c r="AN418" i="1"/>
  <c r="AL418" i="1"/>
  <c r="AK418" i="1"/>
  <c r="AJ418" i="1"/>
  <c r="AH418" i="1"/>
  <c r="AG418" i="1"/>
  <c r="AE418" i="1"/>
  <c r="AC418" i="1"/>
  <c r="AA418" i="1"/>
  <c r="Z418" i="1"/>
  <c r="Y418" i="1"/>
  <c r="W418" i="1"/>
  <c r="AO417" i="1"/>
  <c r="AN417" i="1"/>
  <c r="AL417" i="1"/>
  <c r="AK417" i="1"/>
  <c r="AJ417" i="1"/>
  <c r="AH417" i="1"/>
  <c r="AG417" i="1"/>
  <c r="AE417" i="1"/>
  <c r="AC417" i="1"/>
  <c r="AA417" i="1"/>
  <c r="Z417" i="1"/>
  <c r="Y417" i="1"/>
  <c r="W417" i="1"/>
  <c r="AO416" i="1"/>
  <c r="AN416" i="1"/>
  <c r="AL416" i="1"/>
  <c r="AK416" i="1"/>
  <c r="AJ416" i="1"/>
  <c r="AH416" i="1"/>
  <c r="AG416" i="1"/>
  <c r="AE416" i="1"/>
  <c r="AC416" i="1"/>
  <c r="AA416" i="1"/>
  <c r="Z416" i="1"/>
  <c r="Y416" i="1"/>
  <c r="W416" i="1"/>
  <c r="AO415" i="1"/>
  <c r="AN415" i="1"/>
  <c r="AM415" i="1"/>
  <c r="AL415" i="1"/>
  <c r="AK415" i="1"/>
  <c r="AJ415" i="1"/>
  <c r="AH415" i="1"/>
  <c r="AG415" i="1"/>
  <c r="AE415" i="1"/>
  <c r="AC415" i="1"/>
  <c r="AA415" i="1"/>
  <c r="Z415" i="1"/>
  <c r="Y415" i="1"/>
  <c r="AO414" i="1"/>
  <c r="AN414" i="1"/>
  <c r="AM414" i="1"/>
  <c r="AL414" i="1"/>
  <c r="AK414" i="1"/>
  <c r="AJ414" i="1"/>
  <c r="AH414" i="1"/>
  <c r="AG414" i="1"/>
  <c r="AE414" i="1"/>
  <c r="AC414" i="1"/>
  <c r="AA414" i="1"/>
  <c r="Z414" i="1"/>
  <c r="Y414" i="1"/>
  <c r="AO413" i="1"/>
  <c r="AN413" i="1"/>
  <c r="AL413" i="1"/>
  <c r="AK413" i="1"/>
  <c r="AJ413" i="1"/>
  <c r="AH413" i="1"/>
  <c r="AG413" i="1"/>
  <c r="AE413" i="1"/>
  <c r="AC413" i="1"/>
  <c r="AA413" i="1"/>
  <c r="Z413" i="1"/>
  <c r="Y413" i="1"/>
  <c r="W413" i="1"/>
  <c r="AO412" i="1"/>
  <c r="AN412" i="1"/>
  <c r="AM412" i="1"/>
  <c r="AL412" i="1"/>
  <c r="AK412" i="1"/>
  <c r="AJ412" i="1"/>
  <c r="AH412" i="1"/>
  <c r="AG412" i="1"/>
  <c r="AE412" i="1"/>
  <c r="AC412" i="1"/>
  <c r="AA412" i="1"/>
  <c r="Z412" i="1"/>
  <c r="Y412" i="1"/>
  <c r="AO411" i="1"/>
  <c r="AN411" i="1"/>
  <c r="AL411" i="1"/>
  <c r="AK411" i="1"/>
  <c r="AJ411" i="1"/>
  <c r="AH411" i="1"/>
  <c r="AG411" i="1"/>
  <c r="AE411" i="1"/>
  <c r="AC411" i="1"/>
  <c r="AA411" i="1"/>
  <c r="Z411" i="1"/>
  <c r="Y411" i="1"/>
  <c r="W411" i="1"/>
  <c r="AO410" i="1"/>
  <c r="AN410" i="1"/>
  <c r="AL410" i="1"/>
  <c r="AK410" i="1"/>
  <c r="AJ410" i="1"/>
  <c r="AH410" i="1"/>
  <c r="AG410" i="1"/>
  <c r="AE410" i="1"/>
  <c r="AC410" i="1"/>
  <c r="AA410" i="1"/>
  <c r="Z410" i="1"/>
  <c r="Y410" i="1"/>
  <c r="W410" i="1"/>
  <c r="AO409" i="1"/>
  <c r="AN409" i="1"/>
  <c r="AL409" i="1"/>
  <c r="AK409" i="1"/>
  <c r="AJ409" i="1"/>
  <c r="AH409" i="1"/>
  <c r="AG409" i="1"/>
  <c r="AE409" i="1"/>
  <c r="AC409" i="1"/>
  <c r="AA409" i="1"/>
  <c r="Z409" i="1"/>
  <c r="Y409" i="1"/>
  <c r="W409" i="1"/>
  <c r="AO408" i="1"/>
  <c r="AN408" i="1"/>
  <c r="AM408" i="1"/>
  <c r="AL408" i="1"/>
  <c r="AK408" i="1"/>
  <c r="AJ408" i="1"/>
  <c r="AH408" i="1"/>
  <c r="AG408" i="1"/>
  <c r="AE408" i="1"/>
  <c r="AC408" i="1"/>
  <c r="AA408" i="1"/>
  <c r="Z408" i="1"/>
  <c r="Y408" i="1"/>
  <c r="AO407" i="1"/>
  <c r="AN407" i="1"/>
  <c r="AL407" i="1"/>
  <c r="AK407" i="1"/>
  <c r="AJ407" i="1"/>
  <c r="AH407" i="1"/>
  <c r="AG407" i="1"/>
  <c r="AE407" i="1"/>
  <c r="AC407" i="1"/>
  <c r="AA407" i="1"/>
  <c r="Z407" i="1"/>
  <c r="Y407" i="1"/>
  <c r="W407" i="1"/>
  <c r="AO406" i="1"/>
  <c r="AN406" i="1"/>
  <c r="AM406" i="1"/>
  <c r="AL406" i="1"/>
  <c r="AK406" i="1"/>
  <c r="AJ406" i="1"/>
  <c r="AH406" i="1"/>
  <c r="AG406" i="1"/>
  <c r="AE406" i="1"/>
  <c r="AC406" i="1"/>
  <c r="AA406" i="1"/>
  <c r="Z406" i="1"/>
  <c r="Y406" i="1"/>
  <c r="AO405" i="1"/>
  <c r="AN405" i="1"/>
  <c r="AL405" i="1"/>
  <c r="AK405" i="1"/>
  <c r="AJ405" i="1"/>
  <c r="AH405" i="1"/>
  <c r="AG405" i="1"/>
  <c r="AE405" i="1"/>
  <c r="AC405" i="1"/>
  <c r="AA405" i="1"/>
  <c r="Z405" i="1"/>
  <c r="Y405" i="1"/>
  <c r="W405" i="1"/>
  <c r="AO404" i="1"/>
  <c r="AN404" i="1"/>
  <c r="AL404" i="1"/>
  <c r="AK404" i="1"/>
  <c r="AJ404" i="1"/>
  <c r="AH404" i="1"/>
  <c r="AG404" i="1"/>
  <c r="AE404" i="1"/>
  <c r="AC404" i="1"/>
  <c r="AA404" i="1"/>
  <c r="Z404" i="1"/>
  <c r="Y404" i="1"/>
  <c r="W404" i="1"/>
  <c r="AO403" i="1"/>
  <c r="AN403" i="1"/>
  <c r="AL403" i="1"/>
  <c r="AK403" i="1"/>
  <c r="AJ403" i="1"/>
  <c r="AH403" i="1"/>
  <c r="AG403" i="1"/>
  <c r="AE403" i="1"/>
  <c r="AC403" i="1"/>
  <c r="AA403" i="1"/>
  <c r="Z403" i="1"/>
  <c r="Y403" i="1"/>
  <c r="W403" i="1"/>
  <c r="AO402" i="1"/>
  <c r="AN402" i="1"/>
  <c r="AM402" i="1"/>
  <c r="AL402" i="1"/>
  <c r="AK402" i="1"/>
  <c r="AJ402" i="1"/>
  <c r="AH402" i="1"/>
  <c r="AG402" i="1"/>
  <c r="AE402" i="1"/>
  <c r="AC402" i="1"/>
  <c r="AA402" i="1"/>
  <c r="Z402" i="1"/>
  <c r="Y402" i="1"/>
  <c r="AO401" i="1"/>
  <c r="AN401" i="1"/>
  <c r="AL401" i="1"/>
  <c r="AK401" i="1"/>
  <c r="AJ401" i="1"/>
  <c r="AH401" i="1"/>
  <c r="AG401" i="1"/>
  <c r="AE401" i="1"/>
  <c r="AC401" i="1"/>
  <c r="AA401" i="1"/>
  <c r="Z401" i="1"/>
  <c r="Y401" i="1"/>
  <c r="W401" i="1"/>
  <c r="AO400" i="1"/>
  <c r="AN400" i="1"/>
  <c r="AM400" i="1"/>
  <c r="AL400" i="1"/>
  <c r="AK400" i="1"/>
  <c r="AJ400" i="1"/>
  <c r="AH400" i="1"/>
  <c r="AG400" i="1"/>
  <c r="AE400" i="1"/>
  <c r="AC400" i="1"/>
  <c r="AA400" i="1"/>
  <c r="Z400" i="1"/>
  <c r="Y400" i="1"/>
  <c r="AO399" i="1"/>
  <c r="AN399" i="1"/>
  <c r="AM399" i="1"/>
  <c r="AL399" i="1"/>
  <c r="AK399" i="1"/>
  <c r="AJ399" i="1"/>
  <c r="AH399" i="1"/>
  <c r="AG399" i="1"/>
  <c r="AE399" i="1"/>
  <c r="AC399" i="1"/>
  <c r="AA399" i="1"/>
  <c r="Z399" i="1"/>
  <c r="Y399" i="1"/>
  <c r="AO398" i="1"/>
  <c r="AN398" i="1"/>
  <c r="AM398" i="1"/>
  <c r="AL398" i="1"/>
  <c r="AK398" i="1"/>
  <c r="AJ398" i="1"/>
  <c r="AH398" i="1"/>
  <c r="AG398" i="1"/>
  <c r="AE398" i="1"/>
  <c r="AC398" i="1"/>
  <c r="AA398" i="1"/>
  <c r="Z398" i="1"/>
  <c r="Y398" i="1"/>
  <c r="AO397" i="1"/>
  <c r="AN397" i="1"/>
  <c r="AM397" i="1"/>
  <c r="AL397" i="1"/>
  <c r="AK397" i="1"/>
  <c r="AJ397" i="1"/>
  <c r="AH397" i="1"/>
  <c r="AG397" i="1"/>
  <c r="AE397" i="1"/>
  <c r="AC397" i="1"/>
  <c r="AA397" i="1"/>
  <c r="Z397" i="1"/>
  <c r="Y397" i="1"/>
  <c r="AO396" i="1"/>
  <c r="AN396" i="1"/>
  <c r="AL396" i="1"/>
  <c r="AK396" i="1"/>
  <c r="AJ396" i="1"/>
  <c r="AH396" i="1"/>
  <c r="AG396" i="1"/>
  <c r="AE396" i="1"/>
  <c r="AC396" i="1"/>
  <c r="AA396" i="1"/>
  <c r="Z396" i="1"/>
  <c r="Y396" i="1"/>
  <c r="W396" i="1"/>
  <c r="AO395" i="1"/>
  <c r="AN395" i="1"/>
  <c r="AM395" i="1"/>
  <c r="AL395" i="1"/>
  <c r="AK395" i="1"/>
  <c r="AJ395" i="1"/>
  <c r="AH395" i="1"/>
  <c r="AG395" i="1"/>
  <c r="AE395" i="1"/>
  <c r="AC395" i="1"/>
  <c r="AA395" i="1"/>
  <c r="Z395" i="1"/>
  <c r="Y395" i="1"/>
  <c r="AO394" i="1"/>
  <c r="AN394" i="1"/>
  <c r="AM394" i="1"/>
  <c r="AL394" i="1"/>
  <c r="AK394" i="1"/>
  <c r="AJ394" i="1"/>
  <c r="AH394" i="1"/>
  <c r="AG394" i="1"/>
  <c r="AE394" i="1"/>
  <c r="AC394" i="1"/>
  <c r="AA394" i="1"/>
  <c r="Z394" i="1"/>
  <c r="Y394" i="1"/>
  <c r="AO393" i="1"/>
  <c r="AN393" i="1"/>
  <c r="AM393" i="1"/>
  <c r="AL393" i="1"/>
  <c r="AK393" i="1"/>
  <c r="AJ393" i="1"/>
  <c r="AH393" i="1"/>
  <c r="AG393" i="1"/>
  <c r="AE393" i="1"/>
  <c r="AC393" i="1"/>
  <c r="AA393" i="1"/>
  <c r="Z393" i="1"/>
  <c r="Y393" i="1"/>
  <c r="AO392" i="1"/>
  <c r="AN392" i="1"/>
  <c r="AM392" i="1"/>
  <c r="AL392" i="1"/>
  <c r="AK392" i="1"/>
  <c r="AJ392" i="1"/>
  <c r="AH392" i="1"/>
  <c r="AG392" i="1"/>
  <c r="AE392" i="1"/>
  <c r="AC392" i="1"/>
  <c r="AA392" i="1"/>
  <c r="Z392" i="1"/>
  <c r="Y392" i="1"/>
  <c r="AO391" i="1"/>
  <c r="AN391" i="1"/>
  <c r="AM391" i="1"/>
  <c r="AL391" i="1"/>
  <c r="AK391" i="1"/>
  <c r="AJ391" i="1"/>
  <c r="AH391" i="1"/>
  <c r="AG391" i="1"/>
  <c r="AE391" i="1"/>
  <c r="AC391" i="1"/>
  <c r="AA391" i="1"/>
  <c r="Z391" i="1"/>
  <c r="Y391" i="1"/>
  <c r="AO390" i="1"/>
  <c r="AN390" i="1"/>
  <c r="AM390" i="1"/>
  <c r="AL390" i="1"/>
  <c r="AK390" i="1"/>
  <c r="AJ390" i="1"/>
  <c r="AH390" i="1"/>
  <c r="AG390" i="1"/>
  <c r="AE390" i="1"/>
  <c r="AC390" i="1"/>
  <c r="AA390" i="1"/>
  <c r="Z390" i="1"/>
  <c r="Y390" i="1"/>
  <c r="AO389" i="1"/>
  <c r="AN389" i="1"/>
  <c r="AL389" i="1"/>
  <c r="AK389" i="1"/>
  <c r="AJ389" i="1"/>
  <c r="AH389" i="1"/>
  <c r="AG389" i="1"/>
  <c r="AE389" i="1"/>
  <c r="AC389" i="1"/>
  <c r="AA389" i="1"/>
  <c r="Z389" i="1"/>
  <c r="Y389" i="1"/>
  <c r="W389" i="1"/>
  <c r="AO388" i="1"/>
  <c r="AN388" i="1"/>
  <c r="AM388" i="1"/>
  <c r="AL388" i="1"/>
  <c r="AK388" i="1"/>
  <c r="AJ388" i="1"/>
  <c r="AH388" i="1"/>
  <c r="AG388" i="1"/>
  <c r="AE388" i="1"/>
  <c r="AC388" i="1"/>
  <c r="AA388" i="1"/>
  <c r="Z388" i="1"/>
  <c r="Y388" i="1"/>
  <c r="AO387" i="1"/>
  <c r="AN387" i="1"/>
  <c r="AL387" i="1"/>
  <c r="AK387" i="1"/>
  <c r="AJ387" i="1"/>
  <c r="AH387" i="1"/>
  <c r="AG387" i="1"/>
  <c r="AE387" i="1"/>
  <c r="AC387" i="1"/>
  <c r="AA387" i="1"/>
  <c r="Z387" i="1"/>
  <c r="Y387" i="1"/>
  <c r="W387" i="1"/>
  <c r="AO386" i="1"/>
  <c r="AN386" i="1"/>
  <c r="AM386" i="1"/>
  <c r="AL386" i="1"/>
  <c r="AK386" i="1"/>
  <c r="AJ386" i="1"/>
  <c r="AH386" i="1"/>
  <c r="AG386" i="1"/>
  <c r="AE386" i="1"/>
  <c r="AC386" i="1"/>
  <c r="AA386" i="1"/>
  <c r="Z386" i="1"/>
  <c r="Y386" i="1"/>
  <c r="AO385" i="1"/>
  <c r="AN385" i="1"/>
  <c r="AM385" i="1"/>
  <c r="AL385" i="1"/>
  <c r="AK385" i="1"/>
  <c r="AJ385" i="1"/>
  <c r="AH385" i="1"/>
  <c r="AG385" i="1"/>
  <c r="AE385" i="1"/>
  <c r="AC385" i="1"/>
  <c r="AA385" i="1"/>
  <c r="Z385" i="1"/>
  <c r="Y385" i="1"/>
  <c r="AO384" i="1"/>
  <c r="AN384" i="1"/>
  <c r="AM384" i="1"/>
  <c r="AL384" i="1"/>
  <c r="AK384" i="1"/>
  <c r="AJ384" i="1"/>
  <c r="AH384" i="1"/>
  <c r="AG384" i="1"/>
  <c r="AE384" i="1"/>
  <c r="AC384" i="1"/>
  <c r="AA384" i="1"/>
  <c r="Z384" i="1"/>
  <c r="Y384" i="1"/>
  <c r="AO383" i="1"/>
  <c r="AN383" i="1"/>
  <c r="AM383" i="1"/>
  <c r="AL383" i="1"/>
  <c r="AK383" i="1"/>
  <c r="AJ383" i="1"/>
  <c r="AH383" i="1"/>
  <c r="AG383" i="1"/>
  <c r="AE383" i="1"/>
  <c r="AC383" i="1"/>
  <c r="AA383" i="1"/>
  <c r="Z383" i="1"/>
  <c r="Y383" i="1"/>
  <c r="AO382" i="1"/>
  <c r="AN382" i="1"/>
  <c r="AM382" i="1"/>
  <c r="AL382" i="1"/>
  <c r="AK382" i="1"/>
  <c r="AJ382" i="1"/>
  <c r="AH382" i="1"/>
  <c r="AG382" i="1"/>
  <c r="AE382" i="1"/>
  <c r="AC382" i="1"/>
  <c r="AA382" i="1"/>
  <c r="Z382" i="1"/>
  <c r="Y382" i="1"/>
  <c r="AO381" i="1"/>
  <c r="AN381" i="1"/>
  <c r="AM381" i="1"/>
  <c r="AL381" i="1"/>
  <c r="AK381" i="1"/>
  <c r="AJ381" i="1"/>
  <c r="AH381" i="1"/>
  <c r="AG381" i="1"/>
  <c r="AE381" i="1"/>
  <c r="AC381" i="1"/>
  <c r="AA381" i="1"/>
  <c r="Z381" i="1"/>
  <c r="Y381" i="1"/>
  <c r="AO380" i="1"/>
  <c r="AN380" i="1"/>
  <c r="AM380" i="1"/>
  <c r="AL380" i="1"/>
  <c r="AK380" i="1"/>
  <c r="AJ380" i="1"/>
  <c r="AH380" i="1"/>
  <c r="AG380" i="1"/>
  <c r="AE380" i="1"/>
  <c r="AC380" i="1"/>
  <c r="AA380" i="1"/>
  <c r="Z380" i="1"/>
  <c r="Y380" i="1"/>
  <c r="AO379" i="1"/>
  <c r="AN379" i="1"/>
  <c r="AM379" i="1"/>
  <c r="AL379" i="1"/>
  <c r="AK379" i="1"/>
  <c r="AJ379" i="1"/>
  <c r="AH379" i="1"/>
  <c r="AG379" i="1"/>
  <c r="AE379" i="1"/>
  <c r="AC379" i="1"/>
  <c r="AA379" i="1"/>
  <c r="Z379" i="1"/>
  <c r="Y379" i="1"/>
  <c r="AO378" i="1"/>
  <c r="AN378" i="1"/>
  <c r="AM378" i="1"/>
  <c r="AL378" i="1"/>
  <c r="AK378" i="1"/>
  <c r="AJ378" i="1"/>
  <c r="AH378" i="1"/>
  <c r="AG378" i="1"/>
  <c r="AE378" i="1"/>
  <c r="AC378" i="1"/>
  <c r="AA378" i="1"/>
  <c r="Z378" i="1"/>
  <c r="Y378" i="1"/>
  <c r="AO377" i="1"/>
  <c r="AN377" i="1"/>
  <c r="AM377" i="1"/>
  <c r="AL377" i="1"/>
  <c r="AK377" i="1"/>
  <c r="AJ377" i="1"/>
  <c r="AH377" i="1"/>
  <c r="AG377" i="1"/>
  <c r="AE377" i="1"/>
  <c r="AC377" i="1"/>
  <c r="AA377" i="1"/>
  <c r="Z377" i="1"/>
  <c r="Y377" i="1"/>
  <c r="AO376" i="1"/>
  <c r="AN376" i="1"/>
  <c r="AM376" i="1"/>
  <c r="AL376" i="1"/>
  <c r="AK376" i="1"/>
  <c r="AJ376" i="1"/>
  <c r="AH376" i="1"/>
  <c r="AG376" i="1"/>
  <c r="AE376" i="1"/>
  <c r="AC376" i="1"/>
  <c r="AA376" i="1"/>
  <c r="Z376" i="1"/>
  <c r="Y376" i="1"/>
  <c r="AO375" i="1"/>
  <c r="AN375" i="1"/>
  <c r="AM375" i="1"/>
  <c r="AL375" i="1"/>
  <c r="AK375" i="1"/>
  <c r="AJ375" i="1"/>
  <c r="AH375" i="1"/>
  <c r="AG375" i="1"/>
  <c r="AE375" i="1"/>
  <c r="AC375" i="1"/>
  <c r="AA375" i="1"/>
  <c r="Z375" i="1"/>
  <c r="Y375" i="1"/>
  <c r="AO374" i="1"/>
  <c r="AN374" i="1"/>
  <c r="AM374" i="1"/>
  <c r="AL374" i="1"/>
  <c r="AK374" i="1"/>
  <c r="AJ374" i="1"/>
  <c r="AH374" i="1"/>
  <c r="AG374" i="1"/>
  <c r="AE374" i="1"/>
  <c r="AC374" i="1"/>
  <c r="AA374" i="1"/>
  <c r="Z374" i="1"/>
  <c r="Y374" i="1"/>
  <c r="AO373" i="1"/>
  <c r="AN373" i="1"/>
  <c r="AM373" i="1"/>
  <c r="AL373" i="1"/>
  <c r="AK373" i="1"/>
  <c r="AJ373" i="1"/>
  <c r="AH373" i="1"/>
  <c r="AG373" i="1"/>
  <c r="AE373" i="1"/>
  <c r="AC373" i="1"/>
  <c r="AA373" i="1"/>
  <c r="Z373" i="1"/>
  <c r="Y373" i="1"/>
  <c r="AO372" i="1"/>
  <c r="AN372" i="1"/>
  <c r="AM372" i="1"/>
  <c r="AL372" i="1"/>
  <c r="AK372" i="1"/>
  <c r="AJ372" i="1"/>
  <c r="AH372" i="1"/>
  <c r="AG372" i="1"/>
  <c r="AE372" i="1"/>
  <c r="AC372" i="1"/>
  <c r="AA372" i="1"/>
  <c r="Z372" i="1"/>
  <c r="Y372" i="1"/>
  <c r="AO371" i="1"/>
  <c r="AN371" i="1"/>
  <c r="AM371" i="1"/>
  <c r="AL371" i="1"/>
  <c r="AK371" i="1"/>
  <c r="AJ371" i="1"/>
  <c r="AH371" i="1"/>
  <c r="AG371" i="1"/>
  <c r="AE371" i="1"/>
  <c r="AC371" i="1"/>
  <c r="AA371" i="1"/>
  <c r="Z371" i="1"/>
  <c r="Y371" i="1"/>
  <c r="AO370" i="1"/>
  <c r="AN370" i="1"/>
  <c r="AM370" i="1"/>
  <c r="AL370" i="1"/>
  <c r="AK370" i="1"/>
  <c r="AJ370" i="1"/>
  <c r="AH370" i="1"/>
  <c r="AG370" i="1"/>
  <c r="AE370" i="1"/>
  <c r="AC370" i="1"/>
  <c r="AA370" i="1"/>
  <c r="Z370" i="1"/>
  <c r="Y370" i="1"/>
  <c r="AO369" i="1"/>
  <c r="AN369" i="1"/>
  <c r="AM369" i="1"/>
  <c r="AL369" i="1"/>
  <c r="AK369" i="1"/>
  <c r="AJ369" i="1"/>
  <c r="AH369" i="1"/>
  <c r="AG369" i="1"/>
  <c r="AE369" i="1"/>
  <c r="AC369" i="1"/>
  <c r="AA369" i="1"/>
  <c r="Z369" i="1"/>
  <c r="Y369" i="1"/>
  <c r="AO368" i="1"/>
  <c r="AN368" i="1"/>
  <c r="AM368" i="1"/>
  <c r="AL368" i="1"/>
  <c r="AK368" i="1"/>
  <c r="AJ368" i="1"/>
  <c r="AH368" i="1"/>
  <c r="AG368" i="1"/>
  <c r="AE368" i="1"/>
  <c r="AC368" i="1"/>
  <c r="AA368" i="1"/>
  <c r="Z368" i="1"/>
  <c r="Y368" i="1"/>
  <c r="AO367" i="1"/>
  <c r="AN367" i="1"/>
  <c r="AM367" i="1"/>
  <c r="AL367" i="1"/>
  <c r="AK367" i="1"/>
  <c r="AJ367" i="1"/>
  <c r="AH367" i="1"/>
  <c r="AG367" i="1"/>
  <c r="AE367" i="1"/>
  <c r="AC367" i="1"/>
  <c r="AA367" i="1"/>
  <c r="Z367" i="1"/>
  <c r="Y367" i="1"/>
  <c r="AO366" i="1"/>
  <c r="AN366" i="1"/>
  <c r="AM366" i="1"/>
  <c r="AL366" i="1"/>
  <c r="AK366" i="1"/>
  <c r="AJ366" i="1"/>
  <c r="AH366" i="1"/>
  <c r="AG366" i="1"/>
  <c r="AE366" i="1"/>
  <c r="AC366" i="1"/>
  <c r="AA366" i="1"/>
  <c r="Z366" i="1"/>
  <c r="Y366" i="1"/>
  <c r="AO365" i="1"/>
  <c r="AN365" i="1"/>
  <c r="AM365" i="1"/>
  <c r="AL365" i="1"/>
  <c r="AK365" i="1"/>
  <c r="AJ365" i="1"/>
  <c r="AH365" i="1"/>
  <c r="AG365" i="1"/>
  <c r="AE365" i="1"/>
  <c r="AC365" i="1"/>
  <c r="AA365" i="1"/>
  <c r="Z365" i="1"/>
  <c r="Y365" i="1"/>
  <c r="AO364" i="1"/>
  <c r="AN364" i="1"/>
  <c r="AL364" i="1"/>
  <c r="AK364" i="1"/>
  <c r="AJ364" i="1"/>
  <c r="AH364" i="1"/>
  <c r="AG364" i="1"/>
  <c r="AE364" i="1"/>
  <c r="AC364" i="1"/>
  <c r="AA364" i="1"/>
  <c r="Z364" i="1"/>
  <c r="Y364" i="1"/>
  <c r="W364" i="1"/>
  <c r="AO363" i="1"/>
  <c r="AN363" i="1"/>
  <c r="AL363" i="1"/>
  <c r="AK363" i="1"/>
  <c r="AJ363" i="1"/>
  <c r="AH363" i="1"/>
  <c r="AG363" i="1"/>
  <c r="AE363" i="1"/>
  <c r="AC363" i="1"/>
  <c r="AA363" i="1"/>
  <c r="Z363" i="1"/>
  <c r="Y363" i="1"/>
  <c r="W363" i="1"/>
  <c r="AO362" i="1"/>
  <c r="AN362" i="1"/>
  <c r="AM362" i="1"/>
  <c r="AL362" i="1"/>
  <c r="AK362" i="1"/>
  <c r="AJ362" i="1"/>
  <c r="AH362" i="1"/>
  <c r="AG362" i="1"/>
  <c r="AE362" i="1"/>
  <c r="AC362" i="1"/>
  <c r="AA362" i="1"/>
  <c r="Z362" i="1"/>
  <c r="Y362" i="1"/>
  <c r="AO361" i="1"/>
  <c r="AN361" i="1"/>
  <c r="AM361" i="1"/>
  <c r="AL361" i="1"/>
  <c r="AK361" i="1"/>
  <c r="AJ361" i="1"/>
  <c r="AH361" i="1"/>
  <c r="AG361" i="1"/>
  <c r="AE361" i="1"/>
  <c r="AC361" i="1"/>
  <c r="AA361" i="1"/>
  <c r="Z361" i="1"/>
  <c r="Y361" i="1"/>
  <c r="AO360" i="1"/>
  <c r="AN360" i="1"/>
  <c r="AL360" i="1"/>
  <c r="AK360" i="1"/>
  <c r="AJ360" i="1"/>
  <c r="AH360" i="1"/>
  <c r="AG360" i="1"/>
  <c r="AE360" i="1"/>
  <c r="AC360" i="1"/>
  <c r="AA360" i="1"/>
  <c r="Z360" i="1"/>
  <c r="Y360" i="1"/>
  <c r="W360" i="1"/>
  <c r="AO359" i="1"/>
  <c r="AN359" i="1"/>
  <c r="AL359" i="1"/>
  <c r="AK359" i="1"/>
  <c r="AJ359" i="1"/>
  <c r="AH359" i="1"/>
  <c r="AG359" i="1"/>
  <c r="AE359" i="1"/>
  <c r="AC359" i="1"/>
  <c r="AA359" i="1"/>
  <c r="Z359" i="1"/>
  <c r="Y359" i="1"/>
  <c r="W359" i="1"/>
  <c r="AO358" i="1"/>
  <c r="AN358" i="1"/>
  <c r="AL358" i="1"/>
  <c r="AK358" i="1"/>
  <c r="AJ358" i="1"/>
  <c r="AH358" i="1"/>
  <c r="AG358" i="1"/>
  <c r="AE358" i="1"/>
  <c r="AC358" i="1"/>
  <c r="AA358" i="1"/>
  <c r="Z358" i="1"/>
  <c r="Y358" i="1"/>
  <c r="W358" i="1"/>
  <c r="AO357" i="1"/>
  <c r="AN357" i="1"/>
  <c r="AL357" i="1"/>
  <c r="AK357" i="1"/>
  <c r="AJ357" i="1"/>
  <c r="AH357" i="1"/>
  <c r="AG357" i="1"/>
  <c r="AE357" i="1"/>
  <c r="AC357" i="1"/>
  <c r="AA357" i="1"/>
  <c r="Z357" i="1"/>
  <c r="Y357" i="1"/>
  <c r="W357" i="1"/>
  <c r="AO356" i="1"/>
  <c r="AN356" i="1"/>
  <c r="AL356" i="1"/>
  <c r="AK356" i="1"/>
  <c r="AJ356" i="1"/>
  <c r="AH356" i="1"/>
  <c r="AG356" i="1"/>
  <c r="AE356" i="1"/>
  <c r="AC356" i="1"/>
  <c r="AA356" i="1"/>
  <c r="Z356" i="1"/>
  <c r="Y356" i="1"/>
  <c r="W356" i="1"/>
  <c r="AO355" i="1"/>
  <c r="AN355" i="1"/>
  <c r="AL355" i="1"/>
  <c r="AK355" i="1"/>
  <c r="AJ355" i="1"/>
  <c r="AH355" i="1"/>
  <c r="AG355" i="1"/>
  <c r="AE355" i="1"/>
  <c r="AC355" i="1"/>
  <c r="AA355" i="1"/>
  <c r="Z355" i="1"/>
  <c r="Y355" i="1"/>
  <c r="W355" i="1"/>
  <c r="AO354" i="1"/>
  <c r="AN354" i="1"/>
  <c r="AL354" i="1"/>
  <c r="AK354" i="1"/>
  <c r="AJ354" i="1"/>
  <c r="AH354" i="1"/>
  <c r="AG354" i="1"/>
  <c r="AE354" i="1"/>
  <c r="AC354" i="1"/>
  <c r="AA354" i="1"/>
  <c r="Z354" i="1"/>
  <c r="Y354" i="1"/>
  <c r="W354" i="1"/>
  <c r="AO353" i="1"/>
  <c r="AN353" i="1"/>
  <c r="AM353" i="1"/>
  <c r="AL353" i="1"/>
  <c r="AK353" i="1"/>
  <c r="AJ353" i="1"/>
  <c r="AH353" i="1"/>
  <c r="AG353" i="1"/>
  <c r="AE353" i="1"/>
  <c r="AC353" i="1"/>
  <c r="AA353" i="1"/>
  <c r="Z353" i="1"/>
  <c r="Y353" i="1"/>
  <c r="AO352" i="1"/>
  <c r="AN352" i="1"/>
  <c r="AM352" i="1"/>
  <c r="AL352" i="1"/>
  <c r="AK352" i="1"/>
  <c r="AJ352" i="1"/>
  <c r="AH352" i="1"/>
  <c r="AG352" i="1"/>
  <c r="AE352" i="1"/>
  <c r="AC352" i="1"/>
  <c r="AA352" i="1"/>
  <c r="Z352" i="1"/>
  <c r="Y352" i="1"/>
  <c r="AO351" i="1"/>
  <c r="AN351" i="1"/>
  <c r="AM351" i="1"/>
  <c r="AL351" i="1"/>
  <c r="AK351" i="1"/>
  <c r="AJ351" i="1"/>
  <c r="AH351" i="1"/>
  <c r="AG351" i="1"/>
  <c r="AE351" i="1"/>
  <c r="AC351" i="1"/>
  <c r="AA351" i="1"/>
  <c r="Z351" i="1"/>
  <c r="Y351" i="1"/>
  <c r="AO350" i="1"/>
  <c r="AN350" i="1"/>
  <c r="AM350" i="1"/>
  <c r="AL350" i="1"/>
  <c r="AK350" i="1"/>
  <c r="AJ350" i="1"/>
  <c r="AH350" i="1"/>
  <c r="AG350" i="1"/>
  <c r="AE350" i="1"/>
  <c r="AC350" i="1"/>
  <c r="AA350" i="1"/>
  <c r="Z350" i="1"/>
  <c r="Y350" i="1"/>
  <c r="AO349" i="1"/>
  <c r="AN349" i="1"/>
  <c r="AM349" i="1"/>
  <c r="AL349" i="1"/>
  <c r="AK349" i="1"/>
  <c r="AJ349" i="1"/>
  <c r="AH349" i="1"/>
  <c r="AG349" i="1"/>
  <c r="AE349" i="1"/>
  <c r="AC349" i="1"/>
  <c r="AA349" i="1"/>
  <c r="Z349" i="1"/>
  <c r="Y349" i="1"/>
  <c r="AO348" i="1"/>
  <c r="AN348" i="1"/>
  <c r="AL348" i="1"/>
  <c r="AK348" i="1"/>
  <c r="AJ348" i="1"/>
  <c r="AH348" i="1"/>
  <c r="AG348" i="1"/>
  <c r="AE348" i="1"/>
  <c r="Z348" i="1"/>
  <c r="Y348" i="1"/>
  <c r="W348" i="1"/>
  <c r="AO347" i="1"/>
  <c r="AN347" i="1"/>
  <c r="AL347" i="1"/>
  <c r="AK347" i="1"/>
  <c r="AJ347" i="1"/>
  <c r="AH347" i="1"/>
  <c r="AG347" i="1"/>
  <c r="AE347" i="1"/>
  <c r="Z347" i="1"/>
  <c r="Y347" i="1"/>
  <c r="W347" i="1"/>
  <c r="AO346" i="1"/>
  <c r="AN346" i="1"/>
  <c r="AL346" i="1"/>
  <c r="AK346" i="1"/>
  <c r="AJ346" i="1"/>
  <c r="AH346" i="1"/>
  <c r="AG346" i="1"/>
  <c r="AE346" i="1"/>
  <c r="Z346" i="1"/>
  <c r="Y346" i="1"/>
  <c r="W346" i="1"/>
  <c r="AO345" i="1"/>
  <c r="AN345" i="1"/>
  <c r="AL345" i="1"/>
  <c r="AK345" i="1"/>
  <c r="AJ345" i="1"/>
  <c r="AH345" i="1"/>
  <c r="AG345" i="1"/>
  <c r="AE345" i="1"/>
  <c r="AC345" i="1"/>
  <c r="AA345" i="1"/>
  <c r="Z345" i="1"/>
  <c r="Y345" i="1"/>
  <c r="W345" i="1"/>
  <c r="V345" i="1"/>
  <c r="AO344" i="1"/>
  <c r="AN344" i="1"/>
  <c r="AL344" i="1"/>
  <c r="AK344" i="1"/>
  <c r="AJ344" i="1"/>
  <c r="AH344" i="1"/>
  <c r="AG344" i="1"/>
  <c r="AE344" i="1"/>
  <c r="AC344" i="1"/>
  <c r="AA344" i="1"/>
  <c r="Z344" i="1"/>
  <c r="Y344" i="1"/>
  <c r="W344" i="1"/>
  <c r="V344" i="1"/>
  <c r="AO343" i="1"/>
  <c r="AN343" i="1"/>
  <c r="AL343" i="1"/>
  <c r="AK343" i="1"/>
  <c r="AJ343" i="1"/>
  <c r="AH343" i="1"/>
  <c r="AG343" i="1"/>
  <c r="AE343" i="1"/>
  <c r="AC343" i="1"/>
  <c r="AA343" i="1"/>
  <c r="Z343" i="1"/>
  <c r="Y343" i="1"/>
  <c r="W343" i="1"/>
  <c r="V343" i="1"/>
  <c r="AO342" i="1"/>
  <c r="AN342" i="1"/>
  <c r="AL342" i="1"/>
  <c r="AK342" i="1"/>
  <c r="AJ342" i="1"/>
  <c r="AH342" i="1"/>
  <c r="AG342" i="1"/>
  <c r="AE342" i="1"/>
  <c r="AC342" i="1"/>
  <c r="AA342" i="1"/>
  <c r="Z342" i="1"/>
  <c r="Y342" i="1"/>
  <c r="W342" i="1"/>
  <c r="V342" i="1"/>
  <c r="AO341" i="1"/>
  <c r="AN341" i="1"/>
  <c r="AL341" i="1"/>
  <c r="AK341" i="1"/>
  <c r="AJ341" i="1"/>
  <c r="AH341" i="1"/>
  <c r="AG341" i="1"/>
  <c r="AE341" i="1"/>
  <c r="AC341" i="1"/>
  <c r="AA341" i="1"/>
  <c r="Z341" i="1"/>
  <c r="Y341" i="1"/>
  <c r="W341" i="1"/>
  <c r="V341" i="1"/>
  <c r="AO340" i="1"/>
  <c r="AN340" i="1"/>
  <c r="AL340" i="1"/>
  <c r="AK340" i="1"/>
  <c r="AJ340" i="1"/>
  <c r="AH340" i="1"/>
  <c r="AG340" i="1"/>
  <c r="AE340" i="1"/>
  <c r="AC340" i="1"/>
  <c r="AA340" i="1"/>
  <c r="Z340" i="1"/>
  <c r="Y340" i="1"/>
  <c r="W340" i="1"/>
  <c r="V340" i="1"/>
  <c r="AO339" i="1"/>
  <c r="AN339" i="1"/>
  <c r="AL339" i="1"/>
  <c r="AK339" i="1"/>
  <c r="AJ339" i="1"/>
  <c r="AH339" i="1"/>
  <c r="AG339" i="1"/>
  <c r="AE339" i="1"/>
  <c r="AC339" i="1"/>
  <c r="AA339" i="1"/>
  <c r="Z339" i="1"/>
  <c r="Y339" i="1"/>
  <c r="W339" i="1"/>
  <c r="V339" i="1"/>
  <c r="AO338" i="1"/>
  <c r="AN338" i="1"/>
  <c r="AL338" i="1"/>
  <c r="AK338" i="1"/>
  <c r="AJ338" i="1"/>
  <c r="AH338" i="1"/>
  <c r="AG338" i="1"/>
  <c r="AE338" i="1"/>
  <c r="AC338" i="1"/>
  <c r="AA338" i="1"/>
  <c r="Z338" i="1"/>
  <c r="Y338" i="1"/>
  <c r="W338" i="1"/>
  <c r="V338" i="1"/>
  <c r="AO337" i="1"/>
  <c r="AN337" i="1"/>
  <c r="AL337" i="1"/>
  <c r="AK337" i="1"/>
  <c r="AJ337" i="1"/>
  <c r="AH337" i="1"/>
  <c r="AG337" i="1"/>
  <c r="AE337" i="1"/>
  <c r="AC337" i="1"/>
  <c r="AA337" i="1"/>
  <c r="Z337" i="1"/>
  <c r="Y337" i="1"/>
  <c r="W337" i="1"/>
  <c r="V337" i="1"/>
  <c r="AO336" i="1"/>
  <c r="AN336" i="1"/>
  <c r="AL336" i="1"/>
  <c r="AK336" i="1"/>
  <c r="AJ336" i="1"/>
  <c r="AH336" i="1"/>
  <c r="AG336" i="1"/>
  <c r="AE336" i="1"/>
  <c r="AC336" i="1"/>
  <c r="AA336" i="1"/>
  <c r="Z336" i="1"/>
  <c r="Y336" i="1"/>
  <c r="W336" i="1"/>
  <c r="V336" i="1"/>
  <c r="AO335" i="1"/>
  <c r="AN335" i="1"/>
  <c r="AL335" i="1"/>
  <c r="AK335" i="1"/>
  <c r="AJ335" i="1"/>
  <c r="AH335" i="1"/>
  <c r="AG335" i="1"/>
  <c r="AE335" i="1"/>
  <c r="AC335" i="1"/>
  <c r="AA335" i="1"/>
  <c r="Z335" i="1"/>
  <c r="Y335" i="1"/>
  <c r="V335" i="1"/>
  <c r="AO334" i="1"/>
  <c r="AN334" i="1"/>
  <c r="AL334" i="1"/>
  <c r="AK334" i="1"/>
  <c r="AJ334" i="1"/>
  <c r="AH334" i="1"/>
  <c r="AG334" i="1"/>
  <c r="AE334" i="1"/>
  <c r="AC334" i="1"/>
  <c r="AA334" i="1"/>
  <c r="Z334" i="1"/>
  <c r="Y334" i="1"/>
  <c r="W334" i="1"/>
  <c r="V334" i="1"/>
  <c r="AO333" i="1"/>
  <c r="AN333" i="1"/>
  <c r="AL333" i="1"/>
  <c r="AK333" i="1"/>
  <c r="AJ333" i="1"/>
  <c r="AH333" i="1"/>
  <c r="AG333" i="1"/>
  <c r="AE333" i="1"/>
  <c r="AC333" i="1"/>
  <c r="AA333" i="1"/>
  <c r="Z333" i="1"/>
  <c r="Y333" i="1"/>
  <c r="W333" i="1"/>
  <c r="V333" i="1"/>
  <c r="AO332" i="1"/>
  <c r="AN332" i="1"/>
  <c r="AL332" i="1"/>
  <c r="AK332" i="1"/>
  <c r="AJ332" i="1"/>
  <c r="AH332" i="1"/>
  <c r="AG332" i="1"/>
  <c r="AE332" i="1"/>
  <c r="AC332" i="1"/>
  <c r="AA332" i="1"/>
  <c r="Z332" i="1"/>
  <c r="Y332" i="1"/>
  <c r="W332" i="1"/>
  <c r="V332" i="1"/>
  <c r="AO331" i="1"/>
  <c r="AN331" i="1"/>
  <c r="AL331" i="1"/>
  <c r="AK331" i="1"/>
  <c r="AJ331" i="1"/>
  <c r="AH331" i="1"/>
  <c r="AG331" i="1"/>
  <c r="AE331" i="1"/>
  <c r="AC331" i="1"/>
  <c r="AA331" i="1"/>
  <c r="Z331" i="1"/>
  <c r="Y331" i="1"/>
  <c r="W331" i="1"/>
  <c r="V331" i="1"/>
  <c r="AO330" i="1"/>
  <c r="AN330" i="1"/>
  <c r="AL330" i="1"/>
  <c r="AK330" i="1"/>
  <c r="AJ330" i="1"/>
  <c r="AH330" i="1"/>
  <c r="AG330" i="1"/>
  <c r="AE330" i="1"/>
  <c r="AC330" i="1"/>
  <c r="AA330" i="1"/>
  <c r="Z330" i="1"/>
  <c r="Y330" i="1"/>
  <c r="W330" i="1"/>
  <c r="V330" i="1"/>
  <c r="AO329" i="1"/>
  <c r="AN329" i="1"/>
  <c r="AL329" i="1"/>
  <c r="AK329" i="1"/>
  <c r="AJ329" i="1"/>
  <c r="AH329" i="1"/>
  <c r="AG329" i="1"/>
  <c r="AE329" i="1"/>
  <c r="AC329" i="1"/>
  <c r="AA329" i="1"/>
  <c r="Z329" i="1"/>
  <c r="Y329" i="1"/>
  <c r="W329" i="1"/>
  <c r="V329" i="1"/>
  <c r="AO328" i="1"/>
  <c r="AN328" i="1"/>
  <c r="AL328" i="1"/>
  <c r="AK328" i="1"/>
  <c r="AJ328" i="1"/>
  <c r="AH328" i="1"/>
  <c r="AG328" i="1"/>
  <c r="AE328" i="1"/>
  <c r="AC328" i="1"/>
  <c r="AA328" i="1"/>
  <c r="Z328" i="1"/>
  <c r="Y328" i="1"/>
  <c r="V328" i="1"/>
  <c r="AO327" i="1"/>
  <c r="AN327" i="1"/>
  <c r="AL327" i="1"/>
  <c r="AK327" i="1"/>
  <c r="AJ327" i="1"/>
  <c r="AH327" i="1"/>
  <c r="AG327" i="1"/>
  <c r="AE327" i="1"/>
  <c r="AC327" i="1"/>
  <c r="AA327" i="1"/>
  <c r="Z327" i="1"/>
  <c r="Y327" i="1"/>
  <c r="W327" i="1"/>
  <c r="V327" i="1"/>
  <c r="AO326" i="1"/>
  <c r="AN326" i="1"/>
  <c r="AL326" i="1"/>
  <c r="AK326" i="1"/>
  <c r="AJ326" i="1"/>
  <c r="AH326" i="1"/>
  <c r="AG326" i="1"/>
  <c r="AE326" i="1"/>
  <c r="AC326" i="1"/>
  <c r="AA326" i="1"/>
  <c r="Z326" i="1"/>
  <c r="Y326" i="1"/>
  <c r="W326" i="1"/>
  <c r="V326" i="1"/>
  <c r="AO325" i="1"/>
  <c r="AN325" i="1"/>
  <c r="AL325" i="1"/>
  <c r="AK325" i="1"/>
  <c r="AJ325" i="1"/>
  <c r="AH325" i="1"/>
  <c r="AG325" i="1"/>
  <c r="AE325" i="1"/>
  <c r="AC325" i="1"/>
  <c r="AA325" i="1"/>
  <c r="Z325" i="1"/>
  <c r="Y325" i="1"/>
  <c r="W325" i="1"/>
  <c r="V325" i="1"/>
  <c r="AO324" i="1"/>
  <c r="AN324" i="1"/>
  <c r="AL324" i="1"/>
  <c r="AK324" i="1"/>
  <c r="AJ324" i="1"/>
  <c r="AH324" i="1"/>
  <c r="AG324" i="1"/>
  <c r="AE324" i="1"/>
  <c r="AC324" i="1"/>
  <c r="AA324" i="1"/>
  <c r="Z324" i="1"/>
  <c r="Y324" i="1"/>
  <c r="W324" i="1"/>
  <c r="V324" i="1"/>
  <c r="AO323" i="1"/>
  <c r="AN323" i="1"/>
  <c r="AL323" i="1"/>
  <c r="AK323" i="1"/>
  <c r="AJ323" i="1"/>
  <c r="AH323" i="1"/>
  <c r="AG323" i="1"/>
  <c r="AE323" i="1"/>
  <c r="AC323" i="1"/>
  <c r="AA323" i="1"/>
  <c r="Z323" i="1"/>
  <c r="Y323" i="1"/>
  <c r="W323" i="1"/>
  <c r="V323" i="1"/>
  <c r="AO322" i="1"/>
  <c r="AN322" i="1"/>
  <c r="AL322" i="1"/>
  <c r="AK322" i="1"/>
  <c r="AJ322" i="1"/>
  <c r="AH322" i="1"/>
  <c r="AG322" i="1"/>
  <c r="AE322" i="1"/>
  <c r="AC322" i="1"/>
  <c r="AA322" i="1"/>
  <c r="Z322" i="1"/>
  <c r="Y322" i="1"/>
  <c r="V322" i="1"/>
  <c r="AO321" i="1"/>
  <c r="AN321" i="1"/>
  <c r="AL321" i="1"/>
  <c r="AK321" i="1"/>
  <c r="AJ321" i="1"/>
  <c r="AH321" i="1"/>
  <c r="AG321" i="1"/>
  <c r="AE321" i="1"/>
  <c r="AC321" i="1"/>
  <c r="AA321" i="1"/>
  <c r="Z321" i="1"/>
  <c r="Y321" i="1"/>
  <c r="V321" i="1"/>
  <c r="AO320" i="1"/>
  <c r="AN320" i="1"/>
  <c r="AL320" i="1"/>
  <c r="AK320" i="1"/>
  <c r="AJ320" i="1"/>
  <c r="AH320" i="1"/>
  <c r="AG320" i="1"/>
  <c r="AE320" i="1"/>
  <c r="AC320" i="1"/>
  <c r="AA320" i="1"/>
  <c r="Z320" i="1"/>
  <c r="Y320" i="1"/>
  <c r="W320" i="1"/>
  <c r="V320" i="1"/>
  <c r="AO319" i="1"/>
  <c r="AN319" i="1"/>
  <c r="AL319" i="1"/>
  <c r="AK319" i="1"/>
  <c r="AJ319" i="1"/>
  <c r="AH319" i="1"/>
  <c r="AG319" i="1"/>
  <c r="AE319" i="1"/>
  <c r="AC319" i="1"/>
  <c r="AA319" i="1"/>
  <c r="Z319" i="1"/>
  <c r="Y319" i="1"/>
  <c r="W319" i="1"/>
  <c r="V319" i="1"/>
  <c r="AO318" i="1"/>
  <c r="AN318" i="1"/>
  <c r="AL318" i="1"/>
  <c r="AK318" i="1"/>
  <c r="AJ318" i="1"/>
  <c r="AH318" i="1"/>
  <c r="AG318" i="1"/>
  <c r="AE318" i="1"/>
  <c r="AC318" i="1"/>
  <c r="AA318" i="1"/>
  <c r="Z318" i="1"/>
  <c r="Y318" i="1"/>
  <c r="W318" i="1"/>
  <c r="V318" i="1"/>
  <c r="AO317" i="1"/>
  <c r="AN317" i="1"/>
  <c r="AL317" i="1"/>
  <c r="AK317" i="1"/>
  <c r="AJ317" i="1"/>
  <c r="AH317" i="1"/>
  <c r="AG317" i="1"/>
  <c r="AE317" i="1"/>
  <c r="AC317" i="1"/>
  <c r="AA317" i="1"/>
  <c r="Z317" i="1"/>
  <c r="Y317" i="1"/>
  <c r="V317" i="1"/>
  <c r="AO316" i="1"/>
  <c r="AN316" i="1"/>
  <c r="AL316" i="1"/>
  <c r="AK316" i="1"/>
  <c r="AJ316" i="1"/>
  <c r="AH316" i="1"/>
  <c r="AG316" i="1"/>
  <c r="AE316" i="1"/>
  <c r="AC316" i="1"/>
  <c r="AA316" i="1"/>
  <c r="Z316" i="1"/>
  <c r="Y316" i="1"/>
  <c r="W316" i="1"/>
  <c r="V316" i="1"/>
  <c r="AO315" i="1"/>
  <c r="AN315" i="1"/>
  <c r="AL315" i="1"/>
  <c r="AK315" i="1"/>
  <c r="AJ315" i="1"/>
  <c r="AH315" i="1"/>
  <c r="AG315" i="1"/>
  <c r="AE315" i="1"/>
  <c r="AC315" i="1"/>
  <c r="AA315" i="1"/>
  <c r="Z315" i="1"/>
  <c r="Y315" i="1"/>
  <c r="W315" i="1"/>
  <c r="V315" i="1"/>
  <c r="AO314" i="1"/>
  <c r="AN314" i="1"/>
  <c r="AL314" i="1"/>
  <c r="AK314" i="1"/>
  <c r="AJ314" i="1"/>
  <c r="AH314" i="1"/>
  <c r="AG314" i="1"/>
  <c r="AE314" i="1"/>
  <c r="AC314" i="1"/>
  <c r="AA314" i="1"/>
  <c r="Z314" i="1"/>
  <c r="Y314" i="1"/>
  <c r="W314" i="1"/>
  <c r="V314" i="1"/>
  <c r="AO313" i="1"/>
  <c r="AN313" i="1"/>
  <c r="AL313" i="1"/>
  <c r="AK313" i="1"/>
  <c r="AJ313" i="1"/>
  <c r="AH313" i="1"/>
  <c r="AG313" i="1"/>
  <c r="AE313" i="1"/>
  <c r="AC313" i="1"/>
  <c r="AA313" i="1"/>
  <c r="Z313" i="1"/>
  <c r="Y313" i="1"/>
  <c r="W313" i="1"/>
  <c r="V313" i="1"/>
  <c r="AO312" i="1"/>
  <c r="AN312" i="1"/>
  <c r="AL312" i="1"/>
  <c r="AK312" i="1"/>
  <c r="AJ312" i="1"/>
  <c r="AH312" i="1"/>
  <c r="AG312" i="1"/>
  <c r="AE312" i="1"/>
  <c r="AC312" i="1"/>
  <c r="AA312" i="1"/>
  <c r="Z312" i="1"/>
  <c r="Y312" i="1"/>
  <c r="W312" i="1"/>
  <c r="V312" i="1"/>
  <c r="AO311" i="1"/>
  <c r="AN311" i="1"/>
  <c r="AL311" i="1"/>
  <c r="AK311" i="1"/>
  <c r="AJ311" i="1"/>
  <c r="AH311" i="1"/>
  <c r="AG311" i="1"/>
  <c r="AE311" i="1"/>
  <c r="AC311" i="1"/>
  <c r="AA311" i="1"/>
  <c r="Z311" i="1"/>
  <c r="Y311" i="1"/>
  <c r="W311" i="1"/>
  <c r="V311" i="1"/>
  <c r="AO310" i="1"/>
  <c r="AN310" i="1"/>
  <c r="AL310" i="1"/>
  <c r="AK310" i="1"/>
  <c r="AJ310" i="1"/>
  <c r="AH310" i="1"/>
  <c r="AG310" i="1"/>
  <c r="AE310" i="1"/>
  <c r="AC310" i="1"/>
  <c r="AA310" i="1"/>
  <c r="Z310" i="1"/>
  <c r="Y310" i="1"/>
  <c r="W310" i="1"/>
  <c r="V310" i="1"/>
  <c r="AO309" i="1"/>
  <c r="AN309" i="1"/>
  <c r="AL309" i="1"/>
  <c r="AK309" i="1"/>
  <c r="AJ309" i="1"/>
  <c r="AH309" i="1"/>
  <c r="AG309" i="1"/>
  <c r="AE309" i="1"/>
  <c r="AC309" i="1"/>
  <c r="AA309" i="1"/>
  <c r="Z309" i="1"/>
  <c r="Y309" i="1"/>
  <c r="W309" i="1"/>
  <c r="V309" i="1"/>
  <c r="AO308" i="1"/>
  <c r="AN308" i="1"/>
  <c r="AL308" i="1"/>
  <c r="AK308" i="1"/>
  <c r="AJ308" i="1"/>
  <c r="AH308" i="1"/>
  <c r="AG308" i="1"/>
  <c r="AE308" i="1"/>
  <c r="AC308" i="1"/>
  <c r="AA308" i="1"/>
  <c r="Z308" i="1"/>
  <c r="Y308" i="1"/>
  <c r="W308" i="1"/>
  <c r="V308" i="1"/>
  <c r="AO307" i="1"/>
  <c r="AN307" i="1"/>
  <c r="AL307" i="1"/>
  <c r="AK307" i="1"/>
  <c r="AJ307" i="1"/>
  <c r="AH307" i="1"/>
  <c r="AG307" i="1"/>
  <c r="AE307" i="1"/>
  <c r="AC307" i="1"/>
  <c r="AA307" i="1"/>
  <c r="Z307" i="1"/>
  <c r="Y307" i="1"/>
  <c r="W307" i="1"/>
  <c r="V307" i="1"/>
  <c r="AO306" i="1"/>
  <c r="AN306" i="1"/>
  <c r="AL306" i="1"/>
  <c r="AK306" i="1"/>
  <c r="AJ306" i="1"/>
  <c r="AH306" i="1"/>
  <c r="AG306" i="1"/>
  <c r="AE306" i="1"/>
  <c r="AC306" i="1"/>
  <c r="AA306" i="1"/>
  <c r="Z306" i="1"/>
  <c r="Y306" i="1"/>
  <c r="W306" i="1"/>
  <c r="V306" i="1"/>
  <c r="AO305" i="1"/>
  <c r="AN305" i="1"/>
  <c r="AL305" i="1"/>
  <c r="AK305" i="1"/>
  <c r="AJ305" i="1"/>
  <c r="AH305" i="1"/>
  <c r="AG305" i="1"/>
  <c r="AE305" i="1"/>
  <c r="AC305" i="1"/>
  <c r="AA305" i="1"/>
  <c r="Z305" i="1"/>
  <c r="Y305" i="1"/>
  <c r="W305" i="1"/>
  <c r="V305" i="1"/>
  <c r="AO304" i="1"/>
  <c r="AN304" i="1"/>
  <c r="AL304" i="1"/>
  <c r="AK304" i="1"/>
  <c r="AJ304" i="1"/>
  <c r="AH304" i="1"/>
  <c r="AG304" i="1"/>
  <c r="AE304" i="1"/>
  <c r="AC304" i="1"/>
  <c r="AA304" i="1"/>
  <c r="Z304" i="1"/>
  <c r="Y304" i="1"/>
  <c r="W304" i="1"/>
  <c r="V304" i="1"/>
  <c r="AO303" i="1"/>
  <c r="AN303" i="1"/>
  <c r="AL303" i="1"/>
  <c r="AK303" i="1"/>
  <c r="AJ303" i="1"/>
  <c r="AH303" i="1"/>
  <c r="AG303" i="1"/>
  <c r="AE303" i="1"/>
  <c r="AC303" i="1"/>
  <c r="AA303" i="1"/>
  <c r="Z303" i="1"/>
  <c r="Y303" i="1"/>
  <c r="W303" i="1"/>
  <c r="V303" i="1"/>
  <c r="AO302" i="1"/>
  <c r="AN302" i="1"/>
  <c r="AL302" i="1"/>
  <c r="AK302" i="1"/>
  <c r="AJ302" i="1"/>
  <c r="AH302" i="1"/>
  <c r="AG302" i="1"/>
  <c r="AE302" i="1"/>
  <c r="AC302" i="1"/>
  <c r="AA302" i="1"/>
  <c r="Z302" i="1"/>
  <c r="Y302" i="1"/>
  <c r="W302" i="1"/>
  <c r="V302" i="1"/>
  <c r="AO301" i="1"/>
  <c r="AN301" i="1"/>
  <c r="AL301" i="1"/>
  <c r="AK301" i="1"/>
  <c r="AJ301" i="1"/>
  <c r="AH301" i="1"/>
  <c r="AG301" i="1"/>
  <c r="AE301" i="1"/>
  <c r="AC301" i="1"/>
  <c r="AA301" i="1"/>
  <c r="Z301" i="1"/>
  <c r="Y301" i="1"/>
  <c r="W301" i="1"/>
  <c r="V301" i="1"/>
  <c r="AO300" i="1"/>
  <c r="AN300" i="1"/>
  <c r="AL300" i="1"/>
  <c r="AK300" i="1"/>
  <c r="AJ300" i="1"/>
  <c r="AH300" i="1"/>
  <c r="AG300" i="1"/>
  <c r="AE300" i="1"/>
  <c r="AC300" i="1"/>
  <c r="AA300" i="1"/>
  <c r="Z300" i="1"/>
  <c r="Y300" i="1"/>
  <c r="W300" i="1"/>
  <c r="V300" i="1"/>
  <c r="AO299" i="1"/>
  <c r="AN299" i="1"/>
  <c r="AL299" i="1"/>
  <c r="AK299" i="1"/>
  <c r="AJ299" i="1"/>
  <c r="AH299" i="1"/>
  <c r="AG299" i="1"/>
  <c r="AE299" i="1"/>
  <c r="AC299" i="1"/>
  <c r="AA299" i="1"/>
  <c r="Z299" i="1"/>
  <c r="Y299" i="1"/>
  <c r="W299" i="1"/>
  <c r="V299" i="1"/>
  <c r="AO298" i="1"/>
  <c r="AN298" i="1"/>
  <c r="AL298" i="1"/>
  <c r="AK298" i="1"/>
  <c r="AJ298" i="1"/>
  <c r="AH298" i="1"/>
  <c r="AG298" i="1"/>
  <c r="AE298" i="1"/>
  <c r="AC298" i="1"/>
  <c r="AA298" i="1"/>
  <c r="Z298" i="1"/>
  <c r="Y298" i="1"/>
  <c r="W298" i="1"/>
  <c r="V298" i="1"/>
  <c r="AO297" i="1"/>
  <c r="AN297" i="1"/>
  <c r="AL297" i="1"/>
  <c r="AK297" i="1"/>
  <c r="AJ297" i="1"/>
  <c r="AH297" i="1"/>
  <c r="AG297" i="1"/>
  <c r="AE297" i="1"/>
  <c r="AC297" i="1"/>
  <c r="AA297" i="1"/>
  <c r="Z297" i="1"/>
  <c r="Y297" i="1"/>
  <c r="W297" i="1"/>
  <c r="V297" i="1"/>
  <c r="AO296" i="1"/>
  <c r="AN296" i="1"/>
  <c r="AL296" i="1"/>
  <c r="AK296" i="1"/>
  <c r="AJ296" i="1"/>
  <c r="AH296" i="1"/>
  <c r="AG296" i="1"/>
  <c r="AE296" i="1"/>
  <c r="AC296" i="1"/>
  <c r="AA296" i="1"/>
  <c r="Z296" i="1"/>
  <c r="Y296" i="1"/>
  <c r="W296" i="1"/>
  <c r="V296" i="1"/>
  <c r="AO295" i="1"/>
  <c r="AN295" i="1"/>
  <c r="AL295" i="1"/>
  <c r="AK295" i="1"/>
  <c r="AJ295" i="1"/>
  <c r="AH295" i="1"/>
  <c r="AG295" i="1"/>
  <c r="AE295" i="1"/>
  <c r="AC295" i="1"/>
  <c r="AA295" i="1"/>
  <c r="Z295" i="1"/>
  <c r="Y295" i="1"/>
  <c r="W295" i="1"/>
  <c r="V295" i="1"/>
  <c r="AO294" i="1"/>
  <c r="AN294" i="1"/>
  <c r="AL294" i="1"/>
  <c r="AK294" i="1"/>
  <c r="AJ294" i="1"/>
  <c r="AH294" i="1"/>
  <c r="AG294" i="1"/>
  <c r="AE294" i="1"/>
  <c r="AC294" i="1"/>
  <c r="AA294" i="1"/>
  <c r="Z294" i="1"/>
  <c r="Y294" i="1"/>
  <c r="W294" i="1"/>
  <c r="V294" i="1"/>
  <c r="AO293" i="1"/>
  <c r="AN293" i="1"/>
  <c r="AL293" i="1"/>
  <c r="AK293" i="1"/>
  <c r="AJ293" i="1"/>
  <c r="AH293" i="1"/>
  <c r="AG293" i="1"/>
  <c r="AE293" i="1"/>
  <c r="AC293" i="1"/>
  <c r="AA293" i="1"/>
  <c r="Z293" i="1"/>
  <c r="Y293" i="1"/>
  <c r="W293" i="1"/>
  <c r="V293" i="1"/>
  <c r="AO292" i="1"/>
  <c r="AN292" i="1"/>
  <c r="AL292" i="1"/>
  <c r="AK292" i="1"/>
  <c r="AJ292" i="1"/>
  <c r="AH292" i="1"/>
  <c r="AG292" i="1"/>
  <c r="AE292" i="1"/>
  <c r="AC292" i="1"/>
  <c r="AA292" i="1"/>
  <c r="Z292" i="1"/>
  <c r="Y292" i="1"/>
  <c r="W292" i="1"/>
  <c r="V292" i="1"/>
  <c r="AO291" i="1"/>
  <c r="AN291" i="1"/>
  <c r="AL291" i="1"/>
  <c r="AK291" i="1"/>
  <c r="AJ291" i="1"/>
  <c r="AH291" i="1"/>
  <c r="AG291" i="1"/>
  <c r="AE291" i="1"/>
  <c r="AC291" i="1"/>
  <c r="AA291" i="1"/>
  <c r="Z291" i="1"/>
  <c r="Y291" i="1"/>
  <c r="W291" i="1"/>
  <c r="V291" i="1"/>
  <c r="AO290" i="1"/>
  <c r="AN290" i="1"/>
  <c r="AL290" i="1"/>
  <c r="AK290" i="1"/>
  <c r="AJ290" i="1"/>
  <c r="AH290" i="1"/>
  <c r="AG290" i="1"/>
  <c r="AE290" i="1"/>
  <c r="AC290" i="1"/>
  <c r="AA290" i="1"/>
  <c r="Z290" i="1"/>
  <c r="Y290" i="1"/>
  <c r="W290" i="1"/>
  <c r="V290" i="1"/>
  <c r="AO289" i="1"/>
  <c r="AN289" i="1"/>
  <c r="AL289" i="1"/>
  <c r="AK289" i="1"/>
  <c r="AJ289" i="1"/>
  <c r="AH289" i="1"/>
  <c r="AG289" i="1"/>
  <c r="AE289" i="1"/>
  <c r="AC289" i="1"/>
  <c r="AA289" i="1"/>
  <c r="Z289" i="1"/>
  <c r="Y289" i="1"/>
  <c r="W289" i="1"/>
  <c r="V289" i="1"/>
  <c r="AO288" i="1"/>
  <c r="AN288" i="1"/>
  <c r="AL288" i="1"/>
  <c r="AK288" i="1"/>
  <c r="AJ288" i="1"/>
  <c r="AH288" i="1"/>
  <c r="AG288" i="1"/>
  <c r="AE288" i="1"/>
  <c r="AC288" i="1"/>
  <c r="AA288" i="1"/>
  <c r="Z288" i="1"/>
  <c r="Y288" i="1"/>
  <c r="W288" i="1"/>
  <c r="V288" i="1"/>
  <c r="AO287" i="1"/>
  <c r="AN287" i="1"/>
  <c r="AL287" i="1"/>
  <c r="AK287" i="1"/>
  <c r="AJ287" i="1"/>
  <c r="AH287" i="1"/>
  <c r="AG287" i="1"/>
  <c r="AE287" i="1"/>
  <c r="AC287" i="1"/>
  <c r="AA287" i="1"/>
  <c r="Z287" i="1"/>
  <c r="Y287" i="1"/>
  <c r="W287" i="1"/>
  <c r="V287" i="1"/>
  <c r="AO286" i="1"/>
  <c r="AN286" i="1"/>
  <c r="AL286" i="1"/>
  <c r="AK286" i="1"/>
  <c r="AJ286" i="1"/>
  <c r="AH286" i="1"/>
  <c r="AG286" i="1"/>
  <c r="AE286" i="1"/>
  <c r="AC286" i="1"/>
  <c r="AA286" i="1"/>
  <c r="Z286" i="1"/>
  <c r="Y286" i="1"/>
  <c r="W286" i="1"/>
  <c r="V286" i="1"/>
  <c r="AO285" i="1"/>
  <c r="AN285" i="1"/>
  <c r="AL285" i="1"/>
  <c r="AK285" i="1"/>
  <c r="AJ285" i="1"/>
  <c r="AH285" i="1"/>
  <c r="AG285" i="1"/>
  <c r="AE285" i="1"/>
  <c r="AC285" i="1"/>
  <c r="AA285" i="1"/>
  <c r="Z285" i="1"/>
  <c r="Y285" i="1"/>
  <c r="W285" i="1"/>
  <c r="V285" i="1"/>
  <c r="AO284" i="1"/>
  <c r="AN284" i="1"/>
  <c r="AL284" i="1"/>
  <c r="AK284" i="1"/>
  <c r="AJ284" i="1"/>
  <c r="AH284" i="1"/>
  <c r="AG284" i="1"/>
  <c r="AE284" i="1"/>
  <c r="AC284" i="1"/>
  <c r="AA284" i="1"/>
  <c r="Z284" i="1"/>
  <c r="Y284" i="1"/>
  <c r="W284" i="1"/>
  <c r="V284" i="1"/>
  <c r="AO283" i="1"/>
  <c r="AN283" i="1"/>
  <c r="AL283" i="1"/>
  <c r="AK283" i="1"/>
  <c r="AJ283" i="1"/>
  <c r="AH283" i="1"/>
  <c r="AG283" i="1"/>
  <c r="AE283" i="1"/>
  <c r="Z283" i="1"/>
  <c r="Y283" i="1"/>
  <c r="W283" i="1"/>
  <c r="AO282" i="1"/>
  <c r="AN282" i="1"/>
  <c r="AL282" i="1"/>
  <c r="AK282" i="1"/>
  <c r="AJ282" i="1"/>
  <c r="AH282" i="1"/>
  <c r="AG282" i="1"/>
  <c r="AE282" i="1"/>
  <c r="Z282" i="1"/>
  <c r="Y282" i="1"/>
  <c r="W282" i="1"/>
  <c r="AO281" i="1"/>
  <c r="AN281" i="1"/>
  <c r="AL281" i="1"/>
  <c r="AK281" i="1"/>
  <c r="AJ281" i="1"/>
  <c r="AH281" i="1"/>
  <c r="AG281" i="1"/>
  <c r="AE281" i="1"/>
  <c r="AC281" i="1"/>
  <c r="AA281" i="1"/>
  <c r="Z281" i="1"/>
  <c r="Y281" i="1"/>
  <c r="W281" i="1"/>
  <c r="V281" i="1"/>
  <c r="AO280" i="1"/>
  <c r="AN280" i="1"/>
  <c r="AL280" i="1"/>
  <c r="AK280" i="1"/>
  <c r="AJ280" i="1"/>
  <c r="AH280" i="1"/>
  <c r="AG280" i="1"/>
  <c r="AE280" i="1"/>
  <c r="AC280" i="1"/>
  <c r="AA280" i="1"/>
  <c r="Z280" i="1"/>
  <c r="Y280" i="1"/>
  <c r="W280" i="1"/>
  <c r="V280" i="1"/>
  <c r="AO279" i="1"/>
  <c r="AN279" i="1"/>
  <c r="AL279" i="1"/>
  <c r="AK279" i="1"/>
  <c r="AJ279" i="1"/>
  <c r="AH279" i="1"/>
  <c r="AG279" i="1"/>
  <c r="AE279" i="1"/>
  <c r="AC279" i="1"/>
  <c r="AA279" i="1"/>
  <c r="Z279" i="1"/>
  <c r="Y279" i="1"/>
  <c r="W279" i="1"/>
  <c r="V279" i="1"/>
  <c r="AO278" i="1"/>
  <c r="AN278" i="1"/>
  <c r="AL278" i="1"/>
  <c r="AK278" i="1"/>
  <c r="AJ278" i="1"/>
  <c r="AH278" i="1"/>
  <c r="AG278" i="1"/>
  <c r="AE278" i="1"/>
  <c r="AC278" i="1"/>
  <c r="AA278" i="1"/>
  <c r="Z278" i="1"/>
  <c r="Y278" i="1"/>
  <c r="W278" i="1"/>
  <c r="V278" i="1"/>
  <c r="AO277" i="1"/>
  <c r="AN277" i="1"/>
  <c r="AL277" i="1"/>
  <c r="AK277" i="1"/>
  <c r="AJ277" i="1"/>
  <c r="AH277" i="1"/>
  <c r="AG277" i="1"/>
  <c r="AE277" i="1"/>
  <c r="AC277" i="1"/>
  <c r="AA277" i="1"/>
  <c r="Z277" i="1"/>
  <c r="Y277" i="1"/>
  <c r="W277" i="1"/>
  <c r="V277" i="1"/>
  <c r="AO276" i="1"/>
  <c r="AN276" i="1"/>
  <c r="AL276" i="1"/>
  <c r="AK276" i="1"/>
  <c r="AJ276" i="1"/>
  <c r="AH276" i="1"/>
  <c r="AG276" i="1"/>
  <c r="AE276" i="1"/>
  <c r="AC276" i="1"/>
  <c r="AA276" i="1"/>
  <c r="Z276" i="1"/>
  <c r="Y276" i="1"/>
  <c r="W276" i="1"/>
  <c r="V276" i="1"/>
  <c r="AO275" i="1"/>
  <c r="AN275" i="1"/>
  <c r="AL275" i="1"/>
  <c r="AK275" i="1"/>
  <c r="AJ275" i="1"/>
  <c r="AH275" i="1"/>
  <c r="AG275" i="1"/>
  <c r="AE275" i="1"/>
  <c r="AC275" i="1"/>
  <c r="AA275" i="1"/>
  <c r="Z275" i="1"/>
  <c r="Y275" i="1"/>
  <c r="W275" i="1"/>
  <c r="V275" i="1"/>
  <c r="AO274" i="1"/>
  <c r="AN274" i="1"/>
  <c r="AL274" i="1"/>
  <c r="AK274" i="1"/>
  <c r="AJ274" i="1"/>
  <c r="AH274" i="1"/>
  <c r="AG274" i="1"/>
  <c r="AE274" i="1"/>
  <c r="AC274" i="1"/>
  <c r="AA274" i="1"/>
  <c r="Z274" i="1"/>
  <c r="Y274" i="1"/>
  <c r="W274" i="1"/>
  <c r="V274" i="1"/>
  <c r="AO273" i="1"/>
  <c r="AN273" i="1"/>
  <c r="AL273" i="1"/>
  <c r="AK273" i="1"/>
  <c r="AJ273" i="1"/>
  <c r="AH273" i="1"/>
  <c r="AG273" i="1"/>
  <c r="AE273" i="1"/>
  <c r="AC273" i="1"/>
  <c r="AA273" i="1"/>
  <c r="Z273" i="1"/>
  <c r="Y273" i="1"/>
  <c r="W273" i="1"/>
  <c r="V273" i="1"/>
  <c r="AO272" i="1"/>
  <c r="AN272" i="1"/>
  <c r="AL272" i="1"/>
  <c r="AK272" i="1"/>
  <c r="AJ272" i="1"/>
  <c r="AH272" i="1"/>
  <c r="AG272" i="1"/>
  <c r="AE272" i="1"/>
  <c r="AC272" i="1"/>
  <c r="AA272" i="1"/>
  <c r="Z272" i="1"/>
  <c r="Y272" i="1"/>
  <c r="W272" i="1"/>
  <c r="V272" i="1"/>
  <c r="AO271" i="1"/>
  <c r="AN271" i="1"/>
  <c r="AL271" i="1"/>
  <c r="AK271" i="1"/>
  <c r="AJ271" i="1"/>
  <c r="AH271" i="1"/>
  <c r="AG271" i="1"/>
  <c r="AE271" i="1"/>
  <c r="AC271" i="1"/>
  <c r="AA271" i="1"/>
  <c r="Z271" i="1"/>
  <c r="Y271" i="1"/>
  <c r="W271" i="1"/>
  <c r="V271" i="1"/>
  <c r="AO270" i="1"/>
  <c r="AN270" i="1"/>
  <c r="AL270" i="1"/>
  <c r="AK270" i="1"/>
  <c r="AJ270" i="1"/>
  <c r="AH270" i="1"/>
  <c r="AG270" i="1"/>
  <c r="AE270" i="1"/>
  <c r="AC270" i="1"/>
  <c r="AA270" i="1"/>
  <c r="Z270" i="1"/>
  <c r="Y270" i="1"/>
  <c r="W270" i="1"/>
  <c r="V270" i="1"/>
  <c r="AO269" i="1"/>
  <c r="AN269" i="1"/>
  <c r="AL269" i="1"/>
  <c r="AK269" i="1"/>
  <c r="AJ269" i="1"/>
  <c r="AH269" i="1"/>
  <c r="AG269" i="1"/>
  <c r="AE269" i="1"/>
  <c r="AC269" i="1"/>
  <c r="AA269" i="1"/>
  <c r="Z269" i="1"/>
  <c r="Y269" i="1"/>
  <c r="W269" i="1"/>
  <c r="V269" i="1"/>
  <c r="AO268" i="1"/>
  <c r="AN268" i="1"/>
  <c r="AL268" i="1"/>
  <c r="AK268" i="1"/>
  <c r="AJ268" i="1"/>
  <c r="AH268" i="1"/>
  <c r="AG268" i="1"/>
  <c r="AE268" i="1"/>
  <c r="AC268" i="1"/>
  <c r="AA268" i="1"/>
  <c r="Z268" i="1"/>
  <c r="Y268" i="1"/>
  <c r="W268" i="1"/>
  <c r="V268" i="1"/>
  <c r="AO267" i="1"/>
  <c r="AN267" i="1"/>
  <c r="AL267" i="1"/>
  <c r="AK267" i="1"/>
  <c r="AJ267" i="1"/>
  <c r="AH267" i="1"/>
  <c r="AG267" i="1"/>
  <c r="AE267" i="1"/>
  <c r="AC267" i="1"/>
  <c r="AA267" i="1"/>
  <c r="Z267" i="1"/>
  <c r="Y267" i="1"/>
  <c r="W267" i="1"/>
  <c r="V267" i="1"/>
  <c r="AO266" i="1"/>
  <c r="AN266" i="1"/>
  <c r="AL266" i="1"/>
  <c r="AK266" i="1"/>
  <c r="AJ266" i="1"/>
  <c r="AH266" i="1"/>
  <c r="AG266" i="1"/>
  <c r="AE266" i="1"/>
  <c r="AC266" i="1"/>
  <c r="AA266" i="1"/>
  <c r="Z266" i="1"/>
  <c r="Y266" i="1"/>
  <c r="W266" i="1"/>
  <c r="V266" i="1"/>
  <c r="AO265" i="1"/>
  <c r="AN265" i="1"/>
  <c r="AL265" i="1"/>
  <c r="AK265" i="1"/>
  <c r="AJ265" i="1"/>
  <c r="AH265" i="1"/>
  <c r="AG265" i="1"/>
  <c r="AE265" i="1"/>
  <c r="AC265" i="1"/>
  <c r="AA265" i="1"/>
  <c r="Z265" i="1"/>
  <c r="Y265" i="1"/>
  <c r="W265" i="1"/>
  <c r="V265" i="1"/>
  <c r="AO264" i="1"/>
  <c r="AN264" i="1"/>
  <c r="AL264" i="1"/>
  <c r="AK264" i="1"/>
  <c r="AJ264" i="1"/>
  <c r="AH264" i="1"/>
  <c r="AG264" i="1"/>
  <c r="AE264" i="1"/>
  <c r="AC264" i="1"/>
  <c r="AA264" i="1"/>
  <c r="Z264" i="1"/>
  <c r="Y264" i="1"/>
  <c r="W264" i="1"/>
  <c r="V264" i="1"/>
  <c r="AO263" i="1"/>
  <c r="AN263" i="1"/>
  <c r="AL263" i="1"/>
  <c r="AK263" i="1"/>
  <c r="AJ263" i="1"/>
  <c r="AH263" i="1"/>
  <c r="AG263" i="1"/>
  <c r="AE263" i="1"/>
  <c r="AC263" i="1"/>
  <c r="AA263" i="1"/>
  <c r="Z263" i="1"/>
  <c r="Y263" i="1"/>
  <c r="W263" i="1"/>
  <c r="V263" i="1"/>
  <c r="AO262" i="1"/>
  <c r="AN262" i="1"/>
  <c r="AL262" i="1"/>
  <c r="AK262" i="1"/>
  <c r="AJ262" i="1"/>
  <c r="AH262" i="1"/>
  <c r="AG262" i="1"/>
  <c r="AE262" i="1"/>
  <c r="AC262" i="1"/>
  <c r="AA262" i="1"/>
  <c r="Z262" i="1"/>
  <c r="Y262" i="1"/>
  <c r="W262" i="1"/>
  <c r="V262" i="1"/>
  <c r="AO261" i="1"/>
  <c r="AN261" i="1"/>
  <c r="AL261" i="1"/>
  <c r="AK261" i="1"/>
  <c r="AJ261" i="1"/>
  <c r="AH261" i="1"/>
  <c r="AG261" i="1"/>
  <c r="AE261" i="1"/>
  <c r="AC261" i="1"/>
  <c r="AA261" i="1"/>
  <c r="Z261" i="1"/>
  <c r="Y261" i="1"/>
  <c r="W261" i="1"/>
  <c r="V261" i="1"/>
  <c r="AO260" i="1"/>
  <c r="AN260" i="1"/>
  <c r="AL260" i="1"/>
  <c r="AK260" i="1"/>
  <c r="AJ260" i="1"/>
  <c r="AH260" i="1"/>
  <c r="AG260" i="1"/>
  <c r="AE260" i="1"/>
  <c r="AC260" i="1"/>
  <c r="AA260" i="1"/>
  <c r="Z260" i="1"/>
  <c r="Y260" i="1"/>
  <c r="W260" i="1"/>
  <c r="V260" i="1"/>
  <c r="AO259" i="1"/>
  <c r="AN259" i="1"/>
  <c r="AL259" i="1"/>
  <c r="AK259" i="1"/>
  <c r="AJ259" i="1"/>
  <c r="AH259" i="1"/>
  <c r="AG259" i="1"/>
  <c r="AE259" i="1"/>
  <c r="AD259" i="1"/>
  <c r="AC259" i="1"/>
  <c r="AA259" i="1"/>
  <c r="Z259" i="1"/>
  <c r="Y259" i="1"/>
  <c r="W259" i="1"/>
  <c r="V259" i="1"/>
  <c r="AO258" i="1"/>
  <c r="AN258" i="1"/>
  <c r="AL258" i="1"/>
  <c r="AK258" i="1"/>
  <c r="AJ258" i="1"/>
  <c r="AH258" i="1"/>
  <c r="AG258" i="1"/>
  <c r="AE258" i="1"/>
  <c r="AC258" i="1"/>
  <c r="AA258" i="1"/>
  <c r="Z258" i="1"/>
  <c r="Y258" i="1"/>
  <c r="W258" i="1"/>
  <c r="V258" i="1"/>
  <c r="AO257" i="1"/>
  <c r="AN257" i="1"/>
  <c r="AL257" i="1"/>
  <c r="AK257" i="1"/>
  <c r="AJ257" i="1"/>
  <c r="AH257" i="1"/>
  <c r="AG257" i="1"/>
  <c r="AE257" i="1"/>
  <c r="AC257" i="1"/>
  <c r="AA257" i="1"/>
  <c r="Z257" i="1"/>
  <c r="Y257" i="1"/>
  <c r="W257" i="1"/>
  <c r="V257" i="1"/>
  <c r="AO256" i="1"/>
  <c r="AN256" i="1"/>
  <c r="AL256" i="1"/>
  <c r="AK256" i="1"/>
  <c r="AJ256" i="1"/>
  <c r="AH256" i="1"/>
  <c r="AG256" i="1"/>
  <c r="AE256" i="1"/>
  <c r="AC256" i="1"/>
  <c r="AA256" i="1"/>
  <c r="Z256" i="1"/>
  <c r="Y256" i="1"/>
  <c r="W256" i="1"/>
  <c r="V256" i="1"/>
  <c r="AO255" i="1"/>
  <c r="AN255" i="1"/>
  <c r="AL255" i="1"/>
  <c r="AK255" i="1"/>
  <c r="AJ255" i="1"/>
  <c r="AH255" i="1"/>
  <c r="AG255" i="1"/>
  <c r="AE255" i="1"/>
  <c r="AC255" i="1"/>
  <c r="AA255" i="1"/>
  <c r="Z255" i="1"/>
  <c r="Y255" i="1"/>
  <c r="W255" i="1"/>
  <c r="V255" i="1"/>
  <c r="AO254" i="1"/>
  <c r="AN254" i="1"/>
  <c r="AL254" i="1"/>
  <c r="AK254" i="1"/>
  <c r="AJ254" i="1"/>
  <c r="AH254" i="1"/>
  <c r="AG254" i="1"/>
  <c r="AE254" i="1"/>
  <c r="AC254" i="1"/>
  <c r="AA254" i="1"/>
  <c r="Z254" i="1"/>
  <c r="Y254" i="1"/>
  <c r="W254" i="1"/>
  <c r="V254" i="1"/>
  <c r="AO253" i="1"/>
  <c r="AN253" i="1"/>
  <c r="AL253" i="1"/>
  <c r="AK253" i="1"/>
  <c r="AJ253" i="1"/>
  <c r="AH253" i="1"/>
  <c r="AG253" i="1"/>
  <c r="AE253" i="1"/>
  <c r="AC253" i="1"/>
  <c r="AA253" i="1"/>
  <c r="Z253" i="1"/>
  <c r="Y253" i="1"/>
  <c r="W253" i="1"/>
  <c r="V253" i="1"/>
  <c r="AO252" i="1"/>
  <c r="AN252" i="1"/>
  <c r="AL252" i="1"/>
  <c r="AK252" i="1"/>
  <c r="AJ252" i="1"/>
  <c r="AH252" i="1"/>
  <c r="AG252" i="1"/>
  <c r="AE252" i="1"/>
  <c r="AC252" i="1"/>
  <c r="AA252" i="1"/>
  <c r="Z252" i="1"/>
  <c r="Y252" i="1"/>
  <c r="W252" i="1"/>
  <c r="V252" i="1"/>
  <c r="AO251" i="1"/>
  <c r="AN251" i="1"/>
  <c r="AL251" i="1"/>
  <c r="AK251" i="1"/>
  <c r="AJ251" i="1"/>
  <c r="AH251" i="1"/>
  <c r="AG251" i="1"/>
  <c r="AE251" i="1"/>
  <c r="AC251" i="1"/>
  <c r="AA251" i="1"/>
  <c r="Z251" i="1"/>
  <c r="Y251" i="1"/>
  <c r="W251" i="1"/>
  <c r="V251" i="1"/>
  <c r="AO250" i="1"/>
  <c r="AN250" i="1"/>
  <c r="AL250" i="1"/>
  <c r="AK250" i="1"/>
  <c r="AJ250" i="1"/>
  <c r="AH250" i="1"/>
  <c r="AG250" i="1"/>
  <c r="AE250" i="1"/>
  <c r="AC250" i="1"/>
  <c r="AA250" i="1"/>
  <c r="Z250" i="1"/>
  <c r="Y250" i="1"/>
  <c r="W250" i="1"/>
  <c r="V250" i="1"/>
  <c r="AO249" i="1"/>
  <c r="AN249" i="1"/>
  <c r="AL249" i="1"/>
  <c r="AK249" i="1"/>
  <c r="AJ249" i="1"/>
  <c r="AH249" i="1"/>
  <c r="AG249" i="1"/>
  <c r="AE249" i="1"/>
  <c r="AC249" i="1"/>
  <c r="AA249" i="1"/>
  <c r="Z249" i="1"/>
  <c r="Y249" i="1"/>
  <c r="W249" i="1"/>
  <c r="V249" i="1"/>
  <c r="AO248" i="1"/>
  <c r="AN248" i="1"/>
  <c r="AL248" i="1"/>
  <c r="AK248" i="1"/>
  <c r="AJ248" i="1"/>
  <c r="AH248" i="1"/>
  <c r="AG248" i="1"/>
  <c r="AE248" i="1"/>
  <c r="AC248" i="1"/>
  <c r="AA248" i="1"/>
  <c r="Z248" i="1"/>
  <c r="Y248" i="1"/>
  <c r="W248" i="1"/>
  <c r="V248" i="1"/>
  <c r="AO247" i="1"/>
  <c r="AN247" i="1"/>
  <c r="AL247" i="1"/>
  <c r="AK247" i="1"/>
  <c r="AJ247" i="1"/>
  <c r="AH247" i="1"/>
  <c r="AG247" i="1"/>
  <c r="AE247" i="1"/>
  <c r="AC247" i="1"/>
  <c r="AA247" i="1"/>
  <c r="Z247" i="1"/>
  <c r="Y247" i="1"/>
  <c r="W247" i="1"/>
  <c r="V247" i="1"/>
  <c r="AO246" i="1"/>
  <c r="AN246" i="1"/>
  <c r="AL246" i="1"/>
  <c r="AK246" i="1"/>
  <c r="AJ246" i="1"/>
  <c r="AH246" i="1"/>
  <c r="AG246" i="1"/>
  <c r="AE246" i="1"/>
  <c r="Z246" i="1"/>
  <c r="Y246" i="1"/>
  <c r="W246" i="1"/>
  <c r="AN245" i="1"/>
  <c r="AL245" i="1"/>
  <c r="AK245" i="1"/>
  <c r="AJ245" i="1"/>
  <c r="AH245" i="1"/>
  <c r="AG245" i="1"/>
  <c r="AE245" i="1"/>
  <c r="AD245" i="1"/>
  <c r="Z245" i="1"/>
  <c r="Y245" i="1"/>
  <c r="W245" i="1"/>
  <c r="AN244" i="1"/>
  <c r="AL244" i="1"/>
  <c r="AK244" i="1"/>
  <c r="AJ244" i="1"/>
  <c r="AH244" i="1"/>
  <c r="AG244" i="1"/>
  <c r="AE244" i="1"/>
  <c r="AD244" i="1"/>
  <c r="Z244" i="1"/>
  <c r="Y244" i="1"/>
  <c r="W244" i="1"/>
  <c r="AN243" i="1"/>
  <c r="AL243" i="1"/>
  <c r="AK243" i="1"/>
  <c r="AJ243" i="1"/>
  <c r="AH243" i="1"/>
  <c r="AG243" i="1"/>
  <c r="AE243" i="1"/>
  <c r="AD243" i="1"/>
  <c r="Z243" i="1"/>
  <c r="Y243" i="1"/>
  <c r="W243" i="1"/>
  <c r="AN242" i="1"/>
  <c r="AL242" i="1"/>
  <c r="AK242" i="1"/>
  <c r="AJ242" i="1"/>
  <c r="AH242" i="1"/>
  <c r="AG242" i="1"/>
  <c r="AE242" i="1"/>
  <c r="AD242" i="1"/>
  <c r="Z242" i="1"/>
  <c r="Y242" i="1"/>
  <c r="W242" i="1"/>
  <c r="AN241" i="1"/>
  <c r="AL241" i="1"/>
  <c r="AK241" i="1"/>
  <c r="AJ241" i="1"/>
  <c r="AH241" i="1"/>
  <c r="AG241" i="1"/>
  <c r="AE241" i="1"/>
  <c r="AD241" i="1"/>
  <c r="Z241" i="1"/>
  <c r="Y241" i="1"/>
  <c r="W241" i="1"/>
  <c r="AO240" i="1"/>
  <c r="AN240" i="1"/>
  <c r="AL240" i="1"/>
  <c r="AK240" i="1"/>
  <c r="AJ240" i="1"/>
  <c r="AH240" i="1"/>
  <c r="AG240" i="1"/>
  <c r="AE240" i="1"/>
  <c r="AD240" i="1"/>
  <c r="AC240" i="1"/>
  <c r="AA240" i="1"/>
  <c r="Z240" i="1"/>
  <c r="Y240" i="1"/>
  <c r="V240" i="1"/>
  <c r="AO239" i="1"/>
  <c r="AN239" i="1"/>
  <c r="AL239" i="1"/>
  <c r="AK239" i="1"/>
  <c r="AJ239" i="1"/>
  <c r="AH239" i="1"/>
  <c r="AG239" i="1"/>
  <c r="AE239" i="1"/>
  <c r="AD239" i="1"/>
  <c r="AC239" i="1"/>
  <c r="AA239" i="1"/>
  <c r="Z239" i="1"/>
  <c r="Y239" i="1"/>
  <c r="V239" i="1"/>
  <c r="AO238" i="1"/>
  <c r="AN238" i="1"/>
  <c r="AL238" i="1"/>
  <c r="AK238" i="1"/>
  <c r="AJ238" i="1"/>
  <c r="AH238" i="1"/>
  <c r="AG238" i="1"/>
  <c r="AE238" i="1"/>
  <c r="AD238" i="1"/>
  <c r="Z238" i="1"/>
  <c r="Y238" i="1"/>
  <c r="AN237" i="1"/>
  <c r="AL237" i="1"/>
  <c r="AK237" i="1"/>
  <c r="AJ237" i="1"/>
  <c r="AH237" i="1"/>
  <c r="AG237" i="1"/>
  <c r="AE237" i="1"/>
  <c r="AD237" i="1"/>
  <c r="Z237" i="1"/>
  <c r="Y237" i="1"/>
  <c r="W237" i="1"/>
  <c r="AN236" i="1"/>
  <c r="AL236" i="1"/>
  <c r="AK236" i="1"/>
  <c r="AJ236" i="1"/>
  <c r="AH236" i="1"/>
  <c r="AG236" i="1"/>
  <c r="AE236" i="1"/>
  <c r="AD236" i="1"/>
  <c r="Z236" i="1"/>
  <c r="Y236" i="1"/>
  <c r="W236" i="1"/>
  <c r="AO235" i="1"/>
  <c r="AN235" i="1"/>
  <c r="AL235" i="1"/>
  <c r="AK235" i="1"/>
  <c r="AJ235" i="1"/>
  <c r="AH235" i="1"/>
  <c r="AG235" i="1"/>
  <c r="AE235" i="1"/>
  <c r="AD235" i="1"/>
  <c r="Z235" i="1"/>
  <c r="Y235" i="1"/>
  <c r="AO234" i="1"/>
  <c r="AN234" i="1"/>
  <c r="AL234" i="1"/>
  <c r="AK234" i="1"/>
  <c r="AJ234" i="1"/>
  <c r="AH234" i="1"/>
  <c r="AG234" i="1"/>
  <c r="AE234" i="1"/>
  <c r="AD234" i="1"/>
  <c r="Z234" i="1"/>
  <c r="Y234" i="1"/>
  <c r="AO233" i="1"/>
  <c r="AN233" i="1"/>
  <c r="AL233" i="1"/>
  <c r="AK233" i="1"/>
  <c r="AJ233" i="1"/>
  <c r="AH233" i="1"/>
  <c r="AG233" i="1"/>
  <c r="AE233" i="1"/>
  <c r="AD233" i="1"/>
  <c r="Z233" i="1"/>
  <c r="Y233" i="1"/>
  <c r="AN232" i="1"/>
  <c r="AL232" i="1"/>
  <c r="AK232" i="1"/>
  <c r="AJ232" i="1"/>
  <c r="AH232" i="1"/>
  <c r="AG232" i="1"/>
  <c r="AE232" i="1"/>
  <c r="AD232" i="1"/>
  <c r="Z232" i="1"/>
  <c r="Y232" i="1"/>
  <c r="W232" i="1"/>
  <c r="AN231" i="1"/>
  <c r="AL231" i="1"/>
  <c r="AK231" i="1"/>
  <c r="AJ231" i="1"/>
  <c r="AH231" i="1"/>
  <c r="AG231" i="1"/>
  <c r="AE231" i="1"/>
  <c r="AD231" i="1"/>
  <c r="Z231" i="1"/>
  <c r="Y231" i="1"/>
  <c r="W231" i="1"/>
  <c r="AN230" i="1"/>
  <c r="AL230" i="1"/>
  <c r="AK230" i="1"/>
  <c r="AJ230" i="1"/>
  <c r="AH230" i="1"/>
  <c r="AG230" i="1"/>
  <c r="AE230" i="1"/>
  <c r="AD230" i="1"/>
  <c r="AC230" i="1"/>
  <c r="AA230" i="1"/>
  <c r="Z230" i="1"/>
  <c r="Y230" i="1"/>
  <c r="W230" i="1"/>
  <c r="V230" i="1"/>
  <c r="AO229" i="1"/>
  <c r="AN229" i="1"/>
  <c r="AL229" i="1"/>
  <c r="AK229" i="1"/>
  <c r="AJ229" i="1"/>
  <c r="AH229" i="1"/>
  <c r="AG229" i="1"/>
  <c r="AE229" i="1"/>
  <c r="Z229" i="1"/>
  <c r="Y229" i="1"/>
  <c r="AO228" i="1"/>
  <c r="AN228" i="1"/>
  <c r="AL228" i="1"/>
  <c r="AK228" i="1"/>
  <c r="AJ228" i="1"/>
  <c r="AH228" i="1"/>
  <c r="AG228" i="1"/>
  <c r="AE228" i="1"/>
  <c r="AD228" i="1"/>
  <c r="AA228" i="1"/>
  <c r="Z228" i="1"/>
  <c r="Y228" i="1"/>
  <c r="V228" i="1"/>
  <c r="AN227" i="1"/>
  <c r="AL227" i="1"/>
  <c r="AK227" i="1"/>
  <c r="AJ227" i="1"/>
  <c r="AH227" i="1"/>
  <c r="AG227" i="1"/>
  <c r="AE227" i="1"/>
  <c r="AD227" i="1"/>
  <c r="AC227" i="1"/>
  <c r="AA227" i="1"/>
  <c r="Z227" i="1"/>
  <c r="Y227" i="1"/>
  <c r="W227" i="1"/>
  <c r="V227" i="1"/>
  <c r="AN226" i="1"/>
  <c r="AL226" i="1"/>
  <c r="AK226" i="1"/>
  <c r="AJ226" i="1"/>
  <c r="AH226" i="1"/>
  <c r="AG226" i="1"/>
  <c r="AE226" i="1"/>
  <c r="AD226" i="1"/>
  <c r="Z226" i="1"/>
  <c r="Y226" i="1"/>
  <c r="W226" i="1"/>
  <c r="AN225" i="1"/>
  <c r="AL225" i="1"/>
  <c r="AK225" i="1"/>
  <c r="AJ225" i="1"/>
  <c r="AH225" i="1"/>
  <c r="AG225" i="1"/>
  <c r="AE225" i="1"/>
  <c r="AD225" i="1"/>
  <c r="Z225" i="1"/>
  <c r="Y225" i="1"/>
  <c r="W225" i="1"/>
  <c r="AN224" i="1"/>
  <c r="AL224" i="1"/>
  <c r="AK224" i="1"/>
  <c r="AJ224" i="1"/>
  <c r="AH224" i="1"/>
  <c r="AG224" i="1"/>
  <c r="AE224" i="1"/>
  <c r="AD224" i="1"/>
  <c r="Z224" i="1"/>
  <c r="Y224" i="1"/>
  <c r="W224" i="1"/>
  <c r="AO223" i="1"/>
  <c r="AN223" i="1"/>
  <c r="AL223" i="1"/>
  <c r="AK223" i="1"/>
  <c r="AJ223" i="1"/>
  <c r="AH223" i="1"/>
  <c r="AG223" i="1"/>
  <c r="AE223" i="1"/>
  <c r="AD223" i="1"/>
  <c r="AC223" i="1"/>
  <c r="AA223" i="1"/>
  <c r="Z223" i="1"/>
  <c r="Y223" i="1"/>
  <c r="V223" i="1"/>
  <c r="AO222" i="1"/>
  <c r="AN222" i="1"/>
  <c r="AL222" i="1"/>
  <c r="AK222" i="1"/>
  <c r="AJ222" i="1"/>
  <c r="AH222" i="1"/>
  <c r="AG222" i="1"/>
  <c r="AE222" i="1"/>
  <c r="AD222" i="1"/>
  <c r="AC222" i="1"/>
  <c r="AA222" i="1"/>
  <c r="Z222" i="1"/>
  <c r="Y222" i="1"/>
  <c r="V222" i="1"/>
  <c r="AO221" i="1"/>
  <c r="AN221" i="1"/>
  <c r="AL221" i="1"/>
  <c r="AK221" i="1"/>
  <c r="AJ221" i="1"/>
  <c r="AH221" i="1"/>
  <c r="AG221" i="1"/>
  <c r="AE221" i="1"/>
  <c r="AD221" i="1"/>
  <c r="AC221" i="1"/>
  <c r="AA221" i="1"/>
  <c r="Z221" i="1"/>
  <c r="Y221" i="1"/>
  <c r="V221" i="1"/>
  <c r="AN220" i="1"/>
  <c r="AL220" i="1"/>
  <c r="AK220" i="1"/>
  <c r="AJ220" i="1"/>
  <c r="AH220" i="1"/>
  <c r="AG220" i="1"/>
  <c r="AE220" i="1"/>
  <c r="AD220" i="1"/>
  <c r="AC220" i="1"/>
  <c r="AA220" i="1"/>
  <c r="Z220" i="1"/>
  <c r="Y220" i="1"/>
  <c r="W220" i="1"/>
  <c r="V220" i="1"/>
  <c r="AO219" i="1"/>
  <c r="AN219" i="1"/>
  <c r="AL219" i="1"/>
  <c r="AK219" i="1"/>
  <c r="AJ219" i="1"/>
  <c r="AH219" i="1"/>
  <c r="AG219" i="1"/>
  <c r="AE219" i="1"/>
  <c r="AD219" i="1"/>
  <c r="AC219" i="1"/>
  <c r="AA219" i="1"/>
  <c r="Z219" i="1"/>
  <c r="Y219" i="1"/>
  <c r="V219" i="1"/>
  <c r="AO218" i="1"/>
  <c r="AN218" i="1"/>
  <c r="AL218" i="1"/>
  <c r="AK218" i="1"/>
  <c r="AJ218" i="1"/>
  <c r="AH218" i="1"/>
  <c r="AG218" i="1"/>
  <c r="AE218" i="1"/>
  <c r="AD218" i="1"/>
  <c r="AC218" i="1"/>
  <c r="AA218" i="1"/>
  <c r="Z218" i="1"/>
  <c r="Y218" i="1"/>
  <c r="V218" i="1"/>
  <c r="AO217" i="1"/>
  <c r="AN217" i="1"/>
  <c r="AL217" i="1"/>
  <c r="AK217" i="1"/>
  <c r="AJ217" i="1"/>
  <c r="AH217" i="1"/>
  <c r="AG217" i="1"/>
  <c r="AE217" i="1"/>
  <c r="AD217" i="1"/>
  <c r="Z217" i="1"/>
  <c r="Y217" i="1"/>
  <c r="AO216" i="1"/>
  <c r="AN216" i="1"/>
  <c r="AL216" i="1"/>
  <c r="AK216" i="1"/>
  <c r="AJ216" i="1"/>
  <c r="AH216" i="1"/>
  <c r="AG216" i="1"/>
  <c r="AE216" i="1"/>
  <c r="AD216" i="1"/>
  <c r="AC216" i="1"/>
  <c r="Z216" i="1"/>
  <c r="Y216" i="1"/>
  <c r="V216" i="1"/>
  <c r="AO215" i="1"/>
  <c r="AN215" i="1"/>
  <c r="AL215" i="1"/>
  <c r="AK215" i="1"/>
  <c r="AJ215" i="1"/>
  <c r="AH215" i="1"/>
  <c r="AG215" i="1"/>
  <c r="AE215" i="1"/>
  <c r="AD215" i="1"/>
  <c r="AC215" i="1"/>
  <c r="Z215" i="1"/>
  <c r="Y215" i="1"/>
  <c r="V215" i="1"/>
  <c r="AN214" i="1"/>
  <c r="AL214" i="1"/>
  <c r="AK214" i="1"/>
  <c r="AJ214" i="1"/>
  <c r="AH214" i="1"/>
  <c r="AG214" i="1"/>
  <c r="AE214" i="1"/>
  <c r="AD214" i="1"/>
  <c r="AC214" i="1"/>
  <c r="AA214" i="1"/>
  <c r="Z214" i="1"/>
  <c r="Y214" i="1"/>
  <c r="W214" i="1"/>
  <c r="V214" i="1"/>
  <c r="AO213" i="1"/>
  <c r="AN213" i="1"/>
  <c r="AL213" i="1"/>
  <c r="AK213" i="1"/>
  <c r="AJ213" i="1"/>
  <c r="AH213" i="1"/>
  <c r="AG213" i="1"/>
  <c r="AE213" i="1"/>
  <c r="AD213" i="1"/>
  <c r="AA213" i="1"/>
  <c r="Z213" i="1"/>
  <c r="Y213" i="1"/>
  <c r="V213" i="1"/>
  <c r="AN212" i="1"/>
  <c r="AL212" i="1"/>
  <c r="AK212" i="1"/>
  <c r="AJ212" i="1"/>
  <c r="AH212" i="1"/>
  <c r="AG212" i="1"/>
  <c r="AE212" i="1"/>
  <c r="AD212" i="1"/>
  <c r="AC212" i="1"/>
  <c r="AA212" i="1"/>
  <c r="Z212" i="1"/>
  <c r="Y212" i="1"/>
  <c r="W212" i="1"/>
  <c r="V212" i="1"/>
  <c r="AN211" i="1"/>
  <c r="AL211" i="1"/>
  <c r="AK211" i="1"/>
  <c r="AJ211" i="1"/>
  <c r="AH211" i="1"/>
  <c r="AG211" i="1"/>
  <c r="AE211" i="1"/>
  <c r="AD211" i="1"/>
  <c r="Z211" i="1"/>
  <c r="Y211" i="1"/>
  <c r="W211" i="1"/>
  <c r="AO210" i="1"/>
  <c r="AN210" i="1"/>
  <c r="AL210" i="1"/>
  <c r="AK210" i="1"/>
  <c r="AJ210" i="1"/>
  <c r="AH210" i="1"/>
  <c r="AG210" i="1"/>
  <c r="AE210" i="1"/>
  <c r="AD210" i="1"/>
  <c r="AA210" i="1"/>
  <c r="Z210" i="1"/>
  <c r="Y210" i="1"/>
  <c r="V210" i="1"/>
  <c r="AO209" i="1"/>
  <c r="AN209" i="1"/>
  <c r="AL209" i="1"/>
  <c r="AK209" i="1"/>
  <c r="AJ209" i="1"/>
  <c r="AH209" i="1"/>
  <c r="AG209" i="1"/>
  <c r="AE209" i="1"/>
  <c r="AD209" i="1"/>
  <c r="AA209" i="1"/>
  <c r="Z209" i="1"/>
  <c r="Y209" i="1"/>
  <c r="V209" i="1"/>
  <c r="AO208" i="1"/>
  <c r="AN208" i="1"/>
  <c r="AL208" i="1"/>
  <c r="AK208" i="1"/>
  <c r="AJ208" i="1"/>
  <c r="AH208" i="1"/>
  <c r="AG208" i="1"/>
  <c r="AE208" i="1"/>
  <c r="AD208" i="1"/>
  <c r="AA208" i="1"/>
  <c r="Z208" i="1"/>
  <c r="Y208" i="1"/>
  <c r="V208" i="1"/>
  <c r="AO207" i="1"/>
  <c r="AN207" i="1"/>
  <c r="AL207" i="1"/>
  <c r="AK207" i="1"/>
  <c r="AJ207" i="1"/>
  <c r="AH207" i="1"/>
  <c r="AG207" i="1"/>
  <c r="AE207" i="1"/>
  <c r="AD207" i="1"/>
  <c r="AA207" i="1"/>
  <c r="Z207" i="1"/>
  <c r="Y207" i="1"/>
  <c r="V207" i="1"/>
  <c r="AN206" i="1"/>
  <c r="AL206" i="1"/>
  <c r="AK206" i="1"/>
  <c r="AJ206" i="1"/>
  <c r="AH206" i="1"/>
  <c r="AG206" i="1"/>
  <c r="AE206" i="1"/>
  <c r="AD206" i="1"/>
  <c r="Z206" i="1"/>
  <c r="Y206" i="1"/>
  <c r="W206" i="1"/>
  <c r="AN205" i="1"/>
  <c r="AL205" i="1"/>
  <c r="AK205" i="1"/>
  <c r="AJ205" i="1"/>
  <c r="AH205" i="1"/>
  <c r="AG205" i="1"/>
  <c r="AE205" i="1"/>
  <c r="AD205" i="1"/>
  <c r="Z205" i="1"/>
  <c r="Y205" i="1"/>
  <c r="W205" i="1"/>
  <c r="AN204" i="1"/>
  <c r="AL204" i="1"/>
  <c r="AK204" i="1"/>
  <c r="AJ204" i="1"/>
  <c r="AH204" i="1"/>
  <c r="AG204" i="1"/>
  <c r="AE204" i="1"/>
  <c r="AD204" i="1"/>
  <c r="Z204" i="1"/>
  <c r="Y204" i="1"/>
  <c r="W204" i="1"/>
  <c r="AO203" i="1"/>
  <c r="AN203" i="1"/>
  <c r="AL203" i="1"/>
  <c r="AK203" i="1"/>
  <c r="AJ203" i="1"/>
  <c r="AH203" i="1"/>
  <c r="AG203" i="1"/>
  <c r="AE203" i="1"/>
  <c r="AD203" i="1"/>
  <c r="Z203" i="1"/>
  <c r="Y203" i="1"/>
  <c r="AN202" i="1"/>
  <c r="AL202" i="1"/>
  <c r="AK202" i="1"/>
  <c r="AJ202" i="1"/>
  <c r="AH202" i="1"/>
  <c r="AG202" i="1"/>
  <c r="AE202" i="1"/>
  <c r="AD202" i="1"/>
  <c r="Z202" i="1"/>
  <c r="Y202" i="1"/>
  <c r="W202" i="1"/>
  <c r="AO201" i="1"/>
  <c r="AN201" i="1"/>
  <c r="AL201" i="1"/>
  <c r="AK201" i="1"/>
  <c r="AJ201" i="1"/>
  <c r="AH201" i="1"/>
  <c r="AG201" i="1"/>
  <c r="AE201" i="1"/>
  <c r="AD201" i="1"/>
  <c r="Z201" i="1"/>
  <c r="Y201" i="1"/>
  <c r="AN200" i="1"/>
  <c r="AL200" i="1"/>
  <c r="AK200" i="1"/>
  <c r="AJ200" i="1"/>
  <c r="AH200" i="1"/>
  <c r="AG200" i="1"/>
  <c r="AE200" i="1"/>
  <c r="AD200" i="1"/>
  <c r="AC200" i="1"/>
  <c r="Z200" i="1"/>
  <c r="Y200" i="1"/>
  <c r="W200" i="1"/>
  <c r="V200" i="1"/>
  <c r="AO199" i="1"/>
  <c r="AN199" i="1"/>
  <c r="AL199" i="1"/>
  <c r="AK199" i="1"/>
  <c r="AJ199" i="1"/>
  <c r="AH199" i="1"/>
  <c r="AG199" i="1"/>
  <c r="AE199" i="1"/>
  <c r="AD199" i="1"/>
  <c r="Z199" i="1"/>
  <c r="Y199" i="1"/>
  <c r="AO198" i="1"/>
  <c r="AN198" i="1"/>
  <c r="AL198" i="1"/>
  <c r="AK198" i="1"/>
  <c r="AJ198" i="1"/>
  <c r="AH198" i="1"/>
  <c r="AG198" i="1"/>
  <c r="AE198" i="1"/>
  <c r="AD198" i="1"/>
  <c r="AC198" i="1"/>
  <c r="AA198" i="1"/>
  <c r="Z198" i="1"/>
  <c r="Y198" i="1"/>
  <c r="V198" i="1"/>
  <c r="AO197" i="1"/>
  <c r="AN197" i="1"/>
  <c r="AL197" i="1"/>
  <c r="AK197" i="1"/>
  <c r="AJ197" i="1"/>
  <c r="AH197" i="1"/>
  <c r="AG197" i="1"/>
  <c r="AE197" i="1"/>
  <c r="AD197" i="1"/>
  <c r="AC197" i="1"/>
  <c r="AA197" i="1"/>
  <c r="Z197" i="1"/>
  <c r="Y197" i="1"/>
  <c r="V197" i="1"/>
  <c r="AN196" i="1"/>
  <c r="AL196" i="1"/>
  <c r="AK196" i="1"/>
  <c r="AJ196" i="1"/>
  <c r="AH196" i="1"/>
  <c r="AG196" i="1"/>
  <c r="AE196" i="1"/>
  <c r="AD196" i="1"/>
  <c r="AC196" i="1"/>
  <c r="AA196" i="1"/>
  <c r="Z196" i="1"/>
  <c r="Y196" i="1"/>
  <c r="W196" i="1"/>
  <c r="V196" i="1"/>
  <c r="AN195" i="1"/>
  <c r="AL195" i="1"/>
  <c r="AK195" i="1"/>
  <c r="AJ195" i="1"/>
  <c r="AH195" i="1"/>
  <c r="AG195" i="1"/>
  <c r="AE195" i="1"/>
  <c r="AD195" i="1"/>
  <c r="AA195" i="1"/>
  <c r="Z195" i="1"/>
  <c r="Y195" i="1"/>
  <c r="W195" i="1"/>
  <c r="V195" i="1"/>
  <c r="AO194" i="1"/>
  <c r="AN194" i="1"/>
  <c r="AL194" i="1"/>
  <c r="AK194" i="1"/>
  <c r="AJ194" i="1"/>
  <c r="AH194" i="1"/>
  <c r="AG194" i="1"/>
  <c r="AE194" i="1"/>
  <c r="AD194" i="1"/>
  <c r="AC194" i="1"/>
  <c r="AA194" i="1"/>
  <c r="Z194" i="1"/>
  <c r="Y194" i="1"/>
  <c r="V194" i="1"/>
  <c r="AO193" i="1"/>
  <c r="AN193" i="1"/>
  <c r="AL193" i="1"/>
  <c r="AK193" i="1"/>
  <c r="AJ193" i="1"/>
  <c r="AH193" i="1"/>
  <c r="AG193" i="1"/>
  <c r="AE193" i="1"/>
  <c r="AD193" i="1"/>
  <c r="Z193" i="1"/>
  <c r="Y193" i="1"/>
  <c r="AO192" i="1"/>
  <c r="AN192" i="1"/>
  <c r="AL192" i="1"/>
  <c r="AK192" i="1"/>
  <c r="AJ192" i="1"/>
  <c r="AH192" i="1"/>
  <c r="AG192" i="1"/>
  <c r="AE192" i="1"/>
  <c r="AD192" i="1"/>
  <c r="Z192" i="1"/>
  <c r="Y192" i="1"/>
  <c r="AO191" i="1"/>
  <c r="AN191" i="1"/>
  <c r="AL191" i="1"/>
  <c r="AK191" i="1"/>
  <c r="AJ191" i="1"/>
  <c r="AH191" i="1"/>
  <c r="AG191" i="1"/>
  <c r="AE191" i="1"/>
  <c r="AD191" i="1"/>
  <c r="Z191" i="1"/>
  <c r="Y191" i="1"/>
  <c r="AO190" i="1"/>
  <c r="AN190" i="1"/>
  <c r="AL190" i="1"/>
  <c r="AK190" i="1"/>
  <c r="AJ190" i="1"/>
  <c r="AH190" i="1"/>
  <c r="AG190" i="1"/>
  <c r="AE190" i="1"/>
  <c r="AD190" i="1"/>
  <c r="Z190" i="1"/>
  <c r="Y190" i="1"/>
  <c r="AO189" i="1"/>
  <c r="AN189" i="1"/>
  <c r="AL189" i="1"/>
  <c r="AK189" i="1"/>
  <c r="AJ189" i="1"/>
  <c r="AH189" i="1"/>
  <c r="AG189" i="1"/>
  <c r="AE189" i="1"/>
  <c r="AD189" i="1"/>
  <c r="Z189" i="1"/>
  <c r="Y189" i="1"/>
  <c r="AO188" i="1"/>
  <c r="AN188" i="1"/>
  <c r="AL188" i="1"/>
  <c r="AK188" i="1"/>
  <c r="AJ188" i="1"/>
  <c r="AH188" i="1"/>
  <c r="AG188" i="1"/>
  <c r="AE188" i="1"/>
  <c r="AD188" i="1"/>
  <c r="AA188" i="1"/>
  <c r="Z188" i="1"/>
  <c r="Y188" i="1"/>
  <c r="V188" i="1"/>
  <c r="AO187" i="1"/>
  <c r="AN187" i="1"/>
  <c r="AL187" i="1"/>
  <c r="AK187" i="1"/>
  <c r="AJ187" i="1"/>
  <c r="AH187" i="1"/>
  <c r="AG187" i="1"/>
  <c r="AE187" i="1"/>
  <c r="AD187" i="1"/>
  <c r="AA187" i="1"/>
  <c r="Z187" i="1"/>
  <c r="Y187" i="1"/>
  <c r="V187" i="1"/>
  <c r="AO186" i="1"/>
  <c r="AN186" i="1"/>
  <c r="AL186" i="1"/>
  <c r="AK186" i="1"/>
  <c r="AJ186" i="1"/>
  <c r="AH186" i="1"/>
  <c r="AG186" i="1"/>
  <c r="AE186" i="1"/>
  <c r="AD186" i="1"/>
  <c r="AA186" i="1"/>
  <c r="Z186" i="1"/>
  <c r="Y186" i="1"/>
  <c r="V186" i="1"/>
  <c r="AN185" i="1"/>
  <c r="AL185" i="1"/>
  <c r="AK185" i="1"/>
  <c r="AJ185" i="1"/>
  <c r="AH185" i="1"/>
  <c r="AG185" i="1"/>
  <c r="AE185" i="1"/>
  <c r="AD185" i="1"/>
  <c r="AC185" i="1"/>
  <c r="AA185" i="1"/>
  <c r="Z185" i="1"/>
  <c r="Y185" i="1"/>
  <c r="W185" i="1"/>
  <c r="V185" i="1"/>
  <c r="AN184" i="1"/>
  <c r="AL184" i="1"/>
  <c r="AK184" i="1"/>
  <c r="AJ184" i="1"/>
  <c r="AH184" i="1"/>
  <c r="AG184" i="1"/>
  <c r="AE184" i="1"/>
  <c r="AD184" i="1"/>
  <c r="AC184" i="1"/>
  <c r="AA184" i="1"/>
  <c r="Z184" i="1"/>
  <c r="Y184" i="1"/>
  <c r="W184" i="1"/>
  <c r="V184" i="1"/>
  <c r="AO183" i="1"/>
  <c r="AN183" i="1"/>
  <c r="AL183" i="1"/>
  <c r="AK183" i="1"/>
  <c r="AJ183" i="1"/>
  <c r="AH183" i="1"/>
  <c r="AG183" i="1"/>
  <c r="AE183" i="1"/>
  <c r="AD183" i="1"/>
  <c r="AC183" i="1"/>
  <c r="AA183" i="1"/>
  <c r="Z183" i="1"/>
  <c r="Y183" i="1"/>
  <c r="W183" i="1"/>
  <c r="V183" i="1"/>
  <c r="AN182" i="1"/>
  <c r="AL182" i="1"/>
  <c r="AK182" i="1"/>
  <c r="AJ182" i="1"/>
  <c r="AH182" i="1"/>
  <c r="AG182" i="1"/>
  <c r="AE182" i="1"/>
  <c r="AD182" i="1"/>
  <c r="AC182" i="1"/>
  <c r="AA182" i="1"/>
  <c r="Z182" i="1"/>
  <c r="Y182" i="1"/>
  <c r="W182" i="1"/>
  <c r="V182" i="1"/>
  <c r="AO181" i="1"/>
  <c r="AN181" i="1"/>
  <c r="AL181" i="1"/>
  <c r="AK181" i="1"/>
  <c r="AJ181" i="1"/>
  <c r="AH181" i="1"/>
  <c r="AG181" i="1"/>
  <c r="AE181" i="1"/>
  <c r="AD181" i="1"/>
  <c r="AC181" i="1"/>
  <c r="AA181" i="1"/>
  <c r="Z181" i="1"/>
  <c r="Y181" i="1"/>
  <c r="W181" i="1"/>
  <c r="V181" i="1"/>
  <c r="AO180" i="1"/>
  <c r="AN180" i="1"/>
  <c r="AL180" i="1"/>
  <c r="AK180" i="1"/>
  <c r="AJ180" i="1"/>
  <c r="AH180" i="1"/>
  <c r="AG180" i="1"/>
  <c r="AE180" i="1"/>
  <c r="AD180" i="1"/>
  <c r="AC180" i="1"/>
  <c r="AA180" i="1"/>
  <c r="Z180" i="1"/>
  <c r="Y180" i="1"/>
  <c r="W180" i="1"/>
  <c r="V180" i="1"/>
  <c r="AO179" i="1"/>
  <c r="AN179" i="1"/>
  <c r="AL179" i="1"/>
  <c r="AK179" i="1"/>
  <c r="AJ179" i="1"/>
  <c r="AH179" i="1"/>
  <c r="AG179" i="1"/>
  <c r="AE179" i="1"/>
  <c r="AD179" i="1"/>
  <c r="AC179" i="1"/>
  <c r="AA179" i="1"/>
  <c r="Z179" i="1"/>
  <c r="Y179" i="1"/>
  <c r="W179" i="1"/>
  <c r="V179" i="1"/>
  <c r="AO178" i="1"/>
  <c r="AN178" i="1"/>
  <c r="AL178" i="1"/>
  <c r="AK178" i="1"/>
  <c r="AJ178" i="1"/>
  <c r="AH178" i="1"/>
  <c r="AG178" i="1"/>
  <c r="AE178" i="1"/>
  <c r="AD178" i="1"/>
  <c r="AC178" i="1"/>
  <c r="AA178" i="1"/>
  <c r="Z178" i="1"/>
  <c r="Y178" i="1"/>
  <c r="W178" i="1"/>
  <c r="V178" i="1"/>
  <c r="AO177" i="1"/>
  <c r="AN177" i="1"/>
  <c r="AL177" i="1"/>
  <c r="AK177" i="1"/>
  <c r="AJ177" i="1"/>
  <c r="AH177" i="1"/>
  <c r="AG177" i="1"/>
  <c r="AE177" i="1"/>
  <c r="AD177" i="1"/>
  <c r="AC177" i="1"/>
  <c r="AA177" i="1"/>
  <c r="Z177" i="1"/>
  <c r="Y177" i="1"/>
  <c r="W177" i="1"/>
  <c r="V177" i="1"/>
  <c r="AO176" i="1"/>
  <c r="AN176" i="1"/>
  <c r="AL176" i="1"/>
  <c r="AK176" i="1"/>
  <c r="AJ176" i="1"/>
  <c r="AH176" i="1"/>
  <c r="AG176" i="1"/>
  <c r="AE176" i="1"/>
  <c r="AD176" i="1"/>
  <c r="AC176" i="1"/>
  <c r="AA176" i="1"/>
  <c r="Z176" i="1"/>
  <c r="Y176" i="1"/>
  <c r="W176" i="1"/>
  <c r="V176" i="1"/>
  <c r="AO175" i="1"/>
  <c r="AN175" i="1"/>
  <c r="AL175" i="1"/>
  <c r="AK175" i="1"/>
  <c r="AJ175" i="1"/>
  <c r="AH175" i="1"/>
  <c r="AG175" i="1"/>
  <c r="AE175" i="1"/>
  <c r="AD175" i="1"/>
  <c r="AC175" i="1"/>
  <c r="AA175" i="1"/>
  <c r="Z175" i="1"/>
  <c r="Y175" i="1"/>
  <c r="W175" i="1"/>
  <c r="V175" i="1"/>
  <c r="AO174" i="1"/>
  <c r="AN174" i="1"/>
  <c r="AL174" i="1"/>
  <c r="AK174" i="1"/>
  <c r="AJ174" i="1"/>
  <c r="AH174" i="1"/>
  <c r="AG174" i="1"/>
  <c r="AE174" i="1"/>
  <c r="AD174" i="1"/>
  <c r="AC174" i="1"/>
  <c r="AA174" i="1"/>
  <c r="Z174" i="1"/>
  <c r="Y174" i="1"/>
  <c r="W174" i="1"/>
  <c r="V174" i="1"/>
  <c r="AO173" i="1"/>
  <c r="AN173" i="1"/>
  <c r="AL173" i="1"/>
  <c r="AK173" i="1"/>
  <c r="AJ173" i="1"/>
  <c r="AH173" i="1"/>
  <c r="AG173" i="1"/>
  <c r="AE173" i="1"/>
  <c r="AD173" i="1"/>
  <c r="AC173" i="1"/>
  <c r="AA173" i="1"/>
  <c r="Z173" i="1"/>
  <c r="Y173" i="1"/>
  <c r="W173" i="1"/>
  <c r="V173" i="1"/>
  <c r="AN172" i="1"/>
  <c r="AL172" i="1"/>
  <c r="AK172" i="1"/>
  <c r="AJ172" i="1"/>
  <c r="AH172" i="1"/>
  <c r="AG172" i="1"/>
  <c r="AE172" i="1"/>
  <c r="AD172" i="1"/>
  <c r="AC172" i="1"/>
  <c r="AA172" i="1"/>
  <c r="Z172" i="1"/>
  <c r="Y172" i="1"/>
  <c r="W172" i="1"/>
  <c r="V172" i="1"/>
  <c r="AO171" i="1"/>
  <c r="AN171" i="1"/>
  <c r="AL171" i="1"/>
  <c r="AK171" i="1"/>
  <c r="AJ171" i="1"/>
  <c r="AH171" i="1"/>
  <c r="AG171" i="1"/>
  <c r="AE171" i="1"/>
  <c r="AD171" i="1"/>
  <c r="AC171" i="1"/>
  <c r="AA171" i="1"/>
  <c r="Z171" i="1"/>
  <c r="Y171" i="1"/>
  <c r="W171" i="1"/>
  <c r="V171" i="1"/>
  <c r="AO170" i="1"/>
  <c r="AN170" i="1"/>
  <c r="AL170" i="1"/>
  <c r="AK170" i="1"/>
  <c r="AJ170" i="1"/>
  <c r="AH170" i="1"/>
  <c r="AG170" i="1"/>
  <c r="AE170" i="1"/>
  <c r="AD170" i="1"/>
  <c r="AC170" i="1"/>
  <c r="AA170" i="1"/>
  <c r="Z170" i="1"/>
  <c r="Y170" i="1"/>
  <c r="W170" i="1"/>
  <c r="V170" i="1"/>
  <c r="AN169" i="1"/>
  <c r="AL169" i="1"/>
  <c r="AK169" i="1"/>
  <c r="AJ169" i="1"/>
  <c r="AH169" i="1"/>
  <c r="AG169" i="1"/>
  <c r="AE169" i="1"/>
  <c r="AD169" i="1"/>
  <c r="AC169" i="1"/>
  <c r="AA169" i="1"/>
  <c r="Z169" i="1"/>
  <c r="Y169" i="1"/>
  <c r="W169" i="1"/>
  <c r="V169" i="1"/>
  <c r="AO168" i="1"/>
  <c r="AN168" i="1"/>
  <c r="AL168" i="1"/>
  <c r="AK168" i="1"/>
  <c r="AJ168" i="1"/>
  <c r="AH168" i="1"/>
  <c r="AG168" i="1"/>
  <c r="AE168" i="1"/>
  <c r="AD168" i="1"/>
  <c r="AC168" i="1"/>
  <c r="AA168" i="1"/>
  <c r="Z168" i="1"/>
  <c r="Y168" i="1"/>
  <c r="W168" i="1"/>
  <c r="V168" i="1"/>
  <c r="AO167" i="1"/>
  <c r="AN167" i="1"/>
  <c r="AL167" i="1"/>
  <c r="AK167" i="1"/>
  <c r="AJ167" i="1"/>
  <c r="AH167" i="1"/>
  <c r="AG167" i="1"/>
  <c r="AE167" i="1"/>
  <c r="AD167" i="1"/>
  <c r="AC167" i="1"/>
  <c r="AA167" i="1"/>
  <c r="Z167" i="1"/>
  <c r="Y167" i="1"/>
  <c r="W167" i="1"/>
  <c r="V167" i="1"/>
  <c r="AO166" i="1"/>
  <c r="AN166" i="1"/>
  <c r="AL166" i="1"/>
  <c r="AK166" i="1"/>
  <c r="AJ166" i="1"/>
  <c r="AH166" i="1"/>
  <c r="AG166" i="1"/>
  <c r="AE166" i="1"/>
  <c r="AD166" i="1"/>
  <c r="AC166" i="1"/>
  <c r="AA166" i="1"/>
  <c r="Z166" i="1"/>
  <c r="Y166" i="1"/>
  <c r="W166" i="1"/>
  <c r="V166" i="1"/>
  <c r="AO165" i="1"/>
  <c r="AN165" i="1"/>
  <c r="AL165" i="1"/>
  <c r="AK165" i="1"/>
  <c r="AJ165" i="1"/>
  <c r="AH165" i="1"/>
  <c r="AG165" i="1"/>
  <c r="AE165" i="1"/>
  <c r="AD165" i="1"/>
  <c r="AC165" i="1"/>
  <c r="AA165" i="1"/>
  <c r="Z165" i="1"/>
  <c r="Y165" i="1"/>
  <c r="W165" i="1"/>
  <c r="V165" i="1"/>
  <c r="AN164" i="1"/>
  <c r="AL164" i="1"/>
  <c r="AK164" i="1"/>
  <c r="AJ164" i="1"/>
  <c r="AH164" i="1"/>
  <c r="AG164" i="1"/>
  <c r="AE164" i="1"/>
  <c r="AD164" i="1"/>
  <c r="AC164" i="1"/>
  <c r="AA164" i="1"/>
  <c r="Z164" i="1"/>
  <c r="Y164" i="1"/>
  <c r="W164" i="1"/>
  <c r="V164" i="1"/>
  <c r="AO163" i="1"/>
  <c r="AN163" i="1"/>
  <c r="AL163" i="1"/>
  <c r="AK163" i="1"/>
  <c r="AJ163" i="1"/>
  <c r="AH163" i="1"/>
  <c r="AG163" i="1"/>
  <c r="AE163" i="1"/>
  <c r="AD163" i="1"/>
  <c r="AC163" i="1"/>
  <c r="AA163" i="1"/>
  <c r="Z163" i="1"/>
  <c r="Y163" i="1"/>
  <c r="W163" i="1"/>
  <c r="V163" i="1"/>
  <c r="AO162" i="1"/>
  <c r="AN162" i="1"/>
  <c r="AL162" i="1"/>
  <c r="AK162" i="1"/>
  <c r="AJ162" i="1"/>
  <c r="AH162" i="1"/>
  <c r="AG162" i="1"/>
  <c r="AE162" i="1"/>
  <c r="AD162" i="1"/>
  <c r="AC162" i="1"/>
  <c r="AA162" i="1"/>
  <c r="Z162" i="1"/>
  <c r="Y162" i="1"/>
  <c r="W162" i="1"/>
  <c r="V162" i="1"/>
  <c r="AO161" i="1"/>
  <c r="AN161" i="1"/>
  <c r="AL161" i="1"/>
  <c r="AK161" i="1"/>
  <c r="AJ161" i="1"/>
  <c r="AH161" i="1"/>
  <c r="AG161" i="1"/>
  <c r="AE161" i="1"/>
  <c r="AD161" i="1"/>
  <c r="AC161" i="1"/>
  <c r="AA161" i="1"/>
  <c r="Z161" i="1"/>
  <c r="Y161" i="1"/>
  <c r="W161" i="1"/>
  <c r="V161" i="1"/>
  <c r="AO160" i="1"/>
  <c r="AN160" i="1"/>
  <c r="AL160" i="1"/>
  <c r="AK160" i="1"/>
  <c r="AJ160" i="1"/>
  <c r="AH160" i="1"/>
  <c r="AG160" i="1"/>
  <c r="AE160" i="1"/>
  <c r="AD160" i="1"/>
  <c r="AC160" i="1"/>
  <c r="AA160" i="1"/>
  <c r="Z160" i="1"/>
  <c r="Y160" i="1"/>
  <c r="W160" i="1"/>
  <c r="V160" i="1"/>
  <c r="AO159" i="1"/>
  <c r="AN159" i="1"/>
  <c r="AL159" i="1"/>
  <c r="AK159" i="1"/>
  <c r="AJ159" i="1"/>
  <c r="AH159" i="1"/>
  <c r="AG159" i="1"/>
  <c r="AE159" i="1"/>
  <c r="AD159" i="1"/>
  <c r="AC159" i="1"/>
  <c r="AA159" i="1"/>
  <c r="Z159" i="1"/>
  <c r="Y159" i="1"/>
  <c r="W159" i="1"/>
  <c r="V159" i="1"/>
  <c r="AN158" i="1"/>
  <c r="AL158" i="1"/>
  <c r="AK158" i="1"/>
  <c r="AJ158" i="1"/>
  <c r="AH158" i="1"/>
  <c r="AG158" i="1"/>
  <c r="AE158" i="1"/>
  <c r="AD158" i="1"/>
  <c r="AC158" i="1"/>
  <c r="AA158" i="1"/>
  <c r="Z158" i="1"/>
  <c r="Y158" i="1"/>
  <c r="W158" i="1"/>
  <c r="V158" i="1"/>
  <c r="AN157" i="1"/>
  <c r="AL157" i="1"/>
  <c r="AK157" i="1"/>
  <c r="AJ157" i="1"/>
  <c r="AH157" i="1"/>
  <c r="AG157" i="1"/>
  <c r="AE157" i="1"/>
  <c r="AD157" i="1"/>
  <c r="AC157" i="1"/>
  <c r="AA157" i="1"/>
  <c r="Z157" i="1"/>
  <c r="Y157" i="1"/>
  <c r="W157" i="1"/>
  <c r="V157" i="1"/>
  <c r="AO156" i="1"/>
  <c r="AN156" i="1"/>
  <c r="AL156" i="1"/>
  <c r="AK156" i="1"/>
  <c r="AJ156" i="1"/>
  <c r="AH156" i="1"/>
  <c r="AG156" i="1"/>
  <c r="AE156" i="1"/>
  <c r="AD156" i="1"/>
  <c r="AC156" i="1"/>
  <c r="AA156" i="1"/>
  <c r="Z156" i="1"/>
  <c r="Y156" i="1"/>
  <c r="W156" i="1"/>
  <c r="V156" i="1"/>
  <c r="AO155" i="1"/>
  <c r="AN155" i="1"/>
  <c r="AL155" i="1"/>
  <c r="AK155" i="1"/>
  <c r="AJ155" i="1"/>
  <c r="AH155" i="1"/>
  <c r="AG155" i="1"/>
  <c r="AE155" i="1"/>
  <c r="AD155" i="1"/>
  <c r="AN154" i="1"/>
  <c r="AL154" i="1"/>
  <c r="AK154" i="1"/>
  <c r="AJ154" i="1"/>
  <c r="AH154" i="1"/>
  <c r="AG154" i="1"/>
  <c r="AE154" i="1"/>
  <c r="AD154" i="1"/>
  <c r="AC154" i="1"/>
  <c r="AA154" i="1"/>
  <c r="Z154" i="1"/>
  <c r="Y154" i="1"/>
  <c r="W154" i="1"/>
  <c r="V154" i="1"/>
  <c r="AO153" i="1"/>
  <c r="AN153" i="1"/>
  <c r="AL153" i="1"/>
  <c r="AK153" i="1"/>
  <c r="AJ153" i="1"/>
  <c r="AH153" i="1"/>
  <c r="AG153" i="1"/>
  <c r="AE153" i="1"/>
  <c r="AD153" i="1"/>
  <c r="AC153" i="1"/>
  <c r="AA153" i="1"/>
  <c r="Z153" i="1"/>
  <c r="Y153" i="1"/>
  <c r="W153" i="1"/>
  <c r="V153" i="1"/>
  <c r="AO152" i="1"/>
  <c r="AN152" i="1"/>
  <c r="AL152" i="1"/>
  <c r="AK152" i="1"/>
  <c r="AJ152" i="1"/>
  <c r="AH152" i="1"/>
  <c r="AG152" i="1"/>
  <c r="AE152" i="1"/>
  <c r="AD152" i="1"/>
  <c r="AC152" i="1"/>
  <c r="AA152" i="1"/>
  <c r="Z152" i="1"/>
  <c r="Y152" i="1"/>
  <c r="W152" i="1"/>
  <c r="V152" i="1"/>
  <c r="AN151" i="1"/>
  <c r="AL151" i="1"/>
  <c r="AK151" i="1"/>
  <c r="AJ151" i="1"/>
  <c r="AH151" i="1"/>
  <c r="AG151" i="1"/>
  <c r="AE151" i="1"/>
  <c r="AD151" i="1"/>
  <c r="AC151" i="1"/>
  <c r="AA151" i="1"/>
  <c r="Z151" i="1"/>
  <c r="Y151" i="1"/>
  <c r="W151" i="1"/>
  <c r="V151" i="1"/>
  <c r="AN150" i="1"/>
  <c r="AL150" i="1"/>
  <c r="AK150" i="1"/>
  <c r="AJ150" i="1"/>
  <c r="AH150" i="1"/>
  <c r="AG150" i="1"/>
  <c r="AE150" i="1"/>
  <c r="AD150" i="1"/>
  <c r="AC150" i="1"/>
  <c r="AA150" i="1"/>
  <c r="Z150" i="1"/>
  <c r="Y150" i="1"/>
  <c r="W150" i="1"/>
  <c r="V150" i="1"/>
  <c r="AO149" i="1"/>
  <c r="AN149" i="1"/>
  <c r="AL149" i="1"/>
  <c r="AK149" i="1"/>
  <c r="AJ149" i="1"/>
  <c r="AH149" i="1"/>
  <c r="AG149" i="1"/>
  <c r="AE149" i="1"/>
  <c r="AD149" i="1"/>
  <c r="AC149" i="1"/>
  <c r="AA149" i="1"/>
  <c r="Z149" i="1"/>
  <c r="Y149" i="1"/>
  <c r="W149" i="1"/>
  <c r="V149" i="1"/>
  <c r="AO148" i="1"/>
  <c r="AN148" i="1"/>
  <c r="AL148" i="1"/>
  <c r="AK148" i="1"/>
  <c r="AJ148" i="1"/>
  <c r="AH148" i="1"/>
  <c r="AG148" i="1"/>
  <c r="AE148" i="1"/>
  <c r="AD148" i="1"/>
  <c r="AC148" i="1"/>
  <c r="AA148" i="1"/>
  <c r="Z148" i="1"/>
  <c r="Y148" i="1"/>
  <c r="W148" i="1"/>
  <c r="V148" i="1"/>
  <c r="AO147" i="1"/>
  <c r="AN147" i="1"/>
  <c r="AL147" i="1"/>
  <c r="AK147" i="1"/>
  <c r="AJ147" i="1"/>
  <c r="AH147" i="1"/>
  <c r="AG147" i="1"/>
  <c r="AE147" i="1"/>
  <c r="AD147" i="1"/>
  <c r="AC147" i="1"/>
  <c r="AA147" i="1"/>
  <c r="Z147" i="1"/>
  <c r="Y147" i="1"/>
  <c r="W147" i="1"/>
  <c r="V147" i="1"/>
  <c r="AN146" i="1"/>
  <c r="AL146" i="1"/>
  <c r="AK146" i="1"/>
  <c r="AJ146" i="1"/>
  <c r="AH146" i="1"/>
  <c r="AG146" i="1"/>
  <c r="AE146" i="1"/>
  <c r="AD146" i="1"/>
  <c r="AC146" i="1"/>
  <c r="AA146" i="1"/>
  <c r="Z146" i="1"/>
  <c r="Y146" i="1"/>
  <c r="W146" i="1"/>
  <c r="V146" i="1"/>
  <c r="AN145" i="1"/>
  <c r="AL145" i="1"/>
  <c r="AK145" i="1"/>
  <c r="AJ145" i="1"/>
  <c r="AH145" i="1"/>
  <c r="AG145" i="1"/>
  <c r="AE145" i="1"/>
  <c r="AD145" i="1"/>
  <c r="AC145" i="1"/>
  <c r="AA145" i="1"/>
  <c r="Z145" i="1"/>
  <c r="Y145" i="1"/>
  <c r="W145" i="1"/>
  <c r="V145" i="1"/>
  <c r="AN144" i="1"/>
  <c r="AL144" i="1"/>
  <c r="AK144" i="1"/>
  <c r="AJ144" i="1"/>
  <c r="AH144" i="1"/>
  <c r="AG144" i="1"/>
  <c r="AE144" i="1"/>
  <c r="AD144" i="1"/>
  <c r="AC144" i="1"/>
  <c r="AA144" i="1"/>
  <c r="Z144" i="1"/>
  <c r="Y144" i="1"/>
  <c r="W144" i="1"/>
  <c r="V144" i="1"/>
  <c r="AO143" i="1"/>
  <c r="AN143" i="1"/>
  <c r="AL143" i="1"/>
  <c r="AK143" i="1"/>
  <c r="AJ143" i="1"/>
  <c r="AH143" i="1"/>
  <c r="AG143" i="1"/>
  <c r="AE143" i="1"/>
  <c r="AD143" i="1"/>
  <c r="AC143" i="1"/>
  <c r="AA143" i="1"/>
  <c r="Z143" i="1"/>
  <c r="Y143" i="1"/>
  <c r="W143" i="1"/>
  <c r="V143" i="1"/>
  <c r="AN142" i="1"/>
  <c r="AL142" i="1"/>
  <c r="AK142" i="1"/>
  <c r="AJ142" i="1"/>
  <c r="AH142" i="1"/>
  <c r="AG142" i="1"/>
  <c r="AE142" i="1"/>
  <c r="AD142" i="1"/>
  <c r="AC142" i="1"/>
  <c r="AA142" i="1"/>
  <c r="Z142" i="1"/>
  <c r="Y142" i="1"/>
  <c r="W142" i="1"/>
  <c r="V142" i="1"/>
  <c r="AO141" i="1"/>
  <c r="AN141" i="1"/>
  <c r="AL141" i="1"/>
  <c r="AK141" i="1"/>
  <c r="AJ141" i="1"/>
  <c r="AH141" i="1"/>
  <c r="AG141" i="1"/>
  <c r="AE141" i="1"/>
  <c r="AD141" i="1"/>
  <c r="AC141" i="1"/>
  <c r="AA141" i="1"/>
  <c r="Z141" i="1"/>
  <c r="Y141" i="1"/>
  <c r="W141" i="1"/>
  <c r="V141" i="1"/>
  <c r="AO140" i="1"/>
  <c r="AN140" i="1"/>
  <c r="AL140" i="1"/>
  <c r="AK140" i="1"/>
  <c r="AJ140" i="1"/>
  <c r="AH140" i="1"/>
  <c r="AG140" i="1"/>
  <c r="AE140" i="1"/>
  <c r="AD140" i="1"/>
  <c r="AC140" i="1"/>
  <c r="AA140" i="1"/>
  <c r="Z140" i="1"/>
  <c r="Y140" i="1"/>
  <c r="W140" i="1"/>
  <c r="V140" i="1"/>
  <c r="AN139" i="1"/>
  <c r="AL139" i="1"/>
  <c r="AK139" i="1"/>
  <c r="AJ139" i="1"/>
  <c r="AH139" i="1"/>
  <c r="AG139" i="1"/>
  <c r="AE139" i="1"/>
  <c r="AD139" i="1"/>
  <c r="AC139" i="1"/>
  <c r="AA139" i="1"/>
  <c r="Z139" i="1"/>
  <c r="Y139" i="1"/>
  <c r="W139" i="1"/>
  <c r="V139" i="1"/>
  <c r="AO138" i="1"/>
  <c r="AN138" i="1"/>
  <c r="AL138" i="1"/>
  <c r="AK138" i="1"/>
  <c r="AJ138" i="1"/>
  <c r="AH138" i="1"/>
  <c r="AG138" i="1"/>
  <c r="AD138" i="1"/>
  <c r="AA138" i="1"/>
  <c r="Z138" i="1"/>
  <c r="Y138" i="1"/>
  <c r="W138" i="1"/>
  <c r="V138" i="1"/>
  <c r="AN137" i="1"/>
  <c r="AL137" i="1"/>
  <c r="AK137" i="1"/>
  <c r="AJ137" i="1"/>
  <c r="AH137" i="1"/>
  <c r="AG137" i="1"/>
  <c r="AE137" i="1"/>
  <c r="AD137" i="1"/>
  <c r="AC137" i="1"/>
  <c r="AA137" i="1"/>
  <c r="Z137" i="1"/>
  <c r="Y137" i="1"/>
  <c r="W137" i="1"/>
  <c r="V137" i="1"/>
  <c r="AO136" i="1"/>
  <c r="AN136" i="1"/>
  <c r="AL136" i="1"/>
  <c r="AK136" i="1"/>
  <c r="AJ136" i="1"/>
  <c r="AH136" i="1"/>
  <c r="AG136" i="1"/>
  <c r="AE136" i="1"/>
  <c r="AD136" i="1"/>
  <c r="AC136" i="1"/>
  <c r="AA136" i="1"/>
  <c r="Z136" i="1"/>
  <c r="Y136" i="1"/>
  <c r="W136" i="1"/>
  <c r="V136" i="1"/>
  <c r="AN135" i="1"/>
  <c r="AL135" i="1"/>
  <c r="AK135" i="1"/>
  <c r="AJ135" i="1"/>
  <c r="AH135" i="1"/>
  <c r="AG135" i="1"/>
  <c r="AE135" i="1"/>
  <c r="AD135" i="1"/>
  <c r="AC135" i="1"/>
  <c r="AA135" i="1"/>
  <c r="Z135" i="1"/>
  <c r="Y135" i="1"/>
  <c r="W135" i="1"/>
  <c r="AO134" i="1"/>
  <c r="AN134" i="1"/>
  <c r="AL134" i="1"/>
  <c r="AK134" i="1"/>
  <c r="AJ134" i="1"/>
  <c r="AH134" i="1"/>
  <c r="AG134" i="1"/>
  <c r="AE134" i="1"/>
  <c r="AD134" i="1"/>
  <c r="AC134" i="1"/>
  <c r="AA134" i="1"/>
  <c r="Z134" i="1"/>
  <c r="Y134" i="1"/>
  <c r="W134" i="1"/>
  <c r="V134" i="1"/>
  <c r="AO133" i="1"/>
  <c r="AN133" i="1"/>
  <c r="AL133" i="1"/>
  <c r="AK133" i="1"/>
  <c r="AJ133" i="1"/>
  <c r="AH133" i="1"/>
  <c r="AG133" i="1"/>
  <c r="AE133" i="1"/>
  <c r="AD133" i="1"/>
  <c r="AC133" i="1"/>
  <c r="AA133" i="1"/>
  <c r="Z133" i="1"/>
  <c r="Y133" i="1"/>
  <c r="W133" i="1"/>
  <c r="V133" i="1"/>
  <c r="AO132" i="1"/>
  <c r="AN132" i="1"/>
  <c r="AL132" i="1"/>
  <c r="AK132" i="1"/>
  <c r="AJ132" i="1"/>
  <c r="AH132" i="1"/>
  <c r="AG132" i="1"/>
  <c r="AE132" i="1"/>
  <c r="AD132" i="1"/>
  <c r="AC132" i="1"/>
  <c r="AA132" i="1"/>
  <c r="Z132" i="1"/>
  <c r="Y132" i="1"/>
  <c r="W132" i="1"/>
  <c r="V132" i="1"/>
  <c r="AO131" i="1"/>
  <c r="AN131" i="1"/>
  <c r="AL131" i="1"/>
  <c r="AK131" i="1"/>
  <c r="AJ131" i="1"/>
  <c r="AH131" i="1"/>
  <c r="AG131" i="1"/>
  <c r="AE131" i="1"/>
  <c r="AD131" i="1"/>
  <c r="AC131" i="1"/>
  <c r="AA131" i="1"/>
  <c r="Z131" i="1"/>
  <c r="Y131" i="1"/>
  <c r="W131" i="1"/>
  <c r="V131" i="1"/>
  <c r="AO130" i="1"/>
  <c r="AN130" i="1"/>
  <c r="AL130" i="1"/>
  <c r="AK130" i="1"/>
  <c r="AJ130" i="1"/>
  <c r="AH130" i="1"/>
  <c r="AG130" i="1"/>
  <c r="AE130" i="1"/>
  <c r="AD130" i="1"/>
  <c r="AC130" i="1"/>
  <c r="AA130" i="1"/>
  <c r="Z130" i="1"/>
  <c r="Y130" i="1"/>
  <c r="W130" i="1"/>
  <c r="V130" i="1"/>
  <c r="AO129" i="1"/>
  <c r="AN129" i="1"/>
  <c r="AL129" i="1"/>
  <c r="AK129" i="1"/>
  <c r="AJ129" i="1"/>
  <c r="AH129" i="1"/>
  <c r="AG129" i="1"/>
  <c r="AE129" i="1"/>
  <c r="AD129" i="1"/>
  <c r="AC129" i="1"/>
  <c r="AA129" i="1"/>
  <c r="Z129" i="1"/>
  <c r="Y129" i="1"/>
  <c r="W129" i="1"/>
  <c r="V129" i="1"/>
  <c r="AN128" i="1"/>
  <c r="AL128" i="1"/>
  <c r="AK128" i="1"/>
  <c r="AJ128" i="1"/>
  <c r="AH128" i="1"/>
  <c r="AG128" i="1"/>
  <c r="AE128" i="1"/>
  <c r="AD128" i="1"/>
  <c r="AC128" i="1"/>
  <c r="AA128" i="1"/>
  <c r="Z128" i="1"/>
  <c r="Y128" i="1"/>
  <c r="W128" i="1"/>
  <c r="V128" i="1"/>
  <c r="AO127" i="1"/>
  <c r="AN127" i="1"/>
  <c r="AL127" i="1"/>
  <c r="AK127" i="1"/>
  <c r="AJ127" i="1"/>
  <c r="AH127" i="1"/>
  <c r="AG127" i="1"/>
  <c r="AE127" i="1"/>
  <c r="AD127" i="1"/>
  <c r="AC127" i="1"/>
  <c r="AA127" i="1"/>
  <c r="Z127" i="1"/>
  <c r="Y127" i="1"/>
  <c r="W127" i="1"/>
  <c r="V127" i="1"/>
  <c r="AO126" i="1"/>
  <c r="AN126" i="1"/>
  <c r="AL126" i="1"/>
  <c r="AK126" i="1"/>
  <c r="AJ126" i="1"/>
  <c r="AH126" i="1"/>
  <c r="AG126" i="1"/>
  <c r="AE126" i="1"/>
  <c r="AD126" i="1"/>
  <c r="AC126" i="1"/>
  <c r="AA126" i="1"/>
  <c r="Z126" i="1"/>
  <c r="Y126" i="1"/>
  <c r="W126" i="1"/>
  <c r="V126" i="1"/>
  <c r="AO125" i="1"/>
  <c r="AN125" i="1"/>
  <c r="AL125" i="1"/>
  <c r="AK125" i="1"/>
  <c r="AJ125" i="1"/>
  <c r="AH125" i="1"/>
  <c r="AG125" i="1"/>
  <c r="AE125" i="1"/>
  <c r="AA125" i="1"/>
  <c r="Z125" i="1"/>
  <c r="Y125" i="1"/>
  <c r="V125" i="1"/>
  <c r="AO124" i="1"/>
  <c r="AN124" i="1"/>
  <c r="AL124" i="1"/>
  <c r="AK124" i="1"/>
  <c r="AJ124" i="1"/>
  <c r="AH124" i="1"/>
  <c r="AG124" i="1"/>
  <c r="AE124" i="1"/>
  <c r="AD124" i="1"/>
  <c r="AC124" i="1"/>
  <c r="AA124" i="1"/>
  <c r="Z124" i="1"/>
  <c r="Y124" i="1"/>
  <c r="W124" i="1"/>
  <c r="V124" i="1"/>
  <c r="AO123" i="1"/>
  <c r="AN123" i="1"/>
  <c r="AL123" i="1"/>
  <c r="AK123" i="1"/>
  <c r="AJ123" i="1"/>
  <c r="AH123" i="1"/>
  <c r="AG123" i="1"/>
  <c r="AE123" i="1"/>
  <c r="AD123" i="1"/>
  <c r="AC123" i="1"/>
  <c r="AA123" i="1"/>
  <c r="Z123" i="1"/>
  <c r="Y123" i="1"/>
  <c r="W123" i="1"/>
  <c r="V123" i="1"/>
  <c r="AO122" i="1"/>
  <c r="AN122" i="1"/>
  <c r="AL122" i="1"/>
  <c r="AK122" i="1"/>
  <c r="AJ122" i="1"/>
  <c r="AH122" i="1"/>
  <c r="AG122" i="1"/>
  <c r="AE122" i="1"/>
  <c r="AD122" i="1"/>
  <c r="AC122" i="1"/>
  <c r="AA122" i="1"/>
  <c r="Z122" i="1"/>
  <c r="Y122" i="1"/>
  <c r="W122" i="1"/>
  <c r="V122" i="1"/>
  <c r="AO121" i="1"/>
  <c r="AN121" i="1"/>
  <c r="AL121" i="1"/>
  <c r="AK121" i="1"/>
  <c r="AJ121" i="1"/>
  <c r="AH121" i="1"/>
  <c r="AG121" i="1"/>
  <c r="AE121" i="1"/>
  <c r="AD121" i="1"/>
  <c r="AC121" i="1"/>
  <c r="AA121" i="1"/>
  <c r="Z121" i="1"/>
  <c r="Y121" i="1"/>
  <c r="W121" i="1"/>
  <c r="V121" i="1"/>
  <c r="AO120" i="1"/>
  <c r="AN120" i="1"/>
  <c r="AL120" i="1"/>
  <c r="AK120" i="1"/>
  <c r="AJ120" i="1"/>
  <c r="AH120" i="1"/>
  <c r="AG120" i="1"/>
  <c r="AE120" i="1"/>
  <c r="AD120" i="1"/>
  <c r="AC120" i="1"/>
  <c r="AA120" i="1"/>
  <c r="Z120" i="1"/>
  <c r="Y120" i="1"/>
  <c r="W120" i="1"/>
  <c r="V120" i="1"/>
  <c r="AO119" i="1"/>
  <c r="AN119" i="1"/>
  <c r="AL119" i="1"/>
  <c r="AK119" i="1"/>
  <c r="AJ119" i="1"/>
  <c r="AH119" i="1"/>
  <c r="AG119" i="1"/>
  <c r="AE119" i="1"/>
  <c r="AD119" i="1"/>
  <c r="AC119" i="1"/>
  <c r="AA119" i="1"/>
  <c r="Z119" i="1"/>
  <c r="Y119" i="1"/>
  <c r="W119" i="1"/>
  <c r="V119" i="1"/>
  <c r="AO118" i="1"/>
  <c r="AN118" i="1"/>
  <c r="AL118" i="1"/>
  <c r="AK118" i="1"/>
  <c r="AJ118" i="1"/>
  <c r="AH118" i="1"/>
  <c r="AG118" i="1"/>
  <c r="AE118" i="1"/>
  <c r="AD118" i="1"/>
  <c r="AC118" i="1"/>
  <c r="AA118" i="1"/>
  <c r="Z118" i="1"/>
  <c r="Y118" i="1"/>
  <c r="W118" i="1"/>
  <c r="V118" i="1"/>
  <c r="AO117" i="1"/>
  <c r="AN117" i="1"/>
  <c r="AL117" i="1"/>
  <c r="AK117" i="1"/>
  <c r="AJ117" i="1"/>
  <c r="AH117" i="1"/>
  <c r="AG117" i="1"/>
  <c r="AE117" i="1"/>
  <c r="AD117" i="1"/>
  <c r="AC117" i="1"/>
  <c r="AA117" i="1"/>
  <c r="Z117" i="1"/>
  <c r="Y117" i="1"/>
  <c r="W117" i="1"/>
  <c r="V117" i="1"/>
  <c r="AO116" i="1"/>
  <c r="AN116" i="1"/>
  <c r="AL116" i="1"/>
  <c r="AK116" i="1"/>
  <c r="AJ116" i="1"/>
  <c r="AH116" i="1"/>
  <c r="AG116" i="1"/>
  <c r="AE116" i="1"/>
  <c r="AD116" i="1"/>
  <c r="AC116" i="1"/>
  <c r="AA116" i="1"/>
  <c r="Z116" i="1"/>
  <c r="Y116" i="1"/>
  <c r="W116" i="1"/>
  <c r="V116" i="1"/>
  <c r="AO115" i="1"/>
  <c r="AN115" i="1"/>
  <c r="AL115" i="1"/>
  <c r="AK115" i="1"/>
  <c r="AJ115" i="1"/>
  <c r="AH115" i="1"/>
  <c r="AG115" i="1"/>
  <c r="AE115" i="1"/>
  <c r="AD115" i="1"/>
  <c r="AC115" i="1"/>
  <c r="Z115" i="1"/>
  <c r="Y115" i="1"/>
  <c r="AN114" i="1"/>
  <c r="AL114" i="1"/>
  <c r="AK114" i="1"/>
  <c r="AJ114" i="1"/>
  <c r="AH114" i="1"/>
  <c r="AG114" i="1"/>
  <c r="AE114" i="1"/>
  <c r="AD114" i="1"/>
  <c r="AC114" i="1"/>
  <c r="AA114" i="1"/>
  <c r="Z114" i="1"/>
  <c r="Y114" i="1"/>
  <c r="W114" i="1"/>
  <c r="V114" i="1"/>
  <c r="AO113" i="1"/>
  <c r="AN113" i="1"/>
  <c r="AL113" i="1"/>
  <c r="AK113" i="1"/>
  <c r="AJ113" i="1"/>
  <c r="AH113" i="1"/>
  <c r="AG113" i="1"/>
  <c r="AE113" i="1"/>
  <c r="AD113" i="1"/>
  <c r="AC113" i="1"/>
  <c r="AA113" i="1"/>
  <c r="Z113" i="1"/>
  <c r="Y113" i="1"/>
  <c r="W113" i="1"/>
  <c r="V113" i="1"/>
  <c r="AO112" i="1"/>
  <c r="AN112" i="1"/>
  <c r="AL112" i="1"/>
  <c r="AK112" i="1"/>
  <c r="AJ112" i="1"/>
  <c r="AH112" i="1"/>
  <c r="AG112" i="1"/>
  <c r="AE112" i="1"/>
  <c r="AD112" i="1"/>
  <c r="AC112" i="1"/>
  <c r="Z112" i="1"/>
  <c r="Y112" i="1"/>
  <c r="W112" i="1"/>
  <c r="V112" i="1"/>
  <c r="AO111" i="1"/>
  <c r="AN111" i="1"/>
  <c r="AL111" i="1"/>
  <c r="AK111" i="1"/>
  <c r="AJ111" i="1"/>
  <c r="AH111" i="1"/>
  <c r="AG111" i="1"/>
  <c r="AE111" i="1"/>
  <c r="AD111" i="1"/>
  <c r="AC111" i="1"/>
  <c r="AA111" i="1"/>
  <c r="Z111" i="1"/>
  <c r="Y111" i="1"/>
  <c r="W111" i="1"/>
  <c r="V111" i="1"/>
  <c r="AO110" i="1"/>
  <c r="AN110" i="1"/>
  <c r="AL110" i="1"/>
  <c r="AK110" i="1"/>
  <c r="AJ110" i="1"/>
  <c r="AH110" i="1"/>
  <c r="AG110" i="1"/>
  <c r="AE110" i="1"/>
  <c r="AD110" i="1"/>
  <c r="AC110" i="1"/>
  <c r="AA110" i="1"/>
  <c r="Z110" i="1"/>
  <c r="Y110" i="1"/>
  <c r="W110" i="1"/>
  <c r="V110" i="1"/>
  <c r="AO109" i="1"/>
  <c r="AN109" i="1"/>
  <c r="AL109" i="1"/>
  <c r="AK109" i="1"/>
  <c r="AJ109" i="1"/>
  <c r="AH109" i="1"/>
  <c r="AG109" i="1"/>
  <c r="AE109" i="1"/>
  <c r="AD109" i="1"/>
  <c r="AC109" i="1"/>
  <c r="AA109" i="1"/>
  <c r="Z109" i="1"/>
  <c r="Y109" i="1"/>
  <c r="W109" i="1"/>
  <c r="V109" i="1"/>
  <c r="AO108" i="1"/>
  <c r="AN108" i="1"/>
  <c r="AL108" i="1"/>
  <c r="AK108" i="1"/>
  <c r="AJ108" i="1"/>
  <c r="AH108" i="1"/>
  <c r="AG108" i="1"/>
  <c r="AE108" i="1"/>
  <c r="AD108" i="1"/>
  <c r="Z108" i="1"/>
  <c r="Y108" i="1"/>
  <c r="W108" i="1"/>
  <c r="V108" i="1"/>
  <c r="AN107" i="1"/>
  <c r="AL107" i="1"/>
  <c r="AK107" i="1"/>
  <c r="AJ107" i="1"/>
  <c r="AH107" i="1"/>
  <c r="AG107" i="1"/>
  <c r="AE107" i="1"/>
  <c r="AD107" i="1"/>
  <c r="AC107" i="1"/>
  <c r="AA107" i="1"/>
  <c r="Z107" i="1"/>
  <c r="Y107" i="1"/>
  <c r="W107" i="1"/>
  <c r="V107" i="1"/>
  <c r="AO106" i="1"/>
  <c r="AN106" i="1"/>
  <c r="AL106" i="1"/>
  <c r="AK106" i="1"/>
  <c r="AJ106" i="1"/>
  <c r="AH106" i="1"/>
  <c r="AG106" i="1"/>
  <c r="AE106" i="1"/>
  <c r="AD106" i="1"/>
  <c r="AC106" i="1"/>
  <c r="AA106" i="1"/>
  <c r="Z106" i="1"/>
  <c r="Y106" i="1"/>
  <c r="W106" i="1"/>
  <c r="V106" i="1"/>
  <c r="AN105" i="1"/>
  <c r="AL105" i="1"/>
  <c r="AK105" i="1"/>
  <c r="AJ105" i="1"/>
  <c r="AH105" i="1"/>
  <c r="AG105" i="1"/>
  <c r="AE105" i="1"/>
  <c r="AD105" i="1"/>
  <c r="AC105" i="1"/>
  <c r="AA105" i="1"/>
  <c r="Z105" i="1"/>
  <c r="Y105" i="1"/>
  <c r="W105" i="1"/>
  <c r="V105" i="1"/>
  <c r="AN104" i="1"/>
  <c r="AL104" i="1"/>
  <c r="AK104" i="1"/>
  <c r="AJ104" i="1"/>
  <c r="AH104" i="1"/>
  <c r="AG104" i="1"/>
  <c r="AE104" i="1"/>
  <c r="AD104" i="1"/>
  <c r="AC104" i="1"/>
  <c r="AA104" i="1"/>
  <c r="Z104" i="1"/>
  <c r="Y104" i="1"/>
  <c r="W104" i="1"/>
  <c r="V104" i="1"/>
  <c r="AN103" i="1"/>
  <c r="AL103" i="1"/>
  <c r="AK103" i="1"/>
  <c r="AJ103" i="1"/>
  <c r="AH103" i="1"/>
  <c r="AG103" i="1"/>
  <c r="AE103" i="1"/>
  <c r="AD103" i="1"/>
  <c r="AC103" i="1"/>
  <c r="AA103" i="1"/>
  <c r="Z103" i="1"/>
  <c r="Y103" i="1"/>
  <c r="W103" i="1"/>
  <c r="V103" i="1"/>
  <c r="AN102" i="1"/>
  <c r="AL102" i="1"/>
  <c r="AK102" i="1"/>
  <c r="AJ102" i="1"/>
  <c r="AH102" i="1"/>
  <c r="AG102" i="1"/>
  <c r="AE102" i="1"/>
  <c r="AD102" i="1"/>
  <c r="AC102" i="1"/>
  <c r="AA102" i="1"/>
  <c r="Z102" i="1"/>
  <c r="Y102" i="1"/>
  <c r="W102" i="1"/>
  <c r="V102" i="1"/>
  <c r="AO101" i="1"/>
  <c r="AN101" i="1"/>
  <c r="AL101" i="1"/>
  <c r="AK101" i="1"/>
  <c r="AJ101" i="1"/>
  <c r="AH101" i="1"/>
  <c r="AG101" i="1"/>
  <c r="AE101" i="1"/>
  <c r="AD101" i="1"/>
  <c r="AC101" i="1"/>
  <c r="AA101" i="1"/>
  <c r="Z101" i="1"/>
  <c r="Y101" i="1"/>
  <c r="W101" i="1"/>
  <c r="V101" i="1"/>
  <c r="AO100" i="1"/>
  <c r="AN100" i="1"/>
  <c r="AL100" i="1"/>
  <c r="AK100" i="1"/>
  <c r="AJ100" i="1"/>
  <c r="AH100" i="1"/>
  <c r="AG100" i="1"/>
  <c r="AE100" i="1"/>
  <c r="AD100" i="1"/>
  <c r="AC100" i="1"/>
  <c r="AA100" i="1"/>
  <c r="Z100" i="1"/>
  <c r="Y100" i="1"/>
  <c r="W100" i="1"/>
  <c r="V100" i="1"/>
  <c r="AO99" i="1"/>
  <c r="AN99" i="1"/>
  <c r="AL99" i="1"/>
  <c r="AK99" i="1"/>
  <c r="AJ99" i="1"/>
  <c r="AH99" i="1"/>
  <c r="AG99" i="1"/>
  <c r="AE99" i="1"/>
  <c r="AD99" i="1"/>
  <c r="AC99" i="1"/>
  <c r="AA99" i="1"/>
  <c r="Z99" i="1"/>
  <c r="Y99" i="1"/>
  <c r="W99" i="1"/>
  <c r="V99" i="1"/>
  <c r="AO98" i="1"/>
  <c r="AN98" i="1"/>
  <c r="AL98" i="1"/>
  <c r="AK98" i="1"/>
  <c r="AJ98" i="1"/>
  <c r="AH98" i="1"/>
  <c r="AG98" i="1"/>
  <c r="AE98" i="1"/>
  <c r="AD98" i="1"/>
  <c r="AC98" i="1"/>
  <c r="AA98" i="1"/>
  <c r="Z98" i="1"/>
  <c r="Y98" i="1"/>
  <c r="W98" i="1"/>
  <c r="V98" i="1"/>
  <c r="AO97" i="1"/>
  <c r="AN97" i="1"/>
  <c r="AL97" i="1"/>
  <c r="AK97" i="1"/>
  <c r="AJ97" i="1"/>
  <c r="AH97" i="1"/>
  <c r="AG97" i="1"/>
  <c r="AE97" i="1"/>
  <c r="AD97" i="1"/>
  <c r="AC97" i="1"/>
  <c r="AA97" i="1"/>
  <c r="Z97" i="1"/>
  <c r="Y97" i="1"/>
  <c r="W97" i="1"/>
  <c r="V97" i="1"/>
  <c r="AO96" i="1"/>
  <c r="AN96" i="1"/>
  <c r="AL96" i="1"/>
  <c r="AK96" i="1"/>
  <c r="AJ96" i="1"/>
  <c r="AH96" i="1"/>
  <c r="AG96" i="1"/>
  <c r="AE96" i="1"/>
  <c r="AD96" i="1"/>
  <c r="AC96" i="1"/>
  <c r="AA96" i="1"/>
  <c r="Z96" i="1"/>
  <c r="Y96" i="1"/>
  <c r="V96" i="1"/>
  <c r="AO95" i="1"/>
  <c r="AN95" i="1"/>
  <c r="AL95" i="1"/>
  <c r="AK95" i="1"/>
  <c r="AJ95" i="1"/>
  <c r="AH95" i="1"/>
  <c r="AG95" i="1"/>
  <c r="AE95" i="1"/>
  <c r="AD95" i="1"/>
  <c r="AC95" i="1"/>
  <c r="AA95" i="1"/>
  <c r="Z95" i="1"/>
  <c r="Y95" i="1"/>
  <c r="V95" i="1"/>
  <c r="AO94" i="1"/>
  <c r="AN94" i="1"/>
  <c r="AL94" i="1"/>
  <c r="AK94" i="1"/>
  <c r="AJ94" i="1"/>
  <c r="AH94" i="1"/>
  <c r="AG94" i="1"/>
  <c r="AE94" i="1"/>
  <c r="AD94" i="1"/>
  <c r="AC94" i="1"/>
  <c r="AA94" i="1"/>
  <c r="Z94" i="1"/>
  <c r="Y94" i="1"/>
  <c r="V94" i="1"/>
  <c r="AO93" i="1"/>
  <c r="AN93" i="1"/>
  <c r="AL93" i="1"/>
  <c r="AK93" i="1"/>
  <c r="AJ93" i="1"/>
  <c r="AH93" i="1"/>
  <c r="AG93" i="1"/>
  <c r="AE93" i="1"/>
  <c r="AD93" i="1"/>
  <c r="AC93" i="1"/>
  <c r="AA93" i="1"/>
  <c r="Z93" i="1"/>
  <c r="Y93" i="1"/>
  <c r="V93" i="1"/>
  <c r="AO92" i="1"/>
  <c r="AN92" i="1"/>
  <c r="AL92" i="1"/>
  <c r="AK92" i="1"/>
  <c r="AJ92" i="1"/>
  <c r="AH92" i="1"/>
  <c r="AG92" i="1"/>
  <c r="AE92" i="1"/>
  <c r="AD92" i="1"/>
  <c r="AC92" i="1"/>
  <c r="AA92" i="1"/>
  <c r="Z92" i="1"/>
  <c r="Y92" i="1"/>
  <c r="V92" i="1"/>
  <c r="AO91" i="1"/>
  <c r="AN91" i="1"/>
  <c r="AL91" i="1"/>
  <c r="AK91" i="1"/>
  <c r="AJ91" i="1"/>
  <c r="AH91" i="1"/>
  <c r="AG91" i="1"/>
  <c r="AE91" i="1"/>
  <c r="AD91" i="1"/>
  <c r="AC91" i="1"/>
  <c r="AA91" i="1"/>
  <c r="Z91" i="1"/>
  <c r="Y91" i="1"/>
  <c r="V91" i="1"/>
  <c r="AO90" i="1"/>
  <c r="AN90" i="1"/>
  <c r="AL90" i="1"/>
  <c r="AK90" i="1"/>
  <c r="AJ90" i="1"/>
  <c r="AH90" i="1"/>
  <c r="AG90" i="1"/>
  <c r="AE90" i="1"/>
  <c r="AD90" i="1"/>
  <c r="AC90" i="1"/>
  <c r="AA90" i="1"/>
  <c r="Z90" i="1"/>
  <c r="Y90" i="1"/>
  <c r="V90" i="1"/>
  <c r="AN89" i="1"/>
  <c r="AL89" i="1"/>
  <c r="AK89" i="1"/>
  <c r="AJ89" i="1"/>
  <c r="AH89" i="1"/>
  <c r="AG89" i="1"/>
  <c r="AE89" i="1"/>
  <c r="AD89" i="1"/>
  <c r="Z89" i="1"/>
  <c r="Y89" i="1"/>
  <c r="AN88" i="1"/>
  <c r="AL88" i="1"/>
  <c r="AK88" i="1"/>
  <c r="AJ88" i="1"/>
  <c r="AH88" i="1"/>
  <c r="AG88" i="1"/>
  <c r="AE88" i="1"/>
  <c r="AD88" i="1"/>
  <c r="AC88" i="1"/>
  <c r="AA88" i="1"/>
  <c r="Z88" i="1"/>
  <c r="Y88" i="1"/>
  <c r="W88" i="1"/>
  <c r="V88" i="1"/>
  <c r="AN87" i="1"/>
  <c r="AL87" i="1"/>
  <c r="AK87" i="1"/>
  <c r="AJ87" i="1"/>
  <c r="AH87" i="1"/>
  <c r="AG87" i="1"/>
  <c r="AE87" i="1"/>
  <c r="AD87" i="1"/>
  <c r="AC87" i="1"/>
  <c r="AA87" i="1"/>
  <c r="Z87" i="1"/>
  <c r="Y87" i="1"/>
  <c r="W87" i="1"/>
  <c r="V87" i="1"/>
  <c r="AN86" i="1"/>
  <c r="AL86" i="1"/>
  <c r="AK86" i="1"/>
  <c r="AJ86" i="1"/>
  <c r="AH86" i="1"/>
  <c r="AG86" i="1"/>
  <c r="AE86" i="1"/>
  <c r="AD86" i="1"/>
  <c r="AC86" i="1"/>
  <c r="AA86" i="1"/>
  <c r="Z86" i="1"/>
  <c r="Y86" i="1"/>
  <c r="W86" i="1"/>
  <c r="V86" i="1"/>
  <c r="AN85" i="1"/>
  <c r="AL85" i="1"/>
  <c r="AK85" i="1"/>
  <c r="AJ85" i="1"/>
  <c r="AH85" i="1"/>
  <c r="AG85" i="1"/>
  <c r="AE85" i="1"/>
  <c r="AD85" i="1"/>
  <c r="AC85" i="1"/>
  <c r="AA85" i="1"/>
  <c r="Z85" i="1"/>
  <c r="Y85" i="1"/>
  <c r="W85" i="1"/>
  <c r="V85" i="1"/>
  <c r="AN84" i="1"/>
  <c r="AL84" i="1"/>
  <c r="AK84" i="1"/>
  <c r="AJ84" i="1"/>
  <c r="AH84" i="1"/>
  <c r="AG84" i="1"/>
  <c r="AE84" i="1"/>
  <c r="AD84" i="1"/>
  <c r="AC84" i="1"/>
  <c r="AA84" i="1"/>
  <c r="Z84" i="1"/>
  <c r="Y84" i="1"/>
  <c r="W84" i="1"/>
  <c r="V84" i="1"/>
  <c r="AN83" i="1"/>
  <c r="AL83" i="1"/>
  <c r="AK83" i="1"/>
  <c r="AJ83" i="1"/>
  <c r="AH83" i="1"/>
  <c r="AG83" i="1"/>
  <c r="AE83" i="1"/>
  <c r="AD83" i="1"/>
  <c r="AC83" i="1"/>
  <c r="AA83" i="1"/>
  <c r="Z83" i="1"/>
  <c r="Y83" i="1"/>
  <c r="W83" i="1"/>
  <c r="V83" i="1"/>
  <c r="AN82" i="1"/>
  <c r="AL82" i="1"/>
  <c r="AK82" i="1"/>
  <c r="AJ82" i="1"/>
  <c r="AH82" i="1"/>
  <c r="AG82" i="1"/>
  <c r="AE82" i="1"/>
  <c r="AD82" i="1"/>
  <c r="AC82" i="1"/>
  <c r="AA82" i="1"/>
  <c r="Z82" i="1"/>
  <c r="Y82" i="1"/>
  <c r="W82" i="1"/>
  <c r="V82" i="1"/>
  <c r="AN81" i="1"/>
  <c r="AL81" i="1"/>
  <c r="AK81" i="1"/>
  <c r="AJ81" i="1"/>
  <c r="AH81" i="1"/>
  <c r="AG81" i="1"/>
  <c r="AE81" i="1"/>
  <c r="AD81" i="1"/>
  <c r="AC81" i="1"/>
  <c r="AA81" i="1"/>
  <c r="Z81" i="1"/>
  <c r="Y81" i="1"/>
  <c r="W81" i="1"/>
  <c r="V81" i="1"/>
  <c r="AN80" i="1"/>
  <c r="AL80" i="1"/>
  <c r="AK80" i="1"/>
  <c r="AJ80" i="1"/>
  <c r="AH80" i="1"/>
  <c r="AG80" i="1"/>
  <c r="AE80" i="1"/>
  <c r="AD80" i="1"/>
  <c r="AC80" i="1"/>
  <c r="AA80" i="1"/>
  <c r="Z80" i="1"/>
  <c r="Y80" i="1"/>
  <c r="W80" i="1"/>
  <c r="V80" i="1"/>
  <c r="AN79" i="1"/>
  <c r="AL79" i="1"/>
  <c r="AK79" i="1"/>
  <c r="AJ79" i="1"/>
  <c r="AH79" i="1"/>
  <c r="AG79" i="1"/>
  <c r="AE79" i="1"/>
  <c r="AD79" i="1"/>
  <c r="AC79" i="1"/>
  <c r="AA79" i="1"/>
  <c r="Z79" i="1"/>
  <c r="Y79" i="1"/>
  <c r="W79" i="1"/>
  <c r="V79" i="1"/>
  <c r="AN78" i="1"/>
  <c r="AL78" i="1"/>
  <c r="AK78" i="1"/>
  <c r="AJ78" i="1"/>
  <c r="AH78" i="1"/>
  <c r="AG78" i="1"/>
  <c r="AE78" i="1"/>
  <c r="AD78" i="1"/>
  <c r="AC78" i="1"/>
  <c r="AA78" i="1"/>
  <c r="Z78" i="1"/>
  <c r="Y78" i="1"/>
  <c r="W78" i="1"/>
  <c r="V78" i="1"/>
  <c r="AN77" i="1"/>
  <c r="AL77" i="1"/>
  <c r="AK77" i="1"/>
  <c r="AJ77" i="1"/>
  <c r="AH77" i="1"/>
  <c r="AG77" i="1"/>
  <c r="AE77" i="1"/>
  <c r="AD77" i="1"/>
  <c r="AC77" i="1"/>
  <c r="AA77" i="1"/>
  <c r="Z77" i="1"/>
  <c r="Y77" i="1"/>
  <c r="W77" i="1"/>
  <c r="V77" i="1"/>
  <c r="AN76" i="1"/>
  <c r="AL76" i="1"/>
  <c r="AK76" i="1"/>
  <c r="AJ76" i="1"/>
  <c r="AH76" i="1"/>
  <c r="AG76" i="1"/>
  <c r="AE76" i="1"/>
  <c r="AD76" i="1"/>
  <c r="AC76" i="1"/>
  <c r="AA76" i="1"/>
  <c r="Z76" i="1"/>
  <c r="Y76" i="1"/>
  <c r="W76" i="1"/>
  <c r="V76" i="1"/>
  <c r="AN75" i="1"/>
  <c r="AL75" i="1"/>
  <c r="AK75" i="1"/>
  <c r="AJ75" i="1"/>
  <c r="AH75" i="1"/>
  <c r="AG75" i="1"/>
  <c r="AE75" i="1"/>
  <c r="AD75" i="1"/>
  <c r="AC75" i="1"/>
  <c r="AA75" i="1"/>
  <c r="Z75" i="1"/>
  <c r="Y75" i="1"/>
  <c r="W75" i="1"/>
  <c r="V75" i="1"/>
  <c r="AO74" i="1"/>
  <c r="AN74" i="1"/>
  <c r="AL74" i="1"/>
  <c r="AK74" i="1"/>
  <c r="AJ74" i="1"/>
  <c r="AH74" i="1"/>
  <c r="AG74" i="1"/>
  <c r="AE74" i="1"/>
  <c r="AD74" i="1"/>
  <c r="AC74" i="1"/>
  <c r="AA74" i="1"/>
  <c r="Z74" i="1"/>
  <c r="Y74" i="1"/>
  <c r="V74" i="1"/>
  <c r="AO73" i="1"/>
  <c r="AN73" i="1"/>
  <c r="AL73" i="1"/>
  <c r="AK73" i="1"/>
  <c r="AJ73" i="1"/>
  <c r="AH73" i="1"/>
  <c r="AG73" i="1"/>
  <c r="AE73" i="1"/>
  <c r="AD73" i="1"/>
  <c r="AC73" i="1"/>
  <c r="AA73" i="1"/>
  <c r="Z73" i="1"/>
  <c r="Y73" i="1"/>
  <c r="V73" i="1"/>
  <c r="AO72" i="1"/>
  <c r="AN72" i="1"/>
  <c r="AL72" i="1"/>
  <c r="AK72" i="1"/>
  <c r="AJ72" i="1"/>
  <c r="AH72" i="1"/>
  <c r="AG72" i="1"/>
  <c r="AE72" i="1"/>
  <c r="AD72" i="1"/>
  <c r="AC72" i="1"/>
  <c r="AA72" i="1"/>
  <c r="Z72" i="1"/>
  <c r="Y72" i="1"/>
  <c r="V72" i="1"/>
  <c r="AN71" i="1"/>
  <c r="AL71" i="1"/>
  <c r="AK71" i="1"/>
  <c r="AJ71" i="1"/>
  <c r="AH71" i="1"/>
  <c r="AG71" i="1"/>
  <c r="AE71" i="1"/>
  <c r="AD71" i="1"/>
  <c r="AC71" i="1"/>
  <c r="AA71" i="1"/>
  <c r="Z71" i="1"/>
  <c r="Y71" i="1"/>
  <c r="W71" i="1"/>
  <c r="V71" i="1"/>
  <c r="AN70" i="1"/>
  <c r="AL70" i="1"/>
  <c r="AK70" i="1"/>
  <c r="AJ70" i="1"/>
  <c r="AH70" i="1"/>
  <c r="AG70" i="1"/>
  <c r="AE70" i="1"/>
  <c r="AD70" i="1"/>
  <c r="AC70" i="1"/>
  <c r="AA70" i="1"/>
  <c r="Z70" i="1"/>
  <c r="Y70" i="1"/>
  <c r="W70" i="1"/>
  <c r="V70" i="1"/>
  <c r="AO69" i="1"/>
  <c r="AN69" i="1"/>
  <c r="AL69" i="1"/>
  <c r="AK69" i="1"/>
  <c r="AJ69" i="1"/>
  <c r="AH69" i="1"/>
  <c r="AG69" i="1"/>
  <c r="AE69" i="1"/>
  <c r="AD69" i="1"/>
  <c r="AC69" i="1"/>
  <c r="AA69" i="1"/>
  <c r="Z69" i="1"/>
  <c r="Y69" i="1"/>
  <c r="V69" i="1"/>
  <c r="AO68" i="1"/>
  <c r="AN68" i="1"/>
  <c r="AL68" i="1"/>
  <c r="AK68" i="1"/>
  <c r="AJ68" i="1"/>
  <c r="AH68" i="1"/>
  <c r="AG68" i="1"/>
  <c r="AE68" i="1"/>
  <c r="AD68" i="1"/>
  <c r="AC68" i="1"/>
  <c r="AA68" i="1"/>
  <c r="Z68" i="1"/>
  <c r="Y68" i="1"/>
  <c r="V68" i="1"/>
  <c r="AN67" i="1"/>
  <c r="AL67" i="1"/>
  <c r="AK67" i="1"/>
  <c r="AJ67" i="1"/>
  <c r="AH67" i="1"/>
  <c r="AG67" i="1"/>
  <c r="AE67" i="1"/>
  <c r="AD67" i="1"/>
  <c r="AC67" i="1"/>
  <c r="AA67" i="1"/>
  <c r="Z67" i="1"/>
  <c r="Y67" i="1"/>
  <c r="W67" i="1"/>
  <c r="V67" i="1"/>
  <c r="AN66" i="1"/>
  <c r="AL66" i="1"/>
  <c r="AK66" i="1"/>
  <c r="AJ66" i="1"/>
  <c r="AH66" i="1"/>
  <c r="AG66" i="1"/>
  <c r="AE66" i="1"/>
  <c r="AD66" i="1"/>
  <c r="AC66" i="1"/>
  <c r="AA66" i="1"/>
  <c r="Z66" i="1"/>
  <c r="Y66" i="1"/>
  <c r="W66" i="1"/>
  <c r="V66" i="1"/>
  <c r="AN65" i="1"/>
  <c r="AL65" i="1"/>
  <c r="AK65" i="1"/>
  <c r="AJ65" i="1"/>
  <c r="AH65" i="1"/>
  <c r="AG65" i="1"/>
  <c r="AE65" i="1"/>
  <c r="AD65" i="1"/>
  <c r="AC65" i="1"/>
  <c r="AA65" i="1"/>
  <c r="Z65" i="1"/>
  <c r="Y65" i="1"/>
  <c r="W65" i="1"/>
  <c r="V65" i="1"/>
  <c r="AN64" i="1"/>
  <c r="AL64" i="1"/>
  <c r="AK64" i="1"/>
  <c r="AJ64" i="1"/>
  <c r="AH64" i="1"/>
  <c r="AG64" i="1"/>
  <c r="AE64" i="1"/>
  <c r="AD64" i="1"/>
  <c r="AC64" i="1"/>
  <c r="AA64" i="1"/>
  <c r="Z64" i="1"/>
  <c r="Y64" i="1"/>
  <c r="W64" i="1"/>
  <c r="V64" i="1"/>
  <c r="AN63" i="1"/>
  <c r="AL63" i="1"/>
  <c r="AK63" i="1"/>
  <c r="AJ63" i="1"/>
  <c r="AH63" i="1"/>
  <c r="AG63" i="1"/>
  <c r="AE63" i="1"/>
  <c r="AD63" i="1"/>
  <c r="AC63" i="1"/>
  <c r="AA63" i="1"/>
  <c r="Z63" i="1"/>
  <c r="Y63" i="1"/>
  <c r="W63" i="1"/>
  <c r="V63" i="1"/>
  <c r="AN62" i="1"/>
  <c r="AL62" i="1"/>
  <c r="AK62" i="1"/>
  <c r="AJ62" i="1"/>
  <c r="AH62" i="1"/>
  <c r="AG62" i="1"/>
  <c r="AE62" i="1"/>
  <c r="AD62" i="1"/>
  <c r="AC62" i="1"/>
  <c r="AA62" i="1"/>
  <c r="Z62" i="1"/>
  <c r="Y62" i="1"/>
  <c r="W62" i="1"/>
  <c r="V62" i="1"/>
  <c r="AN61" i="1"/>
  <c r="AL61" i="1"/>
  <c r="AK61" i="1"/>
  <c r="AJ61" i="1"/>
  <c r="AH61" i="1"/>
  <c r="AG61" i="1"/>
  <c r="AE61" i="1"/>
  <c r="AD61" i="1"/>
  <c r="AC61" i="1"/>
  <c r="AA61" i="1"/>
  <c r="Z61" i="1"/>
  <c r="Y61" i="1"/>
  <c r="W61" i="1"/>
  <c r="V61" i="1"/>
  <c r="AO60" i="1"/>
  <c r="AN60" i="1"/>
  <c r="AL60" i="1"/>
  <c r="AK60" i="1"/>
  <c r="AJ60" i="1"/>
  <c r="AH60" i="1"/>
  <c r="AG60" i="1"/>
  <c r="AE60" i="1"/>
  <c r="AD60" i="1"/>
  <c r="AC60" i="1"/>
  <c r="AA60" i="1"/>
  <c r="Z60" i="1"/>
  <c r="Y60" i="1"/>
  <c r="V60" i="1"/>
  <c r="AO59" i="1"/>
  <c r="AN59" i="1"/>
  <c r="AL59" i="1"/>
  <c r="AK59" i="1"/>
  <c r="AJ59" i="1"/>
  <c r="AH59" i="1"/>
  <c r="AG59" i="1"/>
  <c r="AE59" i="1"/>
  <c r="AD59" i="1"/>
  <c r="AC59" i="1"/>
  <c r="AA59" i="1"/>
  <c r="Z59" i="1"/>
  <c r="Y59" i="1"/>
  <c r="V59" i="1"/>
  <c r="AO58" i="1"/>
  <c r="AN58" i="1"/>
  <c r="AL58" i="1"/>
  <c r="AK58" i="1"/>
  <c r="AJ58" i="1"/>
  <c r="AH58" i="1"/>
  <c r="AG58" i="1"/>
  <c r="AE58" i="1"/>
  <c r="AD58" i="1"/>
  <c r="AC58" i="1"/>
  <c r="AA58" i="1"/>
  <c r="Z58" i="1"/>
  <c r="Y58" i="1"/>
  <c r="V58" i="1"/>
  <c r="AO57" i="1"/>
  <c r="AN57" i="1"/>
  <c r="AL57" i="1"/>
  <c r="AK57" i="1"/>
  <c r="AJ57" i="1"/>
  <c r="AH57" i="1"/>
  <c r="AG57" i="1"/>
  <c r="AE57" i="1"/>
  <c r="AD57" i="1"/>
  <c r="AC57" i="1"/>
  <c r="AA57" i="1"/>
  <c r="Z57" i="1"/>
  <c r="Y57" i="1"/>
  <c r="V57" i="1"/>
  <c r="AO56" i="1"/>
  <c r="AN56" i="1"/>
  <c r="AL56" i="1"/>
  <c r="AK56" i="1"/>
  <c r="AJ56" i="1"/>
  <c r="AH56" i="1"/>
  <c r="AG56" i="1"/>
  <c r="AE56" i="1"/>
  <c r="AD56" i="1"/>
  <c r="AC56" i="1"/>
  <c r="Z56" i="1"/>
  <c r="Y56" i="1"/>
  <c r="AN55" i="1"/>
  <c r="AL55" i="1"/>
  <c r="AK55" i="1"/>
  <c r="AJ55" i="1"/>
  <c r="AH55" i="1"/>
  <c r="AG55" i="1"/>
  <c r="AE55" i="1"/>
  <c r="AD55" i="1"/>
  <c r="AC55" i="1"/>
  <c r="AA55" i="1"/>
  <c r="Z55" i="1"/>
  <c r="Y55" i="1"/>
  <c r="W55" i="1"/>
  <c r="V55" i="1"/>
  <c r="AO54" i="1"/>
  <c r="AN54" i="1"/>
  <c r="AL54" i="1"/>
  <c r="AK54" i="1"/>
  <c r="AJ54" i="1"/>
  <c r="AH54" i="1"/>
  <c r="AG54" i="1"/>
  <c r="AE54" i="1"/>
  <c r="AD54" i="1"/>
  <c r="AC54" i="1"/>
  <c r="AA54" i="1"/>
  <c r="Z54" i="1"/>
  <c r="Y54" i="1"/>
  <c r="V54" i="1"/>
  <c r="AO53" i="1"/>
  <c r="AN53" i="1"/>
  <c r="AL53" i="1"/>
  <c r="AK53" i="1"/>
  <c r="AJ53" i="1"/>
  <c r="AH53" i="1"/>
  <c r="AG53" i="1"/>
  <c r="AE53" i="1"/>
  <c r="AD53" i="1"/>
  <c r="AC53" i="1"/>
  <c r="AA53" i="1"/>
  <c r="Z53" i="1"/>
  <c r="Y53" i="1"/>
  <c r="V53" i="1"/>
  <c r="AN52" i="1"/>
  <c r="AL52" i="1"/>
  <c r="AK52" i="1"/>
  <c r="AJ52" i="1"/>
  <c r="AH52" i="1"/>
  <c r="AG52" i="1"/>
  <c r="AE52" i="1"/>
  <c r="AD52" i="1"/>
  <c r="AC52" i="1"/>
  <c r="AA52" i="1"/>
  <c r="Z52" i="1"/>
  <c r="Y52" i="1"/>
  <c r="W52" i="1"/>
  <c r="V52" i="1"/>
  <c r="AN51" i="1"/>
  <c r="AL51" i="1"/>
  <c r="AK51" i="1"/>
  <c r="AJ51" i="1"/>
  <c r="AH51" i="1"/>
  <c r="AG51" i="1"/>
  <c r="AE51" i="1"/>
  <c r="AD51" i="1"/>
  <c r="AC51" i="1"/>
  <c r="AA51" i="1"/>
  <c r="Z51" i="1"/>
  <c r="Y51" i="1"/>
  <c r="W51" i="1"/>
  <c r="V51" i="1"/>
  <c r="AO50" i="1"/>
  <c r="AN50" i="1"/>
  <c r="AL50" i="1"/>
  <c r="AK50" i="1"/>
  <c r="AJ50" i="1"/>
  <c r="AH50" i="1"/>
  <c r="AG50" i="1"/>
  <c r="AE50" i="1"/>
  <c r="AD50" i="1"/>
  <c r="AC50" i="1"/>
  <c r="AA50" i="1"/>
  <c r="Z50" i="1"/>
  <c r="Y50" i="1"/>
  <c r="V50" i="1"/>
  <c r="AN49" i="1"/>
  <c r="AL49" i="1"/>
  <c r="AK49" i="1"/>
  <c r="AJ49" i="1"/>
  <c r="AH49" i="1"/>
  <c r="AG49" i="1"/>
  <c r="AE49" i="1"/>
  <c r="AD49" i="1"/>
  <c r="AC49" i="1"/>
  <c r="AA49" i="1"/>
  <c r="Z49" i="1"/>
  <c r="Y49" i="1"/>
  <c r="W49" i="1"/>
  <c r="V49" i="1"/>
  <c r="AN48" i="1"/>
  <c r="AL48" i="1"/>
  <c r="AK48" i="1"/>
  <c r="AJ48" i="1"/>
  <c r="AH48" i="1"/>
  <c r="AG48" i="1"/>
  <c r="AE48" i="1"/>
  <c r="AD48" i="1"/>
  <c r="AC48" i="1"/>
  <c r="AA48" i="1"/>
  <c r="Z48" i="1"/>
  <c r="Y48" i="1"/>
  <c r="W48" i="1"/>
  <c r="V48" i="1"/>
  <c r="AN47" i="1"/>
  <c r="AL47" i="1"/>
  <c r="AK47" i="1"/>
  <c r="AJ47" i="1"/>
  <c r="AH47" i="1"/>
  <c r="AG47" i="1"/>
  <c r="AE47" i="1"/>
  <c r="AD47" i="1"/>
  <c r="AC47" i="1"/>
  <c r="AA47" i="1"/>
  <c r="Z47" i="1"/>
  <c r="Y47" i="1"/>
  <c r="W47" i="1"/>
  <c r="V47" i="1"/>
  <c r="AO46" i="1"/>
  <c r="AN46" i="1"/>
  <c r="AL46" i="1"/>
  <c r="AK46" i="1"/>
  <c r="AJ46" i="1"/>
  <c r="AH46" i="1"/>
  <c r="AG46" i="1"/>
  <c r="AE46" i="1"/>
  <c r="AD46" i="1"/>
  <c r="AA46" i="1"/>
  <c r="Z46" i="1"/>
  <c r="Y46" i="1"/>
  <c r="V46" i="1"/>
  <c r="AO45" i="1"/>
  <c r="AN45" i="1"/>
  <c r="AL45" i="1"/>
  <c r="AK45" i="1"/>
  <c r="AJ45" i="1"/>
  <c r="AH45" i="1"/>
  <c r="AG45" i="1"/>
  <c r="AE45" i="1"/>
  <c r="AD45" i="1"/>
  <c r="Z45" i="1"/>
  <c r="Y45" i="1"/>
  <c r="AO44" i="1"/>
  <c r="AN44" i="1"/>
  <c r="AL44" i="1"/>
  <c r="AK44" i="1"/>
  <c r="AJ44" i="1"/>
  <c r="AH44" i="1"/>
  <c r="AG44" i="1"/>
  <c r="AE44" i="1"/>
  <c r="AD44" i="1"/>
  <c r="AA44" i="1"/>
  <c r="Z44" i="1"/>
  <c r="Y44" i="1"/>
  <c r="V44" i="1"/>
  <c r="AN43" i="1"/>
  <c r="AL43" i="1"/>
  <c r="AK43" i="1"/>
  <c r="AJ43" i="1"/>
  <c r="AH43" i="1"/>
  <c r="AG43" i="1"/>
  <c r="AE43" i="1"/>
  <c r="AD43" i="1"/>
  <c r="AC43" i="1"/>
  <c r="AA43" i="1"/>
  <c r="Z43" i="1"/>
  <c r="Y43" i="1"/>
  <c r="W43" i="1"/>
  <c r="V43" i="1"/>
  <c r="AO42" i="1"/>
  <c r="AN42" i="1"/>
  <c r="AL42" i="1"/>
  <c r="AK42" i="1"/>
  <c r="AJ42" i="1"/>
  <c r="AH42" i="1"/>
  <c r="AG42" i="1"/>
  <c r="AE42" i="1"/>
  <c r="AD42" i="1"/>
  <c r="AC42" i="1"/>
  <c r="AA42" i="1"/>
  <c r="Z42" i="1"/>
  <c r="Y42" i="1"/>
  <c r="V42" i="1"/>
  <c r="AN41" i="1"/>
  <c r="AL41" i="1"/>
  <c r="AK41" i="1"/>
  <c r="AJ41" i="1"/>
  <c r="AH41" i="1"/>
  <c r="AG41" i="1"/>
  <c r="AE41" i="1"/>
  <c r="AD41" i="1"/>
  <c r="AC41" i="1"/>
  <c r="Z41" i="1"/>
  <c r="Y41" i="1"/>
  <c r="W41" i="1"/>
  <c r="V41" i="1"/>
  <c r="AN40" i="1"/>
  <c r="AL40" i="1"/>
  <c r="AK40" i="1"/>
  <c r="AJ40" i="1"/>
  <c r="AH40" i="1"/>
  <c r="AG40" i="1"/>
  <c r="AE40" i="1"/>
  <c r="AD40" i="1"/>
  <c r="AC40" i="1"/>
  <c r="AA40" i="1"/>
  <c r="Z40" i="1"/>
  <c r="Y40" i="1"/>
  <c r="W40" i="1"/>
  <c r="V40" i="1"/>
  <c r="AN39" i="1"/>
  <c r="AL39" i="1"/>
  <c r="AK39" i="1"/>
  <c r="AJ39" i="1"/>
  <c r="AH39" i="1"/>
  <c r="AG39" i="1"/>
  <c r="AE39" i="1"/>
  <c r="AD39" i="1"/>
  <c r="AC39" i="1"/>
  <c r="AA39" i="1"/>
  <c r="Z39" i="1"/>
  <c r="Y39" i="1"/>
  <c r="W39" i="1"/>
  <c r="V39" i="1"/>
  <c r="AN38" i="1"/>
  <c r="AL38" i="1"/>
  <c r="AK38" i="1"/>
  <c r="AJ38" i="1"/>
  <c r="AH38" i="1"/>
  <c r="AG38" i="1"/>
  <c r="AE38" i="1"/>
  <c r="AD38" i="1"/>
  <c r="AC38" i="1"/>
  <c r="AA38" i="1"/>
  <c r="Z38" i="1"/>
  <c r="Y38" i="1"/>
  <c r="V38" i="1"/>
  <c r="AN37" i="1"/>
  <c r="AL37" i="1"/>
  <c r="AK37" i="1"/>
  <c r="AJ37" i="1"/>
  <c r="AH37" i="1"/>
  <c r="AG37" i="1"/>
  <c r="AE37" i="1"/>
  <c r="AD37" i="1"/>
  <c r="AC37" i="1"/>
  <c r="AA37" i="1"/>
  <c r="Z37" i="1"/>
  <c r="Y37" i="1"/>
  <c r="W37" i="1"/>
  <c r="V37" i="1"/>
  <c r="AN36" i="1"/>
  <c r="AL36" i="1"/>
  <c r="AK36" i="1"/>
  <c r="AJ36" i="1"/>
  <c r="AH36" i="1"/>
  <c r="AG36" i="1"/>
  <c r="AE36" i="1"/>
  <c r="AD36" i="1"/>
  <c r="AC36" i="1"/>
  <c r="AA36" i="1"/>
  <c r="Z36" i="1"/>
  <c r="Y36" i="1"/>
  <c r="W36" i="1"/>
  <c r="V36" i="1"/>
  <c r="AO35" i="1"/>
  <c r="AN35" i="1"/>
  <c r="AL35" i="1"/>
  <c r="AK35" i="1"/>
  <c r="AJ35" i="1"/>
  <c r="AH35" i="1"/>
  <c r="AG35" i="1"/>
  <c r="AE35" i="1"/>
  <c r="AD35" i="1"/>
  <c r="AC35" i="1"/>
  <c r="AA35" i="1"/>
  <c r="Z35" i="1"/>
  <c r="Y35" i="1"/>
  <c r="V35" i="1"/>
  <c r="AN34" i="1"/>
  <c r="AL34" i="1"/>
  <c r="AK34" i="1"/>
  <c r="AJ34" i="1"/>
  <c r="AH34" i="1"/>
  <c r="AG34" i="1"/>
  <c r="AE34" i="1"/>
  <c r="AD34" i="1"/>
  <c r="AC34" i="1"/>
  <c r="AA34" i="1"/>
  <c r="Z34" i="1"/>
  <c r="Y34" i="1"/>
  <c r="W34" i="1"/>
  <c r="V34" i="1"/>
  <c r="AN33" i="1"/>
  <c r="AL33" i="1"/>
  <c r="AK33" i="1"/>
  <c r="AJ33" i="1"/>
  <c r="AH33" i="1"/>
  <c r="AG33" i="1"/>
  <c r="AE33" i="1"/>
  <c r="AD33" i="1"/>
  <c r="AC33" i="1"/>
  <c r="AA33" i="1"/>
  <c r="Z33" i="1"/>
  <c r="Y33" i="1"/>
  <c r="W33" i="1"/>
  <c r="V33" i="1"/>
  <c r="AN32" i="1"/>
  <c r="AL32" i="1"/>
  <c r="AK32" i="1"/>
  <c r="AJ32" i="1"/>
  <c r="AH32" i="1"/>
  <c r="AG32" i="1"/>
  <c r="AE32" i="1"/>
  <c r="AD32" i="1"/>
  <c r="AC32" i="1"/>
  <c r="AA32" i="1"/>
  <c r="Z32" i="1"/>
  <c r="Y32" i="1"/>
  <c r="W32" i="1"/>
  <c r="V32" i="1"/>
  <c r="AO31" i="1"/>
  <c r="AN31" i="1"/>
  <c r="AL31" i="1"/>
  <c r="AK31" i="1"/>
  <c r="AJ31" i="1"/>
  <c r="AH31" i="1"/>
  <c r="AG31" i="1"/>
  <c r="AE31" i="1"/>
  <c r="AD31" i="1"/>
  <c r="AC31" i="1"/>
  <c r="AA31" i="1"/>
  <c r="Z31" i="1"/>
  <c r="Y31" i="1"/>
  <c r="V31" i="1"/>
  <c r="AO30" i="1"/>
  <c r="AN30" i="1"/>
  <c r="AL30" i="1"/>
  <c r="AK30" i="1"/>
  <c r="AJ30" i="1"/>
  <c r="AH30" i="1"/>
  <c r="AG30" i="1"/>
  <c r="AE30" i="1"/>
  <c r="AD30" i="1"/>
  <c r="AC30" i="1"/>
  <c r="AA30" i="1"/>
  <c r="Z30" i="1"/>
  <c r="Y30" i="1"/>
  <c r="V30" i="1"/>
  <c r="AN29" i="1"/>
  <c r="AL29" i="1"/>
  <c r="AK29" i="1"/>
  <c r="AJ29" i="1"/>
  <c r="AH29" i="1"/>
  <c r="AG29" i="1"/>
  <c r="AE29" i="1"/>
  <c r="AD29" i="1"/>
  <c r="AC29" i="1"/>
  <c r="Z29" i="1"/>
  <c r="Y29" i="1"/>
  <c r="W29" i="1"/>
  <c r="V29" i="1"/>
  <c r="AO28" i="1"/>
  <c r="AN28" i="1"/>
  <c r="AL28" i="1"/>
  <c r="AK28" i="1"/>
  <c r="AJ28" i="1"/>
  <c r="AH28" i="1"/>
  <c r="AG28" i="1"/>
  <c r="AE28" i="1"/>
  <c r="AD28" i="1"/>
  <c r="AC28" i="1"/>
  <c r="AA28" i="1"/>
  <c r="Z28" i="1"/>
  <c r="Y28" i="1"/>
  <c r="AO27" i="1"/>
  <c r="AN27" i="1"/>
  <c r="AL27" i="1"/>
  <c r="AK27" i="1"/>
  <c r="AJ27" i="1"/>
  <c r="AH27" i="1"/>
  <c r="AG27" i="1"/>
  <c r="AE27" i="1"/>
  <c r="AD27" i="1"/>
  <c r="AC27" i="1"/>
  <c r="AA27" i="1"/>
  <c r="Z27" i="1"/>
  <c r="Y27" i="1"/>
  <c r="AO26" i="1"/>
  <c r="AN26" i="1"/>
  <c r="AL26" i="1"/>
  <c r="AK26" i="1"/>
  <c r="AJ26" i="1"/>
  <c r="AH26" i="1"/>
  <c r="AG26" i="1"/>
  <c r="AE26" i="1"/>
  <c r="AD26" i="1"/>
  <c r="AC26" i="1"/>
  <c r="AA26" i="1"/>
  <c r="Z26" i="1"/>
  <c r="Y26" i="1"/>
  <c r="V26" i="1"/>
  <c r="AO25" i="1"/>
  <c r="AN25" i="1"/>
  <c r="AL25" i="1"/>
  <c r="AK25" i="1"/>
  <c r="AJ25" i="1"/>
  <c r="AH25" i="1"/>
  <c r="AG25" i="1"/>
  <c r="AE25" i="1"/>
  <c r="AD25" i="1"/>
  <c r="AC25" i="1"/>
  <c r="AA25" i="1"/>
  <c r="Z25" i="1"/>
  <c r="Y25" i="1"/>
  <c r="V25" i="1"/>
  <c r="AO24" i="1"/>
  <c r="AN24" i="1"/>
  <c r="AL24" i="1"/>
  <c r="AK24" i="1"/>
  <c r="AJ24" i="1"/>
  <c r="AH24" i="1"/>
  <c r="AG24" i="1"/>
  <c r="AE24" i="1"/>
  <c r="AD24" i="1"/>
  <c r="AC24" i="1"/>
  <c r="AA24" i="1"/>
  <c r="Z24" i="1"/>
  <c r="Y24" i="1"/>
  <c r="V24" i="1"/>
  <c r="AO23" i="1"/>
  <c r="AN23" i="1"/>
  <c r="AL23" i="1"/>
  <c r="AK23" i="1"/>
  <c r="AJ23" i="1"/>
  <c r="AH23" i="1"/>
  <c r="AG23" i="1"/>
  <c r="AE23" i="1"/>
  <c r="AD23" i="1"/>
  <c r="AC23" i="1"/>
  <c r="AA23" i="1"/>
  <c r="Z23" i="1"/>
  <c r="Y23" i="1"/>
  <c r="V23" i="1"/>
  <c r="AO22" i="1"/>
  <c r="AN22" i="1"/>
  <c r="AL22" i="1"/>
  <c r="AK22" i="1"/>
  <c r="AJ22" i="1"/>
  <c r="AH22" i="1"/>
  <c r="AG22" i="1"/>
  <c r="AE22" i="1"/>
  <c r="AD22" i="1"/>
  <c r="AC22" i="1"/>
  <c r="AA22" i="1"/>
  <c r="Z22" i="1"/>
  <c r="Y22" i="1"/>
  <c r="V22" i="1"/>
  <c r="AO21" i="1"/>
  <c r="AN21" i="1"/>
  <c r="AL21" i="1"/>
  <c r="AK21" i="1"/>
  <c r="AJ21" i="1"/>
  <c r="AH21" i="1"/>
  <c r="AG21" i="1"/>
  <c r="AE21" i="1"/>
  <c r="AD21" i="1"/>
  <c r="AC21" i="1"/>
  <c r="AA21" i="1"/>
  <c r="Z21" i="1"/>
  <c r="Y21" i="1"/>
  <c r="V21" i="1"/>
  <c r="AO20" i="1"/>
  <c r="AN20" i="1"/>
  <c r="AL20" i="1"/>
  <c r="AK20" i="1"/>
  <c r="AJ20" i="1"/>
  <c r="AH20" i="1"/>
  <c r="AG20" i="1"/>
  <c r="AE20" i="1"/>
  <c r="AD20" i="1"/>
  <c r="AC20" i="1"/>
  <c r="AA20" i="1"/>
  <c r="Z20" i="1"/>
  <c r="Y20" i="1"/>
  <c r="V20" i="1"/>
  <c r="AO19" i="1"/>
  <c r="AN19" i="1"/>
  <c r="AL19" i="1"/>
  <c r="AK19" i="1"/>
  <c r="AJ19" i="1"/>
  <c r="AH19" i="1"/>
  <c r="AG19" i="1"/>
  <c r="AE19" i="1"/>
  <c r="AD19" i="1"/>
  <c r="AC19" i="1"/>
  <c r="AA19" i="1"/>
  <c r="Z19" i="1"/>
  <c r="Y19" i="1"/>
  <c r="V19" i="1"/>
  <c r="AN18" i="1"/>
  <c r="AL18" i="1"/>
  <c r="AK18" i="1"/>
  <c r="AJ18" i="1"/>
  <c r="AH18" i="1"/>
  <c r="AG18" i="1"/>
  <c r="AE18" i="1"/>
  <c r="AD18" i="1"/>
  <c r="AC18" i="1"/>
  <c r="AA18" i="1"/>
  <c r="Z18" i="1"/>
  <c r="Y18" i="1"/>
  <c r="W18" i="1"/>
  <c r="V18" i="1"/>
  <c r="AN17" i="1"/>
  <c r="AL17" i="1"/>
  <c r="AK17" i="1"/>
  <c r="AJ17" i="1"/>
  <c r="AH17" i="1"/>
  <c r="AG17" i="1"/>
  <c r="AE17" i="1"/>
  <c r="AD17" i="1"/>
  <c r="AC17" i="1"/>
  <c r="AA17" i="1"/>
  <c r="Z17" i="1"/>
  <c r="Y17" i="1"/>
  <c r="W17" i="1"/>
  <c r="V17" i="1"/>
  <c r="AO16" i="1"/>
  <c r="AN16" i="1"/>
  <c r="AL16" i="1"/>
  <c r="AK16" i="1"/>
  <c r="AJ16" i="1"/>
  <c r="AH16" i="1"/>
  <c r="AG16" i="1"/>
  <c r="AE16" i="1"/>
  <c r="AD16" i="1"/>
  <c r="Z16" i="1"/>
  <c r="Y16" i="1"/>
  <c r="AO15" i="1"/>
  <c r="AN15" i="1"/>
  <c r="AL15" i="1"/>
  <c r="AK15" i="1"/>
  <c r="AJ15" i="1"/>
  <c r="AH15" i="1"/>
  <c r="AG15" i="1"/>
  <c r="AE15" i="1"/>
  <c r="AD15" i="1"/>
  <c r="Z15" i="1"/>
  <c r="Y15" i="1"/>
  <c r="V15" i="1"/>
  <c r="AN14" i="1"/>
  <c r="AL14" i="1"/>
  <c r="AK14" i="1"/>
  <c r="AJ14" i="1"/>
  <c r="AH14" i="1"/>
  <c r="AG14" i="1"/>
  <c r="AE14" i="1"/>
  <c r="AD14" i="1"/>
  <c r="AC14" i="1"/>
  <c r="AA14" i="1"/>
  <c r="Z14" i="1"/>
  <c r="Y14" i="1"/>
  <c r="W14" i="1"/>
  <c r="V14" i="1"/>
  <c r="AN13" i="1"/>
  <c r="AL13" i="1"/>
  <c r="AK13" i="1"/>
  <c r="AJ13" i="1"/>
  <c r="AH13" i="1"/>
  <c r="AG13" i="1"/>
  <c r="AE13" i="1"/>
  <c r="AD13" i="1"/>
  <c r="AC13" i="1"/>
  <c r="AA13" i="1"/>
  <c r="Z13" i="1"/>
  <c r="Y13" i="1"/>
  <c r="W13" i="1"/>
  <c r="V13" i="1"/>
  <c r="AN12" i="1"/>
  <c r="AL12" i="1"/>
  <c r="AK12" i="1"/>
  <c r="AJ12" i="1"/>
  <c r="AH12" i="1"/>
  <c r="AG12" i="1"/>
  <c r="AE12" i="1"/>
  <c r="AD12" i="1"/>
  <c r="AC12" i="1"/>
  <c r="AA12" i="1"/>
  <c r="Z12" i="1"/>
  <c r="Y12" i="1"/>
  <c r="W12" i="1"/>
  <c r="V12" i="1"/>
  <c r="AN11" i="1"/>
  <c r="AL11" i="1"/>
  <c r="AK11" i="1"/>
  <c r="AJ11" i="1"/>
  <c r="AH11" i="1"/>
  <c r="AG11" i="1"/>
  <c r="AE11" i="1"/>
  <c r="AD11" i="1"/>
  <c r="AC11" i="1"/>
  <c r="AA11" i="1"/>
  <c r="Z11" i="1"/>
  <c r="Y11" i="1"/>
  <c r="W11" i="1"/>
  <c r="V11" i="1"/>
  <c r="AN10" i="1"/>
  <c r="AL10" i="1"/>
  <c r="AK10" i="1"/>
  <c r="AJ10" i="1"/>
  <c r="AH10" i="1"/>
  <c r="AG10" i="1"/>
  <c r="AE10" i="1"/>
  <c r="AD10" i="1"/>
  <c r="AC10" i="1"/>
  <c r="AA10" i="1"/>
  <c r="Z10" i="1"/>
  <c r="Y10" i="1"/>
  <c r="W10" i="1"/>
  <c r="V10" i="1"/>
  <c r="AN9" i="1"/>
  <c r="AL9" i="1"/>
  <c r="AK9" i="1"/>
  <c r="AJ9" i="1"/>
  <c r="AH9" i="1"/>
  <c r="AG9" i="1"/>
  <c r="AE9" i="1"/>
  <c r="AD9" i="1"/>
  <c r="AC9" i="1"/>
  <c r="AA9" i="1"/>
  <c r="Z9" i="1"/>
  <c r="Y9" i="1"/>
  <c r="W9" i="1"/>
  <c r="V9" i="1"/>
  <c r="AN8" i="1"/>
  <c r="AL8" i="1"/>
  <c r="AK8" i="1"/>
  <c r="AJ8" i="1"/>
  <c r="AH8" i="1"/>
  <c r="AG8" i="1"/>
  <c r="AE8" i="1"/>
  <c r="AD8" i="1"/>
  <c r="AC8" i="1"/>
  <c r="AA8" i="1"/>
  <c r="Z8" i="1"/>
  <c r="Y8" i="1"/>
  <c r="W8" i="1"/>
  <c r="V8" i="1"/>
  <c r="AN7" i="1"/>
  <c r="AL7" i="1"/>
  <c r="AK7" i="1"/>
  <c r="AJ7" i="1"/>
  <c r="AH7" i="1"/>
  <c r="AG7" i="1"/>
  <c r="AE7" i="1"/>
  <c r="AD7" i="1"/>
  <c r="AC7" i="1"/>
  <c r="AA7" i="1"/>
  <c r="Z7" i="1"/>
  <c r="Y7" i="1"/>
  <c r="W7" i="1"/>
  <c r="V7" i="1"/>
  <c r="AN6" i="1"/>
  <c r="AL6" i="1"/>
  <c r="AK6" i="1"/>
  <c r="AJ6" i="1"/>
  <c r="AH6" i="1"/>
  <c r="AG6" i="1"/>
  <c r="AE6" i="1"/>
  <c r="AD6" i="1"/>
  <c r="AC6" i="1"/>
  <c r="AA6" i="1"/>
  <c r="Z6" i="1"/>
  <c r="Y6" i="1"/>
  <c r="W6" i="1"/>
  <c r="V6" i="1"/>
  <c r="AN5" i="1"/>
  <c r="AL5" i="1"/>
  <c r="AK5" i="1"/>
  <c r="AJ5" i="1"/>
  <c r="AH5" i="1"/>
  <c r="AG5" i="1"/>
  <c r="AE5" i="1"/>
  <c r="AD5" i="1"/>
  <c r="AC5" i="1"/>
  <c r="AA5" i="1"/>
  <c r="Z5" i="1"/>
  <c r="Y5" i="1"/>
  <c r="W5" i="1"/>
  <c r="V5" i="1"/>
  <c r="AN4" i="1"/>
  <c r="AL4" i="1"/>
  <c r="AK4" i="1"/>
  <c r="AJ4" i="1"/>
  <c r="AH4" i="1"/>
  <c r="AG4" i="1"/>
  <c r="AE4" i="1"/>
  <c r="AD4" i="1"/>
  <c r="AC4" i="1"/>
  <c r="Z4" i="1"/>
  <c r="Y4" i="1"/>
  <c r="W4" i="1"/>
  <c r="V4" i="1"/>
  <c r="AN3" i="1"/>
  <c r="AL3" i="1"/>
  <c r="AK3" i="1"/>
  <c r="AJ3" i="1"/>
  <c r="AH3" i="1"/>
  <c r="AG3" i="1"/>
  <c r="AE3" i="1"/>
  <c r="AD3" i="1"/>
  <c r="AC3" i="1"/>
  <c r="Z3" i="1"/>
  <c r="Y3" i="1"/>
  <c r="W3" i="1"/>
  <c r="V3" i="1"/>
  <c r="AO2" i="1"/>
  <c r="AN2" i="1"/>
  <c r="AL2" i="1"/>
  <c r="AK2" i="1"/>
  <c r="AJ2" i="1"/>
  <c r="AH2" i="1"/>
  <c r="AG2" i="1"/>
  <c r="AE2" i="1"/>
  <c r="AD2" i="1"/>
  <c r="AC2" i="1"/>
  <c r="Z2" i="1"/>
  <c r="Y2" i="1"/>
  <c r="V2" i="1"/>
</calcChain>
</file>

<file path=xl/sharedStrings.xml><?xml version="1.0" encoding="utf-8"?>
<sst xmlns="http://schemas.openxmlformats.org/spreadsheetml/2006/main" count="21499" uniqueCount="2931">
  <si>
    <t>SUMBER</t>
  </si>
  <si>
    <t>STATUS</t>
  </si>
  <si>
    <t>NO</t>
  </si>
  <si>
    <t>WILAYAH</t>
  </si>
  <si>
    <t>NO2</t>
  </si>
  <si>
    <t>KLASTER</t>
  </si>
  <si>
    <t>PROVINSI</t>
  </si>
  <si>
    <t>TIM PERENCANAAN</t>
  </si>
  <si>
    <t>KABUPATEN/KOTA</t>
  </si>
  <si>
    <t>KECAMATAN</t>
  </si>
  <si>
    <t>DESA/KELURAHAN</t>
  </si>
  <si>
    <t>KAMPUNG NELAYAN</t>
  </si>
  <si>
    <t>HASIL PLENO</t>
  </si>
  <si>
    <t>NELAYAN</t>
  </si>
  <si>
    <t>KAPAL TANPA MESIN (UNIT)</t>
  </si>
  <si>
    <t>KAPAL DENGAN MESIN (UNIT)</t>
  </si>
  <si>
    <t>TOTAL KAPAL (UNIT)</t>
  </si>
  <si>
    <t>LUAS LAHAN (Ha)</t>
  </si>
  <si>
    <t>LATITUDE</t>
  </si>
  <si>
    <t>LONGITUDE</t>
  </si>
  <si>
    <t>CEK DED</t>
  </si>
  <si>
    <t>CALON PENYEDIA</t>
  </si>
  <si>
    <t>NILAI EE</t>
  </si>
  <si>
    <t>HPS</t>
  </si>
  <si>
    <t>KEDUDUKAN PERUSAHAAN</t>
  </si>
  <si>
    <t>SURVEY MARKET</t>
  </si>
  <si>
    <t>KONTAK PERSON</t>
  </si>
  <si>
    <t>PELAKSANA PEKERJAAN</t>
  </si>
  <si>
    <t>CAT</t>
  </si>
  <si>
    <t>TAHAP</t>
  </si>
  <si>
    <t>PROSES POKJA</t>
  </si>
  <si>
    <t>DED</t>
  </si>
  <si>
    <t>NILAI KONTRAK</t>
  </si>
  <si>
    <t>STATUS KONTRAK</t>
  </si>
  <si>
    <t>STATUS SPPBJ</t>
  </si>
  <si>
    <t>CEK</t>
  </si>
  <si>
    <t>CEK PENYEDIA</t>
  </si>
  <si>
    <t xml:space="preserve"> </t>
  </si>
  <si>
    <t>STATUS DED</t>
  </si>
  <si>
    <t>NILAI KONTRAK3</t>
  </si>
  <si>
    <t>PROSES KONTRAK</t>
  </si>
  <si>
    <t>KONTRAK</t>
  </si>
  <si>
    <t>Kepmen 885</t>
  </si>
  <si>
    <t>SK 1000</t>
  </si>
  <si>
    <t>Bali dan Nusa Tenggara</t>
  </si>
  <si>
    <t>BajoPulau</t>
  </si>
  <si>
    <t>Nusa Tenggara Barat</t>
  </si>
  <si>
    <t>PERENCANAAN II</t>
  </si>
  <si>
    <t>Bima</t>
  </si>
  <si>
    <t>Sape</t>
  </si>
  <si>
    <t>Bajo Pulau</t>
  </si>
  <si>
    <t>Penyangga</t>
  </si>
  <si>
    <t>Sudah Ada DED</t>
  </si>
  <si>
    <t>085126880019/heri</t>
  </si>
  <si>
    <t>KKP</t>
  </si>
  <si>
    <t>Ada</t>
  </si>
  <si>
    <t>Buncu</t>
  </si>
  <si>
    <t>DED/HPS</t>
  </si>
  <si>
    <t>PROSES SPPBJ</t>
  </si>
  <si>
    <t>Lamere</t>
  </si>
  <si>
    <t>SK 1269</t>
  </si>
  <si>
    <t>BuwunMas</t>
  </si>
  <si>
    <t>Lombok Barat</t>
  </si>
  <si>
    <t>Sekotong</t>
  </si>
  <si>
    <t>Buwun Mas</t>
  </si>
  <si>
    <t>Hub</t>
  </si>
  <si>
    <t>Labuapi</t>
  </si>
  <si>
    <t>Kuranji Dalang</t>
  </si>
  <si>
    <t>Batu Putih</t>
  </si>
  <si>
    <t>Kota Mataram</t>
  </si>
  <si>
    <t>Ampenan</t>
  </si>
  <si>
    <t>Banjar</t>
  </si>
  <si>
    <t>-</t>
  </si>
  <si>
    <t>Dualaus</t>
  </si>
  <si>
    <t>Nusa Tenggara Timur</t>
  </si>
  <si>
    <t>Belu</t>
  </si>
  <si>
    <t>Kakuluk Mesak</t>
  </si>
  <si>
    <t>Ekas Buana (2025)</t>
  </si>
  <si>
    <t>Lombok Timur</t>
  </si>
  <si>
    <t>Keruak</t>
  </si>
  <si>
    <t>Tanjung Luar</t>
  </si>
  <si>
    <t>Penyangga (+cs)</t>
  </si>
  <si>
    <t>Jerowaru</t>
  </si>
  <si>
    <t>Pemongkong</t>
  </si>
  <si>
    <t>Hu'U</t>
  </si>
  <si>
    <t>Dompu</t>
  </si>
  <si>
    <t>Timor Tengah Utara</t>
  </si>
  <si>
    <t>Insana Utara</t>
  </si>
  <si>
    <t>Humusu Wini</t>
  </si>
  <si>
    <t>Jambu</t>
  </si>
  <si>
    <t>Pajo</t>
  </si>
  <si>
    <t>Kabir</t>
  </si>
  <si>
    <t>Alor</t>
  </si>
  <si>
    <t>Pantar</t>
  </si>
  <si>
    <t>082184112935/iwang</t>
  </si>
  <si>
    <t>GCP</t>
  </si>
  <si>
    <t>#REF!</t>
  </si>
  <si>
    <t>Kabola</t>
  </si>
  <si>
    <t>CV. Kerub Karya Papua (Kecil)</t>
  </si>
  <si>
    <t>082331245944/anto</t>
  </si>
  <si>
    <t>Galuh</t>
  </si>
  <si>
    <t>Karama</t>
  </si>
  <si>
    <t>Kilo</t>
  </si>
  <si>
    <t>Kletek</t>
  </si>
  <si>
    <t>Malaka</t>
  </si>
  <si>
    <t>Malaka Barat</t>
  </si>
  <si>
    <t>Umatoos</t>
  </si>
  <si>
    <t>Malaka Tengah</t>
  </si>
  <si>
    <t>Wewiku</t>
  </si>
  <si>
    <t>Weoe</t>
  </si>
  <si>
    <t>Kojagete</t>
  </si>
  <si>
    <t>Sikka</t>
  </si>
  <si>
    <t>Alok Timur</t>
  </si>
  <si>
    <t>Perumaan</t>
  </si>
  <si>
    <t>Alok Barat</t>
  </si>
  <si>
    <t>Wuring</t>
  </si>
  <si>
    <t>Kangae</t>
  </si>
  <si>
    <t>Watumilok</t>
  </si>
  <si>
    <t>Kewapante</t>
  </si>
  <si>
    <t>Geliting</t>
  </si>
  <si>
    <t>Paga</t>
  </si>
  <si>
    <t>Lowolabo</t>
  </si>
  <si>
    <t>Komodo</t>
  </si>
  <si>
    <t>Manggarai Barat</t>
  </si>
  <si>
    <t>Golo Mori</t>
  </si>
  <si>
    <t>CV. Putra Sabar Utama Perkasa</t>
  </si>
  <si>
    <t>Lembor Selatan</t>
  </si>
  <si>
    <t>Nanga Lili</t>
  </si>
  <si>
    <t>Kore</t>
  </si>
  <si>
    <t>Sanggar</t>
  </si>
  <si>
    <t>KotaNdora</t>
  </si>
  <si>
    <t>Manggarai Timur</t>
  </si>
  <si>
    <t>Borong</t>
  </si>
  <si>
    <t>Kota Ndora</t>
  </si>
  <si>
    <t>Ngada</t>
  </si>
  <si>
    <t>Aimere</t>
  </si>
  <si>
    <t>Waesae</t>
  </si>
  <si>
    <t>Kualin</t>
  </si>
  <si>
    <t>Timor Tengah Selatan</t>
  </si>
  <si>
    <t>Kolbano</t>
  </si>
  <si>
    <t>Oetuke</t>
  </si>
  <si>
    <t>Kwangko</t>
  </si>
  <si>
    <t>Manggalewa</t>
  </si>
  <si>
    <t>Labelen</t>
  </si>
  <si>
    <t>Flores Timur</t>
  </si>
  <si>
    <t>Solor Timur</t>
  </si>
  <si>
    <t>LabuhanJambu</t>
  </si>
  <si>
    <t>Sumbawa</t>
  </si>
  <si>
    <t>Plampang</t>
  </si>
  <si>
    <t>Teluk Santong</t>
  </si>
  <si>
    <t>Tarano</t>
  </si>
  <si>
    <t>Labuhan Jambu</t>
  </si>
  <si>
    <t>LabuhanMapin</t>
  </si>
  <si>
    <t>Alas</t>
  </si>
  <si>
    <t>Labuhan Alas</t>
  </si>
  <si>
    <t>Alas Barat</t>
  </si>
  <si>
    <t>Labuhan Mapin</t>
  </si>
  <si>
    <t>Buer</t>
  </si>
  <si>
    <t>Pulau Kaung</t>
  </si>
  <si>
    <t>Labuhan Burung</t>
  </si>
  <si>
    <t>081216529938/rudi</t>
  </si>
  <si>
    <t>Adonara Timur</t>
  </si>
  <si>
    <t>Lamahala Jaya</t>
  </si>
  <si>
    <t>Lambu</t>
  </si>
  <si>
    <t>Lasiana</t>
  </si>
  <si>
    <t>Kota Kupang</t>
  </si>
  <si>
    <t>Kelapa Lima</t>
  </si>
  <si>
    <t>fraksi roem</t>
  </si>
  <si>
    <t>Alak</t>
  </si>
  <si>
    <t>Namosain</t>
  </si>
  <si>
    <t>PT. Aditya Musdalifah</t>
  </si>
  <si>
    <t>Seto/087834780610</t>
  </si>
  <si>
    <t>seto</t>
  </si>
  <si>
    <t>Oesapa</t>
  </si>
  <si>
    <t>Kupang</t>
  </si>
  <si>
    <t>Semau</t>
  </si>
  <si>
    <t>Hansisi</t>
  </si>
  <si>
    <t>Uiasa</t>
  </si>
  <si>
    <t>Malaju</t>
  </si>
  <si>
    <t>Mbuliwaralau</t>
  </si>
  <si>
    <t>Ende</t>
  </si>
  <si>
    <t>Wolowaru</t>
  </si>
  <si>
    <t>Bilelando (2025)</t>
  </si>
  <si>
    <t>Lombok Tengah</t>
  </si>
  <si>
    <t>Pujut</t>
  </si>
  <si>
    <t>Mertak</t>
  </si>
  <si>
    <t>Kuta</t>
  </si>
  <si>
    <t>Nangahale</t>
  </si>
  <si>
    <t>Alok</t>
  </si>
  <si>
    <t>Gunung Sari</t>
  </si>
  <si>
    <t>Talibura</t>
  </si>
  <si>
    <t>Nangamiro</t>
  </si>
  <si>
    <t>Pekat</t>
  </si>
  <si>
    <t>Nangadhero</t>
  </si>
  <si>
    <t>Nagekeo</t>
  </si>
  <si>
    <t>Aesesa</t>
  </si>
  <si>
    <t>CV. Tunbes Karya</t>
  </si>
  <si>
    <t>082146408179/adibu</t>
  </si>
  <si>
    <t>Kamalaputi (2025)</t>
  </si>
  <si>
    <t>Sumba Timur</t>
  </si>
  <si>
    <t>Pandawai</t>
  </si>
  <si>
    <t>Palaka Hembi</t>
  </si>
  <si>
    <t>Kanatang</t>
  </si>
  <si>
    <t>Temu</t>
  </si>
  <si>
    <t>Haharu</t>
  </si>
  <si>
    <t>Kadahang</t>
  </si>
  <si>
    <t>Umalulu</t>
  </si>
  <si>
    <t>Wanga</t>
  </si>
  <si>
    <t>Papela</t>
  </si>
  <si>
    <t>Rote Ndao</t>
  </si>
  <si>
    <t>Rote Timur</t>
  </si>
  <si>
    <t>Pantai baru</t>
  </si>
  <si>
    <t>Oenggae</t>
  </si>
  <si>
    <t>Pengambengan</t>
  </si>
  <si>
    <t>Bali</t>
  </si>
  <si>
    <t>Jembrana</t>
  </si>
  <si>
    <t>Air Kuning</t>
  </si>
  <si>
    <t>Buleleng</t>
  </si>
  <si>
    <t>Gerokgak</t>
  </si>
  <si>
    <t>Sumberkima</t>
  </si>
  <si>
    <t>Melaya</t>
  </si>
  <si>
    <t>Candikusuma</t>
  </si>
  <si>
    <t>Piong</t>
  </si>
  <si>
    <t>0.3</t>
  </si>
  <si>
    <t>Pota</t>
  </si>
  <si>
    <t>Manggarai</t>
  </si>
  <si>
    <t>Reok</t>
  </si>
  <si>
    <t>Reo</t>
  </si>
  <si>
    <t>Sambi Rampas</t>
  </si>
  <si>
    <t>PotaTano</t>
  </si>
  <si>
    <t>Sumbawa Barat</t>
  </si>
  <si>
    <t>Poto Tano</t>
  </si>
  <si>
    <t>Taliwang</t>
  </si>
  <si>
    <t>Labuhan Lalar</t>
  </si>
  <si>
    <t>Karera</t>
  </si>
  <si>
    <t>Praisalura</t>
  </si>
  <si>
    <t>Raemadia</t>
  </si>
  <si>
    <t>Sabu Raijua</t>
  </si>
  <si>
    <t>Sabu Barat</t>
  </si>
  <si>
    <t>Raijua</t>
  </si>
  <si>
    <t>Ledeunu</t>
  </si>
  <si>
    <t>Rompo</t>
  </si>
  <si>
    <t>Langgudu</t>
  </si>
  <si>
    <t>0.4</t>
  </si>
  <si>
    <t>Karumbu</t>
  </si>
  <si>
    <t>Kangga</t>
  </si>
  <si>
    <t>Dumu</t>
  </si>
  <si>
    <t>0.6</t>
  </si>
  <si>
    <t>Karampi</t>
  </si>
  <si>
    <t>Sarae Ruma</t>
  </si>
  <si>
    <t>Sambane</t>
  </si>
  <si>
    <t>Sandue</t>
  </si>
  <si>
    <t>0.68</t>
  </si>
  <si>
    <t>Boro</t>
  </si>
  <si>
    <t>Sangia</t>
  </si>
  <si>
    <t>Seraya Timur</t>
  </si>
  <si>
    <t>Karangasem</t>
  </si>
  <si>
    <t>Manggis</t>
  </si>
  <si>
    <t>Antiga Kelod</t>
  </si>
  <si>
    <t>Soro</t>
  </si>
  <si>
    <t>Kempo</t>
  </si>
  <si>
    <t>Tolo Kalo</t>
  </si>
  <si>
    <t>Sugian</t>
  </si>
  <si>
    <t>Sambelia</t>
  </si>
  <si>
    <t>Tanjung</t>
  </si>
  <si>
    <t>Kota Bima</t>
  </si>
  <si>
    <t>Rasanae Barat</t>
  </si>
  <si>
    <t>PT. Ramadika Mandiri (Menengah)</t>
  </si>
  <si>
    <t>TK</t>
  </si>
  <si>
    <t>Tetandara</t>
  </si>
  <si>
    <t>Ende Selatan</t>
  </si>
  <si>
    <t>Pulau Ende</t>
  </si>
  <si>
    <t>Rorurangga</t>
  </si>
  <si>
    <t>Wailolong</t>
  </si>
  <si>
    <t>Lembata</t>
  </si>
  <si>
    <t>Naga Wutung</t>
  </si>
  <si>
    <t>Babokerong</t>
  </si>
  <si>
    <t>Nubatukan</t>
  </si>
  <si>
    <t>Lewoleba Tengah</t>
  </si>
  <si>
    <t>Wulandoni</t>
  </si>
  <si>
    <t>Pantai Harapan</t>
  </si>
  <si>
    <t>Omesuri</t>
  </si>
  <si>
    <t>Waka</t>
  </si>
  <si>
    <t>Wewaria</t>
  </si>
  <si>
    <t>Jawa</t>
  </si>
  <si>
    <t>Anggasari</t>
  </si>
  <si>
    <t>Jawa Barat</t>
  </si>
  <si>
    <t>PERENCANAAN I</t>
  </si>
  <si>
    <t>Subang</t>
  </si>
  <si>
    <t>Sukasari</t>
  </si>
  <si>
    <t>Blanakan</t>
  </si>
  <si>
    <t>Rawameneng</t>
  </si>
  <si>
    <t>Indralayang</t>
  </si>
  <si>
    <t>Garut</t>
  </si>
  <si>
    <t>Cibalong</t>
  </si>
  <si>
    <t>Sagara</t>
  </si>
  <si>
    <t>Besole</t>
  </si>
  <si>
    <t>Jawa Timur</t>
  </si>
  <si>
    <t>Tulungagung</t>
  </si>
  <si>
    <t>Besuki</t>
  </si>
  <si>
    <t>Bumiharjo (2025)</t>
  </si>
  <si>
    <t>Jawa Tengah</t>
  </si>
  <si>
    <t>Demak</t>
  </si>
  <si>
    <t>Bonang</t>
  </si>
  <si>
    <t>Betahwalang</t>
  </si>
  <si>
    <t>Jepara</t>
  </si>
  <si>
    <t>Mlonggo</t>
  </si>
  <si>
    <t>Karanggondang</t>
  </si>
  <si>
    <t>Kedung</t>
  </si>
  <si>
    <t>Kedungmalang</t>
  </si>
  <si>
    <t>Ujungbatu</t>
  </si>
  <si>
    <t>Donorojo</t>
  </si>
  <si>
    <t>Ujungwatu</t>
  </si>
  <si>
    <t>Wedung</t>
  </si>
  <si>
    <t>Kedungmutih</t>
  </si>
  <si>
    <t>Cikahuripan</t>
  </si>
  <si>
    <t>Pati</t>
  </si>
  <si>
    <t>Tayu</t>
  </si>
  <si>
    <t>Sambiroto</t>
  </si>
  <si>
    <t>Sukabumi</t>
  </si>
  <si>
    <t>Cisolok</t>
  </si>
  <si>
    <t>Pambudi Agung Nugroho (08156082166)</t>
  </si>
  <si>
    <t>Sandi</t>
  </si>
  <si>
    <t>Banten</t>
  </si>
  <si>
    <t>Lebak</t>
  </si>
  <si>
    <t>Bayah</t>
  </si>
  <si>
    <t>Bayah Barat</t>
  </si>
  <si>
    <t>Cilograng</t>
  </si>
  <si>
    <t>Cireundeu</t>
  </si>
  <si>
    <t>Darmasari</t>
  </si>
  <si>
    <t>Pasirbaru</t>
  </si>
  <si>
    <t>CikiruhWetan (2025)</t>
  </si>
  <si>
    <t>Pandeglang</t>
  </si>
  <si>
    <t>Panimbang</t>
  </si>
  <si>
    <t>Panimbangjaya</t>
  </si>
  <si>
    <t>Carita</t>
  </si>
  <si>
    <t>Banjarmasin</t>
  </si>
  <si>
    <t>DROP SOSEK</t>
  </si>
  <si>
    <t>PT. Gumilang Maju Selaras (Kecil)</t>
  </si>
  <si>
    <t>082229304101/hono</t>
  </si>
  <si>
    <t>Sumur</t>
  </si>
  <si>
    <t>Kertamukti</t>
  </si>
  <si>
    <t>Wanasalam</t>
  </si>
  <si>
    <t>Muara</t>
  </si>
  <si>
    <t>Sumberjaya</t>
  </si>
  <si>
    <t>Ciparagejaya</t>
  </si>
  <si>
    <t>Karawang</t>
  </si>
  <si>
    <t>Tempuran</t>
  </si>
  <si>
    <t>Cilamaya Wetan</t>
  </si>
  <si>
    <t>Sukakerta</t>
  </si>
  <si>
    <t>Pedes</t>
  </si>
  <si>
    <t>Sungaibuntu</t>
  </si>
  <si>
    <t>Citemu</t>
  </si>
  <si>
    <t>Cirebon</t>
  </si>
  <si>
    <t>Mundu</t>
  </si>
  <si>
    <t>Kota Cirebon</t>
  </si>
  <si>
    <t>Kejaksan</t>
  </si>
  <si>
    <t>Kesenden</t>
  </si>
  <si>
    <t>Mundu Pesisir</t>
  </si>
  <si>
    <t>Ciwaru (2025)</t>
  </si>
  <si>
    <t>Ciracap</t>
  </si>
  <si>
    <t>Ujunggenteng</t>
  </si>
  <si>
    <t>UjungGenteng</t>
  </si>
  <si>
    <t>ardilla</t>
  </si>
  <si>
    <t>Tahap V</t>
  </si>
  <si>
    <t>Dapenda</t>
  </si>
  <si>
    <t>Pamekasan</t>
  </si>
  <si>
    <t>Tlanakan</t>
  </si>
  <si>
    <t>Branta Tinggi</t>
  </si>
  <si>
    <t>Sampang</t>
  </si>
  <si>
    <t>Camplong</t>
  </si>
  <si>
    <t>Dharma Camplong</t>
  </si>
  <si>
    <t>Batumarmar</t>
  </si>
  <si>
    <t>Lesong Daja</t>
  </si>
  <si>
    <t>Pademawu</t>
  </si>
  <si>
    <t>Padelegan</t>
  </si>
  <si>
    <t>Sumenep</t>
  </si>
  <si>
    <t>Pasongsongan</t>
  </si>
  <si>
    <t>Dasuk</t>
  </si>
  <si>
    <t>Slopeng</t>
  </si>
  <si>
    <t>Sawarna</t>
  </si>
  <si>
    <t>Caringin</t>
  </si>
  <si>
    <t>Mekarmukti</t>
  </si>
  <si>
    <t>Cijayana</t>
  </si>
  <si>
    <t>Cikelet</t>
  </si>
  <si>
    <t>Pamalayan</t>
  </si>
  <si>
    <t>Jetak</t>
  </si>
  <si>
    <t>Pacitan</t>
  </si>
  <si>
    <t>Tulakan</t>
  </si>
  <si>
    <t>Karangduwur (2025)</t>
  </si>
  <si>
    <t>Cilacap</t>
  </si>
  <si>
    <t>Nusawungu</t>
  </si>
  <si>
    <t>Jetis</t>
  </si>
  <si>
    <t>0.98</t>
  </si>
  <si>
    <t>Kebumen</t>
  </si>
  <si>
    <t>Ayah</t>
  </si>
  <si>
    <t>Argopeni</t>
  </si>
  <si>
    <t>0.26</t>
  </si>
  <si>
    <t>yusuf</t>
  </si>
  <si>
    <t>lokasi batal</t>
  </si>
  <si>
    <t>Pasir</t>
  </si>
  <si>
    <t>Kertojayan (2025)</t>
  </si>
  <si>
    <t>Klirong</t>
  </si>
  <si>
    <t>Tanggulangin</t>
  </si>
  <si>
    <t>0.23</t>
  </si>
  <si>
    <t>Lateng (2025)</t>
  </si>
  <si>
    <t>Banyuwangi</t>
  </si>
  <si>
    <t>Muncar</t>
  </si>
  <si>
    <t>Kedungrejo</t>
  </si>
  <si>
    <t>Lontar</t>
  </si>
  <si>
    <t>Serang</t>
  </si>
  <si>
    <t>Tirtayasa</t>
  </si>
  <si>
    <t>Tangerang</t>
  </si>
  <si>
    <t>Mauk</t>
  </si>
  <si>
    <t>Ketapang</t>
  </si>
  <si>
    <t>Kemiri</t>
  </si>
  <si>
    <t>Tanjung Anom</t>
  </si>
  <si>
    <t>Tengkurak</t>
  </si>
  <si>
    <t>Pabeanudik</t>
  </si>
  <si>
    <t>Indramayu</t>
  </si>
  <si>
    <t>Losarang</t>
  </si>
  <si>
    <t>Cemara kulon</t>
  </si>
  <si>
    <t>Kandanghaur</t>
  </si>
  <si>
    <t>Pareangirang</t>
  </si>
  <si>
    <t>Singaraja</t>
  </si>
  <si>
    <t>Sukra</t>
  </si>
  <si>
    <t>Ujunggebang</t>
  </si>
  <si>
    <t>Juntinyuat</t>
  </si>
  <si>
    <t>Dadap</t>
  </si>
  <si>
    <t>Karangjaladri (2025)</t>
  </si>
  <si>
    <t>Tasikmalaya</t>
  </si>
  <si>
    <t>Cipatujah</t>
  </si>
  <si>
    <t>Cikawungading</t>
  </si>
  <si>
    <t>Pangandaran</t>
  </si>
  <si>
    <t>Kalipucang</t>
  </si>
  <si>
    <t>Pamotan</t>
  </si>
  <si>
    <t>Cimerak</t>
  </si>
  <si>
    <t>Kertamukti_2</t>
  </si>
  <si>
    <t>Azim</t>
  </si>
  <si>
    <t>Legokjawa</t>
  </si>
  <si>
    <t>Panggang</t>
  </si>
  <si>
    <t>Daerah Khusus Ibukota Jakarta</t>
  </si>
  <si>
    <t>Administrasi Kepulauan Seribu</t>
  </si>
  <si>
    <t>Kepulauan Seribu Utara</t>
  </si>
  <si>
    <t>Pulau Panggang</t>
  </si>
  <si>
    <t>Panjunan</t>
  </si>
  <si>
    <t>Lemahwungkuk</t>
  </si>
  <si>
    <t>Pasarbanggi</t>
  </si>
  <si>
    <t>Rembang</t>
  </si>
  <si>
    <t>Pasar Banggi</t>
  </si>
  <si>
    <t>Sarang</t>
  </si>
  <si>
    <t>Karangmangu</t>
  </si>
  <si>
    <t>Kaliori</t>
  </si>
  <si>
    <t>Tambakagung</t>
  </si>
  <si>
    <t>Pasuruan</t>
  </si>
  <si>
    <t>Kraton</t>
  </si>
  <si>
    <t>Gerongan</t>
  </si>
  <si>
    <t>Nguling</t>
  </si>
  <si>
    <t>Mlaten</t>
  </si>
  <si>
    <t>Pesisir</t>
  </si>
  <si>
    <t>Situbondo</t>
  </si>
  <si>
    <t>Probolinggo</t>
  </si>
  <si>
    <t>Kraksaan</t>
  </si>
  <si>
    <t>Kalibuntu</t>
  </si>
  <si>
    <t>Dringu</t>
  </si>
  <si>
    <t>Randuputih</t>
  </si>
  <si>
    <t>Banyuputih</t>
  </si>
  <si>
    <t>Wonorejo</t>
  </si>
  <si>
    <t>PugerKulon</t>
  </si>
  <si>
    <t>Jember</t>
  </si>
  <si>
    <t>Puger</t>
  </si>
  <si>
    <t>Pugerkulon</t>
  </si>
  <si>
    <t>Kencong</t>
  </si>
  <si>
    <t>Paseban</t>
  </si>
  <si>
    <t>Ambulu</t>
  </si>
  <si>
    <t>Sumberejo</t>
  </si>
  <si>
    <t>0.45</t>
  </si>
  <si>
    <t>Pujiharjo (2025)</t>
  </si>
  <si>
    <t>Malang</t>
  </si>
  <si>
    <t>Donomulyo</t>
  </si>
  <si>
    <t>Kedungsalam</t>
  </si>
  <si>
    <t>Songbanyu</t>
  </si>
  <si>
    <t>Daerah Istimewa Yogyakarta</t>
  </si>
  <si>
    <t>Gunungkidul</t>
  </si>
  <si>
    <t>Girisubo</t>
  </si>
  <si>
    <t>Tanjungsari</t>
  </si>
  <si>
    <t>Banjarejo</t>
  </si>
  <si>
    <t>Saptosari</t>
  </si>
  <si>
    <t>Kanigoro</t>
  </si>
  <si>
    <t>0.05</t>
  </si>
  <si>
    <t>Kemadang</t>
  </si>
  <si>
    <t>Tepus</t>
  </si>
  <si>
    <t>Sidoharjo</t>
  </si>
  <si>
    <t>Sugihwaras</t>
  </si>
  <si>
    <t>Pemalang</t>
  </si>
  <si>
    <t>Kendal</t>
  </si>
  <si>
    <t>Rowosari</t>
  </si>
  <si>
    <t>Gempolsewu</t>
  </si>
  <si>
    <t>Ulujami</t>
  </si>
  <si>
    <t>Mojo</t>
  </si>
  <si>
    <t>Petarukan</t>
  </si>
  <si>
    <t>Nyamplungsari</t>
  </si>
  <si>
    <t>Tegal</t>
  </si>
  <si>
    <t>Suradadi</t>
  </si>
  <si>
    <t>0.97</t>
  </si>
  <si>
    <t>Tengket</t>
  </si>
  <si>
    <t>Bangkalan</t>
  </si>
  <si>
    <t>Arosbaya</t>
  </si>
  <si>
    <t>Wanasari (2025)</t>
  </si>
  <si>
    <t>Cianjur</t>
  </si>
  <si>
    <t>Sindangbarang</t>
  </si>
  <si>
    <t>Jayagiri</t>
  </si>
  <si>
    <t>Cidaun</t>
  </si>
  <si>
    <t>Jayapura</t>
  </si>
  <si>
    <t>Kalimantan</t>
  </si>
  <si>
    <t>Bangkuang</t>
  </si>
  <si>
    <t>Kalimantan Tengah</t>
  </si>
  <si>
    <t>Barito Selatan</t>
  </si>
  <si>
    <t>Karau Kuala</t>
  </si>
  <si>
    <t>Janggi</t>
  </si>
  <si>
    <t>Umum</t>
  </si>
  <si>
    <t>Barito Utara</t>
  </si>
  <si>
    <t>Teweh Selatan</t>
  </si>
  <si>
    <t>Butong</t>
  </si>
  <si>
    <t>Batanjung</t>
  </si>
  <si>
    <t>Pulang Pisau</t>
  </si>
  <si>
    <t>Kahayan Kuala</t>
  </si>
  <si>
    <t>Papuyu Iii Sei. Pudak</t>
  </si>
  <si>
    <t>CV. Assety Graha Jaya (Kecil)</t>
  </si>
  <si>
    <t>Arief Budhi Dermawan (081221362816)</t>
  </si>
  <si>
    <t>Kapuas</t>
  </si>
  <si>
    <t>Kapuas Kuala</t>
  </si>
  <si>
    <t>Palampai</t>
  </si>
  <si>
    <t>Sei Teras</t>
  </si>
  <si>
    <t>Papuyu I Sei. Pasanan</t>
  </si>
  <si>
    <t>BatuKotam</t>
  </si>
  <si>
    <t>Lamandau</t>
  </si>
  <si>
    <t>Bulik</t>
  </si>
  <si>
    <t>Batu Kotam</t>
  </si>
  <si>
    <t>Beringin</t>
  </si>
  <si>
    <t>Kalimantan Selatan</t>
  </si>
  <si>
    <t>Tanah Bumbu</t>
  </si>
  <si>
    <t>Kusan Hilir</t>
  </si>
  <si>
    <t>Muara Pagatan</t>
  </si>
  <si>
    <t>BidukBiduk</t>
  </si>
  <si>
    <t>Kalimantan Timur</t>
  </si>
  <si>
    <t>Berau</t>
  </si>
  <si>
    <t>Biduk-Biduk</t>
  </si>
  <si>
    <t>Tabalar</t>
  </si>
  <si>
    <t>Buyung-Buyung</t>
  </si>
  <si>
    <t>BunyuSelatan (2025)</t>
  </si>
  <si>
    <t>Kalimantan Utara</t>
  </si>
  <si>
    <t>Bulungan</t>
  </si>
  <si>
    <t>Tanjung Palas Timur</t>
  </si>
  <si>
    <t>Tanah Kuning</t>
  </si>
  <si>
    <t>PT. Paramitra Multi Prakarsa</t>
  </si>
  <si>
    <t>0823 2337 7717</t>
  </si>
  <si>
    <t>Hasan Saleh</t>
  </si>
  <si>
    <t>Tana Tidung</t>
  </si>
  <si>
    <t>Tana Lia</t>
  </si>
  <si>
    <t>Tanah Merah</t>
  </si>
  <si>
    <t>Kota Tarakan</t>
  </si>
  <si>
    <t>Tarakan Barat</t>
  </si>
  <si>
    <t>Karang Anyar Pantai</t>
  </si>
  <si>
    <t>CV. Fortis Prima Konstruksi (Kecil)</t>
  </si>
  <si>
    <t>08123283339/Cindra</t>
  </si>
  <si>
    <t>Pandu</t>
  </si>
  <si>
    <t>Kuala</t>
  </si>
  <si>
    <t>Kalimantan Barat</t>
  </si>
  <si>
    <t>Kota Singkawang</t>
  </si>
  <si>
    <t>Singkawang Barat</t>
  </si>
  <si>
    <t>PT. Reka Karya Persada (Menengah)</t>
  </si>
  <si>
    <t>Agus/ 08121642887</t>
  </si>
  <si>
    <t>Bengkayang</t>
  </si>
  <si>
    <t>Sungai Raya Kepulauan</t>
  </si>
  <si>
    <t>Pulau Lemukutan</t>
  </si>
  <si>
    <t>CV. Davindo Putra Perkasa</t>
  </si>
  <si>
    <t>081289990188/andi</t>
  </si>
  <si>
    <t>KualaKarang</t>
  </si>
  <si>
    <t>Kubu Raya</t>
  </si>
  <si>
    <t>Teluk Pakedai</t>
  </si>
  <si>
    <t>Kuala Karang</t>
  </si>
  <si>
    <t>Sungai Kakap</t>
  </si>
  <si>
    <t>Jeruju Besar</t>
  </si>
  <si>
    <t>CV. Ghe Inge (Kecil)</t>
  </si>
  <si>
    <t>081352958918/hermas</t>
  </si>
  <si>
    <t>Kubu</t>
  </si>
  <si>
    <t>Dabong</t>
  </si>
  <si>
    <t>KualaSecapah</t>
  </si>
  <si>
    <t>Mempawah</t>
  </si>
  <si>
    <t>Mempawah Hilir</t>
  </si>
  <si>
    <t>Kuala Secapah</t>
  </si>
  <si>
    <t>Penibung</t>
  </si>
  <si>
    <t>Sengkubang</t>
  </si>
  <si>
    <t>Sungai Kunyit</t>
  </si>
  <si>
    <t>Sungai Duri Ii</t>
  </si>
  <si>
    <t>Teluk Gelam</t>
  </si>
  <si>
    <t>KualaTambangan</t>
  </si>
  <si>
    <t>Tanah Laut</t>
  </si>
  <si>
    <t>Takisung</t>
  </si>
  <si>
    <t>Kuala Tambangan</t>
  </si>
  <si>
    <t>Tabanio</t>
  </si>
  <si>
    <t>St</t>
  </si>
  <si>
    <t>Jorong</t>
  </si>
  <si>
    <t>Muara Asam-Asam</t>
  </si>
  <si>
    <t>Nenang</t>
  </si>
  <si>
    <t>Penajam Paser Utara</t>
  </si>
  <si>
    <t>Penajam</t>
  </si>
  <si>
    <t>Tanjung Tengah</t>
  </si>
  <si>
    <t>Waru</t>
  </si>
  <si>
    <t>Api-Api</t>
  </si>
  <si>
    <t>PT. Aguin Cipta Propertindo</t>
  </si>
  <si>
    <t>081235678477/zaki</t>
  </si>
  <si>
    <t>PadangTikarDua</t>
  </si>
  <si>
    <t>Batu Ampar</t>
  </si>
  <si>
    <t>Padang Tikar Dua</t>
  </si>
  <si>
    <t>Padang Tikar Satu</t>
  </si>
  <si>
    <t>Tasik Malaya</t>
  </si>
  <si>
    <t>PagatanHilir</t>
  </si>
  <si>
    <t>Katingan</t>
  </si>
  <si>
    <t>Katingan Kuala</t>
  </si>
  <si>
    <t>Pagatan Hilir</t>
  </si>
  <si>
    <t>Kampung Keramat</t>
  </si>
  <si>
    <t>Kotawaringin Timur</t>
  </si>
  <si>
    <t>Mentaya Hilir Selatan</t>
  </si>
  <si>
    <t>Sei Ijum Raya</t>
  </si>
  <si>
    <t>PPPTelukBatang</t>
  </si>
  <si>
    <t>Kayong Utara</t>
  </si>
  <si>
    <t>Pulau Maya</t>
  </si>
  <si>
    <t>Dusun Kecil</t>
  </si>
  <si>
    <t>CV. Qanita Dewi</t>
  </si>
  <si>
    <t>08111766012/fino</t>
  </si>
  <si>
    <t>Kepulauan Karimata</t>
  </si>
  <si>
    <t>Pelapis</t>
  </si>
  <si>
    <t>Teluk Batang</t>
  </si>
  <si>
    <t>Telukbatang Utara</t>
  </si>
  <si>
    <t>Setarap</t>
  </si>
  <si>
    <t>Satui</t>
  </si>
  <si>
    <t>Sungai Loban</t>
  </si>
  <si>
    <t>Sungaidua Laut</t>
  </si>
  <si>
    <t>Sungaicuka</t>
  </si>
  <si>
    <t>Sungai Cuka</t>
  </si>
  <si>
    <t>PT. Cita Prasada Konstruksi</t>
  </si>
  <si>
    <t>082141344885/ Reika</t>
  </si>
  <si>
    <t>Sukabaru</t>
  </si>
  <si>
    <t>Benua Kayong</t>
  </si>
  <si>
    <t>Suka Baru</t>
  </si>
  <si>
    <t>SungaiKupah</t>
  </si>
  <si>
    <t>Sungai Kupah</t>
  </si>
  <si>
    <t>Tanjung Saleh</t>
  </si>
  <si>
    <t>SungaiNyirih (2025)</t>
  </si>
  <si>
    <t>Sambas</t>
  </si>
  <si>
    <t>Jawai</t>
  </si>
  <si>
    <t>Sentebang</t>
  </si>
  <si>
    <t>PT. Bhakti Tama Persada (Kecil)</t>
  </si>
  <si>
    <t>081210420226/asep</t>
  </si>
  <si>
    <t>Galuh-Angga</t>
  </si>
  <si>
    <t>SungaiUndang</t>
  </si>
  <si>
    <t>Seruyan</t>
  </si>
  <si>
    <t>Seruyan Hilir Timur</t>
  </si>
  <si>
    <t>Sungai Bakau</t>
  </si>
  <si>
    <t>Seruyan Hilir</t>
  </si>
  <si>
    <t>Sungai Undang</t>
  </si>
  <si>
    <t>TanjungLalakSelatan</t>
  </si>
  <si>
    <t>Kotabaru</t>
  </si>
  <si>
    <t>Pulau Laut Kepulauan</t>
  </si>
  <si>
    <t>Tanjung Lalak Selatan</t>
  </si>
  <si>
    <t>CV. Mitra Jaya Mandiri (Kecil)</t>
  </si>
  <si>
    <t>Pulau Laut Selatan</t>
  </si>
  <si>
    <t>Tanjung Seloka</t>
  </si>
  <si>
    <t>Pulau Kerayaan</t>
  </si>
  <si>
    <t>TanjungPutri (2025)</t>
  </si>
  <si>
    <t>Sukamara</t>
  </si>
  <si>
    <t>Pantai Lunci</t>
  </si>
  <si>
    <t>Sungai Damar</t>
  </si>
  <si>
    <t>Sungai Cabang Barat</t>
  </si>
  <si>
    <t>TanjungSamalantakan</t>
  </si>
  <si>
    <t>Pamukan Selatan</t>
  </si>
  <si>
    <t>Tanjung Samalantakan</t>
  </si>
  <si>
    <t>Kelumpang Selatan</t>
  </si>
  <si>
    <t>Pantai</t>
  </si>
  <si>
    <t>UjungSaid (2025)</t>
  </si>
  <si>
    <t>Kapuas Hulu</t>
  </si>
  <si>
    <t>Embaloh Hilir</t>
  </si>
  <si>
    <t>Nanga Embaloh</t>
  </si>
  <si>
    <t>Selimbau</t>
  </si>
  <si>
    <t>Nanga Leboyan</t>
  </si>
  <si>
    <t>Nibung</t>
  </si>
  <si>
    <t>Maluku dan Maluku Utara</t>
  </si>
  <si>
    <t>AkiJaya</t>
  </si>
  <si>
    <t>Maluku</t>
  </si>
  <si>
    <t>Seram Bagian Timur</t>
  </si>
  <si>
    <t>Bula</t>
  </si>
  <si>
    <t>Englas</t>
  </si>
  <si>
    <t>TNI</t>
  </si>
  <si>
    <t>Bula Barat</t>
  </si>
  <si>
    <t>Aki Jaya</t>
  </si>
  <si>
    <t>Amarsekaru</t>
  </si>
  <si>
    <t>Pulau Gorom</t>
  </si>
  <si>
    <t>Wakate</t>
  </si>
  <si>
    <t>Lahema</t>
  </si>
  <si>
    <t>Amarlaut</t>
  </si>
  <si>
    <t>Kilbutak</t>
  </si>
  <si>
    <t>Kulugowa</t>
  </si>
  <si>
    <t>Teor</t>
  </si>
  <si>
    <t>Karlokin</t>
  </si>
  <si>
    <t>Arma</t>
  </si>
  <si>
    <t>Kepulauan Tanimbar</t>
  </si>
  <si>
    <t>Nirunmas</t>
  </si>
  <si>
    <t>Tanimbar Utara</t>
  </si>
  <si>
    <t>Lelingluan</t>
  </si>
  <si>
    <t>Kormomolin</t>
  </si>
  <si>
    <t>Meyano Das</t>
  </si>
  <si>
    <t>Ritabel</t>
  </si>
  <si>
    <t>Bajo</t>
  </si>
  <si>
    <t>Maluku Utara</t>
  </si>
  <si>
    <t>Halmahera Selatan</t>
  </si>
  <si>
    <t>Kepulauan Botanglomang</t>
  </si>
  <si>
    <t>Bacan Timur Tengah</t>
  </si>
  <si>
    <t>Bibinoi</t>
  </si>
  <si>
    <t>Bacan Barat</t>
  </si>
  <si>
    <t>Indari</t>
  </si>
  <si>
    <t>Kayoa Selatan</t>
  </si>
  <si>
    <t>Laluin</t>
  </si>
  <si>
    <t>Loleo</t>
  </si>
  <si>
    <t>Gane Timur Tengah</t>
  </si>
  <si>
    <t>Matuting</t>
  </si>
  <si>
    <t>Bajo (2025)</t>
  </si>
  <si>
    <t>Kepulauan Sula</t>
  </si>
  <si>
    <t>Sulabesi Barat</t>
  </si>
  <si>
    <t>Kabau Pantai</t>
  </si>
  <si>
    <t>Mangoli Barat</t>
  </si>
  <si>
    <t>Lelyaba</t>
  </si>
  <si>
    <t>Sulabesi Tengah</t>
  </si>
  <si>
    <t>Waiboga</t>
  </si>
  <si>
    <t>Geser</t>
  </si>
  <si>
    <t>Seram Timur</t>
  </si>
  <si>
    <t>Ukar Sengan</t>
  </si>
  <si>
    <t>Kwamor Kecil Mata Wawa</t>
  </si>
  <si>
    <t>Kellu</t>
  </si>
  <si>
    <t>Kilfura</t>
  </si>
  <si>
    <t>Kilwaru</t>
  </si>
  <si>
    <t>Iha</t>
  </si>
  <si>
    <t>Seram Bagian Barat</t>
  </si>
  <si>
    <t>Huamual</t>
  </si>
  <si>
    <t>Maluku Tengah</t>
  </si>
  <si>
    <t>Leihitu</t>
  </si>
  <si>
    <t>Asilulu</t>
  </si>
  <si>
    <t>Seram Barat</t>
  </si>
  <si>
    <t>Kaibobo</t>
  </si>
  <si>
    <t>Kamatubun</t>
  </si>
  <si>
    <t>Wermaktian</t>
  </si>
  <si>
    <t>Tanimbar Selatan</t>
  </si>
  <si>
    <t>Latdalam</t>
  </si>
  <si>
    <t>Matakus</t>
  </si>
  <si>
    <t>KusuLofra</t>
  </si>
  <si>
    <t>Halmahera Utara</t>
  </si>
  <si>
    <t>Kao</t>
  </si>
  <si>
    <t>Kusu Lofra</t>
  </si>
  <si>
    <t>Halmahera Timur</t>
  </si>
  <si>
    <t>Wasile Selatan</t>
  </si>
  <si>
    <t>Saramaake</t>
  </si>
  <si>
    <t>Kao Utara</t>
  </si>
  <si>
    <t>Bobale</t>
  </si>
  <si>
    <t>Wasile</t>
  </si>
  <si>
    <t>Subaim</t>
  </si>
  <si>
    <t>Labetawi (2025)</t>
  </si>
  <si>
    <t>Maluku Tenggara</t>
  </si>
  <si>
    <t>Kei Kecil Timur Selatan</t>
  </si>
  <si>
    <t>Sare</t>
  </si>
  <si>
    <t>PT. Sapta Manuggal Karya (Menengah)</t>
  </si>
  <si>
    <t>087768911327/vikri-putra</t>
  </si>
  <si>
    <t>vikri-putra</t>
  </si>
  <si>
    <t>Kei Kecil</t>
  </si>
  <si>
    <t>Dudunwahan</t>
  </si>
  <si>
    <t>Kota Tual</t>
  </si>
  <si>
    <t>Pulau Dullah Utara</t>
  </si>
  <si>
    <t>Dullah Laut</t>
  </si>
  <si>
    <t>Tayando Tam</t>
  </si>
  <si>
    <t>Tam Ngurhir</t>
  </si>
  <si>
    <t>Leleoto</t>
  </si>
  <si>
    <t>Tobelo Selatan</t>
  </si>
  <si>
    <t>Tobelo Utara</t>
  </si>
  <si>
    <t>Tolonuo</t>
  </si>
  <si>
    <t>Limbo</t>
  </si>
  <si>
    <t>Pulau Taliabu</t>
  </si>
  <si>
    <t>Taliabu Barat</t>
  </si>
  <si>
    <t>Taliabu Selatan</t>
  </si>
  <si>
    <t>Galebo</t>
  </si>
  <si>
    <t>Taliabu Utara</t>
  </si>
  <si>
    <t>Jorjoga</t>
  </si>
  <si>
    <t>Taliabu Barat Laut</t>
  </si>
  <si>
    <t>Kasango</t>
  </si>
  <si>
    <t>Nunu</t>
  </si>
  <si>
    <t>Wayo</t>
  </si>
  <si>
    <t>Longgar</t>
  </si>
  <si>
    <t>Kepulauan Aru</t>
  </si>
  <si>
    <t>Pulau-Pulau Aru</t>
  </si>
  <si>
    <t>Samang</t>
  </si>
  <si>
    <t>PulauGala</t>
  </si>
  <si>
    <t>Obi Selatan</t>
  </si>
  <si>
    <t>Mano</t>
  </si>
  <si>
    <t>MaitaraTengah (2025)</t>
  </si>
  <si>
    <t>Kota Tidore Kepulauan</t>
  </si>
  <si>
    <t>Tidore Selatan</t>
  </si>
  <si>
    <t>Tomalou</t>
  </si>
  <si>
    <t>Malaku</t>
  </si>
  <si>
    <t>Seram Utara</t>
  </si>
  <si>
    <t>Seram Utara Barat</t>
  </si>
  <si>
    <t>Labuan</t>
  </si>
  <si>
    <t>Besi</t>
  </si>
  <si>
    <t>Olong</t>
  </si>
  <si>
    <t>Waelihang (2025)</t>
  </si>
  <si>
    <t>Buru Selatan</t>
  </si>
  <si>
    <t>Leksula</t>
  </si>
  <si>
    <t>Nalbessy</t>
  </si>
  <si>
    <t>Ambalau</t>
  </si>
  <si>
    <t>Masawoy</t>
  </si>
  <si>
    <t>NegeriLima</t>
  </si>
  <si>
    <t>Negeri Lima</t>
  </si>
  <si>
    <t>Hitulama</t>
  </si>
  <si>
    <t>Nolloth</t>
  </si>
  <si>
    <t>Saparua Timur</t>
  </si>
  <si>
    <t>Saparua</t>
  </si>
  <si>
    <t>Kulur</t>
  </si>
  <si>
    <t>Pulau Haruku</t>
  </si>
  <si>
    <t>Pelauw</t>
  </si>
  <si>
    <t>Amahai</t>
  </si>
  <si>
    <t>Yainuelo</t>
  </si>
  <si>
    <t>Nuwewang</t>
  </si>
  <si>
    <t>Maluku Barat Daya</t>
  </si>
  <si>
    <t>Pulau Leti</t>
  </si>
  <si>
    <t>Moa</t>
  </si>
  <si>
    <t>Klis</t>
  </si>
  <si>
    <t>PPNAmbon</t>
  </si>
  <si>
    <t>Kota Ambon</t>
  </si>
  <si>
    <t>Leitimur Selatan</t>
  </si>
  <si>
    <t>Rutong</t>
  </si>
  <si>
    <t>Nusaniwe</t>
  </si>
  <si>
    <t>Urimessing</t>
  </si>
  <si>
    <t>Latuhalat</t>
  </si>
  <si>
    <t>Teluk Ambon</t>
  </si>
  <si>
    <t>Laha</t>
  </si>
  <si>
    <t>Gane Barat Selatan</t>
  </si>
  <si>
    <t>Dowora</t>
  </si>
  <si>
    <t>Kepulauan Joronga</t>
  </si>
  <si>
    <t>Gonone</t>
  </si>
  <si>
    <t>Kakupang</t>
  </si>
  <si>
    <t>Pulau Gala</t>
  </si>
  <si>
    <t>Mandioli Selatan</t>
  </si>
  <si>
    <t>Lele</t>
  </si>
  <si>
    <t>Sakam</t>
  </si>
  <si>
    <t>Halmahera Tengah</t>
  </si>
  <si>
    <t>Patani Timur</t>
  </si>
  <si>
    <t>Patani Utara</t>
  </si>
  <si>
    <t>Bilifitu</t>
  </si>
  <si>
    <t>Weda Timur</t>
  </si>
  <si>
    <t>Messa</t>
  </si>
  <si>
    <t>Maba Selatan</t>
  </si>
  <si>
    <t>Sil</t>
  </si>
  <si>
    <t>SangowoTimur (2025)</t>
  </si>
  <si>
    <t>Pulau Morotai</t>
  </si>
  <si>
    <t>Morotai Utara</t>
  </si>
  <si>
    <t>Gorua</t>
  </si>
  <si>
    <t>Loleo Jaya</t>
  </si>
  <si>
    <t>Maba</t>
  </si>
  <si>
    <t>Morotai Jaya</t>
  </si>
  <si>
    <t>Pangeo</t>
  </si>
  <si>
    <t>Titigogoli</t>
  </si>
  <si>
    <t>Sukaraja</t>
  </si>
  <si>
    <t>Taniwel Timur</t>
  </si>
  <si>
    <t>Taniwel</t>
  </si>
  <si>
    <t>Kasieh</t>
  </si>
  <si>
    <t>Kawa</t>
  </si>
  <si>
    <t>Supu (2025)</t>
  </si>
  <si>
    <t>Morotai Selatan</t>
  </si>
  <si>
    <t>Daruba</t>
  </si>
  <si>
    <t>Juanga</t>
  </si>
  <si>
    <t>Mandiri</t>
  </si>
  <si>
    <t>Pulau Rao</t>
  </si>
  <si>
    <t>Posi-Posi</t>
  </si>
  <si>
    <t>Morotai Selatan Barat</t>
  </si>
  <si>
    <t>Tiley</t>
  </si>
  <si>
    <t>Wayabula</t>
  </si>
  <si>
    <t>Taineman</t>
  </si>
  <si>
    <t>Selaru</t>
  </si>
  <si>
    <t>Adaut</t>
  </si>
  <si>
    <t>Teineman</t>
  </si>
  <si>
    <t>Wuar Labobar</t>
  </si>
  <si>
    <t>Wabar</t>
  </si>
  <si>
    <t>Buru</t>
  </si>
  <si>
    <t>Fena Leisela</t>
  </si>
  <si>
    <t>Wamlana</t>
  </si>
  <si>
    <t>Teluk Kaiely</t>
  </si>
  <si>
    <t>Seith</t>
  </si>
  <si>
    <t>Wasileo (2025)</t>
  </si>
  <si>
    <t>Wasile Utara</t>
  </si>
  <si>
    <t>Majiko Tongone</t>
  </si>
  <si>
    <t>Loloda Kepulauan</t>
  </si>
  <si>
    <t>Dama</t>
  </si>
  <si>
    <t>Maba Utara</t>
  </si>
  <si>
    <t>Patlean</t>
  </si>
  <si>
    <t>Watuar</t>
  </si>
  <si>
    <t>Kei Besar Selatan</t>
  </si>
  <si>
    <t>Tamangil Nuhuyanat</t>
  </si>
  <si>
    <t>Kei Besar Utara Barat</t>
  </si>
  <si>
    <t>Hoor Kristen</t>
  </si>
  <si>
    <t>Kei Besar</t>
  </si>
  <si>
    <t>Papua</t>
  </si>
  <si>
    <t>Abreso</t>
  </si>
  <si>
    <t>Papua Barat</t>
  </si>
  <si>
    <t>PERENCANAAN III</t>
  </si>
  <si>
    <t>Manokwari Selatan</t>
  </si>
  <si>
    <t>Ransiki</t>
  </si>
  <si>
    <t>BintuniTimur</t>
  </si>
  <si>
    <t>Teluk Bintuni</t>
  </si>
  <si>
    <t>Bintuni</t>
  </si>
  <si>
    <t>Bintuni Timur</t>
  </si>
  <si>
    <t>Oransbari</t>
  </si>
  <si>
    <t>Manokwari</t>
  </si>
  <si>
    <t>Sowi</t>
  </si>
  <si>
    <t>Momi Waren</t>
  </si>
  <si>
    <t>Yekwandi</t>
  </si>
  <si>
    <t>Awaki</t>
  </si>
  <si>
    <t>Supiori</t>
  </si>
  <si>
    <t>Supiori Selatan</t>
  </si>
  <si>
    <t>Supiori Timur</t>
  </si>
  <si>
    <t>Duber</t>
  </si>
  <si>
    <t>Fanindi</t>
  </si>
  <si>
    <t>Kepulauan Aruri</t>
  </si>
  <si>
    <t>Insumbrei</t>
  </si>
  <si>
    <t>Odori</t>
  </si>
  <si>
    <t>Rayori</t>
  </si>
  <si>
    <t>Wombonda</t>
  </si>
  <si>
    <t>Warembori</t>
  </si>
  <si>
    <t>Kepulauan Yapen</t>
  </si>
  <si>
    <t>Raimbawi</t>
  </si>
  <si>
    <t>Barawai</t>
  </si>
  <si>
    <t>Mamberamo Raya</t>
  </si>
  <si>
    <t>Mamberamo Hilir</t>
  </si>
  <si>
    <t>Pulau Kurudu</t>
  </si>
  <si>
    <t>Kaipuri</t>
  </si>
  <si>
    <t>Mnukwar</t>
  </si>
  <si>
    <t>Sawai</t>
  </si>
  <si>
    <t>Poiwai</t>
  </si>
  <si>
    <t>Tamakuri</t>
  </si>
  <si>
    <t>Danaweria</t>
  </si>
  <si>
    <t>Fak Fak</t>
  </si>
  <si>
    <t>Arguni</t>
  </si>
  <si>
    <t>Andamata</t>
  </si>
  <si>
    <t>Coa</t>
  </si>
  <si>
    <t>Kaimana</t>
  </si>
  <si>
    <t>Fak-Fak Tengah</t>
  </si>
  <si>
    <t>Teluk Patipi</t>
  </si>
  <si>
    <t>Bisa</t>
  </si>
  <si>
    <t>Offie</t>
  </si>
  <si>
    <t>Finyabor</t>
  </si>
  <si>
    <t>Sarmi</t>
  </si>
  <si>
    <t>Pantai Timur Bagian Barat</t>
  </si>
  <si>
    <t>Bonggo</t>
  </si>
  <si>
    <t>Armopa</t>
  </si>
  <si>
    <t>Sarmi Timur</t>
  </si>
  <si>
    <t>Bagaiserwar Dua</t>
  </si>
  <si>
    <t>Pantai Timur</t>
  </si>
  <si>
    <t>Betaf</t>
  </si>
  <si>
    <t>Krim Podena</t>
  </si>
  <si>
    <t>Tambrawar</t>
  </si>
  <si>
    <t>Tarontha Srum</t>
  </si>
  <si>
    <t>Ghoyui</t>
  </si>
  <si>
    <t>Waropen Atas</t>
  </si>
  <si>
    <t>Bariwaro</t>
  </si>
  <si>
    <t>Waropen</t>
  </si>
  <si>
    <t>Urei Faisei</t>
  </si>
  <si>
    <t>Nadofoai</t>
  </si>
  <si>
    <t>Oudate</t>
  </si>
  <si>
    <t>Nau</t>
  </si>
  <si>
    <t>Waropen Bawah</t>
  </si>
  <si>
    <t>Nonomi</t>
  </si>
  <si>
    <t>Demba</t>
  </si>
  <si>
    <t>Ronarai</t>
  </si>
  <si>
    <t>Sarafambai</t>
  </si>
  <si>
    <t>Ureifaisei I/Sanggae</t>
  </si>
  <si>
    <t>Inowa</t>
  </si>
  <si>
    <t>Yapen Barat</t>
  </si>
  <si>
    <t>Wonawa</t>
  </si>
  <si>
    <t>Jaimaria</t>
  </si>
  <si>
    <t>Maniri</t>
  </si>
  <si>
    <t>Woiwani</t>
  </si>
  <si>
    <t>Kaye (2025)</t>
  </si>
  <si>
    <t>Papua Selatan</t>
  </si>
  <si>
    <t>Asmat</t>
  </si>
  <si>
    <t>Atsj</t>
  </si>
  <si>
    <t>Bakasai</t>
  </si>
  <si>
    <t>Papua Tengah</t>
  </si>
  <si>
    <t>Mimika</t>
  </si>
  <si>
    <t>Mimika Barat</t>
  </si>
  <si>
    <t>Atapo</t>
  </si>
  <si>
    <t>Agats</t>
  </si>
  <si>
    <t>Beriten</t>
  </si>
  <si>
    <t>Joerat</t>
  </si>
  <si>
    <t>Jufri</t>
  </si>
  <si>
    <t>PPHamadi</t>
  </si>
  <si>
    <t>Kota Jayapura</t>
  </si>
  <si>
    <t>Jayapura Utara</t>
  </si>
  <si>
    <t>Kayo Batu</t>
  </si>
  <si>
    <t>Depapre</t>
  </si>
  <si>
    <t>Doromena</t>
  </si>
  <si>
    <t>MurisKecil</t>
  </si>
  <si>
    <t>Yokari</t>
  </si>
  <si>
    <t>Maruwai</t>
  </si>
  <si>
    <t>Soromasen</t>
  </si>
  <si>
    <t>Yapen Utara</t>
  </si>
  <si>
    <t>Kiriyou</t>
  </si>
  <si>
    <t>Kornasoren</t>
  </si>
  <si>
    <t>Biak Numfor</t>
  </si>
  <si>
    <t>Numfor Timur</t>
  </si>
  <si>
    <t>Yenbepon</t>
  </si>
  <si>
    <t>Bruyadori</t>
  </si>
  <si>
    <t>Mandori</t>
  </si>
  <si>
    <t>Pyefuri</t>
  </si>
  <si>
    <t>Numfor Barat</t>
  </si>
  <si>
    <t>Serbin</t>
  </si>
  <si>
    <t>Wadapi</t>
  </si>
  <si>
    <t>Teluk Ampimoi</t>
  </si>
  <si>
    <t>Bareraif</t>
  </si>
  <si>
    <t>Yapen Timur</t>
  </si>
  <si>
    <t>Korombobi</t>
  </si>
  <si>
    <t>Ampimoi</t>
  </si>
  <si>
    <t>Tidak Ditemukan</t>
  </si>
  <si>
    <t>Marsram</t>
  </si>
  <si>
    <t>Biak Barat</t>
  </si>
  <si>
    <t>Ampunbukor</t>
  </si>
  <si>
    <t>Douwbo</t>
  </si>
  <si>
    <t>Waryesi</t>
  </si>
  <si>
    <t>Swandiwe</t>
  </si>
  <si>
    <t>Yenbepioper</t>
  </si>
  <si>
    <t>Woinap</t>
  </si>
  <si>
    <t>Pulau Yerui</t>
  </si>
  <si>
    <t>Ausem</t>
  </si>
  <si>
    <t>Miosnum</t>
  </si>
  <si>
    <t>Mnuswor</t>
  </si>
  <si>
    <t>Biak Utara</t>
  </si>
  <si>
    <t>Yawosi</t>
  </si>
  <si>
    <t>Bosnabraidi</t>
  </si>
  <si>
    <t>Warsa</t>
  </si>
  <si>
    <t>Yobdi</t>
  </si>
  <si>
    <t>Windesi</t>
  </si>
  <si>
    <t>Munggui</t>
  </si>
  <si>
    <t>Poom</t>
  </si>
  <si>
    <t>Nurawi</t>
  </si>
  <si>
    <t>Demta</t>
  </si>
  <si>
    <t>Muris Kecil</t>
  </si>
  <si>
    <t>Ambora</t>
  </si>
  <si>
    <t>Kamdera</t>
  </si>
  <si>
    <t>Kendate</t>
  </si>
  <si>
    <t>Meukisi</t>
  </si>
  <si>
    <t>Muaif</t>
  </si>
  <si>
    <t>Yakore</t>
  </si>
  <si>
    <t>Yougapsa</t>
  </si>
  <si>
    <t>Rufei</t>
  </si>
  <si>
    <t>Papua Barat Daya</t>
  </si>
  <si>
    <t>Kota Sorong</t>
  </si>
  <si>
    <t>Sorong Barat</t>
  </si>
  <si>
    <t>Sau Uram</t>
  </si>
  <si>
    <t>Tambrauw</t>
  </si>
  <si>
    <t>Sausapor</t>
  </si>
  <si>
    <t>Samkai (2025)</t>
  </si>
  <si>
    <t>Merauke</t>
  </si>
  <si>
    <t>Malind</t>
  </si>
  <si>
    <t>Kumbe</t>
  </si>
  <si>
    <t>Domande</t>
  </si>
  <si>
    <t>Semangga</t>
  </si>
  <si>
    <t>Urumb</t>
  </si>
  <si>
    <t>Siriwini</t>
  </si>
  <si>
    <t>Nabire</t>
  </si>
  <si>
    <t>Wapoga</t>
  </si>
  <si>
    <t>Napan</t>
  </si>
  <si>
    <t>Weinami</t>
  </si>
  <si>
    <t>Inggerus</t>
  </si>
  <si>
    <t>Somiangga</t>
  </si>
  <si>
    <t>Sumuraman</t>
  </si>
  <si>
    <t>Mappi</t>
  </si>
  <si>
    <t>Minyamur</t>
  </si>
  <si>
    <t>Mambioman Bapai</t>
  </si>
  <si>
    <t>Mur</t>
  </si>
  <si>
    <t>Wagin</t>
  </si>
  <si>
    <t>TanjungBarari</t>
  </si>
  <si>
    <t>Oridek</t>
  </si>
  <si>
    <t>Tanjung Barari</t>
  </si>
  <si>
    <t>Turu</t>
  </si>
  <si>
    <t>Nusawani</t>
  </si>
  <si>
    <t>Umani</t>
  </si>
  <si>
    <t>Anggaduber</t>
  </si>
  <si>
    <t>Animi</t>
  </si>
  <si>
    <t>Kepulauan Ambai</t>
  </si>
  <si>
    <t>Toroa</t>
  </si>
  <si>
    <t>Adiwipi</t>
  </si>
  <si>
    <t>Angkaisera</t>
  </si>
  <si>
    <t>Yawakukat</t>
  </si>
  <si>
    <t>Rambai</t>
  </si>
  <si>
    <t>Yapen Selatan</t>
  </si>
  <si>
    <t>Anotaurei</t>
  </si>
  <si>
    <t>Ketu Api</t>
  </si>
  <si>
    <t>Kosiwo</t>
  </si>
  <si>
    <t>Maria Rotu</t>
  </si>
  <si>
    <t>Tatui</t>
  </si>
  <si>
    <t>Wamargege</t>
  </si>
  <si>
    <t>Sorong Selatan</t>
  </si>
  <si>
    <t>Konda</t>
  </si>
  <si>
    <t>Wogekel</t>
  </si>
  <si>
    <t>Ilwayab</t>
  </si>
  <si>
    <t>Wanam</t>
  </si>
  <si>
    <t>Sulawesi</t>
  </si>
  <si>
    <t>Aengbatubatu (2025)</t>
  </si>
  <si>
    <t>Sulawesi Selatan</t>
  </si>
  <si>
    <t>Takalar</t>
  </si>
  <si>
    <t>Galesong</t>
  </si>
  <si>
    <t>Boddia</t>
  </si>
  <si>
    <t>Galesong Utara</t>
  </si>
  <si>
    <t>Sampulungan</t>
  </si>
  <si>
    <t>Mangarabombang</t>
  </si>
  <si>
    <t>Topejawa</t>
  </si>
  <si>
    <t>Galesong Selatan</t>
  </si>
  <si>
    <t>Bonto Kanang</t>
  </si>
  <si>
    <t>Aertembaga (2025)</t>
  </si>
  <si>
    <t>Sulawesi Utara</t>
  </si>
  <si>
    <t>Kota Bitung</t>
  </si>
  <si>
    <t>Aertembaga</t>
  </si>
  <si>
    <t>Tandurusa</t>
  </si>
  <si>
    <t>SIAP DED/HPS</t>
  </si>
  <si>
    <t>Lembeh Utara</t>
  </si>
  <si>
    <t>Lirang</t>
  </si>
  <si>
    <t>Minahasa Utara</t>
  </si>
  <si>
    <t>Kema</t>
  </si>
  <si>
    <t>Kema III</t>
  </si>
  <si>
    <t>Akkajeng</t>
  </si>
  <si>
    <t>Wajo</t>
  </si>
  <si>
    <t>Sajoanging</t>
  </si>
  <si>
    <t>Bola</t>
  </si>
  <si>
    <t>Pattangngae</t>
  </si>
  <si>
    <t>Anaiwoi (2025)</t>
  </si>
  <si>
    <t>Sulawesi Tenggara</t>
  </si>
  <si>
    <t>Kolaka</t>
  </si>
  <si>
    <t>Pomalaa</t>
  </si>
  <si>
    <t>Hakatutobu</t>
  </si>
  <si>
    <t>Tambea</t>
  </si>
  <si>
    <t>Iwoimendaa</t>
  </si>
  <si>
    <t>Wolo</t>
  </si>
  <si>
    <t>Babana (2025)</t>
  </si>
  <si>
    <t>Sulawesi Barat</t>
  </si>
  <si>
    <t>Mamuju Tengah</t>
  </si>
  <si>
    <t>Budong-Budong</t>
  </si>
  <si>
    <t>Kire</t>
  </si>
  <si>
    <t>Karossa</t>
  </si>
  <si>
    <t>Tasokko</t>
  </si>
  <si>
    <t>Kambunong</t>
  </si>
  <si>
    <t>Topoyo</t>
  </si>
  <si>
    <t>Tumbu</t>
  </si>
  <si>
    <t>Pangale</t>
  </si>
  <si>
    <t>Lamba-Lamba</t>
  </si>
  <si>
    <t>Kombiling</t>
  </si>
  <si>
    <t>Mamuju</t>
  </si>
  <si>
    <t>Sampaga</t>
  </si>
  <si>
    <t>Papalang</t>
  </si>
  <si>
    <t>Bonda</t>
  </si>
  <si>
    <t>BalangloeTarowang (2025)</t>
  </si>
  <si>
    <t>Jeneponto</t>
  </si>
  <si>
    <t>Arungkeke</t>
  </si>
  <si>
    <t>Arungkeke Pallantikang</t>
  </si>
  <si>
    <t>Batang</t>
  </si>
  <si>
    <t>Bungeng</t>
  </si>
  <si>
    <t>Bantaeng</t>
  </si>
  <si>
    <t>Letta</t>
  </si>
  <si>
    <t>Bissappu</t>
  </si>
  <si>
    <t>Bonto Jai</t>
  </si>
  <si>
    <t>Dedd</t>
  </si>
  <si>
    <t>Pajukukang</t>
  </si>
  <si>
    <t>Pa'Jukukang</t>
  </si>
  <si>
    <t>Lamalaka</t>
  </si>
  <si>
    <t>Bonto Lebang</t>
  </si>
  <si>
    <t>Bambakoro (2025)</t>
  </si>
  <si>
    <t>Pasangkayu</t>
  </si>
  <si>
    <t>Sarudu</t>
  </si>
  <si>
    <t>Banagan (2025)</t>
  </si>
  <si>
    <t>Sulawesi Tengah</t>
  </si>
  <si>
    <t>Toli-Toli</t>
  </si>
  <si>
    <t>Tolitoli Utara</t>
  </si>
  <si>
    <t>Laulalang</t>
  </si>
  <si>
    <t>Bangko</t>
  </si>
  <si>
    <t>Muna Barat</t>
  </si>
  <si>
    <t>Maginti</t>
  </si>
  <si>
    <t>Kusambi</t>
  </si>
  <si>
    <t>Tanjung Pinang</t>
  </si>
  <si>
    <t>Napano Kusambi</t>
  </si>
  <si>
    <t>Latawe</t>
  </si>
  <si>
    <t>85338729778/la roni</t>
  </si>
  <si>
    <t>Tiworo Kepulauan</t>
  </si>
  <si>
    <t>Lasama</t>
  </si>
  <si>
    <t>CV. Lawa Raya</t>
  </si>
  <si>
    <t>Hyl</t>
  </si>
  <si>
    <t>Sudah</t>
  </si>
  <si>
    <t>Tiworo Utara</t>
  </si>
  <si>
    <t>Tondasi</t>
  </si>
  <si>
    <t>Baurung (2025)</t>
  </si>
  <si>
    <t>Majene</t>
  </si>
  <si>
    <t>Pamboang</t>
  </si>
  <si>
    <t>Bababulo</t>
  </si>
  <si>
    <t>Sendana</t>
  </si>
  <si>
    <t>Limbua</t>
  </si>
  <si>
    <t>Polewali Mandar</t>
  </si>
  <si>
    <t>Balanipa</t>
  </si>
  <si>
    <t>Tammangalle</t>
  </si>
  <si>
    <t>Bonde Utara</t>
  </si>
  <si>
    <t>Bentengnge (2025)</t>
  </si>
  <si>
    <t>Bulukumba</t>
  </si>
  <si>
    <t>Bonto Tiro</t>
  </si>
  <si>
    <t>Dwitiro</t>
  </si>
  <si>
    <t>Bonto Bahari</t>
  </si>
  <si>
    <t>Darubiah</t>
  </si>
  <si>
    <t>BinangaKaraeng</t>
  </si>
  <si>
    <t>Pinrang</t>
  </si>
  <si>
    <t>Lembang</t>
  </si>
  <si>
    <t>Binanga Karaeng</t>
  </si>
  <si>
    <t>Cempa</t>
  </si>
  <si>
    <t>Tadang Palie</t>
  </si>
  <si>
    <t>Mattiro Sompe</t>
  </si>
  <si>
    <t>Pallameang</t>
  </si>
  <si>
    <t>Binuang</t>
  </si>
  <si>
    <t>Tonyaman</t>
  </si>
  <si>
    <t>BitunurisSelatan</t>
  </si>
  <si>
    <t>Kepulauan Talaud</t>
  </si>
  <si>
    <t>Salibabu</t>
  </si>
  <si>
    <t>Bitunuris Selatan</t>
  </si>
  <si>
    <t>Beo Utara</t>
  </si>
  <si>
    <t>Awit Selatan</t>
  </si>
  <si>
    <t>Melonguane Timur</t>
  </si>
  <si>
    <t>Bowombaru</t>
  </si>
  <si>
    <t>Miangas</t>
  </si>
  <si>
    <t>Pulau Miangas</t>
  </si>
  <si>
    <t>Bolangitang_I</t>
  </si>
  <si>
    <t>Bolaang Mongondow Utara</t>
  </si>
  <si>
    <t>Bolangitang Barat</t>
  </si>
  <si>
    <t>Bolangitang I</t>
  </si>
  <si>
    <t>Gorontalo</t>
  </si>
  <si>
    <t>Gorontalo Utara</t>
  </si>
  <si>
    <t>Atinggola</t>
  </si>
  <si>
    <t>Kotajin Utara</t>
  </si>
  <si>
    <t>Imana</t>
  </si>
  <si>
    <t>Gentuma Raya</t>
  </si>
  <si>
    <t>Dumolodo</t>
  </si>
  <si>
    <t>Pinogaluman</t>
  </si>
  <si>
    <t>Tanjung Sidupa</t>
  </si>
  <si>
    <t>Tambulang Pantai</t>
  </si>
  <si>
    <t>SURVEY</t>
  </si>
  <si>
    <t>BolanoTengah (2025)</t>
  </si>
  <si>
    <t>Parigi Moutong</t>
  </si>
  <si>
    <t>Bolano</t>
  </si>
  <si>
    <t>Sama Bahari</t>
  </si>
  <si>
    <t>Tinombo</t>
  </si>
  <si>
    <t>Dusunan</t>
  </si>
  <si>
    <t>BoneBone</t>
  </si>
  <si>
    <t>Kota Bau Bau</t>
  </si>
  <si>
    <t>Batupoaro</t>
  </si>
  <si>
    <t>Bonebone</t>
  </si>
  <si>
    <t>Betoambari</t>
  </si>
  <si>
    <t>Sulaa</t>
  </si>
  <si>
    <t>Lea-Lea</t>
  </si>
  <si>
    <t>Lowu-Lowu</t>
  </si>
  <si>
    <t>08211635810/erma</t>
  </si>
  <si>
    <t>Buton Selatan</t>
  </si>
  <si>
    <t>Kadatua</t>
  </si>
  <si>
    <t>Kaofe</t>
  </si>
  <si>
    <t>Boneoge</t>
  </si>
  <si>
    <t>Donggala</t>
  </si>
  <si>
    <t>Banawa</t>
  </si>
  <si>
    <t>Ganti</t>
  </si>
  <si>
    <t>Sindue</t>
  </si>
  <si>
    <t>Lero</t>
  </si>
  <si>
    <t>Sindue Tombusabora</t>
  </si>
  <si>
    <t>Batusuya</t>
  </si>
  <si>
    <t>Tanantovea</t>
  </si>
  <si>
    <t>Wani Dua</t>
  </si>
  <si>
    <t>PT. Armyndo Jaya Konstruksi</t>
  </si>
  <si>
    <t>Sekitra</t>
  </si>
  <si>
    <t>BonePute</t>
  </si>
  <si>
    <t>Luwu</t>
  </si>
  <si>
    <t>Larompong Selatan</t>
  </si>
  <si>
    <t>Bone Pute</t>
  </si>
  <si>
    <t>Belopa</t>
  </si>
  <si>
    <t>Suli</t>
  </si>
  <si>
    <t>Cimpu Utara</t>
  </si>
  <si>
    <t>Murante</t>
  </si>
  <si>
    <t>Larompong</t>
  </si>
  <si>
    <t>Rantebelu</t>
  </si>
  <si>
    <t>Pitumpanua</t>
  </si>
  <si>
    <t>Bulete</t>
  </si>
  <si>
    <t>Bontonsunggu</t>
  </si>
  <si>
    <t>Kepulauan Selayar</t>
  </si>
  <si>
    <t>Bontoharu</t>
  </si>
  <si>
    <t>Bontosunggu</t>
  </si>
  <si>
    <t>Bontomatene</t>
  </si>
  <si>
    <t>Bungaiya</t>
  </si>
  <si>
    <t>Bontosikuyu</t>
  </si>
  <si>
    <t>Lowa</t>
  </si>
  <si>
    <t>Buki</t>
  </si>
  <si>
    <t>Boyantongo</t>
  </si>
  <si>
    <t>Parigi Selatan</t>
  </si>
  <si>
    <t>Parigi Tengah</t>
  </si>
  <si>
    <t>Pelawa Baru</t>
  </si>
  <si>
    <t>Sausu</t>
  </si>
  <si>
    <t>Sausu Tambu</t>
  </si>
  <si>
    <t>Tinombo Selatan</t>
  </si>
  <si>
    <t>Tada</t>
  </si>
  <si>
    <t>Toribulu</t>
  </si>
  <si>
    <t>Sienjo</t>
  </si>
  <si>
    <t>Kasimbar</t>
  </si>
  <si>
    <t>Laemanta Utara</t>
  </si>
  <si>
    <t>BukitTinggi</t>
  </si>
  <si>
    <t>Minahasa</t>
  </si>
  <si>
    <t>Kakas Barat</t>
  </si>
  <si>
    <t>Bukit Tinggi</t>
  </si>
  <si>
    <t>Minahasa Tenggara</t>
  </si>
  <si>
    <t>Belang</t>
  </si>
  <si>
    <t>Molompar Timur</t>
  </si>
  <si>
    <t>Pusomaen</t>
  </si>
  <si>
    <t>Bentenan Satu</t>
  </si>
  <si>
    <t>Minanga Tiga</t>
  </si>
  <si>
    <t>Bolaang Mongondow Timur</t>
  </si>
  <si>
    <t>Kotabunan</t>
  </si>
  <si>
    <t>Buyat Tengah</t>
  </si>
  <si>
    <t>Ratatotok</t>
  </si>
  <si>
    <t>Ratatotok Timur</t>
  </si>
  <si>
    <t>Langowan Selatan</t>
  </si>
  <si>
    <t>Rumbia</t>
  </si>
  <si>
    <t>Bunta_I</t>
  </si>
  <si>
    <t>Banggai</t>
  </si>
  <si>
    <t>Bunta</t>
  </si>
  <si>
    <t>Bunta I</t>
  </si>
  <si>
    <t>Bualemo</t>
  </si>
  <si>
    <t>Bualemo B</t>
  </si>
  <si>
    <t>GerakMakmur (2025)</t>
  </si>
  <si>
    <t>Lapandewa</t>
  </si>
  <si>
    <t>Gaya Baru</t>
  </si>
  <si>
    <t>Sampolawa</t>
  </si>
  <si>
    <t>Bahari Dua</t>
  </si>
  <si>
    <t>Vince</t>
  </si>
  <si>
    <t>Siompu Barat</t>
  </si>
  <si>
    <t>Lamaninggara</t>
  </si>
  <si>
    <t>Bupati</t>
  </si>
  <si>
    <t>GhoneBalano (2025)</t>
  </si>
  <si>
    <t>Muna</t>
  </si>
  <si>
    <t>Lasalepa</t>
  </si>
  <si>
    <t>Labone</t>
  </si>
  <si>
    <t>Sauk</t>
  </si>
  <si>
    <t>Bolaang Mongondow</t>
  </si>
  <si>
    <t>Bolaang</t>
  </si>
  <si>
    <t>Inobonto Ii</t>
  </si>
  <si>
    <t>Lolak</t>
  </si>
  <si>
    <t>Poigar_I</t>
  </si>
  <si>
    <t>Minahasa Selatan</t>
  </si>
  <si>
    <t>Tumpaan</t>
  </si>
  <si>
    <t>Matani Satu</t>
  </si>
  <si>
    <t>Amurang Timur</t>
  </si>
  <si>
    <t>Ranomea</t>
  </si>
  <si>
    <t>Jiko</t>
  </si>
  <si>
    <t>Motongkad</t>
  </si>
  <si>
    <t>Nuangan</t>
  </si>
  <si>
    <t>Matabulu Timur</t>
  </si>
  <si>
    <t>Motongkad Selatan</t>
  </si>
  <si>
    <t>Iyok</t>
  </si>
  <si>
    <t>Loyow</t>
  </si>
  <si>
    <t>Bolaang Mongondow Selatan</t>
  </si>
  <si>
    <t>Pinolosian Timur</t>
  </si>
  <si>
    <t>Modisi</t>
  </si>
  <si>
    <t>Iligon</t>
  </si>
  <si>
    <t>Pinolosian Tengah</t>
  </si>
  <si>
    <t>Deaga</t>
  </si>
  <si>
    <t>Kalumbatan (2025)</t>
  </si>
  <si>
    <t>Banggai Kepulauan</t>
  </si>
  <si>
    <t>Peling Tengah</t>
  </si>
  <si>
    <t>Patukuki</t>
  </si>
  <si>
    <t>Bulagi Selatan</t>
  </si>
  <si>
    <t>Balalon</t>
  </si>
  <si>
    <t>Liang</t>
  </si>
  <si>
    <t>CV. Lasinrang Jaya Perkasa</t>
  </si>
  <si>
    <t>Pangu</t>
  </si>
  <si>
    <t>Labuan (2025)</t>
  </si>
  <si>
    <t>Tojo Una Una</t>
  </si>
  <si>
    <t>Tojo</t>
  </si>
  <si>
    <t>Podi</t>
  </si>
  <si>
    <t>Ampana Tete</t>
  </si>
  <si>
    <t>Tete B</t>
  </si>
  <si>
    <t>Lamanggo</t>
  </si>
  <si>
    <t>Kep. Siau Tagulandang Biaro</t>
  </si>
  <si>
    <t>Biaro</t>
  </si>
  <si>
    <t>Dalinsaheng</t>
  </si>
  <si>
    <t>Siau Timur Selatan</t>
  </si>
  <si>
    <t>Bandil</t>
  </si>
  <si>
    <t>Lamu (2025)</t>
  </si>
  <si>
    <t>Biluhu</t>
  </si>
  <si>
    <t>Botubolu'O</t>
  </si>
  <si>
    <t>Batudaa Pantai</t>
  </si>
  <si>
    <t>Olimoo'O</t>
  </si>
  <si>
    <t>PT. Professional Construction Indoensia (Kecil)**</t>
  </si>
  <si>
    <t>Biluhu Barat</t>
  </si>
  <si>
    <t>Biluhu Tengah</t>
  </si>
  <si>
    <t>Lobuto</t>
  </si>
  <si>
    <t>Suppa</t>
  </si>
  <si>
    <t>Barru</t>
  </si>
  <si>
    <t>Balusu</t>
  </si>
  <si>
    <t>Takkalasi</t>
  </si>
  <si>
    <t>Mallusetasi</t>
  </si>
  <si>
    <t>Kupa</t>
  </si>
  <si>
    <t>Kota Parepare</t>
  </si>
  <si>
    <t>Bacukiki Barat</t>
  </si>
  <si>
    <t>Lumpue</t>
  </si>
  <si>
    <t>Soreang</t>
  </si>
  <si>
    <t>Watang Soreang</t>
  </si>
  <si>
    <t>LikupangKampungAmbon</t>
  </si>
  <si>
    <t>Likupang Timur</t>
  </si>
  <si>
    <t>Likupang Kampung Ambong</t>
  </si>
  <si>
    <t>Likupang Barat</t>
  </si>
  <si>
    <t>Gangga II</t>
  </si>
  <si>
    <t>Bulutui</t>
  </si>
  <si>
    <t>Kahuhu</t>
  </si>
  <si>
    <t>Wori</t>
  </si>
  <si>
    <t>Minaesa</t>
  </si>
  <si>
    <t>Malalanda (2025)</t>
  </si>
  <si>
    <t>Buton Utara</t>
  </si>
  <si>
    <t>Kulisusu Utara</t>
  </si>
  <si>
    <t>Lanosangia</t>
  </si>
  <si>
    <t>Manuru</t>
  </si>
  <si>
    <t>Buton</t>
  </si>
  <si>
    <t>Siotapina</t>
  </si>
  <si>
    <t>CV. Mudabbir</t>
  </si>
  <si>
    <t>Rohmi</t>
  </si>
  <si>
    <t>Lasalimu Selatan</t>
  </si>
  <si>
    <t>Lasalimu</t>
  </si>
  <si>
    <t>Momalia_II (2025)</t>
  </si>
  <si>
    <t>Bone Bolango</t>
  </si>
  <si>
    <t>Bone</t>
  </si>
  <si>
    <t>Muara Bone</t>
  </si>
  <si>
    <t>Bolaang Uki</t>
  </si>
  <si>
    <t>Tabilaa</t>
  </si>
  <si>
    <t>Pinolantungan</t>
  </si>
  <si>
    <t>Tomini</t>
  </si>
  <si>
    <t>Botuliodu</t>
  </si>
  <si>
    <t>Munte</t>
  </si>
  <si>
    <t>Luwu Timur</t>
  </si>
  <si>
    <t>Wotu</t>
  </si>
  <si>
    <t>Bawalipu</t>
  </si>
  <si>
    <t>Burau</t>
  </si>
  <si>
    <t>Mabonta</t>
  </si>
  <si>
    <t>Burau Pantai</t>
  </si>
  <si>
    <t>Lampenai</t>
  </si>
  <si>
    <t>Balo-Balo</t>
  </si>
  <si>
    <t>Luwu Utara</t>
  </si>
  <si>
    <t>Bone Bone</t>
  </si>
  <si>
    <t>Tamuku</t>
  </si>
  <si>
    <t>CV. Abadi Wijaya Mandiri</t>
  </si>
  <si>
    <t>081278497655/david</t>
  </si>
  <si>
    <t>Ongen</t>
  </si>
  <si>
    <t>Tana Lili</t>
  </si>
  <si>
    <t>Nisombalia (2025)</t>
  </si>
  <si>
    <t>Pangkajene dan Kepulauan</t>
  </si>
  <si>
    <t>Bungoro</t>
  </si>
  <si>
    <t>Bulu Cindea</t>
  </si>
  <si>
    <t>Maros</t>
  </si>
  <si>
    <t>Bontoa</t>
  </si>
  <si>
    <t>Pajjukukang</t>
  </si>
  <si>
    <t>Maros Baru</t>
  </si>
  <si>
    <t>Borimasunggu</t>
  </si>
  <si>
    <t>Pabiringa</t>
  </si>
  <si>
    <t>Binamu</t>
  </si>
  <si>
    <t>Bangkala</t>
  </si>
  <si>
    <t>Bontorannu</t>
  </si>
  <si>
    <t>Punagaya</t>
  </si>
  <si>
    <t>PentaduBarat (2025)</t>
  </si>
  <si>
    <t>Bilato</t>
  </si>
  <si>
    <t>Boalemo</t>
  </si>
  <si>
    <t>Paguyaman Pantai</t>
  </si>
  <si>
    <t>Bubaa</t>
  </si>
  <si>
    <t>Olibu</t>
  </si>
  <si>
    <t>Botumoito</t>
  </si>
  <si>
    <t>Patoameme</t>
  </si>
  <si>
    <t>Dulupi</t>
  </si>
  <si>
    <t>Tabongo</t>
  </si>
  <si>
    <t>Bumbulan</t>
  </si>
  <si>
    <t>Mananggu</t>
  </si>
  <si>
    <t>Tabulo Selatan</t>
  </si>
  <si>
    <t>Paguyaman</t>
  </si>
  <si>
    <t>Girisa</t>
  </si>
  <si>
    <t>Pohuwato</t>
  </si>
  <si>
    <t>Paguat</t>
  </si>
  <si>
    <t>Ponelo</t>
  </si>
  <si>
    <t>Ponelo Kepulauan</t>
  </si>
  <si>
    <t>CV. Syeren Indah</t>
  </si>
  <si>
    <t>Anggrek</t>
  </si>
  <si>
    <t>Dudepo</t>
  </si>
  <si>
    <t>Langge</t>
  </si>
  <si>
    <t>Monano</t>
  </si>
  <si>
    <t>Garapia</t>
  </si>
  <si>
    <t>Rata</t>
  </si>
  <si>
    <t>Toili Barat</t>
  </si>
  <si>
    <t>Moilong</t>
  </si>
  <si>
    <t>Saburano</t>
  </si>
  <si>
    <t>Konawe Kepulauan</t>
  </si>
  <si>
    <t>Wawonii Barat</t>
  </si>
  <si>
    <t>Pasir Putih</t>
  </si>
  <si>
    <t>Wawonii Timur</t>
  </si>
  <si>
    <t>Independent Fighter</t>
  </si>
  <si>
    <t>Galu BIN-independent fighter</t>
  </si>
  <si>
    <t>Wawonii Tenggara</t>
  </si>
  <si>
    <t>Sainoa Indah</t>
  </si>
  <si>
    <t>Santiago</t>
  </si>
  <si>
    <t>Kepulauan Sangihe</t>
  </si>
  <si>
    <t>Tahuna</t>
  </si>
  <si>
    <t>Tabukan Tengah</t>
  </si>
  <si>
    <t>Palahanaeng</t>
  </si>
  <si>
    <t>Tabukan Utara</t>
  </si>
  <si>
    <t>Naha I</t>
  </si>
  <si>
    <t>SorueJaya (2025)</t>
  </si>
  <si>
    <t>Kota Kendari</t>
  </si>
  <si>
    <t>Nambo</t>
  </si>
  <si>
    <t>Tondonggeu</t>
  </si>
  <si>
    <t>Sambuli</t>
  </si>
  <si>
    <t>Abeli</t>
  </si>
  <si>
    <t>Puday</t>
  </si>
  <si>
    <t>Sumare (2025)</t>
  </si>
  <si>
    <t>Malunda</t>
  </si>
  <si>
    <t>Mekkatta Selatan</t>
  </si>
  <si>
    <t>Tubo Sendana</t>
  </si>
  <si>
    <t>Tubo Poang</t>
  </si>
  <si>
    <t>Tubo Selatan</t>
  </si>
  <si>
    <t>Tamit</t>
  </si>
  <si>
    <t>Buol</t>
  </si>
  <si>
    <t>Bunobogu</t>
  </si>
  <si>
    <t>Gadung</t>
  </si>
  <si>
    <t>Taat</t>
  </si>
  <si>
    <t>Paleleh</t>
  </si>
  <si>
    <t>Kwalabesar</t>
  </si>
  <si>
    <t>Tanete (2025)</t>
  </si>
  <si>
    <t>Liukang Tupabbiring Utara</t>
  </si>
  <si>
    <t>Mattiro Bombang</t>
  </si>
  <si>
    <t>Mandalle</t>
  </si>
  <si>
    <t>Tamarupa</t>
  </si>
  <si>
    <t>TanjungLaimeo</t>
  </si>
  <si>
    <t>Konawe Utara</t>
  </si>
  <si>
    <t>Wawolesea</t>
  </si>
  <si>
    <t>Tanjung Bunga</t>
  </si>
  <si>
    <t>Lasolo</t>
  </si>
  <si>
    <t>Muara Tinobu</t>
  </si>
  <si>
    <t>Sawa</t>
  </si>
  <si>
    <t>Tanjung Laimeo</t>
  </si>
  <si>
    <t>Ulu Sawa</t>
  </si>
  <si>
    <t>Konawe</t>
  </si>
  <si>
    <t>Kapoiala</t>
  </si>
  <si>
    <t>Muara Sampara</t>
  </si>
  <si>
    <t>Lembo</t>
  </si>
  <si>
    <t>CV. Sedarah Sejahtera</t>
  </si>
  <si>
    <t>Jaelani</t>
  </si>
  <si>
    <t>Terapung (2025)</t>
  </si>
  <si>
    <t>Bombana</t>
  </si>
  <si>
    <t>Rumbia Tengah</t>
  </si>
  <si>
    <t>Tapuhahi</t>
  </si>
  <si>
    <t>Buton Tengah</t>
  </si>
  <si>
    <t>Mawasangka</t>
  </si>
  <si>
    <t>Terapung</t>
  </si>
  <si>
    <t>Watolo</t>
  </si>
  <si>
    <t>Tirowali</t>
  </si>
  <si>
    <t>Ponrang</t>
  </si>
  <si>
    <t>Kota Palopo</t>
  </si>
  <si>
    <t>Wara Timur</t>
  </si>
  <si>
    <t>Ponjalae</t>
  </si>
  <si>
    <t>Bua</t>
  </si>
  <si>
    <t>Karang-Karangan</t>
  </si>
  <si>
    <t>Padang Kalua</t>
  </si>
  <si>
    <t>Wara Selatan</t>
  </si>
  <si>
    <t>Songka</t>
  </si>
  <si>
    <t>Takkalala</t>
  </si>
  <si>
    <t>Benteng</t>
  </si>
  <si>
    <t>Ponrang Selatan</t>
  </si>
  <si>
    <t>To'Bia</t>
  </si>
  <si>
    <t>Bassiang Timur</t>
  </si>
  <si>
    <t>TolinggulaPantai</t>
  </si>
  <si>
    <t>Tolinggula</t>
  </si>
  <si>
    <t>Tolinggula Pantai</t>
  </si>
  <si>
    <t>085930953696/dani theresia</t>
  </si>
  <si>
    <t>Sumalata</t>
  </si>
  <si>
    <t>Bulontiyo Barat</t>
  </si>
  <si>
    <t>Kasia</t>
  </si>
  <si>
    <t>Hutakalo</t>
  </si>
  <si>
    <t>Tolotio (2025)</t>
  </si>
  <si>
    <t>Bulawa</t>
  </si>
  <si>
    <t>Mopuya</t>
  </si>
  <si>
    <t>TongkeTongke (2025)</t>
  </si>
  <si>
    <t>Mare</t>
  </si>
  <si>
    <t>Ujung Salangketo</t>
  </si>
  <si>
    <t>Tonra</t>
  </si>
  <si>
    <t>Bacu</t>
  </si>
  <si>
    <t>Sinjai</t>
  </si>
  <si>
    <t>Sinjai Timur</t>
  </si>
  <si>
    <t>Sanjai</t>
  </si>
  <si>
    <t>Bulu Bulu</t>
  </si>
  <si>
    <t>TorisiajeJaya</t>
  </si>
  <si>
    <t>Popayato</t>
  </si>
  <si>
    <t>Torosiaje Jaya</t>
  </si>
  <si>
    <t>08212178693-yunan</t>
  </si>
  <si>
    <t>Wanggarasi</t>
  </si>
  <si>
    <t>Wonggarasi Timur</t>
  </si>
  <si>
    <t>Lemito</t>
  </si>
  <si>
    <t>Wonggarasi Barat</t>
  </si>
  <si>
    <t>Popayato Barat</t>
  </si>
  <si>
    <t>Dudewulo</t>
  </si>
  <si>
    <t>Popayato Timur</t>
  </si>
  <si>
    <t>Milangodaa</t>
  </si>
  <si>
    <t>Torokeku</t>
  </si>
  <si>
    <t>Konawe Selatan</t>
  </si>
  <si>
    <t>Tinanggea</t>
  </si>
  <si>
    <t>Palangga Selatan</t>
  </si>
  <si>
    <t>Lakara</t>
  </si>
  <si>
    <t>Wewangriu</t>
  </si>
  <si>
    <t>Malili</t>
  </si>
  <si>
    <t>Harapan</t>
  </si>
  <si>
    <t>Pasi-Pasi</t>
  </si>
  <si>
    <t>Lakawali Pantai</t>
  </si>
  <si>
    <t>Kolaka Utara</t>
  </si>
  <si>
    <t>Pakue Utara</t>
  </si>
  <si>
    <t>Pakue</t>
  </si>
  <si>
    <t>Tiwu</t>
  </si>
  <si>
    <t>Lawadia</t>
  </si>
  <si>
    <t>Sumatera</t>
  </si>
  <si>
    <t>AirGelubi</t>
  </si>
  <si>
    <t>Kepulauan Riau</t>
  </si>
  <si>
    <t>Bintan</t>
  </si>
  <si>
    <t>Bintan Pesisir</t>
  </si>
  <si>
    <t>Air Gelubi</t>
  </si>
  <si>
    <t>PT. Selaras Karya Bersama</t>
  </si>
  <si>
    <t>082111186869/ayu</t>
  </si>
  <si>
    <t>TK2</t>
  </si>
  <si>
    <t>PT. Agung Kuck Lom Grub</t>
  </si>
  <si>
    <t>082162261976/sastra</t>
  </si>
  <si>
    <t>Gunung Kijang</t>
  </si>
  <si>
    <t>Malang Rapat</t>
  </si>
  <si>
    <t>PT. Prima Shina Cahaya</t>
  </si>
  <si>
    <t>081383000359/tatti</t>
  </si>
  <si>
    <t>Pandu (usulan)</t>
  </si>
  <si>
    <t>Kepulauan Bangka Belitung</t>
  </si>
  <si>
    <t>Bangka</t>
  </si>
  <si>
    <t>Riau Silip</t>
  </si>
  <si>
    <t>Mapur</t>
  </si>
  <si>
    <t>Numbing</t>
  </si>
  <si>
    <t>Teluk Bakau</t>
  </si>
  <si>
    <t>Teluk Sebong</t>
  </si>
  <si>
    <t>Berakit</t>
  </si>
  <si>
    <t>AleuNaga</t>
  </si>
  <si>
    <t>Aceh</t>
  </si>
  <si>
    <t>Kota Banda Aceh</t>
  </si>
  <si>
    <t>Syiah Kuala</t>
  </si>
  <si>
    <t>Alue Naga</t>
  </si>
  <si>
    <t>g</t>
  </si>
  <si>
    <t>Aceh Besar</t>
  </si>
  <si>
    <t>Leupung</t>
  </si>
  <si>
    <t>Layeun</t>
  </si>
  <si>
    <t>Aceh Jaya</t>
  </si>
  <si>
    <t>Indra Jaya</t>
  </si>
  <si>
    <t>Ujong Muloh</t>
  </si>
  <si>
    <t>BandarAgung</t>
  </si>
  <si>
    <t>Lampung</t>
  </si>
  <si>
    <t>Lampung Timur</t>
  </si>
  <si>
    <t>Pasir Sakti</t>
  </si>
  <si>
    <t>Labuhan Ratu</t>
  </si>
  <si>
    <t>Posek</t>
  </si>
  <si>
    <t>Lingga</t>
  </si>
  <si>
    <t>Singkep Selatan</t>
  </si>
  <si>
    <t>Berlian</t>
  </si>
  <si>
    <t>Kopoksi-Rid-umum</t>
  </si>
  <si>
    <t>Dinamika Bangun Mandiri</t>
  </si>
  <si>
    <t>Kopoksi-Rid</t>
  </si>
  <si>
    <t>Mepar</t>
  </si>
  <si>
    <t>Lingga Timur</t>
  </si>
  <si>
    <t>Belungkur</t>
  </si>
  <si>
    <t>BiremPuntong</t>
  </si>
  <si>
    <t>Aceh Timur</t>
  </si>
  <si>
    <t>Peudawa</t>
  </si>
  <si>
    <t>Gampong Kuala</t>
  </si>
  <si>
    <t>Paya Dua</t>
  </si>
  <si>
    <t>Aceh Tamiang</t>
  </si>
  <si>
    <t>Seruway</t>
  </si>
  <si>
    <t>Kuala Pusung Kapal</t>
  </si>
  <si>
    <t>Kota Langsa</t>
  </si>
  <si>
    <t>Langsa Barat</t>
  </si>
  <si>
    <t>Kuala Langsa</t>
  </si>
  <si>
    <t>Cabang</t>
  </si>
  <si>
    <t>Tulang Bawang</t>
  </si>
  <si>
    <t>Dente Teladas</t>
  </si>
  <si>
    <t>Sungai Burung</t>
  </si>
  <si>
    <t>085220112023/asri</t>
  </si>
  <si>
    <t>V</t>
  </si>
  <si>
    <t>CemagaUtara</t>
  </si>
  <si>
    <t>Natuna</t>
  </si>
  <si>
    <t>Bunguran Timur Laut</t>
  </si>
  <si>
    <t>8118881985/kiki</t>
  </si>
  <si>
    <t>V2</t>
  </si>
  <si>
    <t>PT. Ibnu Munsyir Dwi Guna</t>
  </si>
  <si>
    <t>Bunguran Utara</t>
  </si>
  <si>
    <t>Kelarik</t>
  </si>
  <si>
    <t>Pulau Laut</t>
  </si>
  <si>
    <t>Tanjung Pala</t>
  </si>
  <si>
    <t>PT. Bengkel Kreatif Utama (Menengah)</t>
  </si>
  <si>
    <t>Pulau Seluan</t>
  </si>
  <si>
    <t>Kelarik Barat</t>
  </si>
  <si>
    <t>Durian</t>
  </si>
  <si>
    <t>Pesawaran</t>
  </si>
  <si>
    <t>Marga Punduh</t>
  </si>
  <si>
    <t>Kekatang</t>
  </si>
  <si>
    <t>Riki-Rid</t>
  </si>
  <si>
    <t>Punduh Pidada</t>
  </si>
  <si>
    <t>Sukarame</t>
  </si>
  <si>
    <t>Tanggamus</t>
  </si>
  <si>
    <t>Kelumbayan</t>
  </si>
  <si>
    <t>Penyandingan</t>
  </si>
  <si>
    <t>PT. Baragalu Tias Jaya</t>
  </si>
  <si>
    <t>KedaiGadang</t>
  </si>
  <si>
    <t>Sumatera Utara</t>
  </si>
  <si>
    <t>Tapanuli Tengah</t>
  </si>
  <si>
    <t>Barus</t>
  </si>
  <si>
    <t>Kedai Gedang</t>
  </si>
  <si>
    <t>Sorkam Barat</t>
  </si>
  <si>
    <t>Pasar Sorkam</t>
  </si>
  <si>
    <t>Kota Pangkal Pinang</t>
  </si>
  <si>
    <t>Pangkal Balam</t>
  </si>
  <si>
    <t>Bangka Tengah</t>
  </si>
  <si>
    <t>Pangkalan Baru</t>
  </si>
  <si>
    <t>Batu Belubang</t>
  </si>
  <si>
    <t>Sungailiat</t>
  </si>
  <si>
    <t>Rebo</t>
  </si>
  <si>
    <t>CV. Pulau Tenggel</t>
  </si>
  <si>
    <t>081270149851/rusdi</t>
  </si>
  <si>
    <t>Hyl2</t>
  </si>
  <si>
    <t>PT. Indo Jaya Negara Abadi</t>
  </si>
  <si>
    <t>officialindojayanegaraabadi@gmail.com/ 87731490688/087768911327/vikry</t>
  </si>
  <si>
    <t>vikry</t>
  </si>
  <si>
    <t>KotaKarangRaya</t>
  </si>
  <si>
    <t>Kota Bandar Lampung</t>
  </si>
  <si>
    <t>Telukbetung Timur</t>
  </si>
  <si>
    <t>Kota Karang Raya</t>
  </si>
  <si>
    <t>PT. Rajawali Citra Konstruksi INC (Kecil)</t>
  </si>
  <si>
    <t>Dadang Sutrisna (082127775710)</t>
  </si>
  <si>
    <t>sandi</t>
  </si>
  <si>
    <t>Bumi Waras</t>
  </si>
  <si>
    <t>Kangkung</t>
  </si>
  <si>
    <t>KualaMaras</t>
  </si>
  <si>
    <t>Kepulauan Anambas</t>
  </si>
  <si>
    <t>Jemaja Timur</t>
  </si>
  <si>
    <t>Kuala Maras</t>
  </si>
  <si>
    <t>Palmatak</t>
  </si>
  <si>
    <t>Putik</t>
  </si>
  <si>
    <t>Jemaja</t>
  </si>
  <si>
    <t>Mampok</t>
  </si>
  <si>
    <t>Siantan Selatan</t>
  </si>
  <si>
    <t>Air Bini</t>
  </si>
  <si>
    <t>Siantan Utara</t>
  </si>
  <si>
    <t>Piasan</t>
  </si>
  <si>
    <t>KualaRaja</t>
  </si>
  <si>
    <t>Aceh Utara</t>
  </si>
  <si>
    <t>Dewantara</t>
  </si>
  <si>
    <t>Geulumpang Sulu Timu</t>
  </si>
  <si>
    <t>Bireuen</t>
  </si>
  <si>
    <t>Gandapura</t>
  </si>
  <si>
    <t>Lapang Barat</t>
  </si>
  <si>
    <t>Jangka</t>
  </si>
  <si>
    <t>Kuala Cerape</t>
  </si>
  <si>
    <t>Jeunieb</t>
  </si>
  <si>
    <t>Lancang</t>
  </si>
  <si>
    <t>Kunjir</t>
  </si>
  <si>
    <t>Lampung Selatan</t>
  </si>
  <si>
    <t>Raja Basa</t>
  </si>
  <si>
    <t>Banding</t>
  </si>
  <si>
    <t>KwalaGebang</t>
  </si>
  <si>
    <t>Langkat</t>
  </si>
  <si>
    <t>Tanjung Pura</t>
  </si>
  <si>
    <t>Kwala Serapuh</t>
  </si>
  <si>
    <t>Deli Serdang</t>
  </si>
  <si>
    <t>Pantai Labu</t>
  </si>
  <si>
    <t>Paluh Sibaji</t>
  </si>
  <si>
    <t>Kota Medan</t>
  </si>
  <si>
    <t>Medan Labuhan</t>
  </si>
  <si>
    <t>Nelayan Indah</t>
  </si>
  <si>
    <t>LabuhanBajau</t>
  </si>
  <si>
    <t>Nias Selatan</t>
  </si>
  <si>
    <t>Pulau-Pulau Batu Utara</t>
  </si>
  <si>
    <t>Bale-Bale Sibohou</t>
  </si>
  <si>
    <t>Pulau-Pulau Batu Timur</t>
  </si>
  <si>
    <t>Labuhan Bazau</t>
  </si>
  <si>
    <t>Majino Lorang</t>
  </si>
  <si>
    <t>Lancok</t>
  </si>
  <si>
    <t>Seunuddon</t>
  </si>
  <si>
    <t>Ulee Rubek Timu</t>
  </si>
  <si>
    <t>Ulee Rubek Barat</t>
  </si>
  <si>
    <t>Matang Puntong</t>
  </si>
  <si>
    <t>Kota Lhokseumawe</t>
  </si>
  <si>
    <t>Blang Mangat</t>
  </si>
  <si>
    <t>AM</t>
  </si>
  <si>
    <t>Lapang</t>
  </si>
  <si>
    <t>Kuala Cangkoy</t>
  </si>
  <si>
    <t>Banda Sakti</t>
  </si>
  <si>
    <t>Ujong Blang</t>
  </si>
  <si>
    <t>Langi</t>
  </si>
  <si>
    <t>Simeulue</t>
  </si>
  <si>
    <t>Alafan</t>
  </si>
  <si>
    <t>Salang</t>
  </si>
  <si>
    <t>Nasreuhe</t>
  </si>
  <si>
    <t>Simeulue Tengah</t>
  </si>
  <si>
    <t>Kampung Aie</t>
  </si>
  <si>
    <t>LhokPawoh</t>
  </si>
  <si>
    <t>Aceh Selatan</t>
  </si>
  <si>
    <t>Labuhanhaji Timur</t>
  </si>
  <si>
    <t>Sawang Indah</t>
  </si>
  <si>
    <t>Meukek</t>
  </si>
  <si>
    <t>Labuhan Tarok II</t>
  </si>
  <si>
    <t>Aceh Barat Daya</t>
  </si>
  <si>
    <t>Setia</t>
  </si>
  <si>
    <t>Ujung Tanah</t>
  </si>
  <si>
    <t>Susoh</t>
  </si>
  <si>
    <t>Padang Baru</t>
  </si>
  <si>
    <t>LuguSebahak</t>
  </si>
  <si>
    <t>Teluk Dalam</t>
  </si>
  <si>
    <t>Lugu Sebahak</t>
  </si>
  <si>
    <t>Muara Aman</t>
  </si>
  <si>
    <t>Maligi</t>
  </si>
  <si>
    <t>Sumatera Barat</t>
  </si>
  <si>
    <t>Pasaman Barat</t>
  </si>
  <si>
    <t>Sasak Ranah Pasisie</t>
  </si>
  <si>
    <t>CV. Diego Contractor (Kecil)</t>
  </si>
  <si>
    <t>0811170596/herman</t>
  </si>
  <si>
    <t>Tri</t>
  </si>
  <si>
    <t>Sasak</t>
  </si>
  <si>
    <t>Ranah Pasisie</t>
  </si>
  <si>
    <t>Marang</t>
  </si>
  <si>
    <t>Pesisir Barat</t>
  </si>
  <si>
    <t>Pesisir Selatan</t>
  </si>
  <si>
    <t>Bangkunat</t>
  </si>
  <si>
    <t>Kota Jawa</t>
  </si>
  <si>
    <t>Pesisir Tengah</t>
  </si>
  <si>
    <t>Pasar Kota Krui</t>
  </si>
  <si>
    <t>Margasari</t>
  </si>
  <si>
    <t>Labuhan Maringgai</t>
  </si>
  <si>
    <t>Muara Gading Mas</t>
  </si>
  <si>
    <t>TajurBiru</t>
  </si>
  <si>
    <t>Katang Bidare</t>
  </si>
  <si>
    <t>Mensanak</t>
  </si>
  <si>
    <t>Benan</t>
  </si>
  <si>
    <t>Merpas</t>
  </si>
  <si>
    <t>Bengkulu</t>
  </si>
  <si>
    <t>Kaur</t>
  </si>
  <si>
    <t>Kaur Selatan</t>
  </si>
  <si>
    <t>Pasar Lama</t>
  </si>
  <si>
    <t>CV. Rayhan Aditya</t>
  </si>
  <si>
    <t>aufar</t>
  </si>
  <si>
    <t>Maje</t>
  </si>
  <si>
    <t>Way Hawang</t>
  </si>
  <si>
    <t>Pesisir Utara</t>
  </si>
  <si>
    <t>Balam</t>
  </si>
  <si>
    <t>CV. Kerinci Jayo</t>
  </si>
  <si>
    <t>081958332211/petra</t>
  </si>
  <si>
    <t>PadangSarai</t>
  </si>
  <si>
    <t>Padang Pariaman</t>
  </si>
  <si>
    <t>Ulakan Tapakih</t>
  </si>
  <si>
    <t>Seulayat Ulakan</t>
  </si>
  <si>
    <t>PadangSeurahet</t>
  </si>
  <si>
    <t>Aceh Barat</t>
  </si>
  <si>
    <t>Johan Pahlawan</t>
  </si>
  <si>
    <t>Padang Seurahet</t>
  </si>
  <si>
    <t>Samatiga</t>
  </si>
  <si>
    <t>Suak Seumaseh</t>
  </si>
  <si>
    <t>Nagan Raya</t>
  </si>
  <si>
    <t>Tadu Raya</t>
  </si>
  <si>
    <t>Kuala Tadu</t>
  </si>
  <si>
    <t>Krueng Sabee</t>
  </si>
  <si>
    <t>Panton Makmur</t>
  </si>
  <si>
    <t>PambangPesisir</t>
  </si>
  <si>
    <t>Riau</t>
  </si>
  <si>
    <t>Bengkalis</t>
  </si>
  <si>
    <t>Bantan</t>
  </si>
  <si>
    <t>Muntai</t>
  </si>
  <si>
    <t>Kota Pekanbaru</t>
  </si>
  <si>
    <t>Rumbai Timur</t>
  </si>
  <si>
    <t>Tebing Tinggi Okura</t>
  </si>
  <si>
    <t>Siak</t>
  </si>
  <si>
    <t>Sungai Apit</t>
  </si>
  <si>
    <t>Teluk Batil</t>
  </si>
  <si>
    <t>Deluk</t>
  </si>
  <si>
    <t>Meskom</t>
  </si>
  <si>
    <t>PasarBaruBatahan</t>
  </si>
  <si>
    <t>Mandailing Natal</t>
  </si>
  <si>
    <t>Batahan</t>
  </si>
  <si>
    <t>Pasar Baru Batahan</t>
  </si>
  <si>
    <t>Muara Batang Gadis</t>
  </si>
  <si>
    <t>Tabuyung</t>
  </si>
  <si>
    <t>Natal</t>
  </si>
  <si>
    <t>Pasar V Natal</t>
  </si>
  <si>
    <t>PasarLahewa</t>
  </si>
  <si>
    <t>Nias Utara</t>
  </si>
  <si>
    <t>Lahewa</t>
  </si>
  <si>
    <t>Pasar Lahewa</t>
  </si>
  <si>
    <t>Kota Gunungsitoli</t>
  </si>
  <si>
    <t>Gunungsitoli Utara</t>
  </si>
  <si>
    <t>Afia</t>
  </si>
  <si>
    <t>Afulu</t>
  </si>
  <si>
    <t>0818318975/heru</t>
  </si>
  <si>
    <t>PasarPalik</t>
  </si>
  <si>
    <t>Bengkulu Utara</t>
  </si>
  <si>
    <t>Air Napal</t>
  </si>
  <si>
    <t>Pasar Palik</t>
  </si>
  <si>
    <t>Bengkulu Tengah</t>
  </si>
  <si>
    <t>Pondok Kelapa</t>
  </si>
  <si>
    <t>Pekik Nyaring</t>
  </si>
  <si>
    <t>Batik Nau</t>
  </si>
  <si>
    <t>Serangai</t>
  </si>
  <si>
    <t>Putri Hijau</t>
  </si>
  <si>
    <t>Pasar Sebelat</t>
  </si>
  <si>
    <t>Mukomuko</t>
  </si>
  <si>
    <t>Ipuh</t>
  </si>
  <si>
    <t>Pasar Ipuh</t>
  </si>
  <si>
    <t>Nias</t>
  </si>
  <si>
    <t>Idanogawo</t>
  </si>
  <si>
    <t>Laira</t>
  </si>
  <si>
    <t>Pasar Teluk Dalam</t>
  </si>
  <si>
    <t>PematangSeiBaru</t>
  </si>
  <si>
    <t>Asahan</t>
  </si>
  <si>
    <t>Sei Kepayang Barat</t>
  </si>
  <si>
    <t>Sei Jawi-Jawi</t>
  </si>
  <si>
    <t>Ulfa</t>
  </si>
  <si>
    <t>Tanjung Balai</t>
  </si>
  <si>
    <t>Bagan Asahan Baru</t>
  </si>
  <si>
    <t>Batu Bara</t>
  </si>
  <si>
    <t>Medang Deras</t>
  </si>
  <si>
    <t>Nenas Siam</t>
  </si>
  <si>
    <t>Penago_I</t>
  </si>
  <si>
    <t>Seluma</t>
  </si>
  <si>
    <t>Seluma Selatan</t>
  </si>
  <si>
    <t>Pasar Seluma</t>
  </si>
  <si>
    <t>Air Periukan</t>
  </si>
  <si>
    <t>Kungkai Baru</t>
  </si>
  <si>
    <t>Semidang Alas Maras</t>
  </si>
  <si>
    <t>Muara Maras</t>
  </si>
  <si>
    <t>Ketapang Baru</t>
  </si>
  <si>
    <t>PulauRajoInderapura</t>
  </si>
  <si>
    <t>Airpura</t>
  </si>
  <si>
    <t>Pulau Rajo Inderapura</t>
  </si>
  <si>
    <t>PT. Niaga Karya Restu Indonesia (Kecil)</t>
  </si>
  <si>
    <t>08111635097/andre</t>
  </si>
  <si>
    <t>Kresno</t>
  </si>
  <si>
    <t>Linggo Sari Baganti</t>
  </si>
  <si>
    <t>Air Haji Barat</t>
  </si>
  <si>
    <t>Sedanau</t>
  </si>
  <si>
    <t>Bunguran Barat</t>
  </si>
  <si>
    <t>081270099954/rico</t>
  </si>
  <si>
    <t>TK diganti Amir (V)</t>
  </si>
  <si>
    <t>PT. RAJAWALI SAKTI PRIMA</t>
  </si>
  <si>
    <t>081371884188/marlin</t>
  </si>
  <si>
    <t>Suak Midai</t>
  </si>
  <si>
    <t>Batu Belanak</t>
  </si>
  <si>
    <t>PT. Duta Bangun Husaeni</t>
  </si>
  <si>
    <t>Galuh-G</t>
  </si>
  <si>
    <t>Pulau Tiga</t>
  </si>
  <si>
    <t>Sabang Mawang</t>
  </si>
  <si>
    <t>Sededap</t>
  </si>
  <si>
    <t>Pulau Tiga Barat</t>
  </si>
  <si>
    <t>Selading</t>
  </si>
  <si>
    <t>Sembulang</t>
  </si>
  <si>
    <t>Seri Kuala Lobam</t>
  </si>
  <si>
    <t>Busung</t>
  </si>
  <si>
    <t>Kuala Sempang</t>
  </si>
  <si>
    <t>Kota Tanjung Pinang</t>
  </si>
  <si>
    <t>Tanjung Pinang Kota</t>
  </si>
  <si>
    <t>Kampung Bugis</t>
  </si>
  <si>
    <t>TK/Endi</t>
  </si>
  <si>
    <t>SeriKembang</t>
  </si>
  <si>
    <t>Sumatera Selatan</t>
  </si>
  <si>
    <t>Ogan Ilir</t>
  </si>
  <si>
    <t>Muara Kuang</t>
  </si>
  <si>
    <t>Seri Kembang</t>
  </si>
  <si>
    <t>Tanjung Batu</t>
  </si>
  <si>
    <t>Burai</t>
  </si>
  <si>
    <t>SKPTSabang</t>
  </si>
  <si>
    <t>Kota Sabang</t>
  </si>
  <si>
    <t>Sukajaya</t>
  </si>
  <si>
    <t>Jaboi</t>
  </si>
  <si>
    <t>Sukamakmue</t>
  </si>
  <si>
    <t>Keunekai</t>
  </si>
  <si>
    <t>Batee Shok</t>
  </si>
  <si>
    <t>SKPTTelukSinabang</t>
  </si>
  <si>
    <t>Teupah Selatan</t>
  </si>
  <si>
    <t>Latiung</t>
  </si>
  <si>
    <t>Teupah Tengah</t>
  </si>
  <si>
    <t>Kahad</t>
  </si>
  <si>
    <t>SungaiBuluh</t>
  </si>
  <si>
    <t>Indragiri Hilir</t>
  </si>
  <si>
    <t>Kuala Indragiri</t>
  </si>
  <si>
    <t>Sungaibuluh</t>
  </si>
  <si>
    <t>Concong</t>
  </si>
  <si>
    <t>Panglima Raja</t>
  </si>
  <si>
    <t>Mandah</t>
  </si>
  <si>
    <t>Bekawan</t>
  </si>
  <si>
    <t>Sungai Batang</t>
  </si>
  <si>
    <t>Kuala Patah Parang</t>
  </si>
  <si>
    <t>SungaiLumpur</t>
  </si>
  <si>
    <t>Ogan Komering Ilir</t>
  </si>
  <si>
    <t>Cengal</t>
  </si>
  <si>
    <t>Sungai Lumpur</t>
  </si>
  <si>
    <t>Kuala Sungai Pasir</t>
  </si>
  <si>
    <t>Tulung Selapan</t>
  </si>
  <si>
    <t>Simpang Tiga Makmur</t>
  </si>
  <si>
    <t>Simpang Tiga Jaya</t>
  </si>
  <si>
    <t>SungaiPadang</t>
  </si>
  <si>
    <t>Belitung Timur</t>
  </si>
  <si>
    <t>Kelapa Kampit</t>
  </si>
  <si>
    <t>Mayang</t>
  </si>
  <si>
    <t>Manggar</t>
  </si>
  <si>
    <t>Baru</t>
  </si>
  <si>
    <t>SungaiSibur</t>
  </si>
  <si>
    <t>Sungai Menang</t>
  </si>
  <si>
    <t>Sungai Sibur</t>
  </si>
  <si>
    <t>Mesuji</t>
  </si>
  <si>
    <t>Rawa Jitu Utara</t>
  </si>
  <si>
    <t>Sidang Muara Jaya</t>
  </si>
  <si>
    <t>Kuala Teladas</t>
  </si>
  <si>
    <t>Sungsang_IV</t>
  </si>
  <si>
    <t>Banyuasin</t>
  </si>
  <si>
    <t>Makarti Jaya</t>
  </si>
  <si>
    <t>Upang Makmur</t>
  </si>
  <si>
    <t>Muara Sugihan</t>
  </si>
  <si>
    <t>Juru Taro</t>
  </si>
  <si>
    <t>Musi Banyuasin</t>
  </si>
  <si>
    <t>Lalan</t>
  </si>
  <si>
    <t>Ringin Agung</t>
  </si>
  <si>
    <t>PT. Cahaya Sriwijaya Abadi</t>
  </si>
  <si>
    <t>Air Sugihan</t>
  </si>
  <si>
    <t>TanjongKrueng</t>
  </si>
  <si>
    <t>Pidie</t>
  </si>
  <si>
    <t>Kembang Tanjong</t>
  </si>
  <si>
    <t>Tanjong Krueng</t>
  </si>
  <si>
    <t>Pidie Jaya</t>
  </si>
  <si>
    <t>Meurah Dua</t>
  </si>
  <si>
    <t>Meunasah Jurong</t>
  </si>
  <si>
    <t>Seulimeum</t>
  </si>
  <si>
    <t>Leungah</t>
  </si>
  <si>
    <t>Kota Sigli</t>
  </si>
  <si>
    <t>Kuala Pidie</t>
  </si>
  <si>
    <t>Jangka Buya</t>
  </si>
  <si>
    <t>Keurisi Meunasah Beurembang</t>
  </si>
  <si>
    <t>Batee</t>
  </si>
  <si>
    <t>Pasi Beurandeh</t>
  </si>
  <si>
    <t>Jeumeurang</t>
  </si>
  <si>
    <t>TanjungKelit</t>
  </si>
  <si>
    <t>Bakung Serumpun</t>
  </si>
  <si>
    <t>Tanjung Kelit</t>
  </si>
  <si>
    <t>Lingga Utara</t>
  </si>
  <si>
    <t>Sekanah</t>
  </si>
  <si>
    <t>Pancur</t>
  </si>
  <si>
    <t>Senayang</t>
  </si>
  <si>
    <t>Penaah</t>
  </si>
  <si>
    <t>TanjungRusa</t>
  </si>
  <si>
    <t>Belitung</t>
  </si>
  <si>
    <t>Membalong</t>
  </si>
  <si>
    <t>Tanjungrusa</t>
  </si>
  <si>
    <t>Pulau Seliu</t>
  </si>
  <si>
    <t>Tegineneng</t>
  </si>
  <si>
    <t>Pematang Sawa</t>
  </si>
  <si>
    <t>Betung</t>
  </si>
  <si>
    <t>Wonosobo</t>
  </si>
  <si>
    <t>Karang Anyar</t>
  </si>
  <si>
    <t>087701777887/082338377289/bambang harianto</t>
  </si>
  <si>
    <t>Kota Agung Barat</t>
  </si>
  <si>
    <t>Tanjung Agung</t>
  </si>
  <si>
    <t>81929078383/agil</t>
  </si>
  <si>
    <t>Tala Gening</t>
  </si>
  <si>
    <t>Karang Brak</t>
  </si>
  <si>
    <t>Way Nipah</t>
  </si>
  <si>
    <t>Tanjungan</t>
  </si>
  <si>
    <t>TelukKabungSelatan</t>
  </si>
  <si>
    <t>Kota Padang</t>
  </si>
  <si>
    <t>Bungus Teluk Kabung</t>
  </si>
  <si>
    <t>Teluk Kabung Selatan</t>
  </si>
  <si>
    <t>PT. Gunung Landoli Jaya (Kecil-Menengah)</t>
  </si>
  <si>
    <t>082187637727/rizmayan</t>
  </si>
  <si>
    <t>Saliguma</t>
  </si>
  <si>
    <t>Kepulauan Mentawai</t>
  </si>
  <si>
    <t>Siberut Selatan</t>
  </si>
  <si>
    <t>Maileppet</t>
  </si>
  <si>
    <t>Koto XI Tarusan</t>
  </si>
  <si>
    <t>Sungai Pinang</t>
  </si>
  <si>
    <t>TelukLimau</t>
  </si>
  <si>
    <t>Bangka Barat</t>
  </si>
  <si>
    <t>Parittiga</t>
  </si>
  <si>
    <t>Teluk Limau</t>
  </si>
  <si>
    <t>PT. Sahabat Group Nusantara Mandiri</t>
  </si>
  <si>
    <t>085730951922/aris</t>
  </si>
  <si>
    <t>Simpang Teritip</t>
  </si>
  <si>
    <t>Rambat</t>
  </si>
  <si>
    <t>PT. Laksana Aneka Sarana</t>
  </si>
  <si>
    <t>08129674773/sidik</t>
  </si>
  <si>
    <t>Tempilang</t>
  </si>
  <si>
    <t>Tanjung Niur</t>
  </si>
  <si>
    <t>TelukNibung</t>
  </si>
  <si>
    <t>Aceh Singkil</t>
  </si>
  <si>
    <t>Pulau Banyak</t>
  </si>
  <si>
    <t>Teluk Nibung</t>
  </si>
  <si>
    <t>Bakongan Timur</t>
  </si>
  <si>
    <t>Ujong Pulo Rayeuk</t>
  </si>
  <si>
    <t>Bakongan</t>
  </si>
  <si>
    <t>Darul Ikhsan</t>
  </si>
  <si>
    <t>TelukPulai</t>
  </si>
  <si>
    <t>Rokan Hilir</t>
  </si>
  <si>
    <t>Pasir Limau Kapas</t>
  </si>
  <si>
    <t>Telukpulai</t>
  </si>
  <si>
    <t>Panipahan Darat</t>
  </si>
  <si>
    <t>Sinaboi</t>
  </si>
  <si>
    <t>TikuSelatan</t>
  </si>
  <si>
    <t>Agam</t>
  </si>
  <si>
    <t>Tanjung Mutiara</t>
  </si>
  <si>
    <t>Tiku Selatan</t>
  </si>
  <si>
    <t>Kota Pariaman</t>
  </si>
  <si>
    <t>Pariaman Selatan</t>
  </si>
  <si>
    <t>Marunggi</t>
  </si>
  <si>
    <t>Pariaman Utara</t>
  </si>
  <si>
    <t>Ampalu</t>
  </si>
  <si>
    <t>Sungai Limau</t>
  </si>
  <si>
    <t>Pilubang</t>
  </si>
  <si>
    <t>Koto Tinggi Kuranji Hilir</t>
  </si>
  <si>
    <t>PT. Segi Tiga Tambora</t>
  </si>
  <si>
    <t>anwar/082112111009</t>
  </si>
  <si>
    <t>Usulan pak arlan-rid</t>
  </si>
  <si>
    <t>Tukak</t>
  </si>
  <si>
    <t>Bangka Selatan</t>
  </si>
  <si>
    <t>Lepar</t>
  </si>
  <si>
    <t>Tanjung Sangkar</t>
  </si>
  <si>
    <t>Kepulauan Pongok</t>
  </si>
  <si>
    <t>Celagen</t>
  </si>
  <si>
    <t>Tukak Sadai</t>
  </si>
  <si>
    <t>Sadai</t>
  </si>
  <si>
    <t>Toboali</t>
  </si>
  <si>
    <t>Tanjung Ketapang</t>
  </si>
  <si>
    <t>Tungkal_Ii</t>
  </si>
  <si>
    <t>Jambi</t>
  </si>
  <si>
    <t>Tanjung Jabung Barat</t>
  </si>
  <si>
    <t>Tungkal Ilir</t>
  </si>
  <si>
    <t>Tungkal Ii</t>
  </si>
  <si>
    <t>Kepulauan Meranti</t>
  </si>
  <si>
    <t>Pulaumerbau</t>
  </si>
  <si>
    <t>Centai</t>
  </si>
  <si>
    <t>Merbau</t>
  </si>
  <si>
    <t>Mekar Sari</t>
  </si>
  <si>
    <t>Pelalawan</t>
  </si>
  <si>
    <t>Kuala Kampar</t>
  </si>
  <si>
    <t>Teluk</t>
  </si>
  <si>
    <t>Penyengat</t>
  </si>
  <si>
    <t>081314149262/tomi</t>
  </si>
  <si>
    <t>Umum/seto</t>
  </si>
  <si>
    <t>Rangsang Pesisir</t>
  </si>
  <si>
    <t>CV. Hanovan Natama</t>
  </si>
  <si>
    <t>08116301344/hariman</t>
  </si>
  <si>
    <t>Azim Rina</t>
  </si>
  <si>
    <t>Tambahan 66 Papua</t>
  </si>
  <si>
    <t>Ronggaiwa</t>
  </si>
  <si>
    <t>Mambui</t>
  </si>
  <si>
    <t>Iriati</t>
  </si>
  <si>
    <t>Teluk Wondama</t>
  </si>
  <si>
    <t>Wasior</t>
  </si>
  <si>
    <t>Tarof</t>
  </si>
  <si>
    <t>Kokoda</t>
  </si>
  <si>
    <t>Orkeri</t>
  </si>
  <si>
    <t>Ureifaisei Iii/ Paradoi</t>
  </si>
  <si>
    <t>Soor</t>
  </si>
  <si>
    <t>Komboi</t>
  </si>
  <si>
    <t>Dokis</t>
  </si>
  <si>
    <t>Kamarisano</t>
  </si>
  <si>
    <t>Entiyebo</t>
  </si>
  <si>
    <t>Raveni Rara</t>
  </si>
  <si>
    <t>Newa</t>
  </si>
  <si>
    <t>Senamay</t>
  </si>
  <si>
    <t>Endokisi</t>
  </si>
  <si>
    <t>Yongsu Sapari</t>
  </si>
  <si>
    <t>Mayaghaido</t>
  </si>
  <si>
    <t>Masirei</t>
  </si>
  <si>
    <t>Emauri</t>
  </si>
  <si>
    <t>Kasuweri</t>
  </si>
  <si>
    <t>Waren II</t>
  </si>
  <si>
    <t>Inanwatan</t>
  </si>
  <si>
    <t>Isogo</t>
  </si>
  <si>
    <t>Tambani</t>
  </si>
  <si>
    <t>Siri-siri</t>
  </si>
  <si>
    <t>Wamesa</t>
  </si>
  <si>
    <t>Yarpate</t>
  </si>
  <si>
    <t>Holmafen</t>
  </si>
  <si>
    <t>Lembah Neidam</t>
  </si>
  <si>
    <t>Dembek</t>
  </si>
  <si>
    <t>Muari</t>
  </si>
  <si>
    <t>Seremuk</t>
  </si>
  <si>
    <t>Klaogin</t>
  </si>
  <si>
    <t>Manwor Indah</t>
  </si>
  <si>
    <t>Saribi</t>
  </si>
  <si>
    <t>Wansra</t>
  </si>
  <si>
    <t>Sarwa</t>
  </si>
  <si>
    <t>Korem</t>
  </si>
  <si>
    <t>Ramdori</t>
  </si>
  <si>
    <t>Yawerma</t>
  </si>
  <si>
    <t>Marur</t>
  </si>
  <si>
    <t>Syurdori</t>
  </si>
  <si>
    <t>Puweri</t>
  </si>
  <si>
    <t>Supiori Utara</t>
  </si>
  <si>
    <t>Kobari Jaya</t>
  </si>
  <si>
    <t>Supiori Barat</t>
  </si>
  <si>
    <t>Waryei</t>
  </si>
  <si>
    <t>Wayori</t>
  </si>
  <si>
    <t>Warbor</t>
  </si>
  <si>
    <t>Koiryakam</t>
  </si>
  <si>
    <t>Amyas</t>
  </si>
  <si>
    <t>Bonggo Timur</t>
  </si>
  <si>
    <t>Kapitiau</t>
  </si>
  <si>
    <t>Biawer</t>
  </si>
  <si>
    <t>Yopmeos</t>
  </si>
  <si>
    <t>Dotir</t>
  </si>
  <si>
    <t>Roon</t>
  </si>
  <si>
    <t>Mena</t>
  </si>
  <si>
    <t>Paradoi</t>
  </si>
  <si>
    <t>Soug Jaya</t>
  </si>
  <si>
    <t>Nuspairo</t>
  </si>
  <si>
    <t>Reyob</t>
  </si>
  <si>
    <t>Kamaro</t>
  </si>
  <si>
    <t>SamberBinyeri</t>
  </si>
  <si>
    <t>Yendidori</t>
  </si>
  <si>
    <t>Waroi</t>
  </si>
  <si>
    <t>Kanaan</t>
  </si>
  <si>
    <t>Insiri</t>
  </si>
  <si>
    <t>Mamoribo</t>
  </si>
  <si>
    <t>Rarsbari</t>
  </si>
  <si>
    <t>Maryaidori</t>
  </si>
  <si>
    <t>Validasi 21 Mei 2026</t>
  </si>
  <si>
    <t>Banyutowo (2025)</t>
  </si>
  <si>
    <t>Dukuhseti</t>
  </si>
  <si>
    <t>Alasdowo</t>
  </si>
  <si>
    <t>Puncel</t>
  </si>
  <si>
    <t>Dororejo</t>
  </si>
  <si>
    <t>Margomulyo</t>
  </si>
  <si>
    <t>Tanggunggunung</t>
  </si>
  <si>
    <t>Jengglungharjo</t>
  </si>
  <si>
    <t>Purworejo</t>
  </si>
  <si>
    <t>Mororejo</t>
  </si>
  <si>
    <t>Balok</t>
  </si>
  <si>
    <t>Kota Semarang</t>
  </si>
  <si>
    <t>Semarang Utara</t>
  </si>
  <si>
    <t>Tanjung Mas</t>
  </si>
  <si>
    <t>Kedungkarang</t>
  </si>
  <si>
    <t>Tamberu</t>
  </si>
  <si>
    <t>Pasean</t>
  </si>
  <si>
    <t>Sotabar</t>
  </si>
  <si>
    <t>Sokobanah</t>
  </si>
  <si>
    <t>Bira Tengah</t>
  </si>
  <si>
    <t>CV. Kometro Mega Solusi</t>
  </si>
  <si>
    <t>081287997779/gina</t>
  </si>
  <si>
    <t>Ghina*</t>
  </si>
  <si>
    <t>Ambunten</t>
  </si>
  <si>
    <t>Ambunten Tengah</t>
  </si>
  <si>
    <t>Giliginting</t>
  </si>
  <si>
    <t>Gedugan</t>
  </si>
  <si>
    <t>Masalembu</t>
  </si>
  <si>
    <t>Kramian</t>
  </si>
  <si>
    <t>Ghina</t>
  </si>
  <si>
    <t>Dungkek</t>
  </si>
  <si>
    <t>Bancamara</t>
  </si>
  <si>
    <t>Dekatagung</t>
  </si>
  <si>
    <t>Gresik</t>
  </si>
  <si>
    <t>Sangkapura</t>
  </si>
  <si>
    <t>Sidogedungbatu</t>
  </si>
  <si>
    <t>Kebonagung</t>
  </si>
  <si>
    <t>Klesem</t>
  </si>
  <si>
    <t>Buayan</t>
  </si>
  <si>
    <t>Karangbolong</t>
  </si>
  <si>
    <t>Kemantren</t>
  </si>
  <si>
    <t>Lamongan</t>
  </si>
  <si>
    <t>Paciran</t>
  </si>
  <si>
    <t>Brondong</t>
  </si>
  <si>
    <t>Labuhan</t>
  </si>
  <si>
    <t>Panceng</t>
  </si>
  <si>
    <t>Dalegan</t>
  </si>
  <si>
    <t>PT. Sang Karya</t>
  </si>
  <si>
    <t>087880368888/helen</t>
  </si>
  <si>
    <t>Helen-istana</t>
  </si>
  <si>
    <t>Kandangsemangkon</t>
  </si>
  <si>
    <t>Kranji</t>
  </si>
  <si>
    <t>Warulor</t>
  </si>
  <si>
    <t>Campurejo</t>
  </si>
  <si>
    <t>Mirit</t>
  </si>
  <si>
    <t>Rowo</t>
  </si>
  <si>
    <t>Karangrejo</t>
  </si>
  <si>
    <t>Bojonegara</t>
  </si>
  <si>
    <t>Margagiri</t>
  </si>
  <si>
    <t>Batangan</t>
  </si>
  <si>
    <t>Pecangaan</t>
  </si>
  <si>
    <t>Gajahkumpul</t>
  </si>
  <si>
    <t>Juwana</t>
  </si>
  <si>
    <t>Bajomulyo</t>
  </si>
  <si>
    <t>Sidoarjo</t>
  </si>
  <si>
    <t>Jabon</t>
  </si>
  <si>
    <t>Kalirejo</t>
  </si>
  <si>
    <t>Kota Pasuruan</t>
  </si>
  <si>
    <t>Panggungrejo</t>
  </si>
  <si>
    <t>Ngemplakrejo</t>
  </si>
  <si>
    <t>Sumberasih</t>
  </si>
  <si>
    <t>Gili Ketapang</t>
  </si>
  <si>
    <t>g-batal</t>
  </si>
  <si>
    <t>Sumbermanjing Wetan</t>
  </si>
  <si>
    <t>Sidoasri</t>
  </si>
  <si>
    <t>Tambakrejo</t>
  </si>
  <si>
    <t>Danasari</t>
  </si>
  <si>
    <t>Bojongsana</t>
  </si>
  <si>
    <t>087768911327/vikry</t>
  </si>
  <si>
    <t>ulfa-g</t>
  </si>
  <si>
    <t>Kota Tegal</t>
  </si>
  <si>
    <t>Tegal Barat</t>
  </si>
  <si>
    <t>Tegalsari</t>
  </si>
  <si>
    <t>Taman</t>
  </si>
  <si>
    <t>Asemdoyong</t>
  </si>
  <si>
    <t>Klampis</t>
  </si>
  <si>
    <t>Klampis Barat</t>
  </si>
  <si>
    <t>Klampis Timur</t>
  </si>
  <si>
    <t>Kwanyar</t>
  </si>
  <si>
    <t>Batah Timur</t>
  </si>
  <si>
    <t>Socah</t>
  </si>
  <si>
    <t>Junganyar</t>
  </si>
  <si>
    <t>Banyuates</t>
  </si>
  <si>
    <t>Jatra Timur</t>
  </si>
  <si>
    <t>Teluk Waru</t>
  </si>
  <si>
    <t>Dawang</t>
  </si>
  <si>
    <t>Ilili</t>
  </si>
  <si>
    <t>Kurwara</t>
  </si>
  <si>
    <t>Sanana Utara</t>
  </si>
  <si>
    <t>Malbufa</t>
  </si>
  <si>
    <t>Haya</t>
  </si>
  <si>
    <t>Werinama</t>
  </si>
  <si>
    <t>Batuasa</t>
  </si>
  <si>
    <t>Huamual Belakang</t>
  </si>
  <si>
    <t>Waesala</t>
  </si>
  <si>
    <t>Makatian</t>
  </si>
  <si>
    <t>Dullah</t>
  </si>
  <si>
    <t>Molu Maru</t>
  </si>
  <si>
    <t>Tutunametal</t>
  </si>
  <si>
    <t>Adodo Molu</t>
  </si>
  <si>
    <t>Peudada</t>
  </si>
  <si>
    <t>Matang Pasi</t>
  </si>
  <si>
    <t>Sambay</t>
  </si>
  <si>
    <t>Simeulue barat</t>
  </si>
  <si>
    <t>Sigulai</t>
  </si>
  <si>
    <t>Bagan Asahan Pekan</t>
  </si>
  <si>
    <t>Lhoong</t>
  </si>
  <si>
    <t>Kareung</t>
  </si>
  <si>
    <t>Validasi 22 Mei 2026</t>
  </si>
  <si>
    <t>Kebirangga (2025)</t>
  </si>
  <si>
    <t>Nangaroro</t>
  </si>
  <si>
    <t>Woewutu</t>
  </si>
  <si>
    <t>Wolowae</t>
  </si>
  <si>
    <t>Tendakinde</t>
  </si>
  <si>
    <t>P. Mandangin</t>
  </si>
  <si>
    <t>Tehoru</t>
  </si>
  <si>
    <t>Aru Selatan</t>
  </si>
  <si>
    <t>Kabalukin</t>
  </si>
  <si>
    <t>Nusa Laut</t>
  </si>
  <si>
    <t>Sila</t>
  </si>
  <si>
    <t>Morotai Timur</t>
  </si>
  <si>
    <t>Mira</t>
  </si>
  <si>
    <t>Koloray</t>
  </si>
  <si>
    <t>Validasi 23 Mei 2026</t>
  </si>
  <si>
    <t>Semayang</t>
  </si>
  <si>
    <t>Kutai Kartanegara</t>
  </si>
  <si>
    <t>Kota Bangun</t>
  </si>
  <si>
    <t>Pela</t>
  </si>
  <si>
    <t>PT. Gokma Parulian Perkasa (Kecil)</t>
  </si>
  <si>
    <t>Sangkuliman</t>
  </si>
  <si>
    <t>Tihengo</t>
  </si>
  <si>
    <t>085719545418/riky</t>
  </si>
  <si>
    <t>Malambe</t>
  </si>
  <si>
    <t>Kwandang</t>
  </si>
  <si>
    <t>Bulalo</t>
  </si>
  <si>
    <t>Ilodulunga</t>
  </si>
  <si>
    <t>Validasi 24 Mei 2026</t>
  </si>
  <si>
    <t>Bacan Selatan</t>
  </si>
  <si>
    <t>Panamboang</t>
  </si>
  <si>
    <t>Balauring</t>
  </si>
  <si>
    <t>Buko</t>
  </si>
  <si>
    <t>PangkalanBanteng</t>
  </si>
  <si>
    <t>Kotawaringin Barat</t>
  </si>
  <si>
    <t>Pangkalan Banteng</t>
  </si>
  <si>
    <t>Kumai</t>
  </si>
  <si>
    <t>Sabuai</t>
  </si>
  <si>
    <t>Lebatukan</t>
  </si>
  <si>
    <t>Tapolangu</t>
  </si>
  <si>
    <t>Mudakeputu (2025)</t>
  </si>
  <si>
    <t>Titehena</t>
  </si>
  <si>
    <t>Lewolaga</t>
  </si>
  <si>
    <t>Kayoa</t>
  </si>
  <si>
    <t>Talimau</t>
  </si>
  <si>
    <t>Adonara</t>
  </si>
  <si>
    <t>Sagu</t>
  </si>
  <si>
    <t>Witihama</t>
  </si>
  <si>
    <t>Waiwuring</t>
  </si>
  <si>
    <t>Gorontalo utara</t>
  </si>
  <si>
    <t>Sumalata Timur</t>
  </si>
  <si>
    <t>Deme Ii</t>
  </si>
  <si>
    <t>Rambang Kuang</t>
  </si>
  <si>
    <t>Sunur</t>
  </si>
  <si>
    <t>MuaraKelingi</t>
  </si>
  <si>
    <t>Musi Rawas</t>
  </si>
  <si>
    <t>Muara Kelingi</t>
  </si>
  <si>
    <t>Sumber Marga Telang</t>
  </si>
  <si>
    <t>Bengkulu Selatan</t>
  </si>
  <si>
    <t>Pino Raya</t>
  </si>
  <si>
    <t>Pasar Pino</t>
  </si>
  <si>
    <t>Pasar Manna</t>
  </si>
  <si>
    <t>Pasar Bawah</t>
  </si>
  <si>
    <t>Validasi 25 Mei 2026</t>
  </si>
  <si>
    <t>Idi Rayeuk</t>
  </si>
  <si>
    <t>Gampong Aceh</t>
  </si>
  <si>
    <t>Semulut</t>
  </si>
  <si>
    <t>Muara Lakitan</t>
  </si>
  <si>
    <t>Muara Rengas</t>
  </si>
  <si>
    <t>Tanjungpasir</t>
  </si>
  <si>
    <t>Tanjung Pasir</t>
  </si>
  <si>
    <t>Batang Tumu</t>
  </si>
  <si>
    <t>SekanakRaya</t>
  </si>
  <si>
    <t>Kota Batam</t>
  </si>
  <si>
    <t>Bulang</t>
  </si>
  <si>
    <t>Temoyong</t>
  </si>
  <si>
    <t>Karimun</t>
  </si>
  <si>
    <t>Tebing</t>
  </si>
  <si>
    <t>Teluk Uma</t>
  </si>
  <si>
    <t>PT. Riden Jaya</t>
  </si>
  <si>
    <t>081262151541/dani</t>
  </si>
  <si>
    <t>Usulan Tambahan V</t>
  </si>
  <si>
    <t>Ungar</t>
  </si>
  <si>
    <t>Batu Limau</t>
  </si>
  <si>
    <t>TelagaTujuh</t>
  </si>
  <si>
    <t>Durai</t>
  </si>
  <si>
    <t>Telaga Tujuh</t>
  </si>
  <si>
    <t>Semembang</t>
  </si>
  <si>
    <t>Simeulue Timur</t>
  </si>
  <si>
    <t>Amaiteng Mulia</t>
  </si>
  <si>
    <t>Mekar Jaya</t>
  </si>
  <si>
    <t>Temiang Pesisir</t>
  </si>
  <si>
    <t>Tajur Biru</t>
  </si>
  <si>
    <t>Kepulauan Posek</t>
  </si>
  <si>
    <t>Gringsing</t>
  </si>
  <si>
    <t>Sidorejo</t>
  </si>
  <si>
    <t>Klidang Lor</t>
  </si>
  <si>
    <t>CV. Rizki Aqori Sejati</t>
  </si>
  <si>
    <t>08112142626/erik</t>
  </si>
  <si>
    <t>Serdang</t>
  </si>
  <si>
    <t>Kepoh</t>
  </si>
  <si>
    <t>Kurau</t>
  </si>
  <si>
    <t>Koba</t>
  </si>
  <si>
    <t>Aewoe</t>
  </si>
  <si>
    <t>Mauponggo</t>
  </si>
  <si>
    <t>Patimuan</t>
  </si>
  <si>
    <t>Bulupayung</t>
  </si>
  <si>
    <t>TorosiajeJaya</t>
  </si>
  <si>
    <t>Torosiaje</t>
  </si>
  <si>
    <t>Tuhemberua</t>
  </si>
  <si>
    <t>Siofa Banua</t>
  </si>
  <si>
    <t>Opiaref</t>
  </si>
  <si>
    <t>Mimika Tengah</t>
  </si>
  <si>
    <t>Atuka</t>
  </si>
  <si>
    <t>Mimika Barat Jauh</t>
  </si>
  <si>
    <t>Potowai Buru</t>
  </si>
  <si>
    <t>Potowaiburu</t>
  </si>
  <si>
    <t>Mimika Barat Tengah</t>
  </si>
  <si>
    <t>Pronggo</t>
  </si>
  <si>
    <t>Mupuruka</t>
  </si>
  <si>
    <t>Mimika Timur</t>
  </si>
  <si>
    <t>Poumako</t>
  </si>
  <si>
    <t>Molosipat</t>
  </si>
  <si>
    <t>Duhiadaa</t>
  </si>
  <si>
    <t>Bulili</t>
  </si>
  <si>
    <t>Taula'a</t>
  </si>
  <si>
    <t>Bone Raya</t>
  </si>
  <si>
    <t>Mootinelo</t>
  </si>
  <si>
    <t>Kampung Baru</t>
  </si>
  <si>
    <t>Validasi 26 Mei 2026</t>
  </si>
  <si>
    <t>Muarareja</t>
  </si>
  <si>
    <t>Purwahamba</t>
  </si>
  <si>
    <t>Pekalongan</t>
  </si>
  <si>
    <t>Wonokerto</t>
  </si>
  <si>
    <t>Pecakaran</t>
  </si>
  <si>
    <t>Oesapa Barat</t>
  </si>
  <si>
    <t>Wonokertokulon</t>
  </si>
  <si>
    <t>Belinyu</t>
  </si>
  <si>
    <t>Bintet</t>
  </si>
  <si>
    <t>Lahusa</t>
  </si>
  <si>
    <t>Bawozihono</t>
  </si>
  <si>
    <t>BitunirisSelatan</t>
  </si>
  <si>
    <t>Dalum</t>
  </si>
  <si>
    <t>0.1</t>
  </si>
  <si>
    <t>Poiru</t>
  </si>
  <si>
    <t>Andei</t>
  </si>
  <si>
    <t>Apainabo</t>
  </si>
  <si>
    <t>Kuala Alam</t>
  </si>
  <si>
    <t>Kasiruta Timur</t>
  </si>
  <si>
    <t>Kota Lama</t>
  </si>
  <si>
    <t>Pasir Panjang</t>
  </si>
  <si>
    <t>Nunbaun Delha</t>
  </si>
  <si>
    <t>Biboki Anleu</t>
  </si>
  <si>
    <t>Tuamese</t>
  </si>
  <si>
    <t>Tahalupu</t>
  </si>
  <si>
    <t>Bacan Timur Selatan</t>
  </si>
  <si>
    <t>Silang</t>
  </si>
  <si>
    <t>Tawabi</t>
  </si>
  <si>
    <t>Salomekko</t>
  </si>
  <si>
    <t>Manera</t>
  </si>
  <si>
    <t>iqbal/AM</t>
  </si>
  <si>
    <t>Talo</t>
  </si>
  <si>
    <t>Sungai Beremas</t>
  </si>
  <si>
    <t>Aia Bangih</t>
  </si>
  <si>
    <t>Bacan Barat Utara</t>
  </si>
  <si>
    <t>Sidopo</t>
  </si>
  <si>
    <t>PPITanjungLimau</t>
  </si>
  <si>
    <t>Muara Badak</t>
  </si>
  <si>
    <t>Tanjung Limau</t>
  </si>
  <si>
    <t>Mandioli Utara</t>
  </si>
  <si>
    <t>Waya</t>
  </si>
  <si>
    <t>Towea</t>
  </si>
  <si>
    <t>Wangkolabu</t>
  </si>
  <si>
    <t>Kayoa Barat</t>
  </si>
  <si>
    <t>Bokimiake</t>
  </si>
  <si>
    <t>Sipakainge</t>
  </si>
  <si>
    <t>Bhontu-Bhontu</t>
  </si>
  <si>
    <t>Napabalano</t>
  </si>
  <si>
    <t>Lakudo</t>
  </si>
  <si>
    <t>Moko</t>
  </si>
  <si>
    <t>Mawasangka Timur</t>
  </si>
  <si>
    <t>Lagili</t>
  </si>
  <si>
    <t>2, 0</t>
  </si>
  <si>
    <t>Duampanua</t>
  </si>
  <si>
    <t>Data</t>
  </si>
  <si>
    <t>Tasiwalie</t>
  </si>
  <si>
    <t>Lanrisang</t>
  </si>
  <si>
    <t>Waetuoe</t>
  </si>
  <si>
    <t>Soppeng Riaja</t>
  </si>
  <si>
    <t>Siddo</t>
  </si>
  <si>
    <t>Numana</t>
  </si>
  <si>
    <t>Wakatobi</t>
  </si>
  <si>
    <t>Wangi Wangi Selatan</t>
  </si>
  <si>
    <t>Sumpang Binangae</t>
  </si>
  <si>
    <t>Tomia Timur</t>
  </si>
  <si>
    <t>Dete</t>
  </si>
  <si>
    <t>Binongko</t>
  </si>
  <si>
    <t>Palahidu Barat</t>
  </si>
  <si>
    <t>BatuAtasTimur</t>
  </si>
  <si>
    <t>Batu Atas</t>
  </si>
  <si>
    <t>Batu Atas Timur</t>
  </si>
  <si>
    <t>Marang Kayu</t>
  </si>
  <si>
    <t>Kersik</t>
  </si>
  <si>
    <t>Ratulodong</t>
  </si>
  <si>
    <t>Limbatihu</t>
  </si>
  <si>
    <t>Panipahan</t>
  </si>
  <si>
    <t>Validasi 28 Mei 2026</t>
  </si>
  <si>
    <t>Siberut Tengah</t>
  </si>
  <si>
    <t>Siberut Utara</t>
  </si>
  <si>
    <t>Muara Sikabaluan</t>
  </si>
  <si>
    <t>SambojaKuala</t>
  </si>
  <si>
    <t>Samboja</t>
  </si>
  <si>
    <t>Samboja Kuala</t>
  </si>
  <si>
    <t>Jaya</t>
  </si>
  <si>
    <t>Gle Jong</t>
  </si>
  <si>
    <t>Kenohan</t>
  </si>
  <si>
    <t>Bozihona</t>
  </si>
  <si>
    <t>Muara Muntai</t>
  </si>
  <si>
    <t>Jantur Selatan</t>
  </si>
  <si>
    <t>Warido</t>
  </si>
  <si>
    <t>Swaipak</t>
  </si>
  <si>
    <t>Fak-Fak Timur</t>
  </si>
  <si>
    <t>Tunas Gain</t>
  </si>
  <si>
    <t>Mbahamdandara</t>
  </si>
  <si>
    <t>Goras</t>
  </si>
  <si>
    <t>Warmasen</t>
  </si>
  <si>
    <t>Raja Ampat</t>
  </si>
  <si>
    <t>Waigeo Barat Kepulauan</t>
  </si>
  <si>
    <t>Gag</t>
  </si>
  <si>
    <t>Anggana</t>
  </si>
  <si>
    <t>Handil Terusan</t>
  </si>
  <si>
    <t>Olimeyala</t>
  </si>
  <si>
    <t>Pagatan Besar</t>
  </si>
  <si>
    <t>Huwongo</t>
  </si>
  <si>
    <t>Bunguran Timur</t>
  </si>
  <si>
    <t>Sepempang</t>
  </si>
  <si>
    <t>PT. Kelman Infra Perkasa</t>
  </si>
  <si>
    <t>081914588646/ridwan</t>
  </si>
  <si>
    <t>Arif Rah</t>
  </si>
  <si>
    <t>Sauri</t>
  </si>
  <si>
    <t>HolimomboJaya</t>
  </si>
  <si>
    <t>Wabula</t>
  </si>
  <si>
    <t>Wasampela</t>
  </si>
  <si>
    <t>Panyipatan</t>
  </si>
  <si>
    <t>Batakan</t>
  </si>
  <si>
    <t>Tomia</t>
  </si>
  <si>
    <t>Lamanggau</t>
  </si>
  <si>
    <t>Pulau Sembilan</t>
  </si>
  <si>
    <t>Pulau Padaelo</t>
  </si>
  <si>
    <t>Validasi 29 Mei 2026</t>
  </si>
  <si>
    <t>Secanggang</t>
  </si>
  <si>
    <t>NunukanUtara</t>
  </si>
  <si>
    <t>Nunukan</t>
  </si>
  <si>
    <t>Sebatik Utara</t>
  </si>
  <si>
    <t>Sungai Pancang</t>
  </si>
  <si>
    <t>Kota Ternate</t>
  </si>
  <si>
    <t>Pulau Ternate</t>
  </si>
  <si>
    <t>Rua</t>
  </si>
  <si>
    <t>Halmahera Barat</t>
  </si>
  <si>
    <t>Jailolo Selatan</t>
  </si>
  <si>
    <t>Toniku</t>
  </si>
  <si>
    <t>Jailolo selatan</t>
  </si>
  <si>
    <t>Sidongoli Dehe</t>
  </si>
  <si>
    <t>Kedawung</t>
  </si>
  <si>
    <t>PT. Mekar Mulia Contractor</t>
  </si>
  <si>
    <t>haris</t>
  </si>
  <si>
    <t>Jailolo</t>
  </si>
  <si>
    <t>Saria</t>
  </si>
  <si>
    <t>Karimunting</t>
  </si>
  <si>
    <t>TonguteTernate</t>
  </si>
  <si>
    <t>Halmahera barat</t>
  </si>
  <si>
    <t>Ibu</t>
  </si>
  <si>
    <t>Tongute Ternate</t>
  </si>
  <si>
    <t>Cucumare</t>
  </si>
  <si>
    <t>Weda Selatan</t>
  </si>
  <si>
    <t>Gane Timur</t>
  </si>
  <si>
    <t>Maffa</t>
  </si>
  <si>
    <t>Kepala Madan</t>
  </si>
  <si>
    <t>Nanali</t>
  </si>
  <si>
    <t>Waesama</t>
  </si>
  <si>
    <t>Waetawa</t>
  </si>
  <si>
    <t>Bemo Perak</t>
  </si>
  <si>
    <t>GebangMekar (2025)</t>
  </si>
  <si>
    <t>Brebes</t>
  </si>
  <si>
    <t>Losari</t>
  </si>
  <si>
    <t>Prapag Lor</t>
  </si>
  <si>
    <t>PT. Harkat Digdaya Konstruksi</t>
  </si>
  <si>
    <t>081387866561/martohak</t>
  </si>
  <si>
    <t>Kian Darat</t>
  </si>
  <si>
    <t>Kilga Kilwouw</t>
  </si>
  <si>
    <t>Bulakamba</t>
  </si>
  <si>
    <t>Kluwut</t>
  </si>
  <si>
    <t>Grinting</t>
  </si>
  <si>
    <t>PT. Karya Sejahtera Konstruksi</t>
  </si>
  <si>
    <t>087878722024/tasmo</t>
  </si>
  <si>
    <t>ongen-drop</t>
  </si>
  <si>
    <t>Sather</t>
  </si>
  <si>
    <t>Pengaradan</t>
  </si>
  <si>
    <t>CV. Alkomber Karya</t>
  </si>
  <si>
    <t>081286452407/prio</t>
  </si>
  <si>
    <t>Krakahan</t>
  </si>
  <si>
    <t>Pakreki</t>
  </si>
  <si>
    <t>Amar</t>
  </si>
  <si>
    <t>Ipiri</t>
  </si>
  <si>
    <t>Sesar</t>
  </si>
  <si>
    <t>Luluo</t>
  </si>
  <si>
    <t>CV. Dharma Bakti (Kecil)</t>
  </si>
  <si>
    <t>Guber-Muhidin</t>
  </si>
  <si>
    <t>Kupang Barat</t>
  </si>
  <si>
    <t>Tablolong</t>
  </si>
  <si>
    <t>Pantar Barat Laut</t>
  </si>
  <si>
    <t>Kayang</t>
  </si>
  <si>
    <t>PT. Rute Lintas Indonesia</t>
  </si>
  <si>
    <t>Pantar Tengah</t>
  </si>
  <si>
    <t>Toang</t>
  </si>
  <si>
    <t>Pantar Timur</t>
  </si>
  <si>
    <t>Tereweng</t>
  </si>
  <si>
    <t>Alor Barat Laut</t>
  </si>
  <si>
    <t>Alor Kecil</t>
  </si>
  <si>
    <t>Tasifeto Timur</t>
  </si>
  <si>
    <t>Silawan</t>
  </si>
  <si>
    <t>CV. Jasa Mandiri Bersama (Kecil)</t>
  </si>
  <si>
    <t>083836843683 (zulham)</t>
  </si>
  <si>
    <t>Sumba Barat</t>
  </si>
  <si>
    <t>Wanokaka</t>
  </si>
  <si>
    <t>PT. Winata Jaya Utama (Kecil)</t>
  </si>
  <si>
    <t>08111766012/finu</t>
  </si>
  <si>
    <t>pandu</t>
  </si>
  <si>
    <t>Kaur Tengah</t>
  </si>
  <si>
    <t>Tanjung Pandan</t>
  </si>
  <si>
    <t>Namber</t>
  </si>
  <si>
    <t>Cijulang</t>
  </si>
  <si>
    <t>Batukaras</t>
  </si>
  <si>
    <t>CV. Rifqi Anugrah</t>
  </si>
  <si>
    <t>081293305027/iqbal</t>
  </si>
  <si>
    <t>drop</t>
  </si>
  <si>
    <t>Sungai Badak</t>
  </si>
  <si>
    <t>Waren I</t>
  </si>
  <si>
    <t>Lembar</t>
  </si>
  <si>
    <t>Lembar Selatan</t>
  </si>
  <si>
    <t>PT. Berkah Mitra Engineering</t>
  </si>
  <si>
    <t>Labuhan Haji</t>
  </si>
  <si>
    <t>Bulagi Utara</t>
  </si>
  <si>
    <t>Montop</t>
  </si>
  <si>
    <t>CV. Putra Mahkota Adiyaksa</t>
  </si>
  <si>
    <t>082292236414/arwin</t>
  </si>
  <si>
    <t>Puring</t>
  </si>
  <si>
    <t>Tambakmulyo</t>
  </si>
  <si>
    <t>PT. AMI Kamena Jaya</t>
  </si>
  <si>
    <t>081210497434/haris mogot</t>
  </si>
  <si>
    <t>Validasi 30 Mei 2026</t>
  </si>
  <si>
    <t>Serasan</t>
  </si>
  <si>
    <t>Batu Berlian</t>
  </si>
  <si>
    <t>PT. Mitra Karya Adipersada</t>
  </si>
  <si>
    <t>81322700754/lukman</t>
  </si>
  <si>
    <t>Heru-Rid</t>
  </si>
  <si>
    <t>Subi</t>
  </si>
  <si>
    <t>Meliah</t>
  </si>
  <si>
    <t>Tanjung Setelung</t>
  </si>
  <si>
    <t>Serasan Timur</t>
  </si>
  <si>
    <t>Air Ringau</t>
  </si>
  <si>
    <t>Labelau</t>
  </si>
  <si>
    <t>Kisar Utara</t>
  </si>
  <si>
    <t>Poigar</t>
  </si>
  <si>
    <t>Poigar I</t>
  </si>
  <si>
    <t>Muara Jawa</t>
  </si>
  <si>
    <t>CV. Alam Semesta Mendukung</t>
  </si>
  <si>
    <t>082396807749/ahmad</t>
  </si>
  <si>
    <t>Azim-Rin</t>
  </si>
  <si>
    <t>Rumberpon</t>
  </si>
  <si>
    <t>Yombekiri I</t>
  </si>
  <si>
    <t>Saifi</t>
  </si>
  <si>
    <t>Sayal</t>
  </si>
  <si>
    <t>Tegalbuleud</t>
  </si>
  <si>
    <t>Buniasih</t>
  </si>
  <si>
    <t>Kinali</t>
  </si>
  <si>
    <t>Katiagan</t>
  </si>
  <si>
    <t>Tanjung Tiram</t>
  </si>
  <si>
    <t>Bagan Arya</t>
  </si>
  <si>
    <t>PT. Berkah Timur Mandiri</t>
  </si>
  <si>
    <t>085340036563/rico</t>
  </si>
  <si>
    <t>Pandu (Usulan)-Rid</t>
  </si>
  <si>
    <t>PPISikakap</t>
  </si>
  <si>
    <t>Sipora Selatan</t>
  </si>
  <si>
    <t>Matobe</t>
  </si>
  <si>
    <t>PT. Putra Global Enterprice</t>
  </si>
  <si>
    <t>081291325884/risa</t>
  </si>
  <si>
    <t>EL-V</t>
  </si>
  <si>
    <t>Sei Kepayang Timur</t>
  </si>
  <si>
    <t>Sei Sembilang</t>
  </si>
  <si>
    <t>Sikakap</t>
  </si>
  <si>
    <t>Kelambir</t>
  </si>
  <si>
    <t>PT Multi Gapura Pembangunan Semesta</t>
  </si>
  <si>
    <t>082297871501/habib</t>
  </si>
  <si>
    <t>Manggopoh Palak Gadang Ulakan</t>
  </si>
  <si>
    <t>1.35</t>
  </si>
  <si>
    <t>PT. Fasasi Karya MandIri</t>
  </si>
  <si>
    <t>082368344597/hysam</t>
  </si>
  <si>
    <t>Batang Gasan</t>
  </si>
  <si>
    <t>Gasan Gadang</t>
  </si>
  <si>
    <t>Somambawa</t>
  </si>
  <si>
    <t>Siwalu Banua</t>
  </si>
  <si>
    <t>CV. Putra Selatan</t>
  </si>
  <si>
    <t>082273444272/kristian</t>
  </si>
  <si>
    <t>Pandu-Alex</t>
  </si>
  <si>
    <t>Siberut Barat</t>
  </si>
  <si>
    <t>Sigapokna</t>
  </si>
  <si>
    <t>Padang Barat</t>
  </si>
  <si>
    <t>Purus</t>
  </si>
  <si>
    <t>Faekhuna'A</t>
  </si>
  <si>
    <t>CV. Athmar Pratama</t>
  </si>
  <si>
    <t>Mandeh</t>
  </si>
  <si>
    <t>PT. TRENGGINAS TIRTA JAYA ABADI</t>
  </si>
  <si>
    <t>0812 7845 6690/aldy</t>
  </si>
  <si>
    <t>PPICarocokTarusan</t>
  </si>
  <si>
    <t>Ampang Pulai</t>
  </si>
  <si>
    <t>Batang Kapas</t>
  </si>
  <si>
    <t>Koto Nan Duo IV Koto Hilie</t>
  </si>
  <si>
    <t>Koto Nan Duo Iv Koto Hilie</t>
  </si>
  <si>
    <t>Lengayang</t>
  </si>
  <si>
    <t>Lakitan</t>
  </si>
  <si>
    <t>CV. Lestari Gigih Jagadraya (Kecil)</t>
  </si>
  <si>
    <t>Ranah Pesisir</t>
  </si>
  <si>
    <t>Nyiur Melambai Pelangai</t>
  </si>
  <si>
    <t>Cadangan Kepri</t>
  </si>
  <si>
    <t>Belibak</t>
  </si>
  <si>
    <t>Piabung</t>
  </si>
  <si>
    <t>Siantan</t>
  </si>
  <si>
    <t>Pesisir Timur</t>
  </si>
  <si>
    <t>Rewak</t>
  </si>
  <si>
    <t>Genting Pulur</t>
  </si>
  <si>
    <t>Pulau Medang</t>
  </si>
  <si>
    <t>Validasi 1 Juni 2026</t>
  </si>
  <si>
    <t>Mengkait</t>
  </si>
  <si>
    <t>Siantan Timur</t>
  </si>
  <si>
    <t>Munjan</t>
  </si>
  <si>
    <t>Busung Panjang</t>
  </si>
  <si>
    <t>Sri Tanjung</t>
  </si>
  <si>
    <t>Nyamuk</t>
  </si>
  <si>
    <t>Tebang</t>
  </si>
  <si>
    <t>Belakang Padang</t>
  </si>
  <si>
    <t>Pulau Terung</t>
  </si>
  <si>
    <t>GalangBaru</t>
  </si>
  <si>
    <t>Galang</t>
  </si>
  <si>
    <t>Galang Baru</t>
  </si>
  <si>
    <t>Siantan Tengah</t>
  </si>
  <si>
    <t>Air Sena</t>
  </si>
  <si>
    <t>Air Asuk</t>
  </si>
  <si>
    <t>Telaga Kecil</t>
  </si>
  <si>
    <t>Pulau Bukit</t>
  </si>
  <si>
    <t>Jemaja Barat</t>
  </si>
  <si>
    <t>Keramut</t>
  </si>
  <si>
    <t>Pulau Duyung</t>
  </si>
  <si>
    <t>Pongkar</t>
  </si>
  <si>
    <t>Belaras</t>
  </si>
  <si>
    <t>Kundur Barat</t>
  </si>
  <si>
    <t>Gemuruh</t>
  </si>
  <si>
    <t>Tanjung Kilang</t>
  </si>
  <si>
    <t>Bertuah Konstruksi Indonesia (Kecil)</t>
  </si>
  <si>
    <t>0812-8400-3350/dwi</t>
  </si>
  <si>
    <t>Selat Gelam</t>
  </si>
  <si>
    <t>Tulang</t>
  </si>
  <si>
    <t>Validasi 3 Juni 2026</t>
  </si>
  <si>
    <t>CV. Mirsel</t>
  </si>
  <si>
    <t>082311097406/dedi</t>
  </si>
  <si>
    <t>Bagan Hulu</t>
  </si>
  <si>
    <t>PT. Ganesha Jaya</t>
  </si>
  <si>
    <t>081283064488/eko</t>
  </si>
  <si>
    <t>Mate</t>
  </si>
  <si>
    <t>Matemani</t>
  </si>
  <si>
    <t>Nusa</t>
  </si>
  <si>
    <t>Validasi 7 Juni 2026</t>
  </si>
  <si>
    <t>Asakota</t>
  </si>
  <si>
    <t>Kolo</t>
  </si>
  <si>
    <t>Sebatik</t>
  </si>
  <si>
    <t>Tanjungkarang</t>
  </si>
  <si>
    <t>Nunukan Selatan</t>
  </si>
  <si>
    <t>Mansapa</t>
  </si>
  <si>
    <t>Nunukan Utara</t>
  </si>
  <si>
    <t>CV SILVANA BANGUN PERSADA</t>
  </si>
  <si>
    <t>0813 4742 1333</t>
  </si>
  <si>
    <t>Sekatak</t>
  </si>
  <si>
    <t>Liagu</t>
  </si>
  <si>
    <t>PT. SInar Cempaka Raya</t>
  </si>
  <si>
    <t>Tarakan Utara</t>
  </si>
  <si>
    <t>Juata Laut</t>
  </si>
  <si>
    <t>CV. Ria Berkah Abadi</t>
  </si>
  <si>
    <t>Farusi</t>
  </si>
  <si>
    <t>Fak-Fak Barat</t>
  </si>
  <si>
    <t>Kiat</t>
  </si>
  <si>
    <t>Wartutin</t>
  </si>
  <si>
    <t>Kamandur Tetar</t>
  </si>
  <si>
    <t>Awunawai</t>
  </si>
  <si>
    <t>Pariwari</t>
  </si>
  <si>
    <t>Sukuru Tuare</t>
  </si>
  <si>
    <t>Karangwangi</t>
  </si>
  <si>
    <t>CV. Graha Jaya Mandiri</t>
  </si>
  <si>
    <t>Tanjung Palas Tengah</t>
  </si>
  <si>
    <t>Tanjung Buka</t>
  </si>
  <si>
    <t>CV TAKA IMBAYUD MEMBANGUN</t>
  </si>
  <si>
    <t>0812 2779 9996</t>
  </si>
  <si>
    <t>Tanjung Palas</t>
  </si>
  <si>
    <t>Antutan</t>
  </si>
  <si>
    <t>CV. Debika Tarakan</t>
  </si>
  <si>
    <t>Tanjung Palas Utara</t>
  </si>
  <si>
    <t>Pimping</t>
  </si>
  <si>
    <t>CV. Arya Guna Perkasa</t>
  </si>
  <si>
    <t>Validasi 9 Juni 2026</t>
  </si>
  <si>
    <t>Kota Mukomuko</t>
  </si>
  <si>
    <t>Koto Jaya</t>
  </si>
  <si>
    <t>PT. Aruna Karya Bangunindo</t>
  </si>
  <si>
    <t>Tulis</t>
  </si>
  <si>
    <t>Kedungsegog</t>
  </si>
  <si>
    <t>CV. Bumi Jaya Berkah Abadi</t>
  </si>
  <si>
    <t>0881082575758/wawan</t>
  </si>
  <si>
    <t>Waindu</t>
  </si>
  <si>
    <t>Tarei</t>
  </si>
  <si>
    <t>Validasi 10 Juni 2026</t>
  </si>
  <si>
    <t>Ardi Mulyo</t>
  </si>
  <si>
    <t>PT. Bintang Borneo</t>
  </si>
  <si>
    <t>Okaba</t>
  </si>
  <si>
    <t>Sanggase</t>
  </si>
  <si>
    <t>Tambak</t>
  </si>
  <si>
    <t>Sukalela</t>
  </si>
  <si>
    <t>Soropia</t>
  </si>
  <si>
    <t>Sawapudo</t>
  </si>
  <si>
    <t>CV. Jaya Mandiri Bangunindo</t>
  </si>
  <si>
    <t>085242888111/icha</t>
  </si>
  <si>
    <t>Pandu-Icha</t>
  </si>
  <si>
    <t>Pasarwajo</t>
  </si>
  <si>
    <t>Holimombo Jaya</t>
  </si>
  <si>
    <t>Kumbewaha</t>
  </si>
  <si>
    <t>0.13</t>
  </si>
  <si>
    <t>CV. Fikri Pratama</t>
  </si>
  <si>
    <t>081241215544/muhidin</t>
  </si>
  <si>
    <t>Pandu-muhidin</t>
  </si>
  <si>
    <t>Banabungi</t>
  </si>
  <si>
    <t>PT. Anvemy Mulia Abadi (Kecil)</t>
  </si>
  <si>
    <t>085600607448/heri</t>
  </si>
  <si>
    <t>Pandu-Heri</t>
  </si>
  <si>
    <t>Kaledupa</t>
  </si>
  <si>
    <t>Mantigola Makmur</t>
  </si>
  <si>
    <t>0.12</t>
  </si>
  <si>
    <t>Simfoni Event Organizer (Kecil)</t>
  </si>
  <si>
    <t>Dwidja/+62 812-8400-3350</t>
  </si>
  <si>
    <t>Pandu-Dwi</t>
  </si>
  <si>
    <t>Ollo Selatan</t>
  </si>
  <si>
    <t>0.35</t>
  </si>
  <si>
    <t>Taipabu</t>
  </si>
  <si>
    <t>0.33</t>
  </si>
  <si>
    <t>Kalongan</t>
  </si>
  <si>
    <t>Kalongan Selatan</t>
  </si>
  <si>
    <t>Kabaruan</t>
  </si>
  <si>
    <t>Bulude</t>
  </si>
  <si>
    <t>Damau</t>
  </si>
  <si>
    <t>Senggarang</t>
  </si>
  <si>
    <t>Belat</t>
  </si>
  <si>
    <t>Penarah</t>
  </si>
  <si>
    <t>Selayar</t>
  </si>
  <si>
    <t>Batu Belah</t>
  </si>
  <si>
    <t>Batam</t>
  </si>
  <si>
    <t>Karas</t>
  </si>
  <si>
    <t>Mucoindo</t>
  </si>
  <si>
    <t>Teluk Bintan</t>
  </si>
  <si>
    <t>Pangkil</t>
  </si>
  <si>
    <t>Telaga</t>
  </si>
  <si>
    <t>Mantang</t>
  </si>
  <si>
    <t>Dendun</t>
  </si>
  <si>
    <t>Validasi 15 Juni 2026</t>
  </si>
  <si>
    <t>Sojol</t>
  </si>
  <si>
    <t>Pangalasiang</t>
  </si>
  <si>
    <t>CV. Triga Cipta Abadi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</si>
</sst>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&quot;Rp&quot;#,##0"/>
  </numFmts>
  <fonts count="12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Poppins"/>
    </font>
    <font>
      <b/>
      <sz val="10"/>
      <color theme="1"/>
      <name val="Arial"/>
      <family val="2"/>
      <scheme val="minor"/>
    </font>
    <font>
      <sz val="10"/>
      <color rgb="FF000000"/>
      <name val="Poppins"/>
    </font>
    <font>
      <sz val="10"/>
      <color theme="1"/>
      <name val="Arial"/>
      <family val="2"/>
      <scheme val="minor"/>
    </font>
    <font>
      <sz val="11"/>
      <color rgb="FF000000"/>
      <name val="Poppins"/>
    </font>
    <font>
      <b/>
      <sz val="11"/>
      <color rgb="FF000000"/>
      <name val="Poppins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</font>
    <font>
      <sz val="10"/>
      <color rgb="FFFF0000"/>
      <name val="Poppins"/>
    </font>
    <font>
      <b/>
      <sz val="10"/>
      <color rgb="FFFF0000"/>
      <name val="Poppins"/>
    </font>
  </fonts>
  <fills count="9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3" fontId="3" fillId="3" borderId="2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4" fontId="5" fillId="0" borderId="2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5" fillId="5" borderId="2" xfId="0" applyFont="1" applyFill="1" applyBorder="1"/>
    <xf numFmtId="3" fontId="5" fillId="5" borderId="2" xfId="0" applyNumberFormat="1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4" fontId="5" fillId="5" borderId="2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2" xfId="0" applyFont="1" applyBorder="1"/>
    <xf numFmtId="165" fontId="5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3" fontId="5" fillId="6" borderId="2" xfId="0" applyNumberFormat="1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3" fontId="5" fillId="7" borderId="2" xfId="0" applyNumberFormat="1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3" fontId="4" fillId="6" borderId="2" xfId="0" applyNumberFormat="1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top"/>
    </xf>
    <xf numFmtId="0" fontId="4" fillId="8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1">
    <cellStyle name="Normal" xfId="0" builtinId="0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oppin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oppin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oppin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oppin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oppin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oppin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oppin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oppin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oppin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oppin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oppin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oppin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oppin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oppin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oppin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oppin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oppin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oppin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oppin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oppins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KNMP/DATA%201826.xlsx" TargetMode="External"/><Relationship Id="rId2" Type="http://schemas.openxmlformats.org/officeDocument/2006/relationships/externalLinkPath" Target="/Users/topikuning/Documents/KNMP/DATA%201826.xlsx" TargetMode="External"/><Relationship Id="rId1" Type="http://schemas.openxmlformats.org/officeDocument/2006/relationships/externalLinkPath" Target="/Users/topikuning/Documents/KNMP/DATA%2018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update 521"/>
      <sheetName val="rekap"/>
      <sheetName val="singkron data"/>
      <sheetName val="data 1270"/>
      <sheetName val="Pivot Table 48"/>
      <sheetName val="Pivot Table 47"/>
      <sheetName val="Pivot Table 44"/>
      <sheetName val="Sheet20"/>
      <sheetName val="Pivot Table 42"/>
      <sheetName val="Sheet19"/>
      <sheetName val="hy"/>
      <sheetName val="Sheet12"/>
      <sheetName val="Pivot Table 2"/>
      <sheetName val="Sheet3"/>
      <sheetName val="Sheet7"/>
      <sheetName val="Sheet18"/>
      <sheetName val="Update pivot kontrak"/>
      <sheetName val="update tim 2"/>
      <sheetName val="Pivot Table 37"/>
      <sheetName val="data 1129"/>
      <sheetName val="update kontrak"/>
      <sheetName val="Sheet17"/>
      <sheetName val="Sheet16"/>
    </sheetNames>
    <sheetDataSet>
      <sheetData sheetId="0">
        <row r="1">
          <cell r="D1" t="str">
            <v>KAMPUNG NELAYAN</v>
          </cell>
        </row>
        <row r="2">
          <cell r="D2" t="str">
            <v>Boddia</v>
          </cell>
        </row>
        <row r="3">
          <cell r="D3" t="str">
            <v>Bonto Kanang</v>
          </cell>
        </row>
        <row r="4">
          <cell r="D4" t="str">
            <v>Sampulungan</v>
          </cell>
        </row>
        <row r="5">
          <cell r="D5" t="str">
            <v>Topejawa</v>
          </cell>
        </row>
        <row r="6">
          <cell r="D6" t="str">
            <v>Akkajeng</v>
          </cell>
        </row>
        <row r="7">
          <cell r="D7" t="str">
            <v>Pattangngae</v>
          </cell>
        </row>
        <row r="8">
          <cell r="D8" t="str">
            <v>Hakatutobu</v>
          </cell>
        </row>
        <row r="9">
          <cell r="D9" t="str">
            <v>Iwoimendaa</v>
          </cell>
        </row>
        <row r="10">
          <cell r="D10" t="str">
            <v>Tambea</v>
          </cell>
        </row>
        <row r="11">
          <cell r="D11" t="str">
            <v>Wolo</v>
          </cell>
        </row>
        <row r="12">
          <cell r="D12" t="str">
            <v>Anggasari</v>
          </cell>
        </row>
        <row r="13">
          <cell r="D13" t="str">
            <v>Rawameneng</v>
          </cell>
        </row>
        <row r="14">
          <cell r="D14" t="str">
            <v>Bonda</v>
          </cell>
        </row>
        <row r="15">
          <cell r="D15" t="str">
            <v>Kambunong</v>
          </cell>
        </row>
        <row r="16">
          <cell r="D16" t="str">
            <v>Kire</v>
          </cell>
        </row>
        <row r="17">
          <cell r="D17" t="str">
            <v>Kombiling</v>
          </cell>
        </row>
        <row r="18">
          <cell r="D18" t="str">
            <v>Lamba-Lamba</v>
          </cell>
        </row>
        <row r="19">
          <cell r="D19" t="str">
            <v>Pangale</v>
          </cell>
        </row>
        <row r="20">
          <cell r="D20" t="str">
            <v>Sampaga</v>
          </cell>
        </row>
        <row r="21">
          <cell r="D21" t="str">
            <v>Tasokko</v>
          </cell>
        </row>
        <row r="22">
          <cell r="D22" t="str">
            <v>Tumbu</v>
          </cell>
        </row>
        <row r="23">
          <cell r="D23" t="str">
            <v>Bonto Jai</v>
          </cell>
        </row>
        <row r="24">
          <cell r="D24" t="str">
            <v>Bonto Lebang</v>
          </cell>
        </row>
        <row r="25">
          <cell r="D25" t="str">
            <v>Lamalaka</v>
          </cell>
        </row>
        <row r="26">
          <cell r="D26" t="str">
            <v>Letta</v>
          </cell>
        </row>
        <row r="27">
          <cell r="D27" t="str">
            <v>Pa'Jukukang</v>
          </cell>
        </row>
        <row r="28">
          <cell r="D28" t="str">
            <v>Pasangkayu</v>
          </cell>
        </row>
        <row r="29">
          <cell r="D29" t="str">
            <v>Sarudu</v>
          </cell>
        </row>
        <row r="30">
          <cell r="D30" t="str">
            <v>Laulalang</v>
          </cell>
        </row>
        <row r="31">
          <cell r="D31" t="str">
            <v>Bangko</v>
          </cell>
        </row>
        <row r="32">
          <cell r="D32" t="str">
            <v>Lasama</v>
          </cell>
        </row>
        <row r="33">
          <cell r="D33" t="str">
            <v>Latawe</v>
          </cell>
        </row>
        <row r="34">
          <cell r="D34" t="str">
            <v>Tanjung Pinang</v>
          </cell>
        </row>
        <row r="35">
          <cell r="D35" t="str">
            <v>Tondasi</v>
          </cell>
        </row>
        <row r="36">
          <cell r="D36" t="str">
            <v>Sagara</v>
          </cell>
        </row>
        <row r="37">
          <cell r="D37" t="str">
            <v>Batu Atas Timur</v>
          </cell>
        </row>
        <row r="38">
          <cell r="D38" t="str">
            <v>Bababulo</v>
          </cell>
        </row>
        <row r="39">
          <cell r="D39" t="str">
            <v>Bonde Utara</v>
          </cell>
        </row>
        <row r="40">
          <cell r="D40" t="str">
            <v>Limbua</v>
          </cell>
        </row>
        <row r="41">
          <cell r="D41" t="str">
            <v>Dwitiro</v>
          </cell>
        </row>
        <row r="42">
          <cell r="D42" t="str">
            <v>Binanga Karaeng</v>
          </cell>
        </row>
        <row r="43">
          <cell r="D43" t="str">
            <v>Pallameang</v>
          </cell>
        </row>
        <row r="44">
          <cell r="D44" t="str">
            <v>Tadang Palie</v>
          </cell>
        </row>
        <row r="45">
          <cell r="D45" t="str">
            <v>Tonyaman</v>
          </cell>
        </row>
        <row r="46">
          <cell r="D46" t="str">
            <v>Dusunan</v>
          </cell>
        </row>
        <row r="47">
          <cell r="D47" t="str">
            <v>Sama Bahari</v>
          </cell>
        </row>
        <row r="48">
          <cell r="D48" t="str">
            <v>Bonebone</v>
          </cell>
        </row>
        <row r="49">
          <cell r="D49" t="str">
            <v>Kaofe</v>
          </cell>
        </row>
        <row r="50">
          <cell r="D50" t="str">
            <v>Lagili</v>
          </cell>
        </row>
        <row r="51">
          <cell r="D51" t="str">
            <v>Lowu-Lowu</v>
          </cell>
        </row>
        <row r="52">
          <cell r="D52" t="str">
            <v>Moko</v>
          </cell>
        </row>
        <row r="53">
          <cell r="D53" t="str">
            <v>Sulaa</v>
          </cell>
        </row>
        <row r="54">
          <cell r="D54" t="str">
            <v>Batusuya</v>
          </cell>
        </row>
        <row r="55">
          <cell r="D55" t="str">
            <v>Boneoge</v>
          </cell>
        </row>
        <row r="56">
          <cell r="D56" t="str">
            <v>Ganti</v>
          </cell>
        </row>
        <row r="57">
          <cell r="D57" t="str">
            <v>Lero</v>
          </cell>
        </row>
        <row r="58">
          <cell r="D58" t="str">
            <v>Wani Dua</v>
          </cell>
        </row>
        <row r="59">
          <cell r="D59" t="str">
            <v>Belopa</v>
          </cell>
        </row>
        <row r="60">
          <cell r="D60" t="str">
            <v>Bone Pute</v>
          </cell>
        </row>
        <row r="61">
          <cell r="D61" t="str">
            <v>Bulete</v>
          </cell>
        </row>
        <row r="62">
          <cell r="D62" t="str">
            <v>Cimpu Utara</v>
          </cell>
        </row>
        <row r="63">
          <cell r="D63" t="str">
            <v>Murante</v>
          </cell>
        </row>
        <row r="64">
          <cell r="D64" t="str">
            <v>Rantebelu</v>
          </cell>
        </row>
        <row r="65">
          <cell r="D65" t="str">
            <v>Bontosunggu</v>
          </cell>
        </row>
        <row r="66">
          <cell r="D66" t="str">
            <v>Buki</v>
          </cell>
        </row>
        <row r="67">
          <cell r="D67" t="str">
            <v>Bungaiya</v>
          </cell>
        </row>
        <row r="68">
          <cell r="D68" t="str">
            <v>Lowa</v>
          </cell>
        </row>
        <row r="69">
          <cell r="D69" t="str">
            <v>Boyantongo</v>
          </cell>
        </row>
        <row r="70">
          <cell r="D70" t="str">
            <v>Laemanta Utara</v>
          </cell>
        </row>
        <row r="71">
          <cell r="D71" t="str">
            <v>Pelawa Baru</v>
          </cell>
        </row>
        <row r="72">
          <cell r="D72" t="str">
            <v>Sausu Tambu</v>
          </cell>
        </row>
        <row r="73">
          <cell r="D73" t="str">
            <v>Sienjo</v>
          </cell>
        </row>
        <row r="74">
          <cell r="D74" t="str">
            <v>Tada</v>
          </cell>
        </row>
        <row r="75">
          <cell r="D75" t="str">
            <v>Bumbulan</v>
          </cell>
        </row>
        <row r="76">
          <cell r="D76" t="str">
            <v>Tabulo Selatan</v>
          </cell>
        </row>
        <row r="77">
          <cell r="D77" t="str">
            <v>Betahwalang</v>
          </cell>
        </row>
        <row r="78">
          <cell r="D78" t="str">
            <v>Kedungmalang</v>
          </cell>
        </row>
        <row r="79">
          <cell r="D79" t="str">
            <v>Mororejo</v>
          </cell>
        </row>
        <row r="80">
          <cell r="D80" t="str">
            <v>Tanjung Mas</v>
          </cell>
        </row>
        <row r="81">
          <cell r="D81" t="str">
            <v>Ujungbatu</v>
          </cell>
        </row>
        <row r="82">
          <cell r="D82" t="str">
            <v>Bualemo B</v>
          </cell>
        </row>
        <row r="83">
          <cell r="D83" t="str">
            <v>Bunta I</v>
          </cell>
        </row>
        <row r="84">
          <cell r="D84" t="str">
            <v>Bayah Barat</v>
          </cell>
        </row>
        <row r="85">
          <cell r="D85" t="str">
            <v>Cikahuripan</v>
          </cell>
        </row>
        <row r="86">
          <cell r="D86" t="str">
            <v>Cireundeu</v>
          </cell>
        </row>
        <row r="87">
          <cell r="D87" t="str">
            <v>Darmasari</v>
          </cell>
        </row>
        <row r="88">
          <cell r="D88" t="str">
            <v>Pasirbaru</v>
          </cell>
        </row>
        <row r="89">
          <cell r="D89" t="str">
            <v>Kertamukti</v>
          </cell>
        </row>
        <row r="90">
          <cell r="D90" t="str">
            <v>Muara</v>
          </cell>
        </row>
        <row r="91">
          <cell r="D91" t="str">
            <v>Panimbangjaya</v>
          </cell>
        </row>
        <row r="92">
          <cell r="D92" t="str">
            <v>Sumberjaya</v>
          </cell>
        </row>
        <row r="93">
          <cell r="D93" t="str">
            <v>Ciparagejaya</v>
          </cell>
        </row>
        <row r="94">
          <cell r="D94" t="str">
            <v>Sukakerta</v>
          </cell>
        </row>
        <row r="95">
          <cell r="D95" t="str">
            <v>Sungaibuntu</v>
          </cell>
        </row>
        <row r="96">
          <cell r="D96" t="str">
            <v>Citemu</v>
          </cell>
        </row>
        <row r="97">
          <cell r="D97" t="str">
            <v>Kesenden</v>
          </cell>
        </row>
        <row r="98">
          <cell r="D98" t="str">
            <v>Mundu Pesisir</v>
          </cell>
        </row>
        <row r="99">
          <cell r="D99" t="str">
            <v>Branta Tinggi</v>
          </cell>
        </row>
        <row r="100">
          <cell r="D100" t="str">
            <v>Dharma Camplong</v>
          </cell>
        </row>
        <row r="101">
          <cell r="D101" t="str">
            <v>Lesong Daja</v>
          </cell>
        </row>
        <row r="102">
          <cell r="D102" t="str">
            <v>Padelegan</v>
          </cell>
        </row>
        <row r="103">
          <cell r="D103" t="str">
            <v>Pasongsongan</v>
          </cell>
        </row>
        <row r="104">
          <cell r="D104" t="str">
            <v>Slopeng</v>
          </cell>
        </row>
        <row r="105">
          <cell r="D105" t="str">
            <v>Bahari Dua</v>
          </cell>
        </row>
        <row r="106">
          <cell r="D106" t="str">
            <v>Gaya Baru</v>
          </cell>
        </row>
        <row r="107">
          <cell r="D107" t="str">
            <v>Lamaninggara</v>
          </cell>
        </row>
        <row r="108">
          <cell r="D108" t="str">
            <v>Bhontu-Bhontu</v>
          </cell>
        </row>
        <row r="109">
          <cell r="D109" t="str">
            <v>Labone</v>
          </cell>
        </row>
        <row r="110">
          <cell r="D110" t="str">
            <v>Napabalano</v>
          </cell>
        </row>
        <row r="111">
          <cell r="D111" t="str">
            <v>Wangkolabu</v>
          </cell>
        </row>
        <row r="112">
          <cell r="D112" t="str">
            <v>Cijayana</v>
          </cell>
        </row>
        <row r="113">
          <cell r="D113" t="str">
            <v>Indralayang</v>
          </cell>
        </row>
        <row r="114">
          <cell r="D114" t="str">
            <v>Pamalayan</v>
          </cell>
        </row>
        <row r="115">
          <cell r="D115" t="str">
            <v>Sawarna</v>
          </cell>
        </row>
        <row r="116">
          <cell r="D116" t="str">
            <v>Jetak</v>
          </cell>
        </row>
        <row r="117">
          <cell r="D117" t="str">
            <v>Balalon</v>
          </cell>
        </row>
        <row r="118">
          <cell r="D118" t="str">
            <v>Patukuki</v>
          </cell>
        </row>
        <row r="119">
          <cell r="D119" t="str">
            <v>Argopeni</v>
          </cell>
        </row>
        <row r="120">
          <cell r="D120" t="str">
            <v>Jetis</v>
          </cell>
        </row>
        <row r="121">
          <cell r="D121" t="str">
            <v>Pasir</v>
          </cell>
        </row>
        <row r="122">
          <cell r="D122" t="str">
            <v>Tanggulangin</v>
          </cell>
        </row>
        <row r="123">
          <cell r="D123" t="str">
            <v>Podi</v>
          </cell>
        </row>
        <row r="124">
          <cell r="D124" t="str">
            <v>Biluhu Barat</v>
          </cell>
        </row>
        <row r="125">
          <cell r="D125" t="str">
            <v>Biluhu Tengah</v>
          </cell>
        </row>
        <row r="126">
          <cell r="D126" t="str">
            <v>Botubolu'O</v>
          </cell>
        </row>
        <row r="127">
          <cell r="D127" t="str">
            <v>Lobuto</v>
          </cell>
        </row>
        <row r="128">
          <cell r="D128" t="str">
            <v>Olimoo'O</v>
          </cell>
        </row>
        <row r="129">
          <cell r="D129" t="str">
            <v>Kedungrejo</v>
          </cell>
        </row>
        <row r="130">
          <cell r="D130" t="str">
            <v>Kupa</v>
          </cell>
        </row>
        <row r="131">
          <cell r="D131" t="str">
            <v>Lero</v>
          </cell>
        </row>
        <row r="132">
          <cell r="D132" t="str">
            <v>Lumpue</v>
          </cell>
        </row>
        <row r="133">
          <cell r="D133" t="str">
            <v>Takkalasi</v>
          </cell>
        </row>
        <row r="134">
          <cell r="D134" t="str">
            <v>Watang Soreang</v>
          </cell>
        </row>
        <row r="135">
          <cell r="D135" t="str">
            <v>Lontar</v>
          </cell>
        </row>
        <row r="136">
          <cell r="D136" t="str">
            <v>Lontar</v>
          </cell>
        </row>
        <row r="137">
          <cell r="D137" t="str">
            <v>Tanjung Anom</v>
          </cell>
        </row>
        <row r="138">
          <cell r="D138" t="str">
            <v>Tengkurak</v>
          </cell>
        </row>
        <row r="139">
          <cell r="D139" t="str">
            <v>Lanosangia</v>
          </cell>
        </row>
        <row r="140">
          <cell r="D140" t="str">
            <v>Lasalimu</v>
          </cell>
        </row>
        <row r="141">
          <cell r="D141" t="str">
            <v>Manuru</v>
          </cell>
        </row>
        <row r="142">
          <cell r="D142" t="str">
            <v>Balo-Balo</v>
          </cell>
        </row>
        <row r="143">
          <cell r="D143" t="str">
            <v>Bawalipu</v>
          </cell>
        </row>
        <row r="144">
          <cell r="D144" t="str">
            <v>Burau Pantai</v>
          </cell>
        </row>
        <row r="145">
          <cell r="D145" t="str">
            <v>Lampenai</v>
          </cell>
        </row>
        <row r="146">
          <cell r="D146" t="str">
            <v>Mabonta</v>
          </cell>
        </row>
        <row r="147">
          <cell r="D147" t="str">
            <v>Munte</v>
          </cell>
        </row>
        <row r="148">
          <cell r="D148" t="str">
            <v>Tamuku</v>
          </cell>
        </row>
        <row r="149">
          <cell r="D149" t="str">
            <v>Borimasunggu</v>
          </cell>
        </row>
        <row r="150">
          <cell r="D150" t="str">
            <v>Pajjukukang</v>
          </cell>
        </row>
        <row r="151">
          <cell r="D151" t="str">
            <v>Dete</v>
          </cell>
        </row>
        <row r="152">
          <cell r="D152" t="str">
            <v>Numana</v>
          </cell>
        </row>
        <row r="153">
          <cell r="D153" t="str">
            <v>Palahidu Barat</v>
          </cell>
        </row>
        <row r="154">
          <cell r="D154" t="str">
            <v>Cemara kulon</v>
          </cell>
        </row>
        <row r="155">
          <cell r="D155" t="str">
            <v>Dadap</v>
          </cell>
        </row>
        <row r="156">
          <cell r="D156" t="str">
            <v>Pabeanudik</v>
          </cell>
        </row>
        <row r="157">
          <cell r="D157" t="str">
            <v>Pareangirang</v>
          </cell>
        </row>
        <row r="158">
          <cell r="D158" t="str">
            <v>Singaraja</v>
          </cell>
        </row>
        <row r="159">
          <cell r="D159" t="str">
            <v>Bontorannu</v>
          </cell>
        </row>
        <row r="160">
          <cell r="D160" t="str">
            <v>Pabiringa</v>
          </cell>
        </row>
        <row r="161">
          <cell r="D161" t="str">
            <v>Punagaya</v>
          </cell>
        </row>
        <row r="162">
          <cell r="D162" t="str">
            <v>Cikawungading</v>
          </cell>
        </row>
        <row r="163">
          <cell r="D163" t="str">
            <v>Kertamukti</v>
          </cell>
        </row>
        <row r="164">
          <cell r="D164" t="str">
            <v>Legokjawa</v>
          </cell>
        </row>
        <row r="165">
          <cell r="D165" t="str">
            <v>Pamotan</v>
          </cell>
        </row>
        <row r="166">
          <cell r="D166" t="str">
            <v>Lemahwungkuk</v>
          </cell>
        </row>
        <row r="167">
          <cell r="D167" t="str">
            <v>Karangmangu</v>
          </cell>
        </row>
        <row r="168">
          <cell r="D168" t="str">
            <v>Pasar Banggi</v>
          </cell>
        </row>
        <row r="169">
          <cell r="D169" t="str">
            <v>Tambakagung</v>
          </cell>
        </row>
        <row r="170">
          <cell r="D170" t="str">
            <v>Bilato</v>
          </cell>
        </row>
        <row r="171">
          <cell r="D171" t="str">
            <v>Bubaa</v>
          </cell>
        </row>
        <row r="172">
          <cell r="D172" t="str">
            <v>Girisa</v>
          </cell>
        </row>
        <row r="173">
          <cell r="D173" t="str">
            <v>Olibu</v>
          </cell>
        </row>
        <row r="174">
          <cell r="D174" t="str">
            <v>Patoameme</v>
          </cell>
        </row>
        <row r="175">
          <cell r="D175" t="str">
            <v>Tabongo</v>
          </cell>
        </row>
        <row r="176">
          <cell r="D176" t="str">
            <v>Kalibuntu</v>
          </cell>
        </row>
        <row r="177">
          <cell r="D177" t="str">
            <v>Pesisir</v>
          </cell>
        </row>
        <row r="178">
          <cell r="D178" t="str">
            <v>Randuputih</v>
          </cell>
        </row>
        <row r="179">
          <cell r="D179" t="str">
            <v>Wonorejo</v>
          </cell>
        </row>
        <row r="180">
          <cell r="D180" t="str">
            <v>Langge</v>
          </cell>
        </row>
        <row r="181">
          <cell r="D181" t="str">
            <v>Paseban</v>
          </cell>
        </row>
        <row r="182">
          <cell r="D182" t="str">
            <v>Pugerkulon</v>
          </cell>
        </row>
        <row r="183">
          <cell r="D183" t="str">
            <v>Sumberejo</v>
          </cell>
        </row>
        <row r="184">
          <cell r="D184" t="str">
            <v>Moilong</v>
          </cell>
        </row>
        <row r="185">
          <cell r="D185" t="str">
            <v>Rata</v>
          </cell>
        </row>
        <row r="186">
          <cell r="D186" t="str">
            <v>Pasir Putih</v>
          </cell>
        </row>
        <row r="187">
          <cell r="D187" t="str">
            <v>Saburano</v>
          </cell>
        </row>
        <row r="188">
          <cell r="D188" t="str">
            <v>Sainoa Indah</v>
          </cell>
        </row>
        <row r="189">
          <cell r="D189" t="str">
            <v>Banjarejo</v>
          </cell>
        </row>
        <row r="190">
          <cell r="D190" t="str">
            <v>Kanigoro</v>
          </cell>
        </row>
        <row r="191">
          <cell r="D191" t="str">
            <v>Kemadang</v>
          </cell>
        </row>
        <row r="192">
          <cell r="D192" t="str">
            <v>Sidoharjo</v>
          </cell>
        </row>
        <row r="193">
          <cell r="D193" t="str">
            <v>Songbanyu</v>
          </cell>
        </row>
        <row r="194">
          <cell r="D194" t="str">
            <v>Puday</v>
          </cell>
        </row>
        <row r="195">
          <cell r="D195" t="str">
            <v>Sambuli</v>
          </cell>
        </row>
        <row r="196">
          <cell r="D196" t="str">
            <v>Tondonggeu</v>
          </cell>
        </row>
        <row r="197">
          <cell r="D197" t="str">
            <v>Gempolsewu</v>
          </cell>
        </row>
        <row r="198">
          <cell r="D198" t="str">
            <v>Mojo</v>
          </cell>
        </row>
        <row r="199">
          <cell r="D199" t="str">
            <v>Nyamplungsari</v>
          </cell>
        </row>
        <row r="200">
          <cell r="D200" t="str">
            <v>Sugihwaras</v>
          </cell>
        </row>
        <row r="201">
          <cell r="D201" t="str">
            <v>Suradadi</v>
          </cell>
        </row>
        <row r="202">
          <cell r="D202" t="str">
            <v>Mekkatta Selatan</v>
          </cell>
        </row>
        <row r="203">
          <cell r="D203" t="str">
            <v>Tubo Poang</v>
          </cell>
        </row>
        <row r="204">
          <cell r="D204" t="str">
            <v>Kwalabesar</v>
          </cell>
        </row>
        <row r="205">
          <cell r="D205" t="str">
            <v>Taat</v>
          </cell>
        </row>
        <row r="206">
          <cell r="D206" t="str">
            <v>Tamit</v>
          </cell>
        </row>
        <row r="207">
          <cell r="D207" t="str">
            <v>Mattiro Bombang</v>
          </cell>
        </row>
        <row r="208">
          <cell r="D208" t="str">
            <v>Tamarupa</v>
          </cell>
        </row>
        <row r="209">
          <cell r="D209" t="str">
            <v>Muara Sampara</v>
          </cell>
        </row>
        <row r="210">
          <cell r="D210" t="str">
            <v>Muara Tinobu</v>
          </cell>
        </row>
        <row r="211">
          <cell r="D211" t="str">
            <v>Pasir Putih</v>
          </cell>
        </row>
        <row r="212">
          <cell r="D212" t="str">
            <v>Tanjung Bunga</v>
          </cell>
        </row>
        <row r="213">
          <cell r="D213" t="str">
            <v>Tanjung Laimeo</v>
          </cell>
        </row>
        <row r="214">
          <cell r="D214" t="str">
            <v>Ulu Sawa</v>
          </cell>
        </row>
        <row r="215">
          <cell r="D215" t="str">
            <v>Tapuhahi</v>
          </cell>
        </row>
        <row r="216">
          <cell r="D216" t="str">
            <v>Terapung</v>
          </cell>
        </row>
        <row r="217">
          <cell r="D217" t="str">
            <v>Watolo</v>
          </cell>
        </row>
        <row r="218">
          <cell r="D218" t="str">
            <v>Bassiang Timur</v>
          </cell>
        </row>
        <row r="219">
          <cell r="D219" t="str">
            <v>Karang-Karangan</v>
          </cell>
        </row>
        <row r="220">
          <cell r="D220" t="str">
            <v>Padang Kalua</v>
          </cell>
        </row>
        <row r="221">
          <cell r="D221" t="str">
            <v>Ponjalae</v>
          </cell>
        </row>
        <row r="222">
          <cell r="D222" t="str">
            <v>Songka</v>
          </cell>
        </row>
        <row r="223">
          <cell r="D223" t="str">
            <v>Takkalala</v>
          </cell>
        </row>
        <row r="224">
          <cell r="D224" t="str">
            <v>Tirowali</v>
          </cell>
        </row>
        <row r="225">
          <cell r="D225" t="str">
            <v>To'Bia</v>
          </cell>
        </row>
        <row r="226">
          <cell r="D226" t="str">
            <v>Bulontiyo Barat</v>
          </cell>
        </row>
        <row r="227">
          <cell r="D227" t="str">
            <v>Kasia</v>
          </cell>
        </row>
        <row r="228">
          <cell r="D228" t="str">
            <v>Mopuya</v>
          </cell>
        </row>
        <row r="229">
          <cell r="D229" t="str">
            <v>Bacu</v>
          </cell>
        </row>
        <row r="230">
          <cell r="D230" t="str">
            <v>Bulu Bulu</v>
          </cell>
        </row>
        <row r="231">
          <cell r="D231" t="str">
            <v>Sanjai</v>
          </cell>
        </row>
        <row r="232">
          <cell r="D232" t="str">
            <v>Ujung Salangketo</v>
          </cell>
        </row>
        <row r="233">
          <cell r="D233" t="str">
            <v>Torosiaje Jaya</v>
          </cell>
        </row>
        <row r="234">
          <cell r="D234" t="str">
            <v>Wonggarasi Timur</v>
          </cell>
        </row>
        <row r="235">
          <cell r="D235" t="str">
            <v>Lakara</v>
          </cell>
        </row>
        <row r="236">
          <cell r="D236" t="str">
            <v>Torokeku</v>
          </cell>
        </row>
        <row r="237">
          <cell r="D237" t="str">
            <v>Jayagiri</v>
          </cell>
        </row>
        <row r="238">
          <cell r="D238" t="str">
            <v>Jayapura</v>
          </cell>
        </row>
        <row r="239">
          <cell r="D239" t="str">
            <v>Harapan</v>
          </cell>
        </row>
        <row r="240">
          <cell r="D240" t="str">
            <v>Lakawali Pantai</v>
          </cell>
        </row>
        <row r="241">
          <cell r="D241" t="str">
            <v>Lawadia</v>
          </cell>
        </row>
        <row r="242">
          <cell r="D242" t="str">
            <v>Pakue</v>
          </cell>
        </row>
        <row r="243">
          <cell r="D243" t="str">
            <v>Pasi-Pasi</v>
          </cell>
        </row>
        <row r="244">
          <cell r="D244" t="str">
            <v>Sipakainge</v>
          </cell>
        </row>
        <row r="245">
          <cell r="D245" t="str">
            <v>Wewangriu</v>
          </cell>
        </row>
        <row r="246">
          <cell r="D246" t="str">
            <v>Bajo Pulau</v>
          </cell>
        </row>
        <row r="247">
          <cell r="D247" t="str">
            <v>Labuhan Ratu</v>
          </cell>
        </row>
        <row r="248">
          <cell r="D248" t="str">
            <v>Biduk-Biduk</v>
          </cell>
        </row>
        <row r="249">
          <cell r="D249" t="str">
            <v>Buyung-Buyung</v>
          </cell>
        </row>
        <row r="250">
          <cell r="D250" t="str">
            <v>Kuta</v>
          </cell>
        </row>
        <row r="251">
          <cell r="D251" t="str">
            <v>Mertak</v>
          </cell>
        </row>
        <row r="252">
          <cell r="D252" t="str">
            <v>Buncu</v>
          </cell>
        </row>
        <row r="253">
          <cell r="D253" t="str">
            <v>Lamere</v>
          </cell>
        </row>
        <row r="254">
          <cell r="D254" t="str">
            <v>Banjar</v>
          </cell>
        </row>
        <row r="255">
          <cell r="D255" t="str">
            <v>Batu Putih</v>
          </cell>
        </row>
        <row r="256">
          <cell r="D256" t="str">
            <v>Buwun Mas</v>
          </cell>
        </row>
        <row r="257">
          <cell r="D257" t="str">
            <v>Gili Gede Indah</v>
          </cell>
        </row>
        <row r="258">
          <cell r="D258" t="str">
            <v>Kuranji Dalang</v>
          </cell>
        </row>
        <row r="259">
          <cell r="D259" t="str">
            <v>Sungai Burung</v>
          </cell>
        </row>
        <row r="260">
          <cell r="D260" t="str">
            <v>Tanjung</v>
          </cell>
        </row>
        <row r="261">
          <cell r="D261" t="str">
            <v>Kekatang</v>
          </cell>
        </row>
        <row r="262">
          <cell r="D262" t="str">
            <v>Penyandingan</v>
          </cell>
        </row>
        <row r="263">
          <cell r="D263" t="str">
            <v>Sukarame</v>
          </cell>
        </row>
        <row r="264">
          <cell r="D264" t="str">
            <v>Pemongkong</v>
          </cell>
        </row>
        <row r="265">
          <cell r="D265" t="str">
            <v>Tanjung Luar</v>
          </cell>
        </row>
        <row r="266">
          <cell r="D266" t="str">
            <v>Hu'U</v>
          </cell>
        </row>
        <row r="267">
          <cell r="D267" t="str">
            <v>Jambu</v>
          </cell>
        </row>
        <row r="268">
          <cell r="D268" t="str">
            <v>Karama</v>
          </cell>
        </row>
        <row r="269">
          <cell r="D269" t="str">
            <v>Kletek</v>
          </cell>
        </row>
        <row r="270">
          <cell r="D270" t="str">
            <v>Weoe</v>
          </cell>
        </row>
        <row r="271">
          <cell r="D271" t="str">
            <v>Kore</v>
          </cell>
        </row>
        <row r="272">
          <cell r="D272" t="str">
            <v>Bumi Waras</v>
          </cell>
        </row>
        <row r="273">
          <cell r="D273" t="str">
            <v>Kangkung</v>
          </cell>
        </row>
        <row r="274">
          <cell r="D274" t="str">
            <v>Kota Karang Raya</v>
          </cell>
        </row>
        <row r="275">
          <cell r="D275" t="str">
            <v>Kuala</v>
          </cell>
        </row>
        <row r="276">
          <cell r="D276" t="str">
            <v>Kuala Tambangan</v>
          </cell>
        </row>
        <row r="277">
          <cell r="D277" t="str">
            <v>Muara Asam-Asam</v>
          </cell>
        </row>
        <row r="278">
          <cell r="D278" t="str">
            <v>Tabanio</v>
          </cell>
        </row>
        <row r="279">
          <cell r="D279" t="str">
            <v>Kualin</v>
          </cell>
        </row>
        <row r="280">
          <cell r="D280" t="str">
            <v>Oetuke</v>
          </cell>
        </row>
        <row r="281">
          <cell r="D281" t="str">
            <v>Banding</v>
          </cell>
        </row>
        <row r="282">
          <cell r="D282" t="str">
            <v>Kalianda</v>
          </cell>
        </row>
        <row r="283">
          <cell r="D283" t="str">
            <v>Kwangko</v>
          </cell>
        </row>
        <row r="284">
          <cell r="D284" t="str">
            <v>Labuhan Jambu</v>
          </cell>
        </row>
        <row r="285">
          <cell r="D285" t="str">
            <v>Teluk Santong</v>
          </cell>
        </row>
        <row r="286">
          <cell r="D286" t="str">
            <v>Labuhan Alas</v>
          </cell>
        </row>
        <row r="287">
          <cell r="D287" t="str">
            <v>Labuhan Burung</v>
          </cell>
        </row>
        <row r="288">
          <cell r="D288" t="str">
            <v>Labuhan Mapin</v>
          </cell>
        </row>
        <row r="289">
          <cell r="D289" t="str">
            <v>Pulau Kaung</v>
          </cell>
        </row>
        <row r="290">
          <cell r="D290" t="str">
            <v>Lambu</v>
          </cell>
        </row>
        <row r="291">
          <cell r="D291" t="str">
            <v>Hansisi</v>
          </cell>
        </row>
        <row r="292">
          <cell r="D292" t="str">
            <v>Lasiana</v>
          </cell>
        </row>
        <row r="293">
          <cell r="D293" t="str">
            <v>Namosain</v>
          </cell>
        </row>
        <row r="294">
          <cell r="D294" t="str">
            <v>Oesapa</v>
          </cell>
        </row>
        <row r="295">
          <cell r="D295" t="str">
            <v>Uiasa</v>
          </cell>
        </row>
        <row r="296">
          <cell r="D296" t="str">
            <v>Malaju</v>
          </cell>
        </row>
        <row r="297">
          <cell r="D297" t="str">
            <v>Kota Jawa</v>
          </cell>
        </row>
        <row r="298">
          <cell r="D298" t="str">
            <v>Marang</v>
          </cell>
        </row>
        <row r="299">
          <cell r="D299" t="str">
            <v>Pasar Kota Krui</v>
          </cell>
        </row>
        <row r="300">
          <cell r="D300" t="str">
            <v>Muara Gading Mas</v>
          </cell>
        </row>
        <row r="301">
          <cell r="D301" t="str">
            <v>Nangamiro</v>
          </cell>
        </row>
        <row r="302">
          <cell r="D302" t="str">
            <v>Api-Api</v>
          </cell>
        </row>
        <row r="303">
          <cell r="D303" t="str">
            <v>Nenang</v>
          </cell>
        </row>
        <row r="304">
          <cell r="D304" t="str">
            <v>Tanjung Tengah</v>
          </cell>
        </row>
        <row r="305">
          <cell r="D305" t="str">
            <v>Pasar Ipuh</v>
          </cell>
        </row>
        <row r="306">
          <cell r="D306" t="str">
            <v>Pasar Palik</v>
          </cell>
        </row>
        <row r="307">
          <cell r="D307" t="str">
            <v>Pasar Sebelat</v>
          </cell>
        </row>
        <row r="308">
          <cell r="D308" t="str">
            <v>Pekik Nyaring</v>
          </cell>
        </row>
        <row r="309">
          <cell r="D309" t="str">
            <v>Serangai</v>
          </cell>
        </row>
        <row r="310">
          <cell r="D310" t="str">
            <v>Pekat</v>
          </cell>
        </row>
        <row r="311">
          <cell r="D311" t="str">
            <v>Bagan Asahan Baru</v>
          </cell>
        </row>
        <row r="312">
          <cell r="D312" t="str">
            <v>Ketapang Baru</v>
          </cell>
        </row>
        <row r="313">
          <cell r="D313" t="str">
            <v>Kungkai Baru</v>
          </cell>
        </row>
        <row r="314">
          <cell r="D314" t="str">
            <v>Muara Maras</v>
          </cell>
        </row>
        <row r="315">
          <cell r="D315" t="str">
            <v>Pasar Seluma</v>
          </cell>
        </row>
        <row r="316">
          <cell r="D316" t="str">
            <v>Air Kuning</v>
          </cell>
        </row>
        <row r="317">
          <cell r="D317" t="str">
            <v>Candikusuma</v>
          </cell>
        </row>
        <row r="318">
          <cell r="D318" t="str">
            <v>Sumberkima</v>
          </cell>
        </row>
        <row r="319">
          <cell r="D319" t="str">
            <v>Piong</v>
          </cell>
        </row>
        <row r="320">
          <cell r="D320" t="str">
            <v>Labuhan Lalar</v>
          </cell>
        </row>
        <row r="321">
          <cell r="D321" t="str">
            <v>Poto Tano</v>
          </cell>
        </row>
        <row r="322">
          <cell r="D322" t="str">
            <v>Dumu</v>
          </cell>
        </row>
        <row r="323">
          <cell r="D323" t="str">
            <v>Kangga</v>
          </cell>
        </row>
        <row r="324">
          <cell r="D324" t="str">
            <v>Karampi</v>
          </cell>
        </row>
        <row r="325">
          <cell r="D325" t="str">
            <v>Karumbu</v>
          </cell>
        </row>
        <row r="326">
          <cell r="D326" t="str">
            <v>Rompo</v>
          </cell>
        </row>
        <row r="327">
          <cell r="D327" t="str">
            <v>Sambane</v>
          </cell>
        </row>
        <row r="328">
          <cell r="D328" t="str">
            <v>Sarae Ruma</v>
          </cell>
        </row>
        <row r="329">
          <cell r="D329" t="str">
            <v>Boro</v>
          </cell>
        </row>
        <row r="330">
          <cell r="D330" t="str">
            <v>Sandue</v>
          </cell>
        </row>
        <row r="331">
          <cell r="D331" t="str">
            <v>Sangia</v>
          </cell>
        </row>
        <row r="332">
          <cell r="D332" t="str">
            <v>Antiga Kelod</v>
          </cell>
        </row>
        <row r="333">
          <cell r="D333" t="str">
            <v>Burai</v>
          </cell>
        </row>
        <row r="334">
          <cell r="D334" t="str">
            <v>Seri Kembang</v>
          </cell>
        </row>
        <row r="335">
          <cell r="D335" t="str">
            <v>Soro</v>
          </cell>
        </row>
        <row r="336">
          <cell r="D336" t="str">
            <v>Tolo Kalo</v>
          </cell>
        </row>
        <row r="337">
          <cell r="D337" t="str">
            <v>Sugian</v>
          </cell>
        </row>
        <row r="338">
          <cell r="D338" t="str">
            <v>Kuala Sungai Pasir</v>
          </cell>
        </row>
        <row r="339">
          <cell r="D339" t="str">
            <v>Simpang Tiga Makmur</v>
          </cell>
        </row>
        <row r="340">
          <cell r="D340" t="str">
            <v>Sungai Lumpur</v>
          </cell>
        </row>
        <row r="341">
          <cell r="D341" t="str">
            <v>Kuala Teladas</v>
          </cell>
        </row>
        <row r="342">
          <cell r="D342" t="str">
            <v>Sidang Muara Jaya</v>
          </cell>
        </row>
        <row r="343">
          <cell r="D343" t="str">
            <v>Juru Taro</v>
          </cell>
        </row>
        <row r="344">
          <cell r="D344" t="str">
            <v>Karang Anyar</v>
          </cell>
        </row>
        <row r="345">
          <cell r="D345" t="str">
            <v>Ringin Agung</v>
          </cell>
        </row>
        <row r="346">
          <cell r="D346" t="str">
            <v>Sungai Batang</v>
          </cell>
        </row>
        <row r="347">
          <cell r="D347" t="str">
            <v>Upang Makmur</v>
          </cell>
        </row>
        <row r="348">
          <cell r="D348" t="str">
            <v>Tanjung</v>
          </cell>
        </row>
        <row r="349">
          <cell r="D349" t="str">
            <v>Betung</v>
          </cell>
        </row>
        <row r="350">
          <cell r="D350" t="str">
            <v>Karang Anyar</v>
          </cell>
        </row>
        <row r="351">
          <cell r="D351" t="str">
            <v>Tala Gening</v>
          </cell>
        </row>
        <row r="352">
          <cell r="D352" t="str">
            <v>Tanjung Agung</v>
          </cell>
        </row>
        <row r="353">
          <cell r="D353" t="str">
            <v>Tanjungan</v>
          </cell>
        </row>
        <row r="354">
          <cell r="D354" t="str">
            <v>Way Nipah</v>
          </cell>
        </row>
        <row r="355">
          <cell r="D355" t="str">
            <v>Pasir Putih</v>
          </cell>
        </row>
        <row r="356">
          <cell r="D356" t="str">
            <v>Arungkeke Pallantikang</v>
          </cell>
        </row>
        <row r="357">
          <cell r="D357" t="str">
            <v>Bungeng</v>
          </cell>
        </row>
        <row r="358">
          <cell r="D358" t="str">
            <v>Tammangalle</v>
          </cell>
        </row>
        <row r="359">
          <cell r="D359" t="str">
            <v>Darubiah</v>
          </cell>
        </row>
        <row r="360">
          <cell r="D360" t="str">
            <v>Besole</v>
          </cell>
        </row>
        <row r="361">
          <cell r="D361" t="str">
            <v>Data</v>
          </cell>
        </row>
        <row r="362">
          <cell r="D362" t="str">
            <v>Imana</v>
          </cell>
        </row>
        <row r="363">
          <cell r="D363" t="str">
            <v>Purworejo</v>
          </cell>
        </row>
        <row r="364">
          <cell r="D364" t="str">
            <v>Kedungkarang</v>
          </cell>
        </row>
        <row r="365">
          <cell r="D365" t="str">
            <v>Ujunggenteng</v>
          </cell>
        </row>
        <row r="366">
          <cell r="D366" t="str">
            <v>Klesem</v>
          </cell>
        </row>
        <row r="367">
          <cell r="D367" t="str">
            <v>Bajo</v>
          </cell>
        </row>
        <row r="368">
          <cell r="D368" t="str">
            <v>Karangbolong</v>
          </cell>
        </row>
        <row r="369">
          <cell r="D369" t="str">
            <v>Rowo</v>
          </cell>
        </row>
        <row r="370">
          <cell r="D370" t="str">
            <v>Tete B</v>
          </cell>
        </row>
        <row r="371">
          <cell r="D371" t="str">
            <v>Huwongo</v>
          </cell>
        </row>
        <row r="372">
          <cell r="D372" t="str">
            <v>Olimeyala</v>
          </cell>
        </row>
        <row r="373">
          <cell r="D373" t="str">
            <v>Siddo</v>
          </cell>
        </row>
        <row r="374">
          <cell r="D374" t="str">
            <v>Waetuoe</v>
          </cell>
        </row>
        <row r="375">
          <cell r="D375" t="str">
            <v>Tasiwalie</v>
          </cell>
        </row>
        <row r="376">
          <cell r="D376" t="str">
            <v>Ketapang</v>
          </cell>
        </row>
        <row r="377">
          <cell r="D377" t="str">
            <v>Muara Bone</v>
          </cell>
        </row>
        <row r="378">
          <cell r="D378" t="str">
            <v>Ujunggebang</v>
          </cell>
        </row>
        <row r="379">
          <cell r="D379" t="str">
            <v>Pulau Panggang</v>
          </cell>
        </row>
        <row r="380">
          <cell r="D380" t="str">
            <v>Limbatihu</v>
          </cell>
        </row>
        <row r="381">
          <cell r="D381" t="str">
            <v>Bulalo</v>
          </cell>
        </row>
        <row r="382">
          <cell r="D382" t="str">
            <v>Tihengo</v>
          </cell>
        </row>
        <row r="383">
          <cell r="D383" t="str">
            <v>Kedungsalam</v>
          </cell>
        </row>
        <row r="384">
          <cell r="D384" t="str">
            <v>Klidang Lor</v>
          </cell>
        </row>
        <row r="385">
          <cell r="D385" t="str">
            <v>Tegalsari</v>
          </cell>
        </row>
        <row r="386">
          <cell r="D386" t="str">
            <v>Pecakaran</v>
          </cell>
        </row>
        <row r="387">
          <cell r="D387" t="str">
            <v>Danasari</v>
          </cell>
        </row>
        <row r="388">
          <cell r="D388" t="str">
            <v>Asemdoyong</v>
          </cell>
        </row>
        <row r="389">
          <cell r="D389" t="str">
            <v>Purwahamba</v>
          </cell>
        </row>
        <row r="390">
          <cell r="D390" t="str">
            <v>Tubo Selatan</v>
          </cell>
        </row>
        <row r="391">
          <cell r="D391" t="str">
            <v>Sumpang Binangae</v>
          </cell>
        </row>
        <row r="392">
          <cell r="D392" t="str">
            <v>Batah Timur</v>
          </cell>
        </row>
        <row r="393">
          <cell r="D393" t="str">
            <v>Junganyar</v>
          </cell>
        </row>
        <row r="394">
          <cell r="D394" t="str">
            <v>Benteng</v>
          </cell>
        </row>
        <row r="395">
          <cell r="D395" t="str">
            <v>Mootinelo</v>
          </cell>
        </row>
        <row r="396">
          <cell r="D396" t="str">
            <v>Manera</v>
          </cell>
        </row>
        <row r="397">
          <cell r="D397" t="str">
            <v>Wonggarasi Barat</v>
          </cell>
        </row>
        <row r="398">
          <cell r="D398" t="str">
            <v>Bangkuang</v>
          </cell>
        </row>
        <row r="399">
          <cell r="D399" t="str">
            <v>Janggi</v>
          </cell>
        </row>
        <row r="400">
          <cell r="D400" t="str">
            <v>Butong</v>
          </cell>
        </row>
        <row r="401">
          <cell r="D401" t="str">
            <v>Batanjung</v>
          </cell>
        </row>
        <row r="402">
          <cell r="D402" t="str">
            <v>Palampai</v>
          </cell>
        </row>
        <row r="403">
          <cell r="D403" t="str">
            <v>Sei Teras</v>
          </cell>
        </row>
        <row r="404">
          <cell r="D404" t="str">
            <v>Batu Kotam</v>
          </cell>
        </row>
        <row r="405">
          <cell r="D405" t="str">
            <v>Beringin</v>
          </cell>
        </row>
        <row r="406">
          <cell r="D406" t="str">
            <v>Muara Pagatan</v>
          </cell>
        </row>
        <row r="407">
          <cell r="D407" t="str">
            <v>Tanah Kuning</v>
          </cell>
        </row>
        <row r="408">
          <cell r="D408" t="str">
            <v>Karang Anyar Pantai</v>
          </cell>
        </row>
        <row r="409">
          <cell r="D409" t="str">
            <v>Tanah Merah</v>
          </cell>
        </row>
        <row r="410">
          <cell r="D410" t="str">
            <v>Kelarik</v>
          </cell>
        </row>
        <row r="411">
          <cell r="D411" t="str">
            <v>Tanjung Pala</v>
          </cell>
        </row>
        <row r="412">
          <cell r="D412" t="str">
            <v>Kelarik Barat</v>
          </cell>
        </row>
        <row r="413">
          <cell r="D413" t="str">
            <v>Dualaus</v>
          </cell>
        </row>
        <row r="414">
          <cell r="D414" t="str">
            <v>Humusu Wini</v>
          </cell>
        </row>
        <row r="415">
          <cell r="D415" t="str">
            <v>Kabir</v>
          </cell>
        </row>
        <row r="416">
          <cell r="D416" t="str">
            <v>Kabola</v>
          </cell>
        </row>
        <row r="417">
          <cell r="D417" t="str">
            <v>Woewutu</v>
          </cell>
        </row>
        <row r="418">
          <cell r="D418" t="str">
            <v>Tendakinde</v>
          </cell>
        </row>
        <row r="419">
          <cell r="D419" t="str">
            <v>Kedai Gedang</v>
          </cell>
        </row>
        <row r="420">
          <cell r="D420" t="str">
            <v>Pasar Sorkam</v>
          </cell>
        </row>
        <row r="421">
          <cell r="D421" t="str">
            <v>Wuring</v>
          </cell>
        </row>
        <row r="422">
          <cell r="D422" t="str">
            <v>Kojagete</v>
          </cell>
        </row>
        <row r="423">
          <cell r="D423" t="str">
            <v>Watumilok</v>
          </cell>
        </row>
        <row r="424">
          <cell r="D424" t="str">
            <v>Geliting</v>
          </cell>
        </row>
        <row r="425">
          <cell r="D425" t="str">
            <v>Kota Ndora</v>
          </cell>
        </row>
        <row r="426">
          <cell r="D426" t="str">
            <v>Waesae</v>
          </cell>
        </row>
        <row r="427">
          <cell r="D427" t="str">
            <v>Dabong</v>
          </cell>
        </row>
        <row r="428">
          <cell r="D428" t="str">
            <v>Jeruju Besar</v>
          </cell>
        </row>
        <row r="429">
          <cell r="D429" t="str">
            <v>Kuala Karang</v>
          </cell>
        </row>
        <row r="430">
          <cell r="D430" t="str">
            <v>Teluk Gelam</v>
          </cell>
        </row>
        <row r="431">
          <cell r="D431" t="str">
            <v>Kuala Secapah</v>
          </cell>
        </row>
        <row r="432">
          <cell r="D432" t="str">
            <v>Penibung</v>
          </cell>
        </row>
        <row r="433">
          <cell r="D433" t="str">
            <v>Sengkubang</v>
          </cell>
        </row>
        <row r="434">
          <cell r="D434" t="str">
            <v>Sungai Duri Ii</v>
          </cell>
        </row>
        <row r="435">
          <cell r="D435" t="str">
            <v>Paluh Sibaji</v>
          </cell>
        </row>
        <row r="436">
          <cell r="D436" t="str">
            <v>Nelayan Indah</v>
          </cell>
        </row>
        <row r="437">
          <cell r="D437" t="str">
            <v>Kwala Serapuh</v>
          </cell>
        </row>
        <row r="438">
          <cell r="D438" t="str">
            <v>Lamahala Jaya</v>
          </cell>
        </row>
        <row r="439">
          <cell r="D439" t="str">
            <v>Labelen</v>
          </cell>
        </row>
        <row r="440">
          <cell r="D440" t="str">
            <v>Bale-Bale Sibohou</v>
          </cell>
        </row>
        <row r="441">
          <cell r="D441" t="str">
            <v>Majino Lorang</v>
          </cell>
        </row>
        <row r="442">
          <cell r="D442" t="str">
            <v>Maligi</v>
          </cell>
        </row>
        <row r="443">
          <cell r="D443" t="str">
            <v>Ranah Pasisie</v>
          </cell>
        </row>
        <row r="444">
          <cell r="D444" t="str">
            <v>Mbuliwaralau</v>
          </cell>
        </row>
        <row r="445">
          <cell r="D445" t="str">
            <v>Pasar Lama</v>
          </cell>
        </row>
        <row r="446">
          <cell r="D446" t="str">
            <v>Way Hawang</v>
          </cell>
        </row>
        <row r="447">
          <cell r="D447" t="str">
            <v>Nangadhero</v>
          </cell>
        </row>
        <row r="448">
          <cell r="D448" t="str">
            <v>Gunung Sari</v>
          </cell>
        </row>
        <row r="449">
          <cell r="D449" t="str">
            <v>Nangahale</v>
          </cell>
        </row>
        <row r="450">
          <cell r="D450" t="str">
            <v>Seulayat Ulakan</v>
          </cell>
        </row>
        <row r="451">
          <cell r="D451" t="str">
            <v>Padang Tikar Dua</v>
          </cell>
        </row>
        <row r="452">
          <cell r="D452" t="str">
            <v>Padang Tikar Satu</v>
          </cell>
        </row>
        <row r="453">
          <cell r="D453" t="str">
            <v>Kampung Keramat</v>
          </cell>
        </row>
        <row r="454">
          <cell r="D454" t="str">
            <v>Sei Ijum Raya</v>
          </cell>
        </row>
        <row r="455">
          <cell r="D455" t="str">
            <v>Kadahang</v>
          </cell>
        </row>
        <row r="456">
          <cell r="D456" t="str">
            <v>Temu</v>
          </cell>
        </row>
        <row r="457">
          <cell r="D457" t="str">
            <v>Palaka Hembi</v>
          </cell>
        </row>
        <row r="458">
          <cell r="D458" t="str">
            <v>Wanga</v>
          </cell>
        </row>
        <row r="459">
          <cell r="D459" t="str">
            <v>Oenggae</v>
          </cell>
        </row>
        <row r="460">
          <cell r="D460" t="str">
            <v>Papela</v>
          </cell>
        </row>
        <row r="461">
          <cell r="D461" t="str">
            <v>Pasar Baru Batahan</v>
          </cell>
        </row>
        <row r="462">
          <cell r="D462" t="str">
            <v>Tabuyung</v>
          </cell>
        </row>
        <row r="463">
          <cell r="D463" t="str">
            <v>Pasar V Natal</v>
          </cell>
        </row>
        <row r="464">
          <cell r="D464" t="str">
            <v>Afia</v>
          </cell>
        </row>
        <row r="465">
          <cell r="D465" t="str">
            <v>Laira</v>
          </cell>
        </row>
        <row r="466">
          <cell r="D466" t="str">
            <v>Pasar Teluk Dalam</v>
          </cell>
        </row>
        <row r="467">
          <cell r="D467" t="str">
            <v>Afulu</v>
          </cell>
        </row>
        <row r="468">
          <cell r="D468" t="str">
            <v>Pasar Lahewa</v>
          </cell>
        </row>
        <row r="469">
          <cell r="D469" t="str">
            <v>Bagan Asahan Pekan</v>
          </cell>
        </row>
        <row r="470">
          <cell r="D470" t="str">
            <v>Nenas Siam</v>
          </cell>
        </row>
        <row r="471">
          <cell r="D471" t="str">
            <v>Belungkur</v>
          </cell>
        </row>
        <row r="472">
          <cell r="D472" t="str">
            <v>Berlian</v>
          </cell>
        </row>
        <row r="473">
          <cell r="D473" t="str">
            <v>Reo</v>
          </cell>
        </row>
        <row r="474">
          <cell r="D474" t="str">
            <v>Pota</v>
          </cell>
        </row>
        <row r="475">
          <cell r="D475" t="str">
            <v>Pelapis</v>
          </cell>
        </row>
        <row r="476">
          <cell r="D476" t="str">
            <v>Dusun Kecil</v>
          </cell>
        </row>
        <row r="477">
          <cell r="D477" t="str">
            <v>Praisalura</v>
          </cell>
        </row>
        <row r="478">
          <cell r="D478" t="str">
            <v>Pulau Rajo Inderapura</v>
          </cell>
        </row>
        <row r="479">
          <cell r="D479" t="str">
            <v>Air Haji Barat</v>
          </cell>
        </row>
        <row r="480">
          <cell r="D480" t="str">
            <v>Ledeunu</v>
          </cell>
        </row>
        <row r="481">
          <cell r="D481" t="str">
            <v>Raemadia</v>
          </cell>
        </row>
        <row r="482">
          <cell r="D482" t="str">
            <v>Maileppet</v>
          </cell>
        </row>
        <row r="483">
          <cell r="D483" t="str">
            <v>Pela</v>
          </cell>
        </row>
        <row r="484">
          <cell r="D484" t="str">
            <v>Sangkuliman</v>
          </cell>
        </row>
        <row r="485">
          <cell r="D485" t="str">
            <v>Setarap</v>
          </cell>
        </row>
        <row r="486">
          <cell r="D486" t="str">
            <v>Sungaicuka</v>
          </cell>
        </row>
        <row r="487">
          <cell r="D487" t="str">
            <v>Suka Baru</v>
          </cell>
        </row>
        <row r="488">
          <cell r="D488" t="str">
            <v>Sungai Kupah</v>
          </cell>
        </row>
        <row r="489">
          <cell r="D489" t="str">
            <v>Tanjung Saleh</v>
          </cell>
        </row>
        <row r="490">
          <cell r="D490" t="str">
            <v>Sungai Undang</v>
          </cell>
        </row>
        <row r="491">
          <cell r="D491" t="str">
            <v>Sungai Bakau</v>
          </cell>
        </row>
        <row r="492">
          <cell r="D492" t="str">
            <v>Benan</v>
          </cell>
        </row>
        <row r="493">
          <cell r="D493" t="str">
            <v>Mensanak</v>
          </cell>
        </row>
        <row r="494">
          <cell r="D494" t="str">
            <v>Tanjung Kelit</v>
          </cell>
        </row>
        <row r="495">
          <cell r="D495" t="str">
            <v>Pancur</v>
          </cell>
        </row>
        <row r="496">
          <cell r="D496" t="str">
            <v>Sekanah</v>
          </cell>
        </row>
        <row r="497">
          <cell r="D497" t="str">
            <v>Penaah</v>
          </cell>
        </row>
        <row r="498">
          <cell r="D498" t="str">
            <v>Pulau Kerayaan</v>
          </cell>
        </row>
        <row r="499">
          <cell r="D499" t="str">
            <v>Tanjung Lalak Selatan</v>
          </cell>
        </row>
        <row r="500">
          <cell r="D500" t="str">
            <v>Tanjung Seloka</v>
          </cell>
        </row>
        <row r="501">
          <cell r="D501" t="str">
            <v>Sungai Bakau</v>
          </cell>
        </row>
        <row r="502">
          <cell r="D502" t="str">
            <v>Sungai Cabang Barat</v>
          </cell>
        </row>
        <row r="503">
          <cell r="D503" t="str">
            <v>Sungai Damar</v>
          </cell>
        </row>
        <row r="504">
          <cell r="D504" t="str">
            <v>Pantai</v>
          </cell>
        </row>
        <row r="505">
          <cell r="D505" t="str">
            <v>Tanjung Samalantakan</v>
          </cell>
        </row>
        <row r="506">
          <cell r="D506" t="str">
            <v>Teluk Kabung Selatan</v>
          </cell>
        </row>
        <row r="507">
          <cell r="D507" t="str">
            <v>Sungai Pinang</v>
          </cell>
        </row>
        <row r="508">
          <cell r="D508" t="str">
            <v>Tetandara</v>
          </cell>
        </row>
        <row r="509">
          <cell r="D509" t="str">
            <v>Rorurangga</v>
          </cell>
        </row>
        <row r="510">
          <cell r="D510" t="str">
            <v>Tiku Selatan</v>
          </cell>
        </row>
        <row r="511">
          <cell r="D511" t="str">
            <v>Marunggi</v>
          </cell>
        </row>
        <row r="512">
          <cell r="D512" t="str">
            <v>Ampalu</v>
          </cell>
        </row>
        <row r="513">
          <cell r="D513" t="str">
            <v>Koto Tinggi Kuranji Hilir</v>
          </cell>
        </row>
        <row r="514">
          <cell r="D514" t="str">
            <v>Tanah Merah</v>
          </cell>
        </row>
        <row r="515">
          <cell r="D515" t="str">
            <v>Nanga Embaloh</v>
          </cell>
        </row>
        <row r="516">
          <cell r="D516" t="str">
            <v>Nanga Leboyan</v>
          </cell>
        </row>
        <row r="517">
          <cell r="D517" t="str">
            <v>Nibung</v>
          </cell>
        </row>
        <row r="518">
          <cell r="D518" t="str">
            <v>Babokerong</v>
          </cell>
        </row>
        <row r="519">
          <cell r="D519" t="str">
            <v>Lewoleba Tengah</v>
          </cell>
        </row>
        <row r="520">
          <cell r="D520" t="str">
            <v>Wailolong</v>
          </cell>
        </row>
        <row r="521">
          <cell r="D521" t="str">
            <v>Pantai Harapan</v>
          </cell>
        </row>
        <row r="522">
          <cell r="D522" t="str">
            <v>Waka</v>
          </cell>
        </row>
        <row r="523">
          <cell r="D523" t="str">
            <v>Umatoos</v>
          </cell>
        </row>
        <row r="524">
          <cell r="D524" t="str">
            <v>Perumaan</v>
          </cell>
        </row>
        <row r="525">
          <cell r="D525" t="str">
            <v>Lowolabo</v>
          </cell>
        </row>
        <row r="526">
          <cell r="D526" t="str">
            <v>Golo Mori</v>
          </cell>
        </row>
        <row r="527">
          <cell r="D527" t="str">
            <v>Nanga Lili</v>
          </cell>
        </row>
        <row r="528">
          <cell r="D528" t="str">
            <v>Karanggondang</v>
          </cell>
        </row>
        <row r="529">
          <cell r="D529" t="str">
            <v>Ujungwatu</v>
          </cell>
        </row>
        <row r="530">
          <cell r="D530" t="str">
            <v>Kedungmutih</v>
          </cell>
        </row>
        <row r="531">
          <cell r="D531" t="str">
            <v>Sambiroto</v>
          </cell>
        </row>
        <row r="532">
          <cell r="D532" t="str">
            <v>Banjarmasin</v>
          </cell>
        </row>
        <row r="533">
          <cell r="D533" t="str">
            <v>Carita</v>
          </cell>
        </row>
        <row r="534">
          <cell r="D534" t="str">
            <v>Kertamukti_2</v>
          </cell>
        </row>
        <row r="535">
          <cell r="D535" t="str">
            <v>Panjunan</v>
          </cell>
        </row>
        <row r="536">
          <cell r="D536" t="str">
            <v>Gerongan</v>
          </cell>
        </row>
        <row r="537">
          <cell r="D537" t="str">
            <v>Mlaten</v>
          </cell>
        </row>
        <row r="538">
          <cell r="D538" t="str">
            <v>Tengket</v>
          </cell>
        </row>
        <row r="539">
          <cell r="D539" t="str">
            <v>Papuyu Iii Sei. Pudak</v>
          </cell>
        </row>
        <row r="540">
          <cell r="D540" t="str">
            <v>Papuyu I Sei. Pasanan</v>
          </cell>
        </row>
        <row r="541">
          <cell r="D541" t="str">
            <v>Pulau Lemukutan</v>
          </cell>
        </row>
        <row r="542">
          <cell r="D542" t="str">
            <v>Tasik Malaya</v>
          </cell>
        </row>
        <row r="543">
          <cell r="D543" t="str">
            <v>Pagatan Hilir</v>
          </cell>
        </row>
        <row r="544">
          <cell r="D544" t="str">
            <v>Telukbatang Utara</v>
          </cell>
        </row>
        <row r="545">
          <cell r="D545" t="str">
            <v>Sungaidua Laut</v>
          </cell>
        </row>
        <row r="546">
          <cell r="D546" t="str">
            <v>Sungai Cuka</v>
          </cell>
        </row>
        <row r="547">
          <cell r="D547" t="str">
            <v>Sentebang</v>
          </cell>
        </row>
        <row r="548">
          <cell r="D548" t="str">
            <v>Englas</v>
          </cell>
        </row>
        <row r="549">
          <cell r="D549" t="str">
            <v>Aki Jaya</v>
          </cell>
        </row>
        <row r="550">
          <cell r="D550" t="str">
            <v>Bula</v>
          </cell>
        </row>
        <row r="551">
          <cell r="D551" t="str">
            <v>Amarsekaru</v>
          </cell>
        </row>
        <row r="552">
          <cell r="D552" t="str">
            <v>Lahema</v>
          </cell>
        </row>
        <row r="553">
          <cell r="D553" t="str">
            <v>Amarlaut</v>
          </cell>
        </row>
        <row r="554">
          <cell r="D554" t="str">
            <v>Kilbutak</v>
          </cell>
        </row>
        <row r="555">
          <cell r="D555" t="str">
            <v>Kulugowa</v>
          </cell>
        </row>
        <row r="556">
          <cell r="D556" t="str">
            <v>Karlokin</v>
          </cell>
        </row>
        <row r="557">
          <cell r="D557" t="str">
            <v>Arma</v>
          </cell>
        </row>
        <row r="558">
          <cell r="D558" t="str">
            <v>Lelingluan</v>
          </cell>
        </row>
        <row r="559">
          <cell r="D559" t="str">
            <v>Meyano Das</v>
          </cell>
        </row>
        <row r="560">
          <cell r="D560" t="str">
            <v>Ritabel</v>
          </cell>
        </row>
        <row r="561">
          <cell r="D561" t="str">
            <v>Bibinoi</v>
          </cell>
        </row>
        <row r="562">
          <cell r="D562" t="str">
            <v>Indari</v>
          </cell>
        </row>
        <row r="563">
          <cell r="D563" t="str">
            <v>Laluin</v>
          </cell>
        </row>
        <row r="564">
          <cell r="D564" t="str">
            <v>Matuting</v>
          </cell>
        </row>
        <row r="565">
          <cell r="D565" t="str">
            <v>Kabau Pantai</v>
          </cell>
        </row>
        <row r="566">
          <cell r="D566" t="str">
            <v>Lelyaba</v>
          </cell>
        </row>
        <row r="567">
          <cell r="D567" t="str">
            <v>Waiboga</v>
          </cell>
        </row>
        <row r="568">
          <cell r="D568" t="str">
            <v>Geser</v>
          </cell>
        </row>
        <row r="569">
          <cell r="D569" t="str">
            <v>Kwamor Kecil Mata Wawa</v>
          </cell>
        </row>
        <row r="570">
          <cell r="D570" t="str">
            <v>Kellu</v>
          </cell>
        </row>
        <row r="571">
          <cell r="D571" t="str">
            <v>Kilfura</v>
          </cell>
        </row>
        <row r="572">
          <cell r="D572" t="str">
            <v>Kilwaru</v>
          </cell>
        </row>
        <row r="573">
          <cell r="D573" t="str">
            <v>Iha</v>
          </cell>
        </row>
        <row r="574">
          <cell r="D574" t="str">
            <v>Asilulu</v>
          </cell>
        </row>
        <row r="575">
          <cell r="D575" t="str">
            <v>Kaibobo</v>
          </cell>
        </row>
        <row r="576">
          <cell r="D576" t="str">
            <v>Kamatubun</v>
          </cell>
        </row>
        <row r="577">
          <cell r="D577" t="str">
            <v>Latdalam</v>
          </cell>
        </row>
        <row r="578">
          <cell r="D578" t="str">
            <v>Matakus</v>
          </cell>
        </row>
        <row r="579">
          <cell r="D579" t="str">
            <v>Kusu Lofra</v>
          </cell>
        </row>
        <row r="580">
          <cell r="D580" t="str">
            <v>Saramaake</v>
          </cell>
        </row>
        <row r="581">
          <cell r="D581" t="str">
            <v>Bobale</v>
          </cell>
        </row>
        <row r="582">
          <cell r="D582" t="str">
            <v>Subaim</v>
          </cell>
        </row>
        <row r="583">
          <cell r="D583" t="str">
            <v>Sare</v>
          </cell>
        </row>
        <row r="584">
          <cell r="D584" t="str">
            <v>Dudunwahan</v>
          </cell>
        </row>
        <row r="585">
          <cell r="D585" t="str">
            <v>Dullah Laut</v>
          </cell>
        </row>
        <row r="586">
          <cell r="D586" t="str">
            <v>Tam Ngurhir</v>
          </cell>
        </row>
        <row r="587">
          <cell r="D587" t="str">
            <v>Leleoto</v>
          </cell>
        </row>
        <row r="588">
          <cell r="D588" t="str">
            <v>Tolonuo</v>
          </cell>
        </row>
        <row r="589">
          <cell r="D589" t="str">
            <v>Limbo</v>
          </cell>
        </row>
        <row r="590">
          <cell r="D590" t="str">
            <v>Galebo</v>
          </cell>
        </row>
        <row r="591">
          <cell r="D591" t="str">
            <v>Jorjoga</v>
          </cell>
        </row>
        <row r="592">
          <cell r="D592" t="str">
            <v>Kasango</v>
          </cell>
        </row>
        <row r="593">
          <cell r="D593" t="str">
            <v>Nunu</v>
          </cell>
        </row>
        <row r="594">
          <cell r="D594" t="str">
            <v>Wayo</v>
          </cell>
        </row>
        <row r="595">
          <cell r="D595" t="str">
            <v>Samang</v>
          </cell>
        </row>
        <row r="596">
          <cell r="D596" t="str">
            <v>Mano</v>
          </cell>
        </row>
        <row r="597">
          <cell r="D597" t="str">
            <v>Tomalou</v>
          </cell>
        </row>
        <row r="598">
          <cell r="D598" t="str">
            <v>Malaku</v>
          </cell>
        </row>
        <row r="599">
          <cell r="D599" t="str">
            <v>Labuan</v>
          </cell>
        </row>
        <row r="600">
          <cell r="D600" t="str">
            <v>Besi</v>
          </cell>
        </row>
        <row r="601">
          <cell r="D601" t="str">
            <v>Olong</v>
          </cell>
        </row>
        <row r="602">
          <cell r="D602" t="str">
            <v>Nalbessy</v>
          </cell>
        </row>
        <row r="603">
          <cell r="D603" t="str">
            <v>Masawoy</v>
          </cell>
        </row>
        <row r="604">
          <cell r="D604" t="str">
            <v>Negeri Lima</v>
          </cell>
        </row>
        <row r="605">
          <cell r="D605" t="str">
            <v>Hitulama</v>
          </cell>
        </row>
        <row r="606">
          <cell r="D606" t="str">
            <v>Nolloth</v>
          </cell>
        </row>
        <row r="607">
          <cell r="D607" t="str">
            <v>Kulur</v>
          </cell>
        </row>
        <row r="608">
          <cell r="D608" t="str">
            <v>Pelauw</v>
          </cell>
        </row>
        <row r="609">
          <cell r="D609" t="str">
            <v>Yainuelo</v>
          </cell>
        </row>
        <row r="610">
          <cell r="D610" t="str">
            <v>Nuwewang</v>
          </cell>
        </row>
        <row r="611">
          <cell r="D611" t="str">
            <v>Klis</v>
          </cell>
        </row>
        <row r="612">
          <cell r="D612" t="str">
            <v>Rutong</v>
          </cell>
        </row>
        <row r="613">
          <cell r="D613" t="str">
            <v>Urimessing</v>
          </cell>
        </row>
        <row r="614">
          <cell r="D614" t="str">
            <v>Latuhalat</v>
          </cell>
        </row>
        <row r="615">
          <cell r="D615" t="str">
            <v>Laha</v>
          </cell>
        </row>
        <row r="616">
          <cell r="D616" t="str">
            <v>Dowora</v>
          </cell>
        </row>
        <row r="617">
          <cell r="D617" t="str">
            <v>Gonone</v>
          </cell>
        </row>
        <row r="618">
          <cell r="D618" t="str">
            <v>Kakupang</v>
          </cell>
        </row>
        <row r="619">
          <cell r="D619" t="str">
            <v>Pulau Gala</v>
          </cell>
        </row>
        <row r="620">
          <cell r="D620" t="str">
            <v>Lele</v>
          </cell>
        </row>
        <row r="621">
          <cell r="D621" t="str">
            <v>Sakam</v>
          </cell>
        </row>
        <row r="622">
          <cell r="D622" t="str">
            <v>Bilifitu</v>
          </cell>
        </row>
        <row r="623">
          <cell r="D623" t="str">
            <v>Messa</v>
          </cell>
        </row>
        <row r="624">
          <cell r="D624" t="str">
            <v>Sil</v>
          </cell>
        </row>
        <row r="625">
          <cell r="D625" t="str">
            <v>Gorua</v>
          </cell>
        </row>
        <row r="626">
          <cell r="D626" t="str">
            <v>Loleo Jaya</v>
          </cell>
        </row>
        <row r="627">
          <cell r="D627" t="str">
            <v>Maba</v>
          </cell>
        </row>
        <row r="628">
          <cell r="D628" t="str">
            <v>Pangeo</v>
          </cell>
        </row>
        <row r="629">
          <cell r="D629" t="str">
            <v>Titigogoli</v>
          </cell>
        </row>
        <row r="630">
          <cell r="D630" t="str">
            <v>Sukaraja</v>
          </cell>
        </row>
        <row r="631">
          <cell r="D631" t="str">
            <v>Kasieh</v>
          </cell>
        </row>
        <row r="632">
          <cell r="D632" t="str">
            <v>Kawa</v>
          </cell>
        </row>
        <row r="633">
          <cell r="D633" t="str">
            <v>Daruba</v>
          </cell>
        </row>
        <row r="634">
          <cell r="D634" t="str">
            <v>Juanga</v>
          </cell>
        </row>
        <row r="635">
          <cell r="D635" t="str">
            <v>Mandiri</v>
          </cell>
        </row>
        <row r="636">
          <cell r="D636" t="str">
            <v>Posi-Posi</v>
          </cell>
        </row>
        <row r="637">
          <cell r="D637" t="str">
            <v>Tiley</v>
          </cell>
        </row>
        <row r="638">
          <cell r="D638" t="str">
            <v>Wayabula</v>
          </cell>
        </row>
        <row r="639">
          <cell r="D639" t="str">
            <v>Adaut</v>
          </cell>
        </row>
        <row r="640">
          <cell r="D640" t="str">
            <v>Wabar</v>
          </cell>
        </row>
        <row r="641">
          <cell r="D641" t="str">
            <v>Teineman</v>
          </cell>
        </row>
        <row r="642">
          <cell r="D642" t="str">
            <v>Wamlana</v>
          </cell>
        </row>
        <row r="643">
          <cell r="D643" t="str">
            <v>Seith</v>
          </cell>
        </row>
        <row r="644">
          <cell r="D644" t="str">
            <v>Majiko Tongone</v>
          </cell>
        </row>
        <row r="645">
          <cell r="D645" t="str">
            <v>Dama</v>
          </cell>
        </row>
        <row r="646">
          <cell r="D646" t="str">
            <v>Patlean</v>
          </cell>
        </row>
        <row r="647">
          <cell r="D647" t="str">
            <v>Tamangil Nuhuyanat</v>
          </cell>
        </row>
        <row r="648">
          <cell r="D648" t="str">
            <v>Hoor Kristen</v>
          </cell>
        </row>
        <row r="649">
          <cell r="D649" t="str">
            <v>Watuar</v>
          </cell>
        </row>
        <row r="650">
          <cell r="D650" t="str">
            <v>Abreso</v>
          </cell>
        </row>
        <row r="651">
          <cell r="D651" t="str">
            <v>Bintuni Timur</v>
          </cell>
        </row>
        <row r="652">
          <cell r="D652" t="str">
            <v>Oransbari</v>
          </cell>
        </row>
        <row r="653">
          <cell r="D653" t="str">
            <v>Sowi</v>
          </cell>
        </row>
        <row r="654">
          <cell r="D654" t="str">
            <v>Yekwandi</v>
          </cell>
        </row>
        <row r="655">
          <cell r="D655" t="str">
            <v>Awaki</v>
          </cell>
        </row>
        <row r="656">
          <cell r="D656" t="str">
            <v>Duber</v>
          </cell>
        </row>
        <row r="657">
          <cell r="D657" t="str">
            <v>Fanindi</v>
          </cell>
        </row>
        <row r="658">
          <cell r="D658" t="str">
            <v>Insumbrei</v>
          </cell>
        </row>
        <row r="659">
          <cell r="D659" t="str">
            <v>Odori</v>
          </cell>
        </row>
        <row r="660">
          <cell r="D660" t="str">
            <v>Rayori</v>
          </cell>
        </row>
        <row r="661">
          <cell r="D661" t="str">
            <v>Wombonda</v>
          </cell>
        </row>
        <row r="662">
          <cell r="D662" t="str">
            <v>Barawai</v>
          </cell>
        </row>
        <row r="663">
          <cell r="D663" t="str">
            <v>Warembori</v>
          </cell>
        </row>
        <row r="664">
          <cell r="D664" t="str">
            <v>Kaipuri</v>
          </cell>
        </row>
        <row r="665">
          <cell r="D665" t="str">
            <v>Mnukwar</v>
          </cell>
        </row>
        <row r="666">
          <cell r="D666" t="str">
            <v>Poiwai</v>
          </cell>
        </row>
        <row r="667">
          <cell r="D667" t="str">
            <v>Tamakuri</v>
          </cell>
        </row>
        <row r="668">
          <cell r="D668" t="str">
            <v>Andamata</v>
          </cell>
        </row>
        <row r="669">
          <cell r="D669" t="str">
            <v>Coa</v>
          </cell>
        </row>
        <row r="670">
          <cell r="D670" t="str">
            <v>Danaweria</v>
          </cell>
        </row>
        <row r="671">
          <cell r="D671" t="str">
            <v>Bisa</v>
          </cell>
        </row>
        <row r="672">
          <cell r="D672" t="str">
            <v>Offie</v>
          </cell>
        </row>
        <row r="673">
          <cell r="D673" t="str">
            <v>Finyabor</v>
          </cell>
        </row>
        <row r="674">
          <cell r="D674" t="str">
            <v>Armopa</v>
          </cell>
        </row>
        <row r="675">
          <cell r="D675" t="str">
            <v>Bagaiserwar Dua</v>
          </cell>
        </row>
        <row r="676">
          <cell r="D676" t="str">
            <v>Betaf</v>
          </cell>
        </row>
        <row r="677">
          <cell r="D677" t="str">
            <v>Krim Podena</v>
          </cell>
        </row>
        <row r="678">
          <cell r="D678" t="str">
            <v>Tambrawar</v>
          </cell>
        </row>
        <row r="679">
          <cell r="D679" t="str">
            <v>Tarontha Srum</v>
          </cell>
        </row>
        <row r="680">
          <cell r="D680" t="str">
            <v>Bariwaro</v>
          </cell>
        </row>
        <row r="681">
          <cell r="D681" t="str">
            <v>Ghoyui</v>
          </cell>
        </row>
        <row r="682">
          <cell r="D682" t="str">
            <v>Nadofoai</v>
          </cell>
        </row>
        <row r="683">
          <cell r="D683" t="str">
            <v>Nau</v>
          </cell>
        </row>
        <row r="684">
          <cell r="D684" t="str">
            <v>Nonomi</v>
          </cell>
        </row>
        <row r="685">
          <cell r="D685" t="str">
            <v>Ronarai</v>
          </cell>
        </row>
        <row r="686">
          <cell r="D686" t="str">
            <v>Sarafambai</v>
          </cell>
        </row>
        <row r="687">
          <cell r="D687" t="str">
            <v>Ureifaisei I/Sanggae</v>
          </cell>
        </row>
        <row r="688">
          <cell r="D688" t="str">
            <v>Inowa</v>
          </cell>
        </row>
        <row r="689">
          <cell r="D689" t="str">
            <v>Jaimaria</v>
          </cell>
        </row>
        <row r="690">
          <cell r="D690" t="str">
            <v>Maniri</v>
          </cell>
        </row>
        <row r="691">
          <cell r="D691" t="str">
            <v>Woiwani</v>
          </cell>
        </row>
        <row r="692">
          <cell r="D692" t="str">
            <v>Bakasai</v>
          </cell>
        </row>
        <row r="693">
          <cell r="D693" t="str">
            <v>Atapo</v>
          </cell>
        </row>
        <row r="694">
          <cell r="D694" t="str">
            <v>Beriten</v>
          </cell>
        </row>
        <row r="695">
          <cell r="D695" t="str">
            <v>Jufri</v>
          </cell>
        </row>
        <row r="696">
          <cell r="D696" t="str">
            <v>Kayo Batu</v>
          </cell>
        </row>
        <row r="697">
          <cell r="D697" t="str">
            <v>Doromena</v>
          </cell>
        </row>
        <row r="698">
          <cell r="D698" t="str">
            <v>Maruwai</v>
          </cell>
        </row>
        <row r="699">
          <cell r="D699" t="str">
            <v>Kiriyou</v>
          </cell>
        </row>
        <row r="700">
          <cell r="D700" t="str">
            <v>Soromasen</v>
          </cell>
        </row>
        <row r="701">
          <cell r="D701" t="str">
            <v>Kornasoren</v>
          </cell>
        </row>
        <row r="702">
          <cell r="D702" t="str">
            <v>Mandori</v>
          </cell>
        </row>
        <row r="703">
          <cell r="D703" t="str">
            <v>Pyefuri</v>
          </cell>
        </row>
        <row r="704">
          <cell r="D704" t="str">
            <v>Serbin</v>
          </cell>
        </row>
        <row r="705">
          <cell r="D705" t="str">
            <v>Bareraif</v>
          </cell>
        </row>
        <row r="706">
          <cell r="D706" t="str">
            <v>Korombobi</v>
          </cell>
        </row>
        <row r="707">
          <cell r="D707" t="str">
            <v>Ampimoi</v>
          </cell>
        </row>
        <row r="708">
          <cell r="D708" t="str">
            <v>Marsram</v>
          </cell>
        </row>
        <row r="709">
          <cell r="D709" t="str">
            <v>Ampunbukor</v>
          </cell>
        </row>
        <row r="710">
          <cell r="D710" t="str">
            <v>Douwbo</v>
          </cell>
        </row>
        <row r="711">
          <cell r="D711" t="str">
            <v>Waryesi</v>
          </cell>
        </row>
        <row r="712">
          <cell r="D712" t="str">
            <v>Yenbepioper</v>
          </cell>
        </row>
        <row r="713">
          <cell r="D713" t="str">
            <v>Ausem</v>
          </cell>
        </row>
        <row r="714">
          <cell r="D714" t="str">
            <v>Miosnum</v>
          </cell>
        </row>
        <row r="715">
          <cell r="D715" t="str">
            <v>Woinap</v>
          </cell>
        </row>
        <row r="716">
          <cell r="D716" t="str">
            <v>Mnuswor</v>
          </cell>
        </row>
        <row r="717">
          <cell r="D717" t="str">
            <v>Bosnabraidi</v>
          </cell>
        </row>
        <row r="718">
          <cell r="D718" t="str">
            <v>Sawai</v>
          </cell>
        </row>
        <row r="719">
          <cell r="D719" t="str">
            <v>Yobdi</v>
          </cell>
        </row>
        <row r="720">
          <cell r="D720" t="str">
            <v>Munggui</v>
          </cell>
        </row>
        <row r="721">
          <cell r="D721" t="str">
            <v>Nurawi</v>
          </cell>
        </row>
        <row r="722">
          <cell r="D722" t="str">
            <v>Muris Kecil</v>
          </cell>
        </row>
        <row r="723">
          <cell r="D723" t="str">
            <v>Ambora</v>
          </cell>
        </row>
        <row r="724">
          <cell r="D724" t="str">
            <v>Kamdera</v>
          </cell>
        </row>
        <row r="725">
          <cell r="D725" t="str">
            <v>Kendate</v>
          </cell>
        </row>
        <row r="726">
          <cell r="D726" t="str">
            <v>Meukisi</v>
          </cell>
        </row>
        <row r="727">
          <cell r="D727" t="str">
            <v>Muaif</v>
          </cell>
        </row>
        <row r="728">
          <cell r="D728" t="str">
            <v>Yakore</v>
          </cell>
        </row>
        <row r="729">
          <cell r="D729" t="str">
            <v>Yougapsa</v>
          </cell>
        </row>
        <row r="730">
          <cell r="D730" t="str">
            <v>Rufei</v>
          </cell>
        </row>
        <row r="731">
          <cell r="D731" t="str">
            <v>Sau Uram</v>
          </cell>
        </row>
        <row r="732">
          <cell r="D732" t="str">
            <v>Kumbe</v>
          </cell>
        </row>
        <row r="733">
          <cell r="D733" t="str">
            <v>Domande</v>
          </cell>
        </row>
        <row r="734">
          <cell r="D734" t="str">
            <v>Urumb</v>
          </cell>
        </row>
        <row r="735">
          <cell r="D735" t="str">
            <v>Siriwini</v>
          </cell>
        </row>
        <row r="736">
          <cell r="D736" t="str">
            <v>Wapoga</v>
          </cell>
        </row>
        <row r="737">
          <cell r="D737" t="str">
            <v>Weinami</v>
          </cell>
        </row>
        <row r="738">
          <cell r="D738" t="str">
            <v>Somiangga</v>
          </cell>
        </row>
        <row r="739">
          <cell r="D739" t="str">
            <v>Sumuraman</v>
          </cell>
        </row>
        <row r="740">
          <cell r="D740" t="str">
            <v>Mur</v>
          </cell>
        </row>
        <row r="741">
          <cell r="D741" t="str">
            <v>Wagin</v>
          </cell>
        </row>
        <row r="742">
          <cell r="D742" t="str">
            <v>Tanjung Barari</v>
          </cell>
        </row>
        <row r="743">
          <cell r="D743" t="str">
            <v>Umani</v>
          </cell>
        </row>
        <row r="744">
          <cell r="D744" t="str">
            <v>Anggaduber</v>
          </cell>
        </row>
        <row r="745">
          <cell r="D745" t="str">
            <v>Animi</v>
          </cell>
        </row>
        <row r="746">
          <cell r="D746" t="str">
            <v>Toroa</v>
          </cell>
        </row>
        <row r="747">
          <cell r="D747" t="str">
            <v>Adiwipi</v>
          </cell>
        </row>
        <row r="748">
          <cell r="D748" t="str">
            <v>Wadapi</v>
          </cell>
        </row>
        <row r="749">
          <cell r="D749" t="str">
            <v>Rambai</v>
          </cell>
        </row>
        <row r="750">
          <cell r="D750" t="str">
            <v>Turu</v>
          </cell>
        </row>
        <row r="751">
          <cell r="D751" t="str">
            <v>Ketu Api</v>
          </cell>
        </row>
        <row r="752">
          <cell r="D752" t="str">
            <v>Maria Rotu</v>
          </cell>
        </row>
        <row r="753">
          <cell r="D753" t="str">
            <v>Tatui</v>
          </cell>
        </row>
        <row r="754">
          <cell r="D754" t="str">
            <v>Wamargege</v>
          </cell>
        </row>
        <row r="755">
          <cell r="D755" t="str">
            <v>Wogekel</v>
          </cell>
        </row>
        <row r="756">
          <cell r="D756" t="str">
            <v>Wanam</v>
          </cell>
        </row>
        <row r="757">
          <cell r="D757" t="str">
            <v>Tandurusa</v>
          </cell>
        </row>
        <row r="758">
          <cell r="D758" t="str">
            <v>Lirang</v>
          </cell>
        </row>
        <row r="759">
          <cell r="D759" t="str">
            <v>Kema III</v>
          </cell>
        </row>
        <row r="760">
          <cell r="D760" t="str">
            <v>Bitunuris Selatan</v>
          </cell>
        </row>
        <row r="761">
          <cell r="D761" t="str">
            <v>Awit Selatan</v>
          </cell>
        </row>
        <row r="762">
          <cell r="D762" t="str">
            <v>Bowombaru</v>
          </cell>
        </row>
        <row r="763">
          <cell r="D763" t="str">
            <v>Pulau Miangas</v>
          </cell>
        </row>
        <row r="764">
          <cell r="D764" t="str">
            <v>Bolangitang I</v>
          </cell>
        </row>
        <row r="765">
          <cell r="D765" t="str">
            <v>Kotajin Utara</v>
          </cell>
        </row>
        <row r="766">
          <cell r="D766" t="str">
            <v>Dumolodo</v>
          </cell>
        </row>
        <row r="767">
          <cell r="D767" t="str">
            <v>Tanjung Sidupa</v>
          </cell>
        </row>
        <row r="768">
          <cell r="D768" t="str">
            <v>Tambulang Pantai</v>
          </cell>
        </row>
        <row r="769">
          <cell r="D769" t="str">
            <v>Bukit Tinggi</v>
          </cell>
        </row>
        <row r="770">
          <cell r="D770" t="str">
            <v>Molompar Timur</v>
          </cell>
        </row>
        <row r="771">
          <cell r="D771" t="str">
            <v>Bentenan Satu</v>
          </cell>
        </row>
        <row r="772">
          <cell r="D772" t="str">
            <v>Minanga Tiga</v>
          </cell>
        </row>
        <row r="773">
          <cell r="D773" t="str">
            <v>Buyat Tengah</v>
          </cell>
        </row>
        <row r="774">
          <cell r="D774" t="str">
            <v>Ratatotok Timur</v>
          </cell>
        </row>
        <row r="775">
          <cell r="D775" t="str">
            <v>Rumbia</v>
          </cell>
        </row>
        <row r="776">
          <cell r="D776" t="str">
            <v>Inobonto Ii</v>
          </cell>
        </row>
        <row r="777">
          <cell r="D777" t="str">
            <v>Sauk</v>
          </cell>
        </row>
        <row r="778">
          <cell r="D778" t="str">
            <v>Matani Satu</v>
          </cell>
        </row>
        <row r="779">
          <cell r="D779" t="str">
            <v>Ranomea</v>
          </cell>
        </row>
        <row r="780">
          <cell r="D780" t="str">
            <v>Jiko</v>
          </cell>
        </row>
        <row r="781">
          <cell r="D781" t="str">
            <v>Matabulu Timur</v>
          </cell>
        </row>
        <row r="782">
          <cell r="D782" t="str">
            <v>Motongkad Selatan</v>
          </cell>
        </row>
        <row r="783">
          <cell r="D783" t="str">
            <v>Iyok</v>
          </cell>
        </row>
        <row r="784">
          <cell r="D784" t="str">
            <v>Loyow</v>
          </cell>
        </row>
        <row r="785">
          <cell r="D785" t="str">
            <v>Modisi</v>
          </cell>
        </row>
        <row r="786">
          <cell r="D786" t="str">
            <v>Iligon</v>
          </cell>
        </row>
        <row r="787">
          <cell r="D787" t="str">
            <v>Deaga</v>
          </cell>
        </row>
        <row r="788">
          <cell r="D788" t="str">
            <v>Lamanggo</v>
          </cell>
        </row>
        <row r="789">
          <cell r="D789" t="str">
            <v>Dalinsaheng</v>
          </cell>
        </row>
        <row r="790">
          <cell r="D790" t="str">
            <v>Bandil</v>
          </cell>
        </row>
        <row r="791">
          <cell r="D791" t="str">
            <v>Likupang Kampung Ambong</v>
          </cell>
        </row>
        <row r="792">
          <cell r="D792" t="str">
            <v>Gangga II</v>
          </cell>
        </row>
        <row r="793">
          <cell r="D793" t="str">
            <v>Bulutui</v>
          </cell>
        </row>
        <row r="794">
          <cell r="D794" t="str">
            <v>Kahuhu</v>
          </cell>
        </row>
        <row r="795">
          <cell r="D795" t="str">
            <v>Minaesa</v>
          </cell>
        </row>
        <row r="796">
          <cell r="D796" t="str">
            <v>Tabilaa</v>
          </cell>
        </row>
        <row r="797">
          <cell r="D797" t="str">
            <v>Pinolantungan</v>
          </cell>
        </row>
        <row r="798">
          <cell r="D798" t="str">
            <v>Botuliodu</v>
          </cell>
        </row>
        <row r="799">
          <cell r="D799" t="str">
            <v>Bulu Cindea</v>
          </cell>
        </row>
        <row r="800">
          <cell r="D800" t="str">
            <v>Ponelo</v>
          </cell>
        </row>
        <row r="801">
          <cell r="D801" t="str">
            <v>Dudepo</v>
          </cell>
        </row>
        <row r="802">
          <cell r="D802" t="str">
            <v>Garapia</v>
          </cell>
        </row>
        <row r="803">
          <cell r="D803" t="str">
            <v>Santiago</v>
          </cell>
        </row>
        <row r="804">
          <cell r="D804" t="str">
            <v>Palahanaeng</v>
          </cell>
        </row>
        <row r="805">
          <cell r="D805" t="str">
            <v>Naha I</v>
          </cell>
        </row>
        <row r="806">
          <cell r="D806" t="str">
            <v>Tolinggula Pantai</v>
          </cell>
        </row>
        <row r="807">
          <cell r="D807" t="str">
            <v>Hutakalo</v>
          </cell>
        </row>
        <row r="808">
          <cell r="D808" t="str">
            <v>Dudewulo</v>
          </cell>
        </row>
        <row r="809">
          <cell r="D809" t="str">
            <v>Milangodaa</v>
          </cell>
        </row>
        <row r="810">
          <cell r="D810" t="str">
            <v>Lemito</v>
          </cell>
        </row>
        <row r="811">
          <cell r="D811" t="str">
            <v>Air Gelubi</v>
          </cell>
        </row>
        <row r="812">
          <cell r="D812" t="str">
            <v>Malang Rapat</v>
          </cell>
        </row>
        <row r="813">
          <cell r="D813" t="str">
            <v>Mapur</v>
          </cell>
        </row>
        <row r="814">
          <cell r="D814" t="str">
            <v>Numbing</v>
          </cell>
        </row>
        <row r="815">
          <cell r="D815" t="str">
            <v>Teluk Bakau</v>
          </cell>
        </row>
        <row r="816">
          <cell r="D816" t="str">
            <v>Berakit</v>
          </cell>
        </row>
        <row r="817">
          <cell r="D817" t="str">
            <v>Alue Naga</v>
          </cell>
        </row>
        <row r="818">
          <cell r="D818" t="str">
            <v>Layeun</v>
          </cell>
        </row>
        <row r="819">
          <cell r="D819" t="str">
            <v>Ujong Muloh</v>
          </cell>
        </row>
        <row r="820">
          <cell r="D820" t="str">
            <v>Mepar</v>
          </cell>
        </row>
        <row r="821">
          <cell r="D821" t="str">
            <v>Gampong Kuala</v>
          </cell>
        </row>
        <row r="822">
          <cell r="D822" t="str">
            <v>Paya Dua</v>
          </cell>
        </row>
        <row r="823">
          <cell r="D823" t="str">
            <v>Kuala Pusung Kapal</v>
          </cell>
        </row>
        <row r="824">
          <cell r="D824" t="str">
            <v>Kuala Langsa</v>
          </cell>
        </row>
        <row r="825">
          <cell r="D825" t="str">
            <v>Batu Belubang</v>
          </cell>
        </row>
        <row r="826">
          <cell r="D826" t="str">
            <v>Rebo</v>
          </cell>
        </row>
        <row r="827">
          <cell r="D827" t="str">
            <v>Mapur</v>
          </cell>
        </row>
        <row r="828">
          <cell r="D828" t="str">
            <v>Kuala Maras</v>
          </cell>
        </row>
        <row r="829">
          <cell r="D829" t="str">
            <v>Putik</v>
          </cell>
        </row>
        <row r="830">
          <cell r="D830" t="str">
            <v>Mampok</v>
          </cell>
        </row>
        <row r="831">
          <cell r="D831" t="str">
            <v>Air Bini</v>
          </cell>
        </row>
        <row r="832">
          <cell r="D832" t="str">
            <v>Piasan</v>
          </cell>
        </row>
        <row r="833">
          <cell r="D833" t="str">
            <v>Geulumpang Sulu Timu</v>
          </cell>
        </row>
        <row r="834">
          <cell r="D834" t="str">
            <v>Lapang Barat</v>
          </cell>
        </row>
        <row r="835">
          <cell r="D835" t="str">
            <v>Kuala Cerape</v>
          </cell>
        </row>
        <row r="836">
          <cell r="D836" t="str">
            <v>Lancang</v>
          </cell>
        </row>
        <row r="837">
          <cell r="D837" t="str">
            <v>Labuhan Bazau</v>
          </cell>
        </row>
        <row r="838">
          <cell r="D838" t="str">
            <v>Ulee Rubek Timu</v>
          </cell>
        </row>
        <row r="839">
          <cell r="D839" t="str">
            <v>Ulee Rubek Barat</v>
          </cell>
        </row>
        <row r="840">
          <cell r="D840" t="str">
            <v>Matang Puntong</v>
          </cell>
        </row>
        <row r="841">
          <cell r="D841" t="str">
            <v>Kuala Cangkoy</v>
          </cell>
        </row>
        <row r="842">
          <cell r="D842" t="str">
            <v>Ujong Blang</v>
          </cell>
        </row>
        <row r="843">
          <cell r="D843" t="str">
            <v>Langi</v>
          </cell>
        </row>
        <row r="844">
          <cell r="D844" t="str">
            <v>Nasreuhe</v>
          </cell>
        </row>
        <row r="845">
          <cell r="D845" t="str">
            <v>Kampung Aie</v>
          </cell>
        </row>
        <row r="846">
          <cell r="D846" t="str">
            <v>Sawang Indah</v>
          </cell>
        </row>
        <row r="847">
          <cell r="D847" t="str">
            <v>Labuhan Tarok II</v>
          </cell>
        </row>
        <row r="848">
          <cell r="D848" t="str">
            <v>Ujung Tanah</v>
          </cell>
        </row>
        <row r="849">
          <cell r="D849" t="str">
            <v>Padang Baru</v>
          </cell>
        </row>
        <row r="850">
          <cell r="D850" t="str">
            <v>Lugu Sebahak</v>
          </cell>
        </row>
        <row r="851">
          <cell r="D851" t="str">
            <v>Muara Aman</v>
          </cell>
        </row>
        <row r="852">
          <cell r="D852" t="str">
            <v>Sasak</v>
          </cell>
        </row>
        <row r="853">
          <cell r="D853" t="str">
            <v>Balam</v>
          </cell>
        </row>
        <row r="854">
          <cell r="D854" t="str">
            <v>Padang Seurahet</v>
          </cell>
        </row>
        <row r="855">
          <cell r="D855" t="str">
            <v>Suak Seumaseh</v>
          </cell>
        </row>
        <row r="856">
          <cell r="D856" t="str">
            <v>Kuala Tadu</v>
          </cell>
        </row>
        <row r="857">
          <cell r="D857" t="str">
            <v>Panton Makmur</v>
          </cell>
        </row>
        <row r="858">
          <cell r="D858" t="str">
            <v>Muntai</v>
          </cell>
        </row>
        <row r="859">
          <cell r="D859" t="str">
            <v>Tebing Tinggi Okura</v>
          </cell>
        </row>
        <row r="860">
          <cell r="D860" t="str">
            <v>Teluk Batil</v>
          </cell>
        </row>
        <row r="861">
          <cell r="D861" t="str">
            <v>Deluk</v>
          </cell>
        </row>
        <row r="862">
          <cell r="D862" t="str">
            <v>Meskom</v>
          </cell>
        </row>
        <row r="863">
          <cell r="D863" t="str">
            <v>Sei Jawi-Jawi</v>
          </cell>
        </row>
        <row r="864">
          <cell r="D864" t="str">
            <v>Sedanau</v>
          </cell>
        </row>
        <row r="865">
          <cell r="D865" t="str">
            <v>Batu Belanak</v>
          </cell>
        </row>
        <row r="866">
          <cell r="D866" t="str">
            <v>Sabang Mawang</v>
          </cell>
        </row>
        <row r="867">
          <cell r="D867" t="str">
            <v>Sededap</v>
          </cell>
        </row>
        <row r="868">
          <cell r="D868" t="str">
            <v>Selading</v>
          </cell>
        </row>
        <row r="869">
          <cell r="D869" t="str">
            <v>Busung</v>
          </cell>
        </row>
        <row r="870">
          <cell r="D870" t="str">
            <v>Kuala Sempang</v>
          </cell>
        </row>
        <row r="871">
          <cell r="D871" t="str">
            <v>Kampung Bugis</v>
          </cell>
        </row>
        <row r="872">
          <cell r="D872" t="str">
            <v>Jaboi</v>
          </cell>
        </row>
        <row r="873">
          <cell r="D873" t="str">
            <v>Keunekai</v>
          </cell>
        </row>
        <row r="874">
          <cell r="D874" t="str">
            <v>Batee Shok</v>
          </cell>
        </row>
        <row r="875">
          <cell r="D875" t="str">
            <v>Latiung</v>
          </cell>
        </row>
        <row r="876">
          <cell r="D876" t="str">
            <v>Kahad</v>
          </cell>
        </row>
        <row r="877">
          <cell r="D877" t="str">
            <v>Sungaibuluh</v>
          </cell>
        </row>
        <row r="878">
          <cell r="D878" t="str">
            <v>Panglima Raja</v>
          </cell>
        </row>
        <row r="879">
          <cell r="D879" t="str">
            <v>Bekawan</v>
          </cell>
        </row>
        <row r="880">
          <cell r="D880" t="str">
            <v>Kuala Patah Parang</v>
          </cell>
        </row>
        <row r="881">
          <cell r="D881" t="str">
            <v>Simpang Tiga Jaya</v>
          </cell>
        </row>
        <row r="882">
          <cell r="D882" t="str">
            <v>Mayang</v>
          </cell>
        </row>
        <row r="883">
          <cell r="D883" t="str">
            <v>Baru</v>
          </cell>
        </row>
        <row r="884">
          <cell r="D884" t="str">
            <v>Sungai Sibur</v>
          </cell>
        </row>
        <row r="885">
          <cell r="D885" t="str">
            <v>Tanjong Krueng</v>
          </cell>
        </row>
        <row r="886">
          <cell r="D886" t="str">
            <v>Meunasah Jurong</v>
          </cell>
        </row>
        <row r="887">
          <cell r="D887" t="str">
            <v>Leungah</v>
          </cell>
        </row>
        <row r="888">
          <cell r="D888" t="str">
            <v>Kuala Pidie</v>
          </cell>
        </row>
        <row r="889">
          <cell r="D889" t="str">
            <v>Keurisi Meunasah Beurembang</v>
          </cell>
        </row>
        <row r="890">
          <cell r="D890" t="str">
            <v>Pasi Beurandeh</v>
          </cell>
        </row>
        <row r="891">
          <cell r="D891" t="str">
            <v>Jeumeurang</v>
          </cell>
        </row>
        <row r="892">
          <cell r="D892" t="str">
            <v>Tanjungrusa</v>
          </cell>
        </row>
        <row r="893">
          <cell r="D893" t="str">
            <v>Pulau Seliu</v>
          </cell>
        </row>
        <row r="894">
          <cell r="D894" t="str">
            <v>Karang Brak</v>
          </cell>
        </row>
        <row r="895">
          <cell r="D895" t="str">
            <v>Teluk Limau</v>
          </cell>
        </row>
        <row r="896">
          <cell r="D896" t="str">
            <v>Rambat</v>
          </cell>
        </row>
        <row r="897">
          <cell r="D897" t="str">
            <v>Tanjung Niur</v>
          </cell>
        </row>
        <row r="898">
          <cell r="D898" t="str">
            <v>Teluk Nibung</v>
          </cell>
        </row>
        <row r="899">
          <cell r="D899" t="str">
            <v>Ujong Pulo Rayeuk</v>
          </cell>
        </row>
        <row r="900">
          <cell r="D900" t="str">
            <v>Darul Ikhsan</v>
          </cell>
        </row>
        <row r="901">
          <cell r="D901" t="str">
            <v>Telukpulai</v>
          </cell>
        </row>
        <row r="902">
          <cell r="D902" t="str">
            <v>Panipahan Darat</v>
          </cell>
        </row>
        <row r="903">
          <cell r="D903" t="str">
            <v>Sinaboi</v>
          </cell>
        </row>
        <row r="904">
          <cell r="D904" t="str">
            <v>Pilubang</v>
          </cell>
        </row>
        <row r="905">
          <cell r="D905" t="str">
            <v>Tanjung Sangkar</v>
          </cell>
        </row>
        <row r="906">
          <cell r="D906" t="str">
            <v>Celagen</v>
          </cell>
        </row>
        <row r="907">
          <cell r="D907" t="str">
            <v>Sadai</v>
          </cell>
        </row>
        <row r="908">
          <cell r="D908" t="str">
            <v>Tanjung Ketapang</v>
          </cell>
        </row>
        <row r="909">
          <cell r="D909" t="str">
            <v>Tungkal Ii</v>
          </cell>
        </row>
        <row r="910">
          <cell r="D910" t="str">
            <v>Centai</v>
          </cell>
        </row>
        <row r="911">
          <cell r="D911" t="str">
            <v>Mekar Sari</v>
          </cell>
        </row>
        <row r="912">
          <cell r="D912" t="str">
            <v>Teluk</v>
          </cell>
        </row>
        <row r="913">
          <cell r="D913" t="str">
            <v>Penyengat</v>
          </cell>
        </row>
        <row r="914">
          <cell r="D914" t="str">
            <v>Ronggaiwa</v>
          </cell>
        </row>
        <row r="915">
          <cell r="D915" t="str">
            <v>Mambui</v>
          </cell>
        </row>
        <row r="916">
          <cell r="D916" t="str">
            <v>Iriati</v>
          </cell>
        </row>
        <row r="917">
          <cell r="D917" t="str">
            <v>Tarof</v>
          </cell>
        </row>
        <row r="918">
          <cell r="D918" t="str">
            <v>Yenbepon</v>
          </cell>
        </row>
        <row r="919">
          <cell r="D919" t="str">
            <v>Ureifaisei Iii/ Paradoi</v>
          </cell>
        </row>
        <row r="920">
          <cell r="D920" t="str">
            <v>Soor</v>
          </cell>
        </row>
        <row r="921">
          <cell r="D921" t="str">
            <v>Komboi</v>
          </cell>
        </row>
        <row r="922">
          <cell r="D922" t="str">
            <v>Dokis</v>
          </cell>
        </row>
        <row r="923">
          <cell r="D923" t="str">
            <v>Kamarisano</v>
          </cell>
        </row>
        <row r="924">
          <cell r="D924" t="str">
            <v>Entiyebo</v>
          </cell>
        </row>
        <row r="925">
          <cell r="D925" t="str">
            <v>Newa</v>
          </cell>
        </row>
        <row r="926">
          <cell r="D926" t="str">
            <v>Senamay</v>
          </cell>
        </row>
        <row r="927">
          <cell r="D927" t="str">
            <v>Endokisi</v>
          </cell>
        </row>
        <row r="928">
          <cell r="D928" t="str">
            <v>Yongsu Sapari</v>
          </cell>
        </row>
        <row r="929">
          <cell r="D929" t="str">
            <v>Mayaghaido</v>
          </cell>
        </row>
        <row r="930">
          <cell r="D930" t="str">
            <v>Emauri</v>
          </cell>
        </row>
        <row r="931">
          <cell r="D931" t="str">
            <v>Kasuweri</v>
          </cell>
        </row>
        <row r="932">
          <cell r="D932" t="str">
            <v>Waren II</v>
          </cell>
        </row>
        <row r="933">
          <cell r="D933" t="str">
            <v>Isogo</v>
          </cell>
        </row>
        <row r="934">
          <cell r="D934" t="str">
            <v>Tambani</v>
          </cell>
        </row>
        <row r="935">
          <cell r="D935" t="str">
            <v>Siri-siri</v>
          </cell>
        </row>
        <row r="936">
          <cell r="D936" t="str">
            <v>Yarpate</v>
          </cell>
        </row>
        <row r="937">
          <cell r="D937" t="str">
            <v>Holmafen</v>
          </cell>
        </row>
        <row r="938">
          <cell r="D938" t="str">
            <v>Lembah Neidam</v>
          </cell>
        </row>
        <row r="939">
          <cell r="D939" t="str">
            <v>Dembek</v>
          </cell>
        </row>
        <row r="940">
          <cell r="D940" t="str">
            <v>Muari</v>
          </cell>
        </row>
        <row r="941">
          <cell r="D941" t="str">
            <v>Klaogin</v>
          </cell>
        </row>
        <row r="942">
          <cell r="D942" t="str">
            <v>Manwor Indah</v>
          </cell>
        </row>
        <row r="943">
          <cell r="D943" t="str">
            <v>Saribi</v>
          </cell>
        </row>
        <row r="944">
          <cell r="D944" t="str">
            <v>Wansra</v>
          </cell>
        </row>
        <row r="945">
          <cell r="D945" t="str">
            <v>Sarwa</v>
          </cell>
        </row>
        <row r="946">
          <cell r="D946" t="str">
            <v>Korem</v>
          </cell>
        </row>
        <row r="947">
          <cell r="D947" t="str">
            <v>Ramdori</v>
          </cell>
        </row>
        <row r="948">
          <cell r="D948" t="str">
            <v>Yawerma</v>
          </cell>
        </row>
        <row r="949">
          <cell r="D949" t="str">
            <v>Marur</v>
          </cell>
        </row>
        <row r="950">
          <cell r="D950" t="str">
            <v>Syurdori</v>
          </cell>
        </row>
        <row r="951">
          <cell r="D951" t="str">
            <v>Kobari Jaya</v>
          </cell>
        </row>
        <row r="952">
          <cell r="D952" t="str">
            <v>Warsa</v>
          </cell>
        </row>
        <row r="953">
          <cell r="D953" t="str">
            <v>Puweri</v>
          </cell>
        </row>
        <row r="954">
          <cell r="D954" t="str">
            <v>Waryei</v>
          </cell>
        </row>
        <row r="955">
          <cell r="D955" t="str">
            <v>Wayori</v>
          </cell>
        </row>
        <row r="956">
          <cell r="D956" t="str">
            <v>Warbor</v>
          </cell>
        </row>
        <row r="957">
          <cell r="D957" t="str">
            <v>Koiryakam</v>
          </cell>
        </row>
        <row r="958">
          <cell r="D958" t="str">
            <v>Amyas</v>
          </cell>
        </row>
        <row r="959">
          <cell r="D959" t="str">
            <v>Kapitiau</v>
          </cell>
        </row>
        <row r="960">
          <cell r="D960" t="str">
            <v>Biawer</v>
          </cell>
        </row>
        <row r="961">
          <cell r="D961" t="str">
            <v>Yopmeos</v>
          </cell>
        </row>
        <row r="962">
          <cell r="D962" t="str">
            <v>Dotir</v>
          </cell>
        </row>
        <row r="963">
          <cell r="D963" t="str">
            <v>Windesi</v>
          </cell>
        </row>
        <row r="964">
          <cell r="D964" t="str">
            <v>Mena</v>
          </cell>
        </row>
        <row r="965">
          <cell r="D965" t="str">
            <v>Paradoi</v>
          </cell>
        </row>
        <row r="966">
          <cell r="D966" t="str">
            <v>Nuspairo</v>
          </cell>
        </row>
        <row r="967">
          <cell r="D967" t="str">
            <v>Reyob</v>
          </cell>
        </row>
        <row r="968">
          <cell r="D968" t="str">
            <v>Kamaro</v>
          </cell>
        </row>
        <row r="969">
          <cell r="D969" t="str">
            <v>Waroi</v>
          </cell>
        </row>
        <row r="970">
          <cell r="D970" t="str">
            <v>Kanaan</v>
          </cell>
        </row>
        <row r="971">
          <cell r="D971" t="str">
            <v>Insiri</v>
          </cell>
        </row>
        <row r="972">
          <cell r="D972" t="str">
            <v>Mamoribo</v>
          </cell>
        </row>
        <row r="973">
          <cell r="D973" t="str">
            <v>Rarsbari</v>
          </cell>
        </row>
        <row r="974">
          <cell r="D974" t="str">
            <v>Maryaidori</v>
          </cell>
        </row>
        <row r="975">
          <cell r="D975" t="str">
            <v>Alasdowo</v>
          </cell>
        </row>
        <row r="976">
          <cell r="D976" t="str">
            <v>Puncel</v>
          </cell>
        </row>
        <row r="977">
          <cell r="D977" t="str">
            <v>Dororejo</v>
          </cell>
        </row>
        <row r="978">
          <cell r="D978" t="str">
            <v>Margomulyo</v>
          </cell>
        </row>
        <row r="979">
          <cell r="D979" t="str">
            <v>Jengglungharjo</v>
          </cell>
        </row>
        <row r="980">
          <cell r="D980" t="str">
            <v>Balok</v>
          </cell>
        </row>
        <row r="981">
          <cell r="D981" t="str">
            <v>Tamberu</v>
          </cell>
        </row>
        <row r="982">
          <cell r="D982" t="str">
            <v>Sotabar</v>
          </cell>
        </row>
        <row r="983">
          <cell r="D983" t="str">
            <v>Bira Tengah</v>
          </cell>
        </row>
        <row r="984">
          <cell r="D984" t="str">
            <v>Ambunten Tengah</v>
          </cell>
        </row>
        <row r="985">
          <cell r="D985" t="str">
            <v>Gedugan</v>
          </cell>
        </row>
        <row r="986">
          <cell r="D986" t="str">
            <v>Kramian</v>
          </cell>
        </row>
        <row r="987">
          <cell r="D987" t="str">
            <v>Bancamara</v>
          </cell>
        </row>
        <row r="988">
          <cell r="D988" t="str">
            <v>Dekatagung</v>
          </cell>
        </row>
        <row r="989">
          <cell r="D989" t="str">
            <v>Sidogedungbatu</v>
          </cell>
        </row>
        <row r="990">
          <cell r="D990" t="str">
            <v>Kemantren</v>
          </cell>
        </row>
        <row r="991">
          <cell r="D991" t="str">
            <v>Brondong</v>
          </cell>
        </row>
        <row r="992">
          <cell r="D992" t="str">
            <v>Dalegan</v>
          </cell>
        </row>
        <row r="993">
          <cell r="D993" t="str">
            <v>Kandangsemangkon</v>
          </cell>
        </row>
        <row r="994">
          <cell r="D994" t="str">
            <v>Kranji</v>
          </cell>
        </row>
        <row r="995">
          <cell r="D995" t="str">
            <v>Warulor</v>
          </cell>
        </row>
        <row r="996">
          <cell r="D996" t="str">
            <v>Campurejo</v>
          </cell>
        </row>
        <row r="997">
          <cell r="D997" t="str">
            <v>Karangrejo</v>
          </cell>
        </row>
        <row r="998">
          <cell r="D998" t="str">
            <v>Margagiri</v>
          </cell>
        </row>
        <row r="999">
          <cell r="D999" t="str">
            <v>Pecangaan</v>
          </cell>
        </row>
        <row r="1000">
          <cell r="D1000" t="str">
            <v>Gajahkumpul</v>
          </cell>
        </row>
        <row r="1001">
          <cell r="D1001" t="str">
            <v>Bajomulyo</v>
          </cell>
        </row>
        <row r="1002">
          <cell r="D1002" t="str">
            <v>Kupang</v>
          </cell>
        </row>
        <row r="1003">
          <cell r="D1003" t="str">
            <v>Kalirejo</v>
          </cell>
        </row>
        <row r="1004">
          <cell r="D1004" t="str">
            <v>Ngemplakrejo</v>
          </cell>
        </row>
        <row r="1005">
          <cell r="D1005" t="str">
            <v>Gili Ketapang</v>
          </cell>
        </row>
        <row r="1006">
          <cell r="D1006" t="str">
            <v>Sidoasri</v>
          </cell>
        </row>
        <row r="1007">
          <cell r="D1007" t="str">
            <v>Tambakrejo</v>
          </cell>
        </row>
        <row r="1008">
          <cell r="D1008" t="str">
            <v>Bojongsana</v>
          </cell>
        </row>
        <row r="1009">
          <cell r="D1009" t="str">
            <v>Klampis Barat</v>
          </cell>
        </row>
        <row r="1010">
          <cell r="D1010" t="str">
            <v>Klampis Timur</v>
          </cell>
        </row>
        <row r="1011">
          <cell r="D1011" t="str">
            <v>Jatra Timur</v>
          </cell>
        </row>
        <row r="1012">
          <cell r="D1012" t="str">
            <v>Dawang</v>
          </cell>
        </row>
        <row r="1013">
          <cell r="D1013" t="str">
            <v>Ilili</v>
          </cell>
        </row>
        <row r="1014">
          <cell r="D1014" t="str">
            <v>Kurwara</v>
          </cell>
        </row>
        <row r="1015">
          <cell r="D1015" t="str">
            <v>Malbufa</v>
          </cell>
        </row>
        <row r="1016">
          <cell r="D1016" t="str">
            <v>Batuasa</v>
          </cell>
        </row>
        <row r="1017">
          <cell r="D1017" t="str">
            <v>Waesala</v>
          </cell>
        </row>
        <row r="1018">
          <cell r="D1018" t="str">
            <v>Makatian</v>
          </cell>
        </row>
        <row r="1019">
          <cell r="D1019" t="str">
            <v>Dullah</v>
          </cell>
        </row>
        <row r="1020">
          <cell r="D1020" t="str">
            <v>Tutunametal</v>
          </cell>
        </row>
        <row r="1021">
          <cell r="D1021" t="str">
            <v>Adodo Molu</v>
          </cell>
        </row>
        <row r="1022">
          <cell r="D1022" t="str">
            <v>Matang Pasi</v>
          </cell>
        </row>
        <row r="1023">
          <cell r="D1023" t="str">
            <v>Sambay</v>
          </cell>
        </row>
        <row r="1024">
          <cell r="D1024" t="str">
            <v>Sigulai</v>
          </cell>
        </row>
        <row r="1025">
          <cell r="D1025" t="str">
            <v>Kareung</v>
          </cell>
        </row>
        <row r="1026">
          <cell r="D1026" t="str">
            <v>P. Mandangin</v>
          </cell>
        </row>
        <row r="1027">
          <cell r="D1027" t="str">
            <v>Haya</v>
          </cell>
        </row>
        <row r="1028">
          <cell r="D1028" t="str">
            <v>Kabalukin</v>
          </cell>
        </row>
        <row r="1029">
          <cell r="D1029" t="str">
            <v>Sila</v>
          </cell>
        </row>
        <row r="1030">
          <cell r="D1030" t="str">
            <v>Mira</v>
          </cell>
        </row>
        <row r="1031">
          <cell r="D1031" t="str">
            <v>Koloray</v>
          </cell>
        </row>
        <row r="1032">
          <cell r="D1032" t="str">
            <v>Malambe</v>
          </cell>
        </row>
        <row r="1033">
          <cell r="D1033" t="str">
            <v>Ilodulunga</v>
          </cell>
        </row>
        <row r="1034">
          <cell r="D1034" t="str">
            <v>Panamboang</v>
          </cell>
        </row>
        <row r="1035">
          <cell r="D1035" t="str">
            <v>Balauring</v>
          </cell>
        </row>
        <row r="1036">
          <cell r="D1036" t="str">
            <v>Buko</v>
          </cell>
        </row>
        <row r="1037">
          <cell r="D1037" t="str">
            <v>Pangkalan Banteng</v>
          </cell>
        </row>
        <row r="1038">
          <cell r="D1038" t="str">
            <v>Sabuai</v>
          </cell>
        </row>
        <row r="1039">
          <cell r="D1039" t="str">
            <v>Tapolangu</v>
          </cell>
        </row>
        <row r="1040">
          <cell r="D1040" t="str">
            <v>Lewolaga</v>
          </cell>
        </row>
        <row r="1041">
          <cell r="D1041" t="str">
            <v>Talimau</v>
          </cell>
        </row>
        <row r="1042">
          <cell r="D1042" t="str">
            <v>Sagu</v>
          </cell>
        </row>
        <row r="1043">
          <cell r="D1043" t="str">
            <v>Waiwuring</v>
          </cell>
        </row>
        <row r="1044">
          <cell r="D1044" t="str">
            <v>Deme Ii</v>
          </cell>
        </row>
        <row r="1045">
          <cell r="D1045" t="str">
            <v>Sunur</v>
          </cell>
        </row>
        <row r="1046">
          <cell r="D1046" t="str">
            <v>Muara Kelingi</v>
          </cell>
        </row>
        <row r="1047">
          <cell r="D1047" t="str">
            <v>Pasar Pino</v>
          </cell>
        </row>
        <row r="1048">
          <cell r="D1048" t="str">
            <v>Pasar Bawah</v>
          </cell>
        </row>
        <row r="1049">
          <cell r="D1049" t="str">
            <v>Gampong Aceh</v>
          </cell>
        </row>
        <row r="1050">
          <cell r="D1050" t="str">
            <v>Semulut</v>
          </cell>
        </row>
        <row r="1051">
          <cell r="D1051" t="str">
            <v>Muara Rengas</v>
          </cell>
        </row>
        <row r="1052">
          <cell r="D1052" t="str">
            <v>Tanjung Pasir</v>
          </cell>
        </row>
        <row r="1053">
          <cell r="D1053" t="str">
            <v>Batang Tumu</v>
          </cell>
        </row>
        <row r="1054">
          <cell r="D1054" t="str">
            <v>Temoyong</v>
          </cell>
        </row>
        <row r="1055">
          <cell r="D1055" t="str">
            <v>Teluk Uma</v>
          </cell>
        </row>
        <row r="1056">
          <cell r="D1056" t="str">
            <v>Batu Limau</v>
          </cell>
        </row>
        <row r="1057">
          <cell r="D1057" t="str">
            <v>Telaga Tujuh</v>
          </cell>
        </row>
        <row r="1058">
          <cell r="D1058" t="str">
            <v>Semembang</v>
          </cell>
        </row>
        <row r="1059">
          <cell r="D1059" t="str">
            <v>Amaiteng Mulia</v>
          </cell>
        </row>
        <row r="1060">
          <cell r="D1060" t="str">
            <v>Mekar Jaya</v>
          </cell>
        </row>
        <row r="1061">
          <cell r="D1061" t="str">
            <v>Tajur Biru</v>
          </cell>
        </row>
        <row r="1062">
          <cell r="D1062" t="str">
            <v>Posek</v>
          </cell>
        </row>
        <row r="1063">
          <cell r="D1063" t="str">
            <v>Sidorejo</v>
          </cell>
        </row>
        <row r="1064">
          <cell r="D1064" t="str">
            <v>Serdang</v>
          </cell>
        </row>
        <row r="1065">
          <cell r="D1065" t="str">
            <v>Kepoh</v>
          </cell>
        </row>
        <row r="1066">
          <cell r="D1066" t="str">
            <v>Kurau</v>
          </cell>
        </row>
        <row r="1067">
          <cell r="D1067" t="str">
            <v>Aewoe</v>
          </cell>
        </row>
        <row r="1068">
          <cell r="D1068" t="str">
            <v>Bulupayung</v>
          </cell>
        </row>
        <row r="1069">
          <cell r="D1069" t="str">
            <v>Torosiaje</v>
          </cell>
        </row>
        <row r="1070">
          <cell r="D1070" t="str">
            <v>Siofa Banua</v>
          </cell>
        </row>
        <row r="1071">
          <cell r="D1071" t="str">
            <v>Opiaref</v>
          </cell>
        </row>
        <row r="1072">
          <cell r="D1072" t="str">
            <v>Atuka</v>
          </cell>
        </row>
        <row r="1073">
          <cell r="D1073" t="str">
            <v>Potowaiburu</v>
          </cell>
        </row>
        <row r="1074">
          <cell r="D1074" t="str">
            <v>Pronggo</v>
          </cell>
        </row>
        <row r="1075">
          <cell r="D1075" t="str">
            <v>Mupuruka</v>
          </cell>
        </row>
        <row r="1076">
          <cell r="D1076" t="str">
            <v>Poumako</v>
          </cell>
        </row>
        <row r="1077">
          <cell r="D1077" t="str">
            <v>Molosipat</v>
          </cell>
        </row>
        <row r="1078">
          <cell r="D1078" t="str">
            <v>Bulili</v>
          </cell>
        </row>
        <row r="1079">
          <cell r="D1079" t="str">
            <v>Taula'a</v>
          </cell>
        </row>
        <row r="1080">
          <cell r="D1080" t="str">
            <v>Kampung Baru</v>
          </cell>
        </row>
        <row r="1081">
          <cell r="D1081" t="str">
            <v>Muarareja</v>
          </cell>
        </row>
        <row r="1082">
          <cell r="D1082" t="str">
            <v>Oesapa Barat</v>
          </cell>
        </row>
        <row r="1083">
          <cell r="D1083" t="str">
            <v>Wonokertokulon</v>
          </cell>
        </row>
        <row r="1084">
          <cell r="D1084" t="str">
            <v>Bintet</v>
          </cell>
        </row>
        <row r="1085">
          <cell r="D1085" t="str">
            <v>Bawozihono</v>
          </cell>
        </row>
        <row r="1086">
          <cell r="D1086" t="str">
            <v>Dalum</v>
          </cell>
        </row>
        <row r="1087">
          <cell r="D1087" t="str">
            <v>Andei</v>
          </cell>
        </row>
        <row r="1088">
          <cell r="D1088" t="str">
            <v>Sawa</v>
          </cell>
        </row>
        <row r="1089">
          <cell r="D1089" t="str">
            <v>Apainabo</v>
          </cell>
        </row>
        <row r="1090">
          <cell r="D1090" t="str">
            <v>Kuala Alam</v>
          </cell>
        </row>
        <row r="1091">
          <cell r="D1091" t="str">
            <v>Loleo Jaya</v>
          </cell>
        </row>
        <row r="1092">
          <cell r="D1092" t="str">
            <v>Pasir Panjang</v>
          </cell>
        </row>
        <row r="1093">
          <cell r="D1093" t="str">
            <v>Nunbaun Delha</v>
          </cell>
        </row>
        <row r="1094">
          <cell r="D1094" t="str">
            <v>Waru</v>
          </cell>
        </row>
        <row r="1095">
          <cell r="D1095" t="str">
            <v>Tuamese</v>
          </cell>
        </row>
        <row r="1096">
          <cell r="D1096" t="str">
            <v>Tahalupu</v>
          </cell>
        </row>
        <row r="1097">
          <cell r="D1097" t="str">
            <v>Silang</v>
          </cell>
        </row>
        <row r="1098">
          <cell r="D1098" t="str">
            <v>Tawabi</v>
          </cell>
        </row>
        <row r="1099">
          <cell r="D1099" t="str">
            <v>Talo</v>
          </cell>
        </row>
        <row r="1100">
          <cell r="D1100" t="str">
            <v>Aia Bangih</v>
          </cell>
        </row>
        <row r="1101">
          <cell r="D1101" t="str">
            <v>Sidopo</v>
          </cell>
        </row>
        <row r="1102">
          <cell r="D1102" t="str">
            <v>Tanjung Limau</v>
          </cell>
        </row>
        <row r="1103">
          <cell r="D1103" t="str">
            <v>Waya</v>
          </cell>
        </row>
        <row r="1104">
          <cell r="D1104" t="str">
            <v>Bokimiake</v>
          </cell>
        </row>
        <row r="1105">
          <cell r="D1105" t="str">
            <v>Kersik</v>
          </cell>
        </row>
        <row r="1106">
          <cell r="D1106" t="str">
            <v>Ratulodong</v>
          </cell>
        </row>
        <row r="1107">
          <cell r="D1107" t="str">
            <v>Panipahan</v>
          </cell>
        </row>
        <row r="1108">
          <cell r="D1108" t="str">
            <v>Saliguma</v>
          </cell>
        </row>
        <row r="1109">
          <cell r="D1109" t="str">
            <v>Muara Sikabaluan</v>
          </cell>
        </row>
        <row r="1110">
          <cell r="D1110" t="str">
            <v>Samboja Kuala</v>
          </cell>
        </row>
        <row r="1111">
          <cell r="D1111" t="str">
            <v>Gle Jong</v>
          </cell>
        </row>
        <row r="1112">
          <cell r="D1112" t="str">
            <v>Semayang</v>
          </cell>
        </row>
        <row r="1113">
          <cell r="D1113" t="str">
            <v>Bozihona</v>
          </cell>
        </row>
        <row r="1114">
          <cell r="D1114" t="str">
            <v>Jantur Selatan</v>
          </cell>
        </row>
        <row r="1115">
          <cell r="D1115" t="str">
            <v>Warido</v>
          </cell>
        </row>
        <row r="1116">
          <cell r="D1116" t="str">
            <v>Swaipak</v>
          </cell>
        </row>
        <row r="1117">
          <cell r="D1117" t="str">
            <v>Tunas Gain</v>
          </cell>
        </row>
        <row r="1118">
          <cell r="D1118" t="str">
            <v>Goras</v>
          </cell>
        </row>
        <row r="1119">
          <cell r="D1119" t="str">
            <v>Gag</v>
          </cell>
        </row>
        <row r="1120">
          <cell r="D1120" t="str">
            <v>Handil Terusan</v>
          </cell>
        </row>
        <row r="1121">
          <cell r="D1121" t="str">
            <v>Pagatan Besar</v>
          </cell>
        </row>
        <row r="1122">
          <cell r="D1122" t="str">
            <v>Sepempang</v>
          </cell>
        </row>
        <row r="1123">
          <cell r="D1123" t="str">
            <v>Sauri</v>
          </cell>
        </row>
        <row r="1124">
          <cell r="D1124" t="str">
            <v>Wasampela</v>
          </cell>
        </row>
        <row r="1125">
          <cell r="D1125" t="str">
            <v>Batakan</v>
          </cell>
        </row>
        <row r="1126">
          <cell r="D1126" t="str">
            <v>Lamanggau</v>
          </cell>
        </row>
        <row r="1127">
          <cell r="D1127" t="str">
            <v>Pulau Padaelo</v>
          </cell>
        </row>
        <row r="1128">
          <cell r="D1128" t="str">
            <v>Secanggang</v>
          </cell>
        </row>
        <row r="1129">
          <cell r="D1129" t="str">
            <v>Sungai Pancang</v>
          </cell>
        </row>
        <row r="1130">
          <cell r="D1130" t="str">
            <v>Rua</v>
          </cell>
        </row>
        <row r="1131">
          <cell r="D1131" t="str">
            <v>Toniku</v>
          </cell>
        </row>
        <row r="1132">
          <cell r="D1132" t="str">
            <v>Sidongoli Dehe</v>
          </cell>
        </row>
        <row r="1133">
          <cell r="D1133" t="str">
            <v>Kedawung</v>
          </cell>
        </row>
        <row r="1134">
          <cell r="D1134" t="str">
            <v>Saria</v>
          </cell>
        </row>
        <row r="1135">
          <cell r="D1135" t="str">
            <v>Karimunting</v>
          </cell>
        </row>
        <row r="1136">
          <cell r="D1136" t="str">
            <v>Tongute Ternate</v>
          </cell>
        </row>
        <row r="1137">
          <cell r="D1137" t="str">
            <v>Cucumare</v>
          </cell>
        </row>
        <row r="1138">
          <cell r="D1138" t="str">
            <v>Loleo</v>
          </cell>
        </row>
        <row r="1139">
          <cell r="D1139" t="str">
            <v>Maffa</v>
          </cell>
        </row>
        <row r="1140">
          <cell r="D1140" t="str">
            <v>Nanali</v>
          </cell>
        </row>
        <row r="1141">
          <cell r="D1141" t="str">
            <v>Waetawa</v>
          </cell>
        </row>
        <row r="1142">
          <cell r="D1142" t="str">
            <v>Bemo Perak</v>
          </cell>
        </row>
        <row r="1143">
          <cell r="D1143" t="str">
            <v>Prapag Lor</v>
          </cell>
        </row>
        <row r="1144">
          <cell r="D1144" t="str">
            <v>Kilga Kilwouw</v>
          </cell>
        </row>
        <row r="1145">
          <cell r="D1145" t="str">
            <v>Kluwut</v>
          </cell>
        </row>
        <row r="1146">
          <cell r="D1146" t="str">
            <v>Grinting</v>
          </cell>
        </row>
        <row r="1147">
          <cell r="D1147" t="str">
            <v>Sather</v>
          </cell>
        </row>
        <row r="1148">
          <cell r="D1148" t="str">
            <v>Pengaradan</v>
          </cell>
        </row>
        <row r="1149">
          <cell r="D1149" t="str">
            <v>Krakahan</v>
          </cell>
        </row>
        <row r="1150">
          <cell r="D1150" t="str">
            <v>Pakreki</v>
          </cell>
        </row>
        <row r="1151">
          <cell r="D1151" t="str">
            <v>Amar</v>
          </cell>
        </row>
        <row r="1152">
          <cell r="D1152" t="str">
            <v>Ipiri</v>
          </cell>
        </row>
        <row r="1153">
          <cell r="D1153" t="str">
            <v>Sesar</v>
          </cell>
        </row>
        <row r="1154">
          <cell r="D1154" t="str">
            <v>Luluo</v>
          </cell>
        </row>
        <row r="1155">
          <cell r="D1155" t="str">
            <v>Tablolong</v>
          </cell>
        </row>
        <row r="1156">
          <cell r="D1156" t="str">
            <v>Kayang</v>
          </cell>
        </row>
        <row r="1157">
          <cell r="D1157" t="str">
            <v>Toang</v>
          </cell>
        </row>
        <row r="1158">
          <cell r="D1158" t="str">
            <v>Tereweng</v>
          </cell>
        </row>
        <row r="1159">
          <cell r="D1159" t="str">
            <v>Alor Kecil</v>
          </cell>
        </row>
        <row r="1160">
          <cell r="D1160" t="str">
            <v>Silawan</v>
          </cell>
        </row>
        <row r="1161">
          <cell r="D1161" t="str">
            <v>Rua</v>
          </cell>
        </row>
        <row r="1162">
          <cell r="D1162" t="str">
            <v>Tanjung Pandan</v>
          </cell>
        </row>
        <row r="1163">
          <cell r="D1163" t="str">
            <v>Namber</v>
          </cell>
        </row>
        <row r="1164">
          <cell r="D1164" t="str">
            <v>Batukaras</v>
          </cell>
        </row>
        <row r="1165">
          <cell r="D1165" t="str">
            <v>Sungai Badak</v>
          </cell>
        </row>
        <row r="1166">
          <cell r="D1166" t="str">
            <v>Waren I</v>
          </cell>
        </row>
        <row r="1167">
          <cell r="D1167" t="str">
            <v>Lembar Selatan</v>
          </cell>
        </row>
        <row r="1168">
          <cell r="D1168" t="str">
            <v>Labuhan Haji</v>
          </cell>
        </row>
        <row r="1169">
          <cell r="D1169" t="str">
            <v>Montop</v>
          </cell>
        </row>
        <row r="1170">
          <cell r="D1170" t="str">
            <v>Tambakmulyo</v>
          </cell>
        </row>
        <row r="1171">
          <cell r="D1171" t="str">
            <v>Batu Berlian</v>
          </cell>
        </row>
        <row r="1172">
          <cell r="D1172" t="str">
            <v>Subi</v>
          </cell>
        </row>
        <row r="1173">
          <cell r="D1173" t="str">
            <v>Meliah</v>
          </cell>
        </row>
        <row r="1174">
          <cell r="D1174" t="str">
            <v>Tanjung Setelung</v>
          </cell>
        </row>
        <row r="1175">
          <cell r="D1175" t="str">
            <v>Serasan</v>
          </cell>
        </row>
        <row r="1176">
          <cell r="D1176" t="str">
            <v>Air Ringau</v>
          </cell>
        </row>
        <row r="1177">
          <cell r="D1177" t="str">
            <v>Labelau</v>
          </cell>
        </row>
        <row r="1178">
          <cell r="D1178" t="str">
            <v>Poigar I</v>
          </cell>
        </row>
        <row r="1179">
          <cell r="D1179" t="str">
            <v>Muara Jawa</v>
          </cell>
        </row>
        <row r="1180">
          <cell r="D1180" t="str">
            <v>Yombekiri I</v>
          </cell>
        </row>
        <row r="1181">
          <cell r="D1181" t="str">
            <v>Sayal</v>
          </cell>
        </row>
        <row r="1182">
          <cell r="D1182" t="str">
            <v>Buniasih</v>
          </cell>
        </row>
        <row r="1183">
          <cell r="D1183" t="str">
            <v>Katiagan</v>
          </cell>
        </row>
        <row r="1184">
          <cell r="D1184" t="str">
            <v>Bagan Arya</v>
          </cell>
        </row>
        <row r="1185">
          <cell r="D1185" t="str">
            <v>Matobe</v>
          </cell>
        </row>
        <row r="1186">
          <cell r="D1186" t="str">
            <v>Sei Sembilang</v>
          </cell>
        </row>
        <row r="1187">
          <cell r="D1187" t="str">
            <v>Sikakap</v>
          </cell>
        </row>
        <row r="1188">
          <cell r="D1188" t="str">
            <v>Kelambir</v>
          </cell>
        </row>
        <row r="1189">
          <cell r="D1189" t="str">
            <v>Manggopoh Palak Gadang Ulakan</v>
          </cell>
        </row>
        <row r="1190">
          <cell r="D1190" t="str">
            <v>Gasan Gadang</v>
          </cell>
        </row>
        <row r="1191">
          <cell r="D1191" t="str">
            <v>Siwalu Banua</v>
          </cell>
        </row>
        <row r="1192">
          <cell r="D1192" t="str">
            <v>Sigapokna</v>
          </cell>
        </row>
        <row r="1193">
          <cell r="D1193" t="str">
            <v>Purus</v>
          </cell>
        </row>
        <row r="1194">
          <cell r="D1194" t="str">
            <v>Faekhuna'A</v>
          </cell>
        </row>
        <row r="1195">
          <cell r="D1195" t="str">
            <v>Mandeh</v>
          </cell>
        </row>
        <row r="1196">
          <cell r="D1196" t="str">
            <v>Ampang Pulai</v>
          </cell>
        </row>
        <row r="1197">
          <cell r="D1197" t="str">
            <v>Koto Nan Duo Iv Koto Hilie</v>
          </cell>
        </row>
        <row r="1198">
          <cell r="D1198" t="str">
            <v>Lakitan</v>
          </cell>
        </row>
        <row r="1199">
          <cell r="D1199" t="str">
            <v>Nyiur Melambai Pelangai</v>
          </cell>
        </row>
        <row r="1200">
          <cell r="D1200" t="str">
            <v>Belibak</v>
          </cell>
        </row>
        <row r="1201">
          <cell r="D1201" t="str">
            <v>Piabung</v>
          </cell>
        </row>
        <row r="1202">
          <cell r="D1202" t="str">
            <v>Pesisir Timur</v>
          </cell>
        </row>
        <row r="1203">
          <cell r="D1203" t="str">
            <v>Rewak</v>
          </cell>
        </row>
        <row r="1204">
          <cell r="D1204" t="str">
            <v>Genting Pulur</v>
          </cell>
        </row>
        <row r="1205">
          <cell r="D1205" t="str">
            <v>Pulau Medang</v>
          </cell>
        </row>
        <row r="1206">
          <cell r="D1206" t="str">
            <v>Mengkait</v>
          </cell>
        </row>
        <row r="1207">
          <cell r="D1207" t="str">
            <v>Munjan</v>
          </cell>
        </row>
        <row r="1208">
          <cell r="D1208" t="str">
            <v>Busung Panjang</v>
          </cell>
        </row>
        <row r="1209">
          <cell r="D1209" t="str">
            <v>Sri Tanjung</v>
          </cell>
        </row>
        <row r="1210">
          <cell r="D1210" t="str">
            <v>Nyamuk</v>
          </cell>
        </row>
        <row r="1211">
          <cell r="D1211" t="str">
            <v>Penyengat</v>
          </cell>
        </row>
        <row r="1212">
          <cell r="D1212" t="str">
            <v>Tebang</v>
          </cell>
        </row>
        <row r="1213">
          <cell r="D1213" t="str">
            <v>Pulau Terung</v>
          </cell>
        </row>
        <row r="1214">
          <cell r="D1214" t="str">
            <v>Galang Baru</v>
          </cell>
        </row>
        <row r="1215">
          <cell r="D1215" t="str">
            <v>Air Sena</v>
          </cell>
        </row>
        <row r="1216">
          <cell r="D1216" t="str">
            <v>Air Asuk</v>
          </cell>
        </row>
        <row r="1217">
          <cell r="D1217" t="str">
            <v>Telaga Kecil</v>
          </cell>
        </row>
        <row r="1218">
          <cell r="D1218" t="str">
            <v>Pasir Panjang</v>
          </cell>
        </row>
        <row r="1219">
          <cell r="D1219" t="str">
            <v>Pulau Bukit</v>
          </cell>
        </row>
        <row r="1220">
          <cell r="D1220" t="str">
            <v>Keramut</v>
          </cell>
        </row>
        <row r="1221">
          <cell r="D1221" t="str">
            <v>Cempa</v>
          </cell>
        </row>
        <row r="1222">
          <cell r="D1222" t="str">
            <v>Pulau Duyung</v>
          </cell>
        </row>
        <row r="1223">
          <cell r="D1223" t="str">
            <v>Pongkar</v>
          </cell>
        </row>
        <row r="1224">
          <cell r="D1224" t="str">
            <v>Belaras</v>
          </cell>
        </row>
        <row r="1225">
          <cell r="D1225" t="str">
            <v>Gemuruh</v>
          </cell>
        </row>
        <row r="1226">
          <cell r="D1226" t="str">
            <v>Tanjung Kilang</v>
          </cell>
        </row>
        <row r="1227">
          <cell r="D1227" t="str">
            <v>Tulang</v>
          </cell>
        </row>
        <row r="1228">
          <cell r="D1228" t="str">
            <v>Ambulu</v>
          </cell>
        </row>
        <row r="1229">
          <cell r="D1229" t="str">
            <v>Bagan Hulu</v>
          </cell>
        </row>
        <row r="1230">
          <cell r="D1230" t="str">
            <v>Mate</v>
          </cell>
        </row>
        <row r="1231">
          <cell r="D1231" t="str">
            <v>Nusa</v>
          </cell>
        </row>
        <row r="1232">
          <cell r="D1232" t="str">
            <v>Kolo</v>
          </cell>
        </row>
        <row r="1233">
          <cell r="D1233" t="str">
            <v>Tanjungkarang</v>
          </cell>
        </row>
        <row r="1234">
          <cell r="D1234" t="str">
            <v>Mansapa</v>
          </cell>
        </row>
        <row r="1235">
          <cell r="D1235" t="str">
            <v>Nunukan Utara</v>
          </cell>
        </row>
        <row r="1236">
          <cell r="D1236" t="str">
            <v>Liagu</v>
          </cell>
        </row>
        <row r="1237">
          <cell r="D1237" t="str">
            <v>Juata Laut</v>
          </cell>
        </row>
        <row r="1238">
          <cell r="D1238" t="str">
            <v>Farusi</v>
          </cell>
        </row>
        <row r="1239">
          <cell r="D1239" t="str">
            <v>Kiat</v>
          </cell>
        </row>
        <row r="1240">
          <cell r="D1240" t="str">
            <v>Kamandur Tetar</v>
          </cell>
        </row>
        <row r="1241">
          <cell r="D1241" t="str">
            <v>Awunawai</v>
          </cell>
        </row>
        <row r="1242">
          <cell r="D1242" t="str">
            <v>Sukuru Tuare</v>
          </cell>
        </row>
        <row r="1243">
          <cell r="D1243" t="str">
            <v>Karangwangi</v>
          </cell>
        </row>
        <row r="1244">
          <cell r="D1244" t="str">
            <v>Tanjung Buka</v>
          </cell>
        </row>
        <row r="1245">
          <cell r="D1245" t="str">
            <v>Antutan</v>
          </cell>
        </row>
        <row r="1246">
          <cell r="D1246" t="str">
            <v>Pimping</v>
          </cell>
        </row>
        <row r="1247">
          <cell r="D1247" t="str">
            <v>Koto Jaya</v>
          </cell>
        </row>
        <row r="1248">
          <cell r="D1248" t="str">
            <v>Kedungsegog</v>
          </cell>
        </row>
        <row r="1249">
          <cell r="D1249" t="str">
            <v>Waindu</v>
          </cell>
        </row>
        <row r="1250">
          <cell r="D1250" t="str">
            <v>Tarei</v>
          </cell>
        </row>
        <row r="1251">
          <cell r="D1251" t="str">
            <v>Ardi Mulyo</v>
          </cell>
        </row>
        <row r="1252">
          <cell r="D1252" t="str">
            <v>Sanggase</v>
          </cell>
        </row>
        <row r="1253">
          <cell r="D1253" t="str">
            <v>Sukalela</v>
          </cell>
        </row>
        <row r="1254">
          <cell r="D1254" t="str">
            <v>Sawapudo</v>
          </cell>
        </row>
        <row r="1255">
          <cell r="D1255" t="str">
            <v>Soropia</v>
          </cell>
        </row>
        <row r="1256">
          <cell r="D1256" t="str">
            <v>Holimombo Jaya</v>
          </cell>
        </row>
        <row r="1257">
          <cell r="D1257" t="str">
            <v>Kumbewaha</v>
          </cell>
        </row>
        <row r="1258">
          <cell r="D1258" t="str">
            <v>Banabungi</v>
          </cell>
        </row>
        <row r="1259">
          <cell r="D1259" t="str">
            <v>Mantigola Makmur</v>
          </cell>
        </row>
        <row r="1260">
          <cell r="D1260" t="str">
            <v>Ollo Selatan</v>
          </cell>
        </row>
        <row r="1261">
          <cell r="D1261" t="str">
            <v>Taipabu</v>
          </cell>
        </row>
        <row r="1262">
          <cell r="D1262" t="str">
            <v>Kalongan Selatan</v>
          </cell>
        </row>
        <row r="1263">
          <cell r="D1263" t="str">
            <v>Bulude</v>
          </cell>
        </row>
        <row r="1264">
          <cell r="D1264" t="str">
            <v>Damau</v>
          </cell>
        </row>
        <row r="1265">
          <cell r="D1265" t="str">
            <v>Senggarang</v>
          </cell>
        </row>
        <row r="1266">
          <cell r="D1266" t="str">
            <v>Penarah</v>
          </cell>
        </row>
        <row r="1267">
          <cell r="D1267" t="str">
            <v>Batu Belah</v>
          </cell>
        </row>
        <row r="1268">
          <cell r="D1268" t="str">
            <v>Karas</v>
          </cell>
        </row>
        <row r="1269">
          <cell r="D1269" t="str">
            <v>Pangkil</v>
          </cell>
        </row>
        <row r="1270">
          <cell r="D1270" t="str">
            <v>Telaga</v>
          </cell>
        </row>
        <row r="1271">
          <cell r="D1271" t="str">
            <v>Dendun</v>
          </cell>
        </row>
        <row r="1272">
          <cell r="D1272" t="str">
            <v>Pangalasiang</v>
          </cell>
        </row>
      </sheetData>
      <sheetData sheetId="1">
        <row r="1">
          <cell r="D1" t="str">
            <v>KAMPUNG NELAYAN</v>
          </cell>
          <cell r="E1" t="str">
            <v>KECAMATAN</v>
          </cell>
          <cell r="F1" t="str">
            <v>KABUPATEN/KOTA</v>
          </cell>
          <cell r="G1" t="str">
            <v>PROVINSI</v>
          </cell>
          <cell r="H1" t="str">
            <v>HASIL PLENO</v>
          </cell>
          <cell r="I1" t="str">
            <v>CALON PENYEDIA</v>
          </cell>
          <cell r="J1" t="str">
            <v>STATUS USULAN PL</v>
          </cell>
          <cell r="K1" t="str">
            <v>PENYEDIA</v>
          </cell>
          <cell r="L1" t="str">
            <v>REVISI PENYEDIA</v>
          </cell>
          <cell r="M1" t="str">
            <v>CEK PENYEDIA REVISI</v>
          </cell>
        </row>
        <row r="2">
          <cell r="D2" t="str">
            <v>Boddia</v>
          </cell>
          <cell r="E2" t="str">
            <v>Galesong</v>
          </cell>
          <cell r="F2" t="str">
            <v>Takalar</v>
          </cell>
          <cell r="G2" t="str">
            <v>Sulawesi Selatan</v>
          </cell>
          <cell r="H2" t="str">
            <v>Penyangga</v>
          </cell>
          <cell r="I2" t="str">
            <v>PT Sinar Mogilolang</v>
          </cell>
          <cell r="J2" t="str">
            <v>Nodin PPK 26 Mei 2026</v>
          </cell>
          <cell r="K2" t="str">
            <v>PT. Sinar Mogilolang</v>
          </cell>
          <cell r="L2" t="str">
            <v>#REF!</v>
          </cell>
          <cell r="M2" t="str">
            <v>PT. Sinar Mogilolang</v>
          </cell>
        </row>
        <row r="3">
          <cell r="D3" t="str">
            <v>Bonto Kanang</v>
          </cell>
          <cell r="E3" t="str">
            <v>Galesong Selatan</v>
          </cell>
          <cell r="F3" t="str">
            <v>Takalar</v>
          </cell>
          <cell r="G3" t="str">
            <v>Sulawesi Selatan</v>
          </cell>
          <cell r="H3" t="str">
            <v>Penyangga (+cs)</v>
          </cell>
          <cell r="I3" t="str">
            <v>PT Sinar Mogilolang</v>
          </cell>
          <cell r="J3" t="str">
            <v>Nodin PPK 26 Mei 2026</v>
          </cell>
          <cell r="K3" t="str">
            <v>PT. Sinar Mogilolang</v>
          </cell>
          <cell r="L3" t="str">
            <v>#REF!</v>
          </cell>
          <cell r="M3" t="str">
            <v>PT. Sinar Mogilolang</v>
          </cell>
        </row>
        <row r="4">
          <cell r="D4" t="str">
            <v>Sampulungan</v>
          </cell>
          <cell r="E4" t="str">
            <v>Galesong Utara</v>
          </cell>
          <cell r="F4" t="str">
            <v>Takalar</v>
          </cell>
          <cell r="G4" t="str">
            <v>Sulawesi Selatan</v>
          </cell>
          <cell r="H4" t="str">
            <v>Penyangga</v>
          </cell>
          <cell r="I4" t="str">
            <v>PT Sinar Mogilolang</v>
          </cell>
          <cell r="J4" t="str">
            <v>Nodin PPK 26 Mei 2026</v>
          </cell>
          <cell r="K4" t="str">
            <v>PT. Sinar Mogilolang</v>
          </cell>
          <cell r="L4" t="str">
            <v>#REF!</v>
          </cell>
          <cell r="M4" t="str">
            <v>PT. Sinar Mogilolang</v>
          </cell>
        </row>
        <row r="5">
          <cell r="D5" t="str">
            <v>Topejawa</v>
          </cell>
          <cell r="E5" t="str">
            <v>Mangarabombang</v>
          </cell>
          <cell r="F5" t="str">
            <v>Takalar</v>
          </cell>
          <cell r="G5" t="str">
            <v>Sulawesi Selatan</v>
          </cell>
          <cell r="H5" t="str">
            <v>Penyangga</v>
          </cell>
          <cell r="I5" t="str">
            <v>PT Sinar Mogilolang</v>
          </cell>
          <cell r="J5" t="str">
            <v>Nodin PPK 26 Mei 2026</v>
          </cell>
          <cell r="K5" t="str">
            <v>PT. Sinar Mogilolang</v>
          </cell>
          <cell r="L5" t="str">
            <v>#REF!</v>
          </cell>
          <cell r="M5" t="str">
            <v>PT. Sinar Mogilolang</v>
          </cell>
        </row>
        <row r="6">
          <cell r="D6" t="str">
            <v>Akkajeng</v>
          </cell>
          <cell r="E6" t="str">
            <v>Sajoanging</v>
          </cell>
          <cell r="F6" t="str">
            <v>Wajo</v>
          </cell>
          <cell r="G6" t="str">
            <v>Sulawesi Selatan</v>
          </cell>
          <cell r="H6" t="str">
            <v>Penyangga (+cs)</v>
          </cell>
          <cell r="I6" t="str">
            <v>PT. MINA TRANSINDO TOTABUAN</v>
          </cell>
          <cell r="J6" t="str">
            <v>Nodin PPK 29 Mei 2026</v>
          </cell>
          <cell r="K6" t="str">
            <v>PT. Mina Transindo Totabuan</v>
          </cell>
          <cell r="L6" t="str">
            <v>#REF!</v>
          </cell>
          <cell r="M6" t="str">
            <v>PT. Mina Transindo Totabuan</v>
          </cell>
        </row>
        <row r="7">
          <cell r="D7" t="str">
            <v>Pattangngae</v>
          </cell>
          <cell r="E7" t="str">
            <v>Bola</v>
          </cell>
          <cell r="F7" t="str">
            <v>Wajo</v>
          </cell>
          <cell r="G7" t="str">
            <v>Sulawesi Selatan</v>
          </cell>
          <cell r="H7" t="str">
            <v>Penyangga</v>
          </cell>
          <cell r="I7" t="str">
            <v>PT. MINA TRANSINDO TOTABUAN</v>
          </cell>
          <cell r="J7" t="str">
            <v>Nodin PPK 29 Mei 2026</v>
          </cell>
          <cell r="K7" t="str">
            <v>PT. Mina Transindo Totabuan</v>
          </cell>
          <cell r="L7" t="str">
            <v>#REF!</v>
          </cell>
          <cell r="M7" t="str">
            <v>PT. Mina Transindo Totabuan</v>
          </cell>
        </row>
        <row r="8">
          <cell r="D8" t="str">
            <v>Hakatutobu</v>
          </cell>
          <cell r="E8" t="str">
            <v>Pomalaa</v>
          </cell>
          <cell r="F8" t="str">
            <v>Kolaka</v>
          </cell>
          <cell r="G8" t="str">
            <v>Sulawesi Tenggara</v>
          </cell>
          <cell r="H8" t="str">
            <v>Penyangga</v>
          </cell>
          <cell r="L8" t="str">
            <v>#REF!</v>
          </cell>
          <cell r="M8" t="str">
            <v>PT. ARCHITA GRAHA INDAH LESTARI</v>
          </cell>
        </row>
        <row r="9">
          <cell r="D9" t="str">
            <v>Iwoimendaa</v>
          </cell>
          <cell r="E9" t="str">
            <v>Iwoimendaa</v>
          </cell>
          <cell r="F9" t="str">
            <v>Kolaka</v>
          </cell>
          <cell r="G9" t="str">
            <v>Sulawesi Tenggara</v>
          </cell>
          <cell r="H9" t="str">
            <v>Penyangga</v>
          </cell>
          <cell r="L9" t="str">
            <v>#REF!</v>
          </cell>
          <cell r="M9" t="str">
            <v>PT. ARCHITA GRAHA INDAH LESTARI</v>
          </cell>
        </row>
        <row r="10">
          <cell r="D10" t="str">
            <v>Tambea</v>
          </cell>
          <cell r="E10" t="str">
            <v>Pomalaa</v>
          </cell>
          <cell r="F10" t="str">
            <v>Kolaka</v>
          </cell>
          <cell r="G10" t="str">
            <v>Sulawesi Tenggara</v>
          </cell>
          <cell r="H10" t="str">
            <v>Penyangga</v>
          </cell>
          <cell r="L10" t="str">
            <v>#REF!</v>
          </cell>
          <cell r="M10" t="str">
            <v>PT. ARCHITA GRAHA INDAH LESTARI</v>
          </cell>
        </row>
        <row r="11">
          <cell r="D11" t="str">
            <v>Wolo</v>
          </cell>
          <cell r="E11" t="str">
            <v>Wolo</v>
          </cell>
          <cell r="F11" t="str">
            <v>Kolaka</v>
          </cell>
          <cell r="G11" t="str">
            <v>Sulawesi Tenggara</v>
          </cell>
          <cell r="H11" t="str">
            <v>Penyangga</v>
          </cell>
          <cell r="L11" t="str">
            <v>#REF!</v>
          </cell>
          <cell r="M11" t="str">
            <v>PT. ARCHITA GRAHA INDAH LESTARI</v>
          </cell>
        </row>
        <row r="12">
          <cell r="D12" t="str">
            <v>Anggasari</v>
          </cell>
          <cell r="E12" t="str">
            <v>Sukasari</v>
          </cell>
          <cell r="F12" t="str">
            <v>Subang</v>
          </cell>
          <cell r="G12" t="str">
            <v>Jawa Barat</v>
          </cell>
          <cell r="H12" t="str">
            <v>Penyangga</v>
          </cell>
          <cell r="I12" t="str">
            <v>PT Medal Cipta Buana</v>
          </cell>
          <cell r="J12" t="str">
            <v>Nodin PPK 26 Mei 2026</v>
          </cell>
          <cell r="K12" t="str">
            <v>PT Medal Cipta Buana</v>
          </cell>
          <cell r="L12" t="str">
            <v>#REF!</v>
          </cell>
          <cell r="M12" t="str">
            <v>PT Medal Cipta Buana</v>
          </cell>
        </row>
        <row r="13">
          <cell r="D13" t="str">
            <v>Rawameneng</v>
          </cell>
          <cell r="E13" t="str">
            <v>Blanakan</v>
          </cell>
          <cell r="F13" t="str">
            <v>Subang</v>
          </cell>
          <cell r="G13" t="str">
            <v>Jawa Barat</v>
          </cell>
          <cell r="H13" t="str">
            <v>Penyangga</v>
          </cell>
          <cell r="I13" t="str">
            <v>PT Medal Cipta Buana</v>
          </cell>
          <cell r="J13" t="str">
            <v>Nodin PPK 26 Mei 2026</v>
          </cell>
          <cell r="K13" t="str">
            <v>PT Medal Cipta Buana</v>
          </cell>
          <cell r="L13" t="str">
            <v>#REF!</v>
          </cell>
          <cell r="M13" t="str">
            <v>PT Medal Cipta Buana</v>
          </cell>
        </row>
        <row r="14">
          <cell r="D14" t="str">
            <v>Bonda</v>
          </cell>
          <cell r="E14" t="str">
            <v>Papalang</v>
          </cell>
          <cell r="F14" t="str">
            <v>Mamuju</v>
          </cell>
          <cell r="G14" t="str">
            <v>Sulawesi Barat</v>
          </cell>
          <cell r="H14" t="str">
            <v>Penyangga (+cs)</v>
          </cell>
          <cell r="I14" t="str">
            <v>Arus Jaya/ Ditarik Nodin revisi penyedia</v>
          </cell>
          <cell r="J14" t="str">
            <v>Nodin PPK 29 Mei 2026</v>
          </cell>
          <cell r="K14" t="str">
            <v>CV. Kreasi Insan Mandiri (ganti)</v>
          </cell>
          <cell r="L14" t="str">
            <v>Sinar Mata Allo</v>
          </cell>
          <cell r="M14" t="str">
            <v>CV. Passompe Utama</v>
          </cell>
        </row>
        <row r="15">
          <cell r="D15" t="str">
            <v>Kambunong</v>
          </cell>
          <cell r="E15" t="str">
            <v>Karossa</v>
          </cell>
          <cell r="F15" t="str">
            <v>Mamuju Tengah</v>
          </cell>
          <cell r="G15" t="str">
            <v>Sulawesi Barat</v>
          </cell>
          <cell r="H15" t="str">
            <v>Penyangga</v>
          </cell>
          <cell r="I15" t="str">
            <v>Arus Jaya/ Ditarik Nodin revisi penyedia</v>
          </cell>
          <cell r="J15" t="str">
            <v>Nodin PPK 29 Mei 2026</v>
          </cell>
          <cell r="L15" t="str">
            <v>#REF!</v>
          </cell>
          <cell r="M15" t="str">
            <v>CV. Danaztama</v>
          </cell>
        </row>
        <row r="16">
          <cell r="D16" t="str">
            <v>Kire</v>
          </cell>
          <cell r="E16" t="str">
            <v>Budong-Budong</v>
          </cell>
          <cell r="F16" t="str">
            <v>Mamuju Tengah</v>
          </cell>
          <cell r="G16" t="str">
            <v>Sulawesi Barat</v>
          </cell>
          <cell r="H16" t="str">
            <v>Penyangga</v>
          </cell>
          <cell r="I16" t="str">
            <v>Arus Jaya/ Ditarik Nodin revisi penyedia</v>
          </cell>
          <cell r="J16" t="str">
            <v>Nodin PPK 29 Mei 2026</v>
          </cell>
          <cell r="L16" t="str">
            <v>#REF!</v>
          </cell>
          <cell r="M16" t="str">
            <v>CV. Danaztama</v>
          </cell>
        </row>
        <row r="17">
          <cell r="D17" t="str">
            <v>Kombiling</v>
          </cell>
          <cell r="E17" t="str">
            <v>Pangale</v>
          </cell>
          <cell r="F17" t="str">
            <v>Mamuju Tengah</v>
          </cell>
          <cell r="G17" t="str">
            <v>Sulawesi Barat</v>
          </cell>
          <cell r="H17" t="str">
            <v>Penyangga</v>
          </cell>
          <cell r="I17" t="str">
            <v>Arus Jaya/ Ditarik Nodin revisi penyedia</v>
          </cell>
          <cell r="J17" t="str">
            <v>Nodin PPK 29 Mei 2026</v>
          </cell>
          <cell r="L17" t="str">
            <v>#REF!</v>
          </cell>
          <cell r="M17" t="str">
            <v>CV. Kitapura Membangun</v>
          </cell>
        </row>
        <row r="18">
          <cell r="D18" t="str">
            <v>Lamba-Lamba</v>
          </cell>
          <cell r="E18" t="str">
            <v>Pangale</v>
          </cell>
          <cell r="F18" t="str">
            <v>Mamuju Tengah</v>
          </cell>
          <cell r="G18" t="str">
            <v>Sulawesi Barat</v>
          </cell>
          <cell r="H18" t="str">
            <v>Penyangga</v>
          </cell>
          <cell r="I18" t="str">
            <v>Arus Jaya/ Ditarik Nodin revisi penyedia</v>
          </cell>
          <cell r="J18" t="str">
            <v>Nodin PPK 29 Mei 2026</v>
          </cell>
          <cell r="L18" t="str">
            <v>#REF!</v>
          </cell>
          <cell r="M18" t="str">
            <v>CV. Kitapura Membangun</v>
          </cell>
        </row>
        <row r="19">
          <cell r="D19" t="str">
            <v>Pangale</v>
          </cell>
          <cell r="E19" t="str">
            <v>Pangale</v>
          </cell>
          <cell r="F19" t="str">
            <v>Mamuju Tengah</v>
          </cell>
          <cell r="G19" t="str">
            <v>Sulawesi Barat</v>
          </cell>
          <cell r="H19" t="str">
            <v>Penyangga</v>
          </cell>
          <cell r="I19" t="str">
            <v>Arus Jaya/ Ditarik Nodin revisi penyedia</v>
          </cell>
          <cell r="J19" t="str">
            <v>Nodin PPK 29 Mei 2026</v>
          </cell>
          <cell r="L19" t="str">
            <v>#REF!</v>
          </cell>
          <cell r="M19" t="str">
            <v>CV. Kitapura Membangun</v>
          </cell>
        </row>
        <row r="20">
          <cell r="D20" t="str">
            <v>Sampaga</v>
          </cell>
          <cell r="E20" t="str">
            <v>Sampaga</v>
          </cell>
          <cell r="F20" t="str">
            <v>Mamuju</v>
          </cell>
          <cell r="G20" t="str">
            <v>Sulawesi Barat</v>
          </cell>
          <cell r="H20" t="str">
            <v>Penyangga</v>
          </cell>
          <cell r="I20" t="str">
            <v>Arus Jaya/ Ditarik Nodin revisi penyedia</v>
          </cell>
          <cell r="J20" t="str">
            <v>Nodin PPK 29 Mei 2026</v>
          </cell>
          <cell r="K20" t="str">
            <v>CV. Kreasi Insan Mandiri (ganti)</v>
          </cell>
          <cell r="L20" t="str">
            <v>Sinar Mata Allo</v>
          </cell>
          <cell r="M20" t="str">
            <v>CV. Passompe Utama</v>
          </cell>
        </row>
        <row r="21">
          <cell r="D21" t="str">
            <v>Tasokko</v>
          </cell>
          <cell r="E21" t="str">
            <v>Karossa</v>
          </cell>
          <cell r="F21" t="str">
            <v>Mamuju Tengah</v>
          </cell>
          <cell r="G21" t="str">
            <v>Sulawesi Barat</v>
          </cell>
          <cell r="H21" t="str">
            <v>Penyangga</v>
          </cell>
          <cell r="I21" t="str">
            <v>Arus Jaya/ Ditarik Nodin revisi penyedia</v>
          </cell>
          <cell r="J21" t="str">
            <v>Nodin PPK 29 Mei 2026</v>
          </cell>
          <cell r="L21" t="str">
            <v>#REF!</v>
          </cell>
          <cell r="M21" t="str">
            <v>PT. Aditya Musdalifah</v>
          </cell>
        </row>
        <row r="22">
          <cell r="D22" t="str">
            <v>Tumbu</v>
          </cell>
          <cell r="E22" t="str">
            <v>Topoyo</v>
          </cell>
          <cell r="F22" t="str">
            <v>Mamuju Tengah</v>
          </cell>
          <cell r="G22" t="str">
            <v>Sulawesi Barat</v>
          </cell>
          <cell r="H22" t="str">
            <v>Penyangga</v>
          </cell>
          <cell r="I22" t="str">
            <v>Arus Jaya/ Ditarik Nodin revisi penyedia</v>
          </cell>
          <cell r="J22" t="str">
            <v>Nodin PPK 29 Mei 2026</v>
          </cell>
          <cell r="L22" t="str">
            <v>#REF!</v>
          </cell>
          <cell r="M22" t="str">
            <v>CV. Kitapura Membangun</v>
          </cell>
        </row>
        <row r="23">
          <cell r="D23" t="str">
            <v>Bonto Jai</v>
          </cell>
          <cell r="E23" t="str">
            <v>Bissappu</v>
          </cell>
          <cell r="F23" t="str">
            <v>Bantaeng</v>
          </cell>
          <cell r="G23" t="str">
            <v>Sulawesi Selatan</v>
          </cell>
          <cell r="H23" t="str">
            <v>Penyangga</v>
          </cell>
          <cell r="I23" t="str">
            <v>Ifos Satria Mahkota</v>
          </cell>
          <cell r="J23" t="str">
            <v>Nodin PPK 29 Mei 2026</v>
          </cell>
          <cell r="K23" t="str">
            <v>PT. Ifos Satria Mahkota</v>
          </cell>
          <cell r="L23" t="str">
            <v>#REF!</v>
          </cell>
          <cell r="M23" t="str">
            <v>PT. Ifos Satria Mahkota</v>
          </cell>
        </row>
        <row r="24">
          <cell r="D24" t="str">
            <v>Bonto Lebang</v>
          </cell>
          <cell r="E24" t="str">
            <v>Bissappu</v>
          </cell>
          <cell r="F24" t="str">
            <v>Bantaeng</v>
          </cell>
          <cell r="G24" t="str">
            <v>Sulawesi Selatan</v>
          </cell>
          <cell r="H24" t="str">
            <v>Penyangga (+cs)</v>
          </cell>
          <cell r="I24" t="str">
            <v>Ifos Satria Mahkota</v>
          </cell>
          <cell r="J24" t="str">
            <v>Nodin PPK 29 Mei 2026</v>
          </cell>
          <cell r="K24" t="str">
            <v>PT. Ifos Satria Mahkota</v>
          </cell>
          <cell r="L24" t="str">
            <v>#REF!</v>
          </cell>
          <cell r="M24" t="str">
            <v>PT. Ifos Satria Mahkota</v>
          </cell>
        </row>
        <row r="25">
          <cell r="D25" t="str">
            <v>Lamalaka</v>
          </cell>
          <cell r="E25" t="str">
            <v>Bantaeng</v>
          </cell>
          <cell r="F25" t="str">
            <v>Bantaeng</v>
          </cell>
          <cell r="G25" t="str">
            <v>Sulawesi Selatan</v>
          </cell>
          <cell r="H25" t="str">
            <v>Penyangga (+cs)</v>
          </cell>
          <cell r="I25" t="str">
            <v>Ifos Satria Mahkota</v>
          </cell>
          <cell r="J25" t="str">
            <v>Nodin PPK 29 Mei 2026</v>
          </cell>
          <cell r="K25" t="str">
            <v>PT. Ifos Satria Mahkota</v>
          </cell>
          <cell r="L25" t="str">
            <v>#REF!</v>
          </cell>
          <cell r="M25" t="str">
            <v>PT. Ifos Satria Mahkota</v>
          </cell>
        </row>
        <row r="26">
          <cell r="D26" t="str">
            <v>Letta</v>
          </cell>
          <cell r="E26" t="str">
            <v>Bantaeng</v>
          </cell>
          <cell r="F26" t="str">
            <v>Bantaeng</v>
          </cell>
          <cell r="G26" t="str">
            <v>Sulawesi Selatan</v>
          </cell>
          <cell r="H26" t="str">
            <v>Penyangga</v>
          </cell>
          <cell r="K26" t="str">
            <v>PT. Ifos Satria Mahkota</v>
          </cell>
          <cell r="L26" t="str">
            <v>#REF!</v>
          </cell>
          <cell r="M26" t="str">
            <v>PT. DARWIN KEMBAR JAYA</v>
          </cell>
        </row>
        <row r="27">
          <cell r="D27" t="str">
            <v>Pa'Jukukang</v>
          </cell>
          <cell r="E27" t="str">
            <v>Pajukukang</v>
          </cell>
          <cell r="F27" t="str">
            <v>Bantaeng</v>
          </cell>
          <cell r="G27" t="str">
            <v>Sulawesi Selatan</v>
          </cell>
          <cell r="H27" t="str">
            <v>Penyangga</v>
          </cell>
          <cell r="I27" t="str">
            <v>Ifos Satria Mahkota</v>
          </cell>
          <cell r="J27" t="str">
            <v>Nodin PPK 29 Mei 2026</v>
          </cell>
          <cell r="K27" t="str">
            <v>PT. Ifos Satria Mahkota</v>
          </cell>
          <cell r="L27" t="str">
            <v>#REF!</v>
          </cell>
          <cell r="M27" t="str">
            <v>PT. Ifos Satria Mahkota</v>
          </cell>
        </row>
        <row r="28">
          <cell r="D28" t="str">
            <v>Pasangkayu</v>
          </cell>
          <cell r="E28" t="str">
            <v>Pasangkayu</v>
          </cell>
          <cell r="F28" t="str">
            <v>Pasangkayu</v>
          </cell>
          <cell r="G28" t="str">
            <v>Sulawesi Barat</v>
          </cell>
          <cell r="H28" t="str">
            <v>Penyangga</v>
          </cell>
          <cell r="K28" t="str">
            <v>PT. Passokorang (kualifikasi menengah)</v>
          </cell>
          <cell r="L28" t="str">
            <v>#REF!</v>
          </cell>
          <cell r="M28" t="str">
            <v>CV. Saleko Satu</v>
          </cell>
        </row>
        <row r="29">
          <cell r="D29" t="str">
            <v>Sarudu</v>
          </cell>
          <cell r="E29" t="str">
            <v>Sarudu</v>
          </cell>
          <cell r="F29" t="str">
            <v>Pasangkayu</v>
          </cell>
          <cell r="G29" t="str">
            <v>Sulawesi Barat</v>
          </cell>
          <cell r="H29" t="str">
            <v>Penyangga</v>
          </cell>
          <cell r="K29" t="str">
            <v>PT. Passokorang</v>
          </cell>
          <cell r="L29" t="str">
            <v>#REF!</v>
          </cell>
          <cell r="M29" t="str">
            <v>CV. Saleko Satu</v>
          </cell>
        </row>
        <row r="30">
          <cell r="D30" t="str">
            <v>Laulalang</v>
          </cell>
          <cell r="E30" t="str">
            <v>Tolitoli Utara</v>
          </cell>
          <cell r="F30" t="str">
            <v>Toli-Toli</v>
          </cell>
          <cell r="G30" t="str">
            <v>Sulawesi Tengah</v>
          </cell>
          <cell r="H30" t="str">
            <v>Penyangga (+cs)</v>
          </cell>
          <cell r="K30" t="str">
            <v>PT. Samudra Tolis</v>
          </cell>
          <cell r="L30" t="str">
            <v>#REF!</v>
          </cell>
          <cell r="M30" t="str">
            <v>CV. Fajrin Pratama</v>
          </cell>
        </row>
        <row r="31">
          <cell r="D31" t="str">
            <v>Bangko</v>
          </cell>
          <cell r="E31" t="str">
            <v>Maginti</v>
          </cell>
          <cell r="F31" t="str">
            <v>Muna Barat</v>
          </cell>
          <cell r="G31" t="str">
            <v>Sulawesi Tenggara</v>
          </cell>
          <cell r="H31" t="str">
            <v>Hub</v>
          </cell>
          <cell r="K31" t="str">
            <v>CV. Ghaniyu Qootahu</v>
          </cell>
          <cell r="L31" t="str">
            <v>#REF!</v>
          </cell>
          <cell r="M31" t="str">
            <v>CV. Ghaniyu Qootahu/CV. Abadi Wijaya Mandiri</v>
          </cell>
        </row>
        <row r="32">
          <cell r="D32" t="str">
            <v>Lasama</v>
          </cell>
          <cell r="E32" t="str">
            <v>Tiworo Kepulauan</v>
          </cell>
          <cell r="F32" t="str">
            <v>Muna Barat</v>
          </cell>
          <cell r="G32" t="str">
            <v>Sulawesi Tenggara</v>
          </cell>
          <cell r="H32" t="str">
            <v>Penyangga</v>
          </cell>
          <cell r="K32" t="str">
            <v>CV. Lawa Raya</v>
          </cell>
          <cell r="L32" t="str">
            <v>#REF!</v>
          </cell>
          <cell r="M32" t="e">
            <v>#N/A</v>
          </cell>
        </row>
        <row r="33">
          <cell r="D33" t="str">
            <v>Latawe</v>
          </cell>
          <cell r="E33" t="str">
            <v>Napano Kusambi</v>
          </cell>
          <cell r="F33" t="str">
            <v>Muna Barat</v>
          </cell>
          <cell r="G33" t="str">
            <v>Sulawesi Tenggara</v>
          </cell>
          <cell r="H33" t="str">
            <v>Penyangga</v>
          </cell>
          <cell r="K33" t="str">
            <v>CV. Lawa Raya</v>
          </cell>
          <cell r="L33" t="str">
            <v>#REF!</v>
          </cell>
          <cell r="M33" t="str">
            <v>CV. Lawa Raya</v>
          </cell>
        </row>
        <row r="34">
          <cell r="D34" t="str">
            <v>Tanjung Pinang</v>
          </cell>
          <cell r="E34" t="str">
            <v>Kusambi</v>
          </cell>
          <cell r="F34" t="str">
            <v>Muna Barat</v>
          </cell>
          <cell r="G34" t="str">
            <v>Sulawesi Tenggara</v>
          </cell>
          <cell r="H34" t="str">
            <v>Penyangga</v>
          </cell>
          <cell r="L34" t="str">
            <v>#REF!</v>
          </cell>
          <cell r="M34" t="str">
            <v>CV. Ghaniyu Qootahu/CV. Abadi Wijaya Mandiri</v>
          </cell>
        </row>
        <row r="35">
          <cell r="D35" t="str">
            <v>Tondasi</v>
          </cell>
          <cell r="E35" t="str">
            <v>Tiworo Utara</v>
          </cell>
          <cell r="F35" t="str">
            <v>Muna Barat</v>
          </cell>
          <cell r="G35" t="str">
            <v>Sulawesi Tenggara</v>
          </cell>
          <cell r="H35" t="str">
            <v>Penyangga</v>
          </cell>
          <cell r="K35" t="str">
            <v>CV. Lawa Raya</v>
          </cell>
          <cell r="L35" t="str">
            <v>#REF!</v>
          </cell>
          <cell r="M35" t="str">
            <v>CV. Lawa Raya</v>
          </cell>
        </row>
        <row r="36">
          <cell r="D36" t="str">
            <v>Batu Atas Timur</v>
          </cell>
          <cell r="E36" t="str">
            <v>Batu Atas</v>
          </cell>
          <cell r="F36" t="str">
            <v>Buton Selatan</v>
          </cell>
          <cell r="G36" t="str">
            <v>Sulawesi Tenggara</v>
          </cell>
          <cell r="H36" t="str">
            <v>Penyangga (+cs)</v>
          </cell>
          <cell r="K36" t="str">
            <v>PT. Boriandy Putra (usulan dibatalkan)</v>
          </cell>
          <cell r="L36" t="str">
            <v>PT. Nenci Citra Pratama Cab Buton Tengah</v>
          </cell>
          <cell r="M36" t="str">
            <v>PT. VTB Jaya Makmur</v>
          </cell>
        </row>
        <row r="37">
          <cell r="D37" t="str">
            <v>Bababulo</v>
          </cell>
          <cell r="E37" t="str">
            <v>Pamboang</v>
          </cell>
          <cell r="F37" t="str">
            <v>Majene</v>
          </cell>
          <cell r="G37" t="str">
            <v>Sulawesi Barat</v>
          </cell>
          <cell r="H37" t="str">
            <v>Penyangga</v>
          </cell>
          <cell r="K37" t="str">
            <v>CV. Lion Jaya Mandiri</v>
          </cell>
          <cell r="L37" t="str">
            <v>#REF!</v>
          </cell>
          <cell r="M37" t="str">
            <v>CV. Lion Jaya Mandiri</v>
          </cell>
        </row>
        <row r="38">
          <cell r="D38" t="str">
            <v>Bonde Utara</v>
          </cell>
          <cell r="E38" t="str">
            <v>Pamboang</v>
          </cell>
          <cell r="F38" t="str">
            <v>Majene</v>
          </cell>
          <cell r="G38" t="str">
            <v>Sulawesi Barat</v>
          </cell>
          <cell r="H38" t="str">
            <v>Penyangga (+cs)</v>
          </cell>
          <cell r="K38" t="str">
            <v>CV. Lion Jaya Mandiri</v>
          </cell>
          <cell r="L38" t="str">
            <v>#REF!</v>
          </cell>
          <cell r="M38" t="str">
            <v>CV. Lion Jaya Mandiri</v>
          </cell>
        </row>
        <row r="39">
          <cell r="D39" t="str">
            <v>Limbua</v>
          </cell>
          <cell r="E39" t="str">
            <v>Sendana</v>
          </cell>
          <cell r="F39" t="str">
            <v>Majene</v>
          </cell>
          <cell r="G39" t="str">
            <v>Sulawesi Barat</v>
          </cell>
          <cell r="H39" t="str">
            <v>Penyangga</v>
          </cell>
          <cell r="K39" t="str">
            <v>CV. Lion Jaya Mandiri</v>
          </cell>
          <cell r="L39" t="str">
            <v>#REF!</v>
          </cell>
          <cell r="M39" t="str">
            <v>CV. Lion Jaya Mandiri</v>
          </cell>
        </row>
        <row r="40">
          <cell r="D40" t="str">
            <v>Dwitiro</v>
          </cell>
          <cell r="E40" t="str">
            <v>Bonto Tiro</v>
          </cell>
          <cell r="F40" t="str">
            <v>Bulukumba</v>
          </cell>
          <cell r="G40" t="str">
            <v>Sulawesi Selatan</v>
          </cell>
          <cell r="H40" t="str">
            <v>Penyangga</v>
          </cell>
          <cell r="K40" t="str">
            <v>PT. Bumi Palapa Perkasa</v>
          </cell>
          <cell r="L40" t="str">
            <v>#REF!</v>
          </cell>
          <cell r="M40" t="str">
            <v>PT. DARWIN KEMBAR JAYA</v>
          </cell>
        </row>
        <row r="41">
          <cell r="D41" t="str">
            <v>Binanga Karaeng</v>
          </cell>
          <cell r="E41" t="str">
            <v>Lembang</v>
          </cell>
          <cell r="F41" t="str">
            <v>Pinrang</v>
          </cell>
          <cell r="G41" t="str">
            <v>Sulawesi Selatan</v>
          </cell>
          <cell r="H41" t="str">
            <v>Hub</v>
          </cell>
          <cell r="K41" t="str">
            <v>PT. Viqra Azzahra Konstruksi (kualifikasi menengah total paket untuk kecil)</v>
          </cell>
          <cell r="L41" t="str">
            <v>#REF!</v>
          </cell>
          <cell r="M41" t="str">
            <v>CV. Buana Bahari</v>
          </cell>
        </row>
        <row r="42">
          <cell r="D42" t="str">
            <v>Pallameang</v>
          </cell>
          <cell r="E42" t="str">
            <v>Mattiro Sompe</v>
          </cell>
          <cell r="F42" t="str">
            <v>Pinrang</v>
          </cell>
          <cell r="G42" t="str">
            <v>Sulawesi Selatan</v>
          </cell>
          <cell r="H42" t="str">
            <v>Penyangga</v>
          </cell>
          <cell r="K42" t="str">
            <v>PT. Viqra Azzahra Konstruksi (kualifikasi menengah total paket untuk kecil)</v>
          </cell>
          <cell r="L42" t="str">
            <v>#REF!</v>
          </cell>
          <cell r="M42" t="str">
            <v>CV. Buana Bahari</v>
          </cell>
        </row>
        <row r="43">
          <cell r="D43" t="str">
            <v>Tadang Palie</v>
          </cell>
          <cell r="E43" t="str">
            <v>Cempa</v>
          </cell>
          <cell r="F43" t="str">
            <v>Pinrang</v>
          </cell>
          <cell r="G43" t="str">
            <v>Sulawesi Selatan</v>
          </cell>
          <cell r="H43" t="str">
            <v>Penyangga</v>
          </cell>
          <cell r="K43" t="str">
            <v>PT. Viqra Azzahra Konstruksi (kualifikasi menengah total paket untuk kecil)</v>
          </cell>
          <cell r="L43" t="str">
            <v>#REF!</v>
          </cell>
          <cell r="M43" t="str">
            <v>CV. Buana Bahari</v>
          </cell>
        </row>
        <row r="44">
          <cell r="D44" t="str">
            <v>Tonyaman</v>
          </cell>
          <cell r="E44" t="str">
            <v>Binuang</v>
          </cell>
          <cell r="F44" t="str">
            <v>Polewali Mandar</v>
          </cell>
          <cell r="G44" t="str">
            <v>Sulawesi Barat</v>
          </cell>
          <cell r="H44" t="str">
            <v>Penyangga</v>
          </cell>
          <cell r="K44" t="str">
            <v>CV. Sinar Mata Allo</v>
          </cell>
          <cell r="L44" t="str">
            <v>#REF!</v>
          </cell>
          <cell r="M44" t="str">
            <v>CV. RODA</v>
          </cell>
        </row>
        <row r="45">
          <cell r="D45" t="str">
            <v>Dusunan</v>
          </cell>
          <cell r="E45" t="str">
            <v>Tinombo</v>
          </cell>
          <cell r="F45" t="str">
            <v>Parigi Moutong</v>
          </cell>
          <cell r="G45" t="str">
            <v>Sulawesi Tengah</v>
          </cell>
          <cell r="H45" t="str">
            <v>Penyangga</v>
          </cell>
          <cell r="K45" t="str">
            <v>PT. Naysen Mandiri Abadi</v>
          </cell>
          <cell r="L45" t="str">
            <v>#REF!</v>
          </cell>
          <cell r="M45" t="str">
            <v>CV. Triga Cipta Abadi</v>
          </cell>
        </row>
        <row r="46">
          <cell r="D46" t="str">
            <v>Sama Bahari</v>
          </cell>
          <cell r="E46" t="str">
            <v>Bolano</v>
          </cell>
          <cell r="F46" t="str">
            <v>Parigi Moutong</v>
          </cell>
          <cell r="G46" t="str">
            <v>Sulawesi Tengah</v>
          </cell>
          <cell r="H46" t="str">
            <v>Penyangga</v>
          </cell>
          <cell r="K46" t="str">
            <v>PT. Naysen Mandiri Abadi</v>
          </cell>
          <cell r="L46" t="str">
            <v>#REF!</v>
          </cell>
          <cell r="M46" t="str">
            <v>CV. Navigasi General Contractor</v>
          </cell>
        </row>
        <row r="47">
          <cell r="D47" t="str">
            <v>Bonebone</v>
          </cell>
          <cell r="E47" t="str">
            <v>Batupoaro</v>
          </cell>
          <cell r="F47" t="str">
            <v>Kota Bau Bau</v>
          </cell>
          <cell r="G47" t="str">
            <v>Sulawesi Tenggara</v>
          </cell>
          <cell r="H47" t="str">
            <v>Hub</v>
          </cell>
          <cell r="I47" t="str">
            <v>PT Sarjis Agung Indrajaya</v>
          </cell>
          <cell r="J47" t="str">
            <v>Nodin PPK 28 Mei 2026</v>
          </cell>
          <cell r="K47" t="str">
            <v>PT. Sarjis Agung Indrajaya</v>
          </cell>
          <cell r="L47" t="str">
            <v>#REF!</v>
          </cell>
          <cell r="M47" t="str">
            <v>PT. Sarjis Agung Indrajaya</v>
          </cell>
        </row>
        <row r="48">
          <cell r="D48" t="str">
            <v>Kaofe</v>
          </cell>
          <cell r="E48" t="str">
            <v>Kadatua</v>
          </cell>
          <cell r="F48" t="str">
            <v>Buton Selatan</v>
          </cell>
          <cell r="G48" t="str">
            <v>Sulawesi Tenggara</v>
          </cell>
          <cell r="H48" t="str">
            <v>Penyangga</v>
          </cell>
          <cell r="I48" t="str">
            <v>PT Sarjis Agung Indrajaya</v>
          </cell>
          <cell r="J48" t="str">
            <v>Nodin PPK 28 Mei 2026</v>
          </cell>
          <cell r="K48" t="str">
            <v>PT. Sarjis Agung Indrajaya</v>
          </cell>
          <cell r="L48" t="str">
            <v>#REF!</v>
          </cell>
          <cell r="M48" t="str">
            <v>PT. Sarjis Agung Indrajaya</v>
          </cell>
        </row>
        <row r="49">
          <cell r="D49" t="str">
            <v>Lagili</v>
          </cell>
          <cell r="E49" t="str">
            <v>Mawasangka Timur</v>
          </cell>
          <cell r="F49" t="str">
            <v>Buton Tengah</v>
          </cell>
          <cell r="G49" t="str">
            <v>Sulawesi Tenggara</v>
          </cell>
          <cell r="H49" t="str">
            <v>Penyangga</v>
          </cell>
          <cell r="K49" t="str">
            <v>PT. Sarjis Agung Indrajaya</v>
          </cell>
          <cell r="L49" t="str">
            <v>PT. Nenci Citra Pratama Cab Buton Tengah</v>
          </cell>
          <cell r="M49" t="str">
            <v>CV. Beta Lestari Prima</v>
          </cell>
        </row>
        <row r="50">
          <cell r="D50" t="str">
            <v>Lowu-Lowu</v>
          </cell>
          <cell r="E50" t="str">
            <v>Lea-Lea</v>
          </cell>
          <cell r="F50" t="str">
            <v>Kota Bau Bau</v>
          </cell>
          <cell r="G50" t="str">
            <v>Sulawesi Tenggara</v>
          </cell>
          <cell r="H50" t="str">
            <v>Penyangga</v>
          </cell>
          <cell r="I50" t="str">
            <v>CV Mudabbir</v>
          </cell>
          <cell r="J50" t="str">
            <v>Nodin PPK 26 Mei 2026</v>
          </cell>
          <cell r="K50" t="str">
            <v>CV. Mudabbir</v>
          </cell>
          <cell r="L50" t="str">
            <v>#REF!</v>
          </cell>
          <cell r="M50" t="str">
            <v>CV. Mudabbir</v>
          </cell>
        </row>
        <row r="51">
          <cell r="D51" t="str">
            <v>Moko</v>
          </cell>
          <cell r="E51" t="str">
            <v>Lakudo</v>
          </cell>
          <cell r="F51" t="str">
            <v>Buton Tengah</v>
          </cell>
          <cell r="G51" t="str">
            <v>Sulawesi Tenggara</v>
          </cell>
          <cell r="H51" t="str">
            <v>Penyangga</v>
          </cell>
          <cell r="K51" t="str">
            <v>PT. Sarjis Agung Indrajaya</v>
          </cell>
          <cell r="L51" t="str">
            <v>#REF!</v>
          </cell>
          <cell r="M51" t="str">
            <v>CV. Indotama Konstruksi</v>
          </cell>
        </row>
        <row r="52">
          <cell r="D52" t="str">
            <v>Sulaa</v>
          </cell>
          <cell r="E52" t="str">
            <v>Betoambari</v>
          </cell>
          <cell r="F52" t="str">
            <v>Kota Bau Bau</v>
          </cell>
          <cell r="G52" t="str">
            <v>Sulawesi Tenggara</v>
          </cell>
          <cell r="H52" t="str">
            <v>Penyangga</v>
          </cell>
          <cell r="I52" t="str">
            <v>PT Sarjis Agung Indrajaya</v>
          </cell>
          <cell r="J52" t="str">
            <v>Nodin PPK 28 Mei 2026</v>
          </cell>
          <cell r="K52" t="str">
            <v>PT. Sarjis Agung Indrajaya</v>
          </cell>
          <cell r="L52" t="str">
            <v>#REF!</v>
          </cell>
          <cell r="M52" t="str">
            <v>PT. Sarjis Agung Indrajaya</v>
          </cell>
        </row>
        <row r="53">
          <cell r="D53" t="str">
            <v>Boneoge</v>
          </cell>
          <cell r="E53" t="str">
            <v>Banawa</v>
          </cell>
          <cell r="F53" t="str">
            <v>Donggala</v>
          </cell>
          <cell r="G53" t="str">
            <v>Sulawesi Tengah</v>
          </cell>
          <cell r="H53" t="str">
            <v>Hub</v>
          </cell>
          <cell r="K53" t="str">
            <v>PT. Venue Inari Pratama (SBU dicabut)</v>
          </cell>
          <cell r="L53" t="str">
            <v>PT. Putra Ogan Cemerlang Ganti PT Armyndo Jaya Konstruksi</v>
          </cell>
          <cell r="M53" t="str">
            <v>PT. Armyndo Jaya Konstruksi</v>
          </cell>
        </row>
        <row r="54">
          <cell r="D54" t="str">
            <v>Ganti</v>
          </cell>
          <cell r="E54" t="str">
            <v>Banawa</v>
          </cell>
          <cell r="F54" t="str">
            <v>Donggala</v>
          </cell>
          <cell r="G54" t="str">
            <v>Sulawesi Tengah</v>
          </cell>
          <cell r="H54" t="str">
            <v>Penyangga</v>
          </cell>
          <cell r="K54" t="str">
            <v>PT. Venue Inari Pratama (SBU dicabut)</v>
          </cell>
          <cell r="L54" t="str">
            <v>PT. Putra Ogan Cemerlang Ganti PT Armyndo Jaya Konstruksi</v>
          </cell>
          <cell r="M54" t="str">
            <v>PT. Armyndo Jaya Konstruksi</v>
          </cell>
        </row>
        <row r="55">
          <cell r="D55" t="str">
            <v>Lero</v>
          </cell>
          <cell r="E55" t="str">
            <v>Sindue</v>
          </cell>
          <cell r="F55" t="str">
            <v>Donggala</v>
          </cell>
          <cell r="G55" t="str">
            <v>Sulawesi Tengah</v>
          </cell>
          <cell r="H55" t="str">
            <v>Penyangga</v>
          </cell>
          <cell r="K55" t="str">
            <v>CV Rahmat Muda</v>
          </cell>
          <cell r="L55" t="str">
            <v>#REF!</v>
          </cell>
          <cell r="M55" t="str">
            <v>CV. Triga Cipta Abadi</v>
          </cell>
        </row>
        <row r="56">
          <cell r="D56" t="str">
            <v>Belopa</v>
          </cell>
          <cell r="E56" t="str">
            <v>Belopa</v>
          </cell>
          <cell r="F56" t="str">
            <v>Luwu</v>
          </cell>
          <cell r="G56" t="str">
            <v>Sulawesi Selatan</v>
          </cell>
          <cell r="H56" t="str">
            <v>Penyangga</v>
          </cell>
          <cell r="I56" t="str">
            <v>PT Relis Sapindo Utama</v>
          </cell>
          <cell r="J56" t="str">
            <v>Nodin PPK 26 Mei 2026</v>
          </cell>
          <cell r="K56" t="str">
            <v>PT. Relis Sapindo Utama</v>
          </cell>
          <cell r="L56" t="str">
            <v>#REF!</v>
          </cell>
          <cell r="M56" t="str">
            <v>PT. Relis Sapindo Utama</v>
          </cell>
        </row>
        <row r="57">
          <cell r="D57" t="str">
            <v>Bone Pute</v>
          </cell>
          <cell r="E57" t="str">
            <v>Larompong Selatan</v>
          </cell>
          <cell r="F57" t="str">
            <v>Luwu</v>
          </cell>
          <cell r="G57" t="str">
            <v>Sulawesi Selatan</v>
          </cell>
          <cell r="H57" t="str">
            <v>Hub</v>
          </cell>
          <cell r="I57" t="str">
            <v>PT Relis Sapindo Utama</v>
          </cell>
          <cell r="J57" t="str">
            <v>Nodin PPK 26 Mei 2026</v>
          </cell>
          <cell r="K57" t="str">
            <v>PT. Relis Sapindo Utama</v>
          </cell>
          <cell r="L57" t="str">
            <v>#REF!</v>
          </cell>
          <cell r="M57" t="str">
            <v>PT. Relis Sapindo Utama</v>
          </cell>
        </row>
        <row r="58">
          <cell r="D58" t="str">
            <v>Bulete</v>
          </cell>
          <cell r="E58" t="str">
            <v>Pitumpanua</v>
          </cell>
          <cell r="F58" t="str">
            <v>Wajo</v>
          </cell>
          <cell r="G58" t="str">
            <v>Sulawesi Selatan</v>
          </cell>
          <cell r="H58" t="str">
            <v>Penyangga</v>
          </cell>
          <cell r="I58" t="str">
            <v>PT Relis Sapindo Utama</v>
          </cell>
          <cell r="J58" t="str">
            <v>Nodin PPK 26 Mei 2026</v>
          </cell>
          <cell r="K58" t="str">
            <v>PT. Relis Sapindo Utama</v>
          </cell>
          <cell r="L58" t="str">
            <v>#REF!</v>
          </cell>
          <cell r="M58" t="str">
            <v>PT. Relis Sapindo Utama</v>
          </cell>
        </row>
        <row r="59">
          <cell r="D59" t="str">
            <v>Cimpu Utara</v>
          </cell>
          <cell r="E59" t="str">
            <v>Suli</v>
          </cell>
          <cell r="F59" t="str">
            <v>Luwu</v>
          </cell>
          <cell r="G59" t="str">
            <v>Sulawesi Selatan</v>
          </cell>
          <cell r="H59" t="str">
            <v>Penyangga</v>
          </cell>
          <cell r="I59" t="str">
            <v>PT Relis Sapindo Utama</v>
          </cell>
          <cell r="J59" t="str">
            <v>Nodin PPK 26 Mei 2026</v>
          </cell>
          <cell r="K59" t="str">
            <v>PT. Relis Sapindo Utama</v>
          </cell>
          <cell r="L59" t="str">
            <v>#REF!</v>
          </cell>
          <cell r="M59" t="str">
            <v>PT. Relis Sapindo Utama</v>
          </cell>
        </row>
        <row r="60">
          <cell r="D60" t="str">
            <v>Murante</v>
          </cell>
          <cell r="E60" t="str">
            <v>Suli</v>
          </cell>
          <cell r="F60" t="str">
            <v>Luwu</v>
          </cell>
          <cell r="G60" t="str">
            <v>Sulawesi Selatan</v>
          </cell>
          <cell r="H60" t="str">
            <v>Penyangga</v>
          </cell>
          <cell r="I60" t="str">
            <v>PT Relis Sapindo Utama</v>
          </cell>
          <cell r="J60" t="str">
            <v>Nodin PPK 26 Mei 2026</v>
          </cell>
          <cell r="K60" t="str">
            <v>PT. Relis Sapindo Utama</v>
          </cell>
          <cell r="L60" t="str">
            <v>#REF!</v>
          </cell>
          <cell r="M60" t="str">
            <v>PT. Relis Sapindo Utama</v>
          </cell>
        </row>
        <row r="61">
          <cell r="D61" t="str">
            <v>Rantebelu</v>
          </cell>
          <cell r="E61" t="str">
            <v>Larompong</v>
          </cell>
          <cell r="F61" t="str">
            <v>Luwu</v>
          </cell>
          <cell r="G61" t="str">
            <v>Sulawesi Selatan</v>
          </cell>
          <cell r="H61" t="str">
            <v>Penyangga</v>
          </cell>
          <cell r="I61" t="str">
            <v>PT Relis Sapindo Utama</v>
          </cell>
          <cell r="J61" t="str">
            <v>Nodin PPK 26 Mei 2026</v>
          </cell>
          <cell r="K61" t="str">
            <v>PT. Relis Sapindo Utama</v>
          </cell>
          <cell r="L61" t="str">
            <v>#REF!</v>
          </cell>
          <cell r="M61" t="str">
            <v>PT. Relis Sapindo Utama</v>
          </cell>
        </row>
        <row r="62">
          <cell r="D62" t="str">
            <v>Bontosunggu</v>
          </cell>
          <cell r="E62" t="str">
            <v>Bontoharu</v>
          </cell>
          <cell r="F62" t="str">
            <v>Kepulauan Selayar</v>
          </cell>
          <cell r="G62" t="str">
            <v>Sulawesi Selatan</v>
          </cell>
          <cell r="H62" t="str">
            <v>Hub</v>
          </cell>
          <cell r="I62" t="str">
            <v>Unggul Sukoja/ Revisi Penyedia</v>
          </cell>
          <cell r="J62" t="str">
            <v>Nodin PPK 29 Mei 2026</v>
          </cell>
          <cell r="K62" t="str">
            <v>PT. Murni Konstruksi Indonesia</v>
          </cell>
          <cell r="L62" t="str">
            <v>#REF!</v>
          </cell>
          <cell r="M62" t="str">
            <v>PT. Murni Konstruksi Indonesia</v>
          </cell>
        </row>
        <row r="63">
          <cell r="D63" t="str">
            <v>Buki</v>
          </cell>
          <cell r="E63" t="str">
            <v>Buki</v>
          </cell>
          <cell r="F63" t="str">
            <v>Kepulauan Selayar</v>
          </cell>
          <cell r="G63" t="str">
            <v>Sulawesi Selatan</v>
          </cell>
          <cell r="H63" t="str">
            <v>Penyangga</v>
          </cell>
          <cell r="I63" t="str">
            <v>Unggul Sukoja/ Revisi Penyedia</v>
          </cell>
          <cell r="J63" t="str">
            <v>Nodin PPK 29 Mei 2026</v>
          </cell>
          <cell r="K63" t="str">
            <v>PT. Murni Konstruksi Indonesia</v>
          </cell>
          <cell r="L63" t="str">
            <v>#REF!</v>
          </cell>
          <cell r="M63" t="str">
            <v>PT. Murni Konstruksi Indonesia</v>
          </cell>
        </row>
        <row r="64">
          <cell r="D64" t="str">
            <v>Bungaiya</v>
          </cell>
          <cell r="E64" t="str">
            <v>Bontomatene</v>
          </cell>
          <cell r="F64" t="str">
            <v>Kepulauan Selayar</v>
          </cell>
          <cell r="G64" t="str">
            <v>Sulawesi Selatan</v>
          </cell>
          <cell r="H64" t="str">
            <v>Penyangga</v>
          </cell>
          <cell r="I64" t="str">
            <v>Unggul Sukoja/ Revisi Penyedia</v>
          </cell>
          <cell r="J64" t="str">
            <v>Nodin PPK 29 Mei 2026</v>
          </cell>
          <cell r="K64" t="str">
            <v>PT. Murni Konstruksi Indonesia</v>
          </cell>
          <cell r="L64" t="str">
            <v>#REF!</v>
          </cell>
          <cell r="M64" t="str">
            <v>PT. Murni Konstruksi Indonesia</v>
          </cell>
        </row>
        <row r="65">
          <cell r="D65" t="str">
            <v>Lowa</v>
          </cell>
          <cell r="E65" t="str">
            <v>Bontosikuyu</v>
          </cell>
          <cell r="F65" t="str">
            <v>Kepulauan Selayar</v>
          </cell>
          <cell r="G65" t="str">
            <v>Sulawesi Selatan</v>
          </cell>
          <cell r="H65" t="str">
            <v>Penyangga</v>
          </cell>
          <cell r="I65" t="str">
            <v>Unggul Sukoja/ Revisi Penyedia</v>
          </cell>
          <cell r="J65" t="str">
            <v>Nodin PPK 29 Mei 2026</v>
          </cell>
          <cell r="K65" t="str">
            <v>PT. Murni Konstruksi Indonesia</v>
          </cell>
          <cell r="L65" t="str">
            <v>#REF!</v>
          </cell>
          <cell r="M65" t="str">
            <v>PT. Murni Konstruksi Indonesia</v>
          </cell>
        </row>
        <row r="66">
          <cell r="D66" t="str">
            <v>Boyantongo</v>
          </cell>
          <cell r="E66" t="str">
            <v>Parigi Selatan</v>
          </cell>
          <cell r="F66" t="str">
            <v>Parigi Moutong</v>
          </cell>
          <cell r="G66" t="str">
            <v>Sulawesi Tengah</v>
          </cell>
          <cell r="H66" t="str">
            <v>Hub</v>
          </cell>
          <cell r="K66" t="str">
            <v>PT. Panca Jaya Anugrah</v>
          </cell>
          <cell r="L66" t="str">
            <v>#REF!</v>
          </cell>
          <cell r="M66" t="str">
            <v>CV. Navigasi General Contractor</v>
          </cell>
        </row>
        <row r="67">
          <cell r="D67" t="str">
            <v>Laemanta Utara</v>
          </cell>
          <cell r="E67" t="str">
            <v>Kasimbar</v>
          </cell>
          <cell r="F67" t="str">
            <v>Parigi Moutong</v>
          </cell>
          <cell r="G67" t="str">
            <v>Sulawesi Tengah</v>
          </cell>
          <cell r="H67" t="str">
            <v>Penyangga</v>
          </cell>
          <cell r="K67" t="str">
            <v>PT. Panca Jaya Anugrah</v>
          </cell>
          <cell r="L67" t="str">
            <v>#REF!</v>
          </cell>
          <cell r="M67" t="str">
            <v>CV. Navigasi General Contractor</v>
          </cell>
        </row>
        <row r="68">
          <cell r="D68" t="str">
            <v>Pelawa Baru</v>
          </cell>
          <cell r="E68" t="str">
            <v>Parigi Tengah</v>
          </cell>
          <cell r="F68" t="str">
            <v>Parigi Moutong</v>
          </cell>
          <cell r="G68" t="str">
            <v>Sulawesi Tengah</v>
          </cell>
          <cell r="H68" t="str">
            <v>Penyangga</v>
          </cell>
          <cell r="K68" t="str">
            <v>PT. Panca Jaya Anugrah</v>
          </cell>
          <cell r="L68" t="str">
            <v>#REF!</v>
          </cell>
          <cell r="M68" t="str">
            <v>CV. Navigasi General Contractor</v>
          </cell>
        </row>
        <row r="69">
          <cell r="D69" t="str">
            <v>Sausu Tambu</v>
          </cell>
          <cell r="E69" t="str">
            <v>Sausu</v>
          </cell>
          <cell r="F69" t="str">
            <v>Parigi Moutong</v>
          </cell>
          <cell r="G69" t="str">
            <v>Sulawesi Tengah</v>
          </cell>
          <cell r="H69" t="str">
            <v>Penyangga</v>
          </cell>
          <cell r="K69" t="str">
            <v>PT. Panca Jaya Anugrah</v>
          </cell>
          <cell r="L69" t="str">
            <v>#REF!</v>
          </cell>
          <cell r="M69" t="str">
            <v>CV. Triga Cipta Abadi</v>
          </cell>
        </row>
        <row r="70">
          <cell r="D70" t="str">
            <v>Sienjo</v>
          </cell>
          <cell r="E70" t="str">
            <v>Toribulu</v>
          </cell>
          <cell r="F70" t="str">
            <v>Parigi Moutong</v>
          </cell>
          <cell r="G70" t="str">
            <v>Sulawesi Tengah</v>
          </cell>
          <cell r="H70" t="str">
            <v>Penyangga</v>
          </cell>
          <cell r="K70" t="str">
            <v>PT. Panca Jaya Anugrah</v>
          </cell>
          <cell r="L70" t="str">
            <v>#REF!</v>
          </cell>
          <cell r="M70" t="str">
            <v>CV. Triga Cipta Abadi</v>
          </cell>
        </row>
        <row r="71">
          <cell r="D71" t="str">
            <v>Tada</v>
          </cell>
          <cell r="E71" t="str">
            <v>Tinombo Selatan</v>
          </cell>
          <cell r="F71" t="str">
            <v>Parigi Moutong</v>
          </cell>
          <cell r="G71" t="str">
            <v>Sulawesi Tengah</v>
          </cell>
          <cell r="H71" t="str">
            <v>Penyangga</v>
          </cell>
          <cell r="K71" t="str">
            <v>PT. Panca Jaya Anugrah</v>
          </cell>
          <cell r="L71" t="str">
            <v>#REF!</v>
          </cell>
          <cell r="M71" t="str">
            <v>CV. Triga Cipta Abadi</v>
          </cell>
        </row>
        <row r="72">
          <cell r="D72" t="str">
            <v>Kedungmalang</v>
          </cell>
          <cell r="E72" t="str">
            <v>Kedung</v>
          </cell>
          <cell r="F72" t="str">
            <v>Jepara</v>
          </cell>
          <cell r="G72" t="str">
            <v>Jawa Tengah</v>
          </cell>
          <cell r="H72" t="str">
            <v>Penyangga</v>
          </cell>
          <cell r="K72" t="str">
            <v>PT. Citra Mutiara Bangun Persada Kualifikasi Menengah, nilai paket untuk kecil)</v>
          </cell>
          <cell r="L72" t="str">
            <v>#REF!</v>
          </cell>
          <cell r="M72" t="str">
            <v>CV. Astana Mas</v>
          </cell>
        </row>
        <row r="73">
          <cell r="D73" t="str">
            <v>Mororejo</v>
          </cell>
          <cell r="E73" t="str">
            <v>Mlonggo</v>
          </cell>
          <cell r="F73" t="str">
            <v>Jepara</v>
          </cell>
          <cell r="G73" t="str">
            <v>Jawa Tengah</v>
          </cell>
          <cell r="H73" t="str">
            <v>Penyangga</v>
          </cell>
          <cell r="K73" t="str">
            <v>PT. Citra Mutiara Bangun Persada Kualifikasi Menengah, nilai paket untuk kecil)</v>
          </cell>
          <cell r="L73" t="str">
            <v>#REF!</v>
          </cell>
          <cell r="M73" t="str">
            <v>CV. Astana Mas</v>
          </cell>
        </row>
        <row r="74">
          <cell r="D74" t="str">
            <v>Tanjung Mas</v>
          </cell>
          <cell r="E74" t="str">
            <v>Semarang Utara</v>
          </cell>
          <cell r="F74" t="str">
            <v>Kota Semarang</v>
          </cell>
          <cell r="G74" t="str">
            <v>Jawa Tengah</v>
          </cell>
          <cell r="H74" t="str">
            <v>Penyangga</v>
          </cell>
          <cell r="K74" t="str">
            <v>PT. Selo Cipta Utama</v>
          </cell>
          <cell r="L74" t="str">
            <v>#REF!</v>
          </cell>
          <cell r="M74" t="str">
            <v>CV. Sinar Mulya</v>
          </cell>
        </row>
        <row r="75">
          <cell r="D75" t="str">
            <v>Ujungbatu</v>
          </cell>
          <cell r="E75" t="str">
            <v>Jepara</v>
          </cell>
          <cell r="F75" t="str">
            <v>Jepara</v>
          </cell>
          <cell r="G75" t="str">
            <v>Jawa Tengah</v>
          </cell>
          <cell r="H75" t="str">
            <v>Penyangga</v>
          </cell>
          <cell r="K75" t="str">
            <v>PT. Citra Mutiara Bangun Persada Kualifikasi Menengah, nilai paket untuk kecil)</v>
          </cell>
          <cell r="L75" t="str">
            <v>#REF!</v>
          </cell>
          <cell r="M75" t="str">
            <v>CV. Astana Mas</v>
          </cell>
        </row>
        <row r="76">
          <cell r="D76" t="str">
            <v>Bualemo B</v>
          </cell>
          <cell r="E76" t="str">
            <v>Bualemo</v>
          </cell>
          <cell r="F76" t="str">
            <v>Banggai</v>
          </cell>
          <cell r="G76" t="str">
            <v>Sulawesi Tengah</v>
          </cell>
          <cell r="H76" t="str">
            <v>Penyangga</v>
          </cell>
          <cell r="K76" t="str">
            <v>PT. Davico Engineering (kualifikasi Menengah)</v>
          </cell>
          <cell r="L76" t="str">
            <v>#REF!</v>
          </cell>
          <cell r="M76" t="str">
            <v>CV. Putra Mahkota Adiyaksa</v>
          </cell>
        </row>
        <row r="77">
          <cell r="D77" t="str">
            <v>Bunta I</v>
          </cell>
          <cell r="E77" t="str">
            <v>Bunta</v>
          </cell>
          <cell r="F77" t="str">
            <v>Banggai</v>
          </cell>
          <cell r="G77" t="str">
            <v>Sulawesi Tengah</v>
          </cell>
          <cell r="H77" t="str">
            <v>Hub</v>
          </cell>
          <cell r="K77" t="str">
            <v>PT. Davico Engineering (kualifikasi Menengah)</v>
          </cell>
          <cell r="L77" t="str">
            <v>#REF!</v>
          </cell>
          <cell r="M77" t="str">
            <v>CV. Putra Mahkota Adiyaksa</v>
          </cell>
        </row>
        <row r="78">
          <cell r="D78" t="str">
            <v>Bayah Barat</v>
          </cell>
          <cell r="E78" t="str">
            <v>Bayah</v>
          </cell>
          <cell r="F78" t="str">
            <v>Lebak</v>
          </cell>
          <cell r="G78" t="str">
            <v>Banten</v>
          </cell>
          <cell r="H78" t="str">
            <v>Penyangga</v>
          </cell>
          <cell r="J78" t="str">
            <v>Nodin PPK 3 Juni 2026</v>
          </cell>
          <cell r="K78" t="str">
            <v>PT. Amber Hasya</v>
          </cell>
          <cell r="L78" t="str">
            <v>#REF!</v>
          </cell>
          <cell r="M78" t="str">
            <v>PT. Amber Hasya</v>
          </cell>
        </row>
        <row r="79">
          <cell r="D79" t="str">
            <v>Cikahuripan</v>
          </cell>
          <cell r="E79" t="str">
            <v>Cisolok</v>
          </cell>
          <cell r="F79" t="str">
            <v>Sukabumi</v>
          </cell>
          <cell r="G79" t="str">
            <v>Jawa Barat</v>
          </cell>
          <cell r="H79" t="str">
            <v>Hub</v>
          </cell>
          <cell r="J79" t="str">
            <v>Nodin PPK 3 Juni 2026</v>
          </cell>
          <cell r="K79" t="str">
            <v>PT. Amber Hasya</v>
          </cell>
          <cell r="L79" t="str">
            <v>#REF!</v>
          </cell>
          <cell r="M79" t="str">
            <v>CV. Mitra Jaya Mandiri</v>
          </cell>
        </row>
        <row r="80">
          <cell r="D80" t="str">
            <v>Cireundeu</v>
          </cell>
          <cell r="E80" t="str">
            <v>Cilograng</v>
          </cell>
          <cell r="F80" t="str">
            <v>Lebak</v>
          </cell>
          <cell r="G80" t="str">
            <v>Banten</v>
          </cell>
          <cell r="H80" t="str">
            <v>Penyangga</v>
          </cell>
          <cell r="J80" t="str">
            <v>Nodin PPK 3 Juni 2026</v>
          </cell>
          <cell r="K80" t="str">
            <v>PT. Amber Hasya</v>
          </cell>
          <cell r="L80" t="str">
            <v>#REF!</v>
          </cell>
          <cell r="M80" t="str">
            <v>PT. Amber Hasya</v>
          </cell>
        </row>
        <row r="81">
          <cell r="D81" t="str">
            <v>Darmasari</v>
          </cell>
          <cell r="E81" t="str">
            <v>Bayah</v>
          </cell>
          <cell r="F81" t="str">
            <v>Lebak</v>
          </cell>
          <cell r="G81" t="str">
            <v>Banten</v>
          </cell>
          <cell r="H81" t="str">
            <v>Penyangga (+cs)</v>
          </cell>
          <cell r="J81" t="str">
            <v>Nodin PPK 3 Juni 2026</v>
          </cell>
          <cell r="K81" t="str">
            <v>PT. Amber Hasya</v>
          </cell>
          <cell r="L81" t="str">
            <v>#REF!</v>
          </cell>
          <cell r="M81" t="str">
            <v>PT. Amber Hasya</v>
          </cell>
        </row>
        <row r="82">
          <cell r="D82" t="str">
            <v>Pasirbaru</v>
          </cell>
          <cell r="E82" t="str">
            <v>Cisolok</v>
          </cell>
          <cell r="F82" t="str">
            <v>Sukabumi</v>
          </cell>
          <cell r="G82" t="str">
            <v>Jawa Barat</v>
          </cell>
          <cell r="H82" t="str">
            <v>Penyangga (+cs)</v>
          </cell>
          <cell r="J82" t="str">
            <v>Nodin PPK 3 Juni 2026</v>
          </cell>
          <cell r="K82" t="str">
            <v>PT. Amber Hasya</v>
          </cell>
          <cell r="L82" t="str">
            <v>#REF!</v>
          </cell>
          <cell r="M82" t="str">
            <v>CV. Mitra Jaya Mandiri</v>
          </cell>
        </row>
        <row r="83">
          <cell r="D83" t="str">
            <v>Kertamukti</v>
          </cell>
          <cell r="E83" t="str">
            <v>Sumur</v>
          </cell>
          <cell r="F83" t="str">
            <v>Pandeglang</v>
          </cell>
          <cell r="G83" t="str">
            <v>Banten</v>
          </cell>
          <cell r="H83" t="str">
            <v>Penyangga</v>
          </cell>
          <cell r="J83" t="str">
            <v>Nodin PPK 3 Juni 2026</v>
          </cell>
          <cell r="K83" t="str">
            <v>PT. Amber Hasya</v>
          </cell>
          <cell r="L83" t="str">
            <v>#REF!</v>
          </cell>
          <cell r="M83" t="str">
            <v>PT. Amber Hasya</v>
          </cell>
        </row>
        <row r="84">
          <cell r="D84" t="str">
            <v>Muara</v>
          </cell>
          <cell r="E84" t="str">
            <v>Wanasalam</v>
          </cell>
          <cell r="F84" t="str">
            <v>Lebak</v>
          </cell>
          <cell r="G84" t="str">
            <v>Banten</v>
          </cell>
          <cell r="H84" t="str">
            <v>Penyangga</v>
          </cell>
          <cell r="J84" t="str">
            <v>Nodin PPK 3 Juni 2026</v>
          </cell>
          <cell r="K84" t="str">
            <v>PT. Amber Hasya</v>
          </cell>
          <cell r="L84" t="str">
            <v>#REF!</v>
          </cell>
          <cell r="M84" t="str">
            <v>PT. Nayaka Mitrarenov Indotama</v>
          </cell>
        </row>
        <row r="85">
          <cell r="D85" t="str">
            <v>Panimbangjaya</v>
          </cell>
          <cell r="E85" t="str">
            <v>Panimbang</v>
          </cell>
          <cell r="F85" t="str">
            <v>Pandeglang</v>
          </cell>
          <cell r="G85" t="str">
            <v>Banten</v>
          </cell>
          <cell r="H85" t="str">
            <v>Penyangga (+cs)</v>
          </cell>
          <cell r="J85" t="str">
            <v>Nodin PPK 3 Juni 2026</v>
          </cell>
          <cell r="K85" t="str">
            <v>PT. Amber Hasya</v>
          </cell>
          <cell r="L85" t="str">
            <v>#REF!</v>
          </cell>
          <cell r="M85" t="str">
            <v>PT. Amber Hasya</v>
          </cell>
        </row>
        <row r="86">
          <cell r="D86" t="str">
            <v>Sumberjaya</v>
          </cell>
          <cell r="E86" t="str">
            <v>Sumur</v>
          </cell>
          <cell r="F86" t="str">
            <v>Pandeglang</v>
          </cell>
          <cell r="G86" t="str">
            <v>Banten</v>
          </cell>
          <cell r="H86" t="str">
            <v>Penyangga</v>
          </cell>
          <cell r="J86" t="str">
            <v>Nodin PPK 3 Juni 2026</v>
          </cell>
          <cell r="K86" t="str">
            <v>PT. Amber Hasya</v>
          </cell>
          <cell r="L86" t="str">
            <v>#REF!</v>
          </cell>
          <cell r="M86" t="str">
            <v>PT. Amber Hasya</v>
          </cell>
        </row>
        <row r="87">
          <cell r="D87" t="str">
            <v>Ciparagejaya</v>
          </cell>
          <cell r="E87" t="str">
            <v>Tempuran</v>
          </cell>
          <cell r="F87" t="str">
            <v>Karawang</v>
          </cell>
          <cell r="G87" t="str">
            <v>Jawa Barat</v>
          </cell>
          <cell r="H87" t="str">
            <v>Hub</v>
          </cell>
          <cell r="I87" t="str">
            <v>PT Medal Cipta Buana</v>
          </cell>
          <cell r="J87" t="str">
            <v>Nodin PPK 26 Mei 2026</v>
          </cell>
          <cell r="K87" t="str">
            <v>PT. Medal Cipta Buana</v>
          </cell>
          <cell r="L87" t="str">
            <v>#REF!</v>
          </cell>
          <cell r="M87" t="str">
            <v>PT Medal Cipta Buana</v>
          </cell>
        </row>
        <row r="88">
          <cell r="D88" t="str">
            <v>Sukakerta</v>
          </cell>
          <cell r="E88" t="str">
            <v>Cilamaya Wetan</v>
          </cell>
          <cell r="F88" t="str">
            <v>Karawang</v>
          </cell>
          <cell r="G88" t="str">
            <v>Jawa Barat</v>
          </cell>
          <cell r="H88" t="str">
            <v>Penyangga</v>
          </cell>
          <cell r="I88" t="str">
            <v>PT Medal Cipta Buana</v>
          </cell>
          <cell r="J88" t="str">
            <v>Nodin PPK 26 Mei 2026</v>
          </cell>
          <cell r="K88" t="str">
            <v>PT Medal Cipta Buana</v>
          </cell>
          <cell r="L88" t="str">
            <v>#REF!</v>
          </cell>
          <cell r="M88" t="str">
            <v>PT Medal Cipta Buana</v>
          </cell>
        </row>
        <row r="89">
          <cell r="D89" t="str">
            <v>Sungaibuntu</v>
          </cell>
          <cell r="E89" t="str">
            <v>Pedes</v>
          </cell>
          <cell r="F89" t="str">
            <v>Karawang</v>
          </cell>
          <cell r="G89" t="str">
            <v>Jawa Barat</v>
          </cell>
          <cell r="H89" t="str">
            <v>Penyangga</v>
          </cell>
          <cell r="I89" t="str">
            <v>PT Medal Cipta Buana</v>
          </cell>
          <cell r="J89" t="str">
            <v>Nodin PPK 26 Mei 2026</v>
          </cell>
          <cell r="K89" t="str">
            <v>PT Medal Cipta Buana</v>
          </cell>
          <cell r="L89" t="str">
            <v>#REF!</v>
          </cell>
          <cell r="M89" t="str">
            <v>PT Medal Cipta Buana</v>
          </cell>
        </row>
        <row r="90">
          <cell r="D90" t="str">
            <v>Citemu</v>
          </cell>
          <cell r="E90" t="str">
            <v>Mundu</v>
          </cell>
          <cell r="F90" t="str">
            <v>Cirebon</v>
          </cell>
          <cell r="G90" t="str">
            <v>Jawa Barat</v>
          </cell>
          <cell r="H90" t="str">
            <v>Hub</v>
          </cell>
          <cell r="I90" t="str">
            <v>PT Anugerah Bangun Kencana</v>
          </cell>
          <cell r="J90" t="str">
            <v>Nodin PPK 26 Mei 2026</v>
          </cell>
          <cell r="K90" t="str">
            <v>PT Anugerah Bangun Kencana</v>
          </cell>
          <cell r="L90" t="str">
            <v>#REF!</v>
          </cell>
          <cell r="M90" t="str">
            <v>PT. Citra Mutiara Bangun Persada</v>
          </cell>
        </row>
        <row r="91">
          <cell r="D91" t="str">
            <v>Kesenden</v>
          </cell>
          <cell r="E91" t="str">
            <v>Kejaksan</v>
          </cell>
          <cell r="F91" t="str">
            <v>Kota Cirebon</v>
          </cell>
          <cell r="G91" t="str">
            <v>Jawa Barat</v>
          </cell>
          <cell r="H91" t="str">
            <v>Penyangga</v>
          </cell>
          <cell r="I91" t="str">
            <v>PT Anugerah Bangun Kencana</v>
          </cell>
          <cell r="J91" t="str">
            <v>Nodin PPK 26 Mei 2026</v>
          </cell>
          <cell r="K91" t="str">
            <v>PT Anugerah Bangun Kencana</v>
          </cell>
          <cell r="L91" t="str">
            <v>#REF!</v>
          </cell>
          <cell r="M91" t="str">
            <v>PT. Citra Mutiara Bangun Persada</v>
          </cell>
        </row>
        <row r="92">
          <cell r="D92" t="str">
            <v>Mundu Pesisir</v>
          </cell>
          <cell r="E92" t="str">
            <v>Mundu</v>
          </cell>
          <cell r="F92" t="str">
            <v>Cirebon</v>
          </cell>
          <cell r="G92" t="str">
            <v>Jawa Barat</v>
          </cell>
          <cell r="H92" t="str">
            <v>Penyangga</v>
          </cell>
          <cell r="I92" t="str">
            <v>PT Anugerah Bangun Kencana</v>
          </cell>
          <cell r="J92" t="str">
            <v>Nodin PPK 26 Mei 2026</v>
          </cell>
          <cell r="K92" t="str">
            <v>PT Anugerah Bangun Kencana</v>
          </cell>
          <cell r="L92" t="str">
            <v>#REF!</v>
          </cell>
          <cell r="M92" t="str">
            <v>PT. Citra Mutiara Bangun Persada</v>
          </cell>
        </row>
        <row r="93">
          <cell r="D93" t="str">
            <v>Branta Tinggi</v>
          </cell>
          <cell r="E93" t="str">
            <v>Tlanakan</v>
          </cell>
          <cell r="F93" t="str">
            <v>Pamekasan</v>
          </cell>
          <cell r="G93" t="str">
            <v>Jawa Timur</v>
          </cell>
          <cell r="H93" t="str">
            <v>Penyangga</v>
          </cell>
          <cell r="I93" t="str">
            <v>CV. Rizky Ilahi</v>
          </cell>
          <cell r="J93" t="str">
            <v>Nodin PPK 3 Juni 2026</v>
          </cell>
          <cell r="K93" t="str">
            <v>CV. Rizky Ilahi</v>
          </cell>
          <cell r="L93" t="str">
            <v>#REF!</v>
          </cell>
          <cell r="M93" t="str">
            <v>CV. Rizky Ilahi</v>
          </cell>
        </row>
        <row r="94">
          <cell r="D94" t="str">
            <v>Dharma Camplong</v>
          </cell>
          <cell r="E94" t="str">
            <v>Camplong</v>
          </cell>
          <cell r="F94" t="str">
            <v>Sampang</v>
          </cell>
          <cell r="G94" t="str">
            <v>Jawa Timur</v>
          </cell>
          <cell r="H94" t="str">
            <v>Penyangga</v>
          </cell>
          <cell r="J94" t="str">
            <v>Nodin PPK 3 Juni 2026</v>
          </cell>
          <cell r="K94" t="str">
            <v>PT. Ridho Karya</v>
          </cell>
          <cell r="L94" t="str">
            <v>#REF!</v>
          </cell>
          <cell r="M94" t="str">
            <v>PT. Ridho Karya</v>
          </cell>
        </row>
        <row r="95">
          <cell r="D95" t="str">
            <v>Lesong Daja</v>
          </cell>
          <cell r="E95" t="str">
            <v>Batumarmar</v>
          </cell>
          <cell r="F95" t="str">
            <v>Pamekasan</v>
          </cell>
          <cell r="G95" t="str">
            <v>Jawa Timur</v>
          </cell>
          <cell r="H95" t="str">
            <v>Penyangga</v>
          </cell>
          <cell r="K95" t="str">
            <v>PT. Trisna Karya (kualifikasi menengah)</v>
          </cell>
          <cell r="L95" t="str">
            <v>#REF!</v>
          </cell>
          <cell r="M95" t="str">
            <v>CV. Lancar Jaya Karya Abadi</v>
          </cell>
        </row>
        <row r="96">
          <cell r="D96" t="str">
            <v>Padelegan</v>
          </cell>
          <cell r="E96" t="str">
            <v>Pademawu</v>
          </cell>
          <cell r="F96" t="str">
            <v>Pamekasan</v>
          </cell>
          <cell r="G96" t="str">
            <v>Jawa Timur</v>
          </cell>
          <cell r="H96" t="str">
            <v>Penyangga</v>
          </cell>
          <cell r="J96" t="str">
            <v>Nodin PPK 3 Juni 2026</v>
          </cell>
          <cell r="K96" t="str">
            <v>PT. Ombulindo Multi Karya</v>
          </cell>
          <cell r="L96" t="str">
            <v>#REF!</v>
          </cell>
          <cell r="M96" t="str">
            <v>PT. Ombulindo Multi Karya</v>
          </cell>
        </row>
        <row r="97">
          <cell r="D97" t="str">
            <v>Pasongsongan</v>
          </cell>
          <cell r="E97" t="str">
            <v>Pasongsongan</v>
          </cell>
          <cell r="F97" t="str">
            <v>Sumenep</v>
          </cell>
          <cell r="G97" t="str">
            <v>Jawa Timur</v>
          </cell>
          <cell r="H97" t="str">
            <v>Penyangga</v>
          </cell>
          <cell r="J97" t="str">
            <v>Nodin PPK 3 Juni 2026</v>
          </cell>
          <cell r="K97" t="str">
            <v>PT Najwa Karya Nusantara (Penyedia minta ganti ke anak perusahaan)</v>
          </cell>
          <cell r="L97" t="str">
            <v>#REF!</v>
          </cell>
          <cell r="M97" t="str">
            <v>CV. Lancar Jaya Karya Abadi</v>
          </cell>
        </row>
        <row r="98">
          <cell r="D98" t="str">
            <v>Slopeng</v>
          </cell>
          <cell r="E98" t="str">
            <v>Dasuk</v>
          </cell>
          <cell r="F98" t="str">
            <v>Sumenep</v>
          </cell>
          <cell r="G98" t="str">
            <v>Jawa Timur</v>
          </cell>
          <cell r="H98" t="str">
            <v>Penyangga</v>
          </cell>
          <cell r="K98" t="str">
            <v>PT. Vida Teknik Pratama (kualifikasi menengah)</v>
          </cell>
          <cell r="L98" t="str">
            <v>#REF!</v>
          </cell>
          <cell r="M98" t="str">
            <v>CV. Lancar Jaya Karya Abadi</v>
          </cell>
        </row>
        <row r="99">
          <cell r="D99" t="str">
            <v>Bahari Dua</v>
          </cell>
          <cell r="E99" t="str">
            <v>Sampolawa</v>
          </cell>
          <cell r="F99" t="str">
            <v>Buton Selatan</v>
          </cell>
          <cell r="G99" t="str">
            <v>Sulawesi Tenggara</v>
          </cell>
          <cell r="H99" t="str">
            <v>Penyangga</v>
          </cell>
          <cell r="I99" t="str">
            <v>Boriandy Putra</v>
          </cell>
          <cell r="J99" t="str">
            <v>Nodin PPK 29 Mei 2029</v>
          </cell>
          <cell r="K99" t="str">
            <v>PT. Boriandy Putra (usulan dibatalkan)</v>
          </cell>
          <cell r="L99" t="str">
            <v>PT. Nenci Citra Pratama ganti PT WIrabaya Nusantara Cab Kolaka</v>
          </cell>
        </row>
        <row r="100">
          <cell r="D100" t="str">
            <v>Gaya Baru</v>
          </cell>
          <cell r="E100" t="str">
            <v>Lapandewa</v>
          </cell>
          <cell r="F100" t="str">
            <v>Buton Selatan</v>
          </cell>
          <cell r="G100" t="str">
            <v>Sulawesi Tenggara</v>
          </cell>
          <cell r="H100" t="str">
            <v>Penyangga</v>
          </cell>
          <cell r="I100" t="str">
            <v>Boriandy Putra</v>
          </cell>
          <cell r="J100" t="str">
            <v>Nodin PPK 29 Mei 2029</v>
          </cell>
          <cell r="K100" t="str">
            <v>PT. Boriandy Putra (usulan dibatalkan)</v>
          </cell>
          <cell r="L100" t="str">
            <v>PT. Nenci Citra Pratama Cab Buton Tengah</v>
          </cell>
          <cell r="M100" t="str">
            <v>CV. Syafiqah Sabil Abadi</v>
          </cell>
        </row>
        <row r="101">
          <cell r="D101" t="str">
            <v>Lamaninggara</v>
          </cell>
          <cell r="E101" t="str">
            <v>Siompu Barat</v>
          </cell>
          <cell r="F101" t="str">
            <v>Buton Selatan</v>
          </cell>
          <cell r="G101" t="str">
            <v>Sulawesi Tenggara</v>
          </cell>
          <cell r="H101" t="str">
            <v>Penyangga</v>
          </cell>
          <cell r="I101" t="str">
            <v>Boriandy Putra</v>
          </cell>
          <cell r="J101" t="str">
            <v>Nodin PPK 29 Mei 2029</v>
          </cell>
          <cell r="K101" t="str">
            <v>PT. Boriandy Putra (usulan dibatalkan)</v>
          </cell>
          <cell r="L101" t="str">
            <v>PT. Nenci Citra Pratama ganti PT WIrabaya Nusantara Cab Kolaka</v>
          </cell>
          <cell r="M101" t="str">
            <v>First Grand Synergy Indonesia</v>
          </cell>
        </row>
        <row r="102">
          <cell r="D102" t="str">
            <v>Bhontu-Bhontu</v>
          </cell>
          <cell r="E102" t="str">
            <v>Towea</v>
          </cell>
          <cell r="F102" t="str">
            <v>Muna</v>
          </cell>
          <cell r="G102" t="str">
            <v>Sulawesi Tenggara</v>
          </cell>
          <cell r="H102" t="str">
            <v>Penyangga</v>
          </cell>
          <cell r="L102" t="str">
            <v>#REF!</v>
          </cell>
          <cell r="M102" t="str">
            <v>CV. NISCALA INDO RAYA</v>
          </cell>
        </row>
        <row r="103">
          <cell r="D103" t="str">
            <v>Labone</v>
          </cell>
          <cell r="E103" t="str">
            <v>Lasalepa</v>
          </cell>
          <cell r="F103" t="str">
            <v>Muna</v>
          </cell>
          <cell r="G103" t="str">
            <v>Sulawesi Tenggara</v>
          </cell>
          <cell r="H103" t="str">
            <v>Penyangga</v>
          </cell>
          <cell r="K103" t="str">
            <v>CV. Rajawali Wuna Perkasa</v>
          </cell>
          <cell r="L103" t="str">
            <v>#REF!</v>
          </cell>
          <cell r="M103" t="str">
            <v>CV. NISCALA INDO RAYA</v>
          </cell>
        </row>
        <row r="104">
          <cell r="D104" t="str">
            <v>Napabalano</v>
          </cell>
          <cell r="E104" t="str">
            <v>Napabalano</v>
          </cell>
          <cell r="F104" t="str">
            <v>Muna</v>
          </cell>
          <cell r="G104" t="str">
            <v>Sulawesi Tenggara</v>
          </cell>
          <cell r="H104" t="str">
            <v>Penyangga</v>
          </cell>
          <cell r="K104" t="str">
            <v>CV. Rajawali Wuna Perkasa</v>
          </cell>
          <cell r="L104" t="str">
            <v>#REF!</v>
          </cell>
          <cell r="M104" t="str">
            <v>CV. Astaka Karya</v>
          </cell>
        </row>
        <row r="105">
          <cell r="D105" t="str">
            <v>Wangkolabu</v>
          </cell>
          <cell r="E105" t="str">
            <v>Towea</v>
          </cell>
          <cell r="F105" t="str">
            <v>Muna</v>
          </cell>
          <cell r="G105" t="str">
            <v>Sulawesi Tenggara</v>
          </cell>
          <cell r="H105" t="str">
            <v>Penyangga</v>
          </cell>
          <cell r="K105" t="str">
            <v>CV. Rajawali Wuna Perkasa</v>
          </cell>
          <cell r="L105" t="str">
            <v>#REF!</v>
          </cell>
          <cell r="M105" t="str">
            <v>CV. NISCALA INDO RAYA</v>
          </cell>
        </row>
        <row r="106">
          <cell r="D106" t="str">
            <v>Sawarna</v>
          </cell>
          <cell r="E106" t="str">
            <v>Bayah</v>
          </cell>
          <cell r="F106" t="str">
            <v>Lebak</v>
          </cell>
          <cell r="G106" t="str">
            <v>Banten</v>
          </cell>
          <cell r="H106" t="str">
            <v>Penyangga</v>
          </cell>
          <cell r="J106" t="str">
            <v>Nodin PPK 3 Juni 2026</v>
          </cell>
          <cell r="K106" t="str">
            <v>PT. Amber Hasya</v>
          </cell>
          <cell r="L106" t="str">
            <v>#REF!</v>
          </cell>
          <cell r="M106" t="str">
            <v>PT. Amber Hasya</v>
          </cell>
        </row>
        <row r="107">
          <cell r="D107" t="str">
            <v>Argopeni</v>
          </cell>
          <cell r="E107" t="str">
            <v>Ayah</v>
          </cell>
          <cell r="F107" t="str">
            <v>Kebumen</v>
          </cell>
          <cell r="G107" t="str">
            <v>Jawa Tengah</v>
          </cell>
          <cell r="H107" t="str">
            <v>Penyangga</v>
          </cell>
          <cell r="K107" t="str">
            <v>PT. Akurasa Reksa Mulia</v>
          </cell>
          <cell r="L107" t="str">
            <v>#REF!</v>
          </cell>
          <cell r="M107" t="str">
            <v>PT. Akusara Reksa Mulia</v>
          </cell>
        </row>
        <row r="108">
          <cell r="D108" t="str">
            <v>Jetis</v>
          </cell>
          <cell r="E108" t="str">
            <v>Nusawungu</v>
          </cell>
          <cell r="F108" t="str">
            <v>Cilacap</v>
          </cell>
          <cell r="G108" t="str">
            <v>Jawa Tengah</v>
          </cell>
          <cell r="H108" t="str">
            <v>Hub</v>
          </cell>
          <cell r="K108" t="str">
            <v>PT. Masco Energi (kualifikasi menengah, paket untuk klualifikasi kecil)</v>
          </cell>
          <cell r="L108" t="str">
            <v>#REF!</v>
          </cell>
          <cell r="M108" t="str">
            <v>PT. AMI Kamena Jaya</v>
          </cell>
        </row>
        <row r="109">
          <cell r="D109" t="str">
            <v>Pasir</v>
          </cell>
          <cell r="E109" t="str">
            <v>Ayah</v>
          </cell>
          <cell r="F109" t="str">
            <v>Kebumen</v>
          </cell>
          <cell r="G109" t="str">
            <v>Jawa Tengah</v>
          </cell>
          <cell r="H109" t="str">
            <v>Penyangga</v>
          </cell>
          <cell r="K109" t="str">
            <v>PT. Suryaraya Anugerah Samudra</v>
          </cell>
          <cell r="L109" t="str">
            <v>#REF!</v>
          </cell>
          <cell r="M109" t="str">
            <v>CV. Alkomber Karya</v>
          </cell>
        </row>
        <row r="110">
          <cell r="D110" t="str">
            <v>Tanggulangin</v>
          </cell>
          <cell r="E110" t="str">
            <v>Klirong</v>
          </cell>
          <cell r="F110" t="str">
            <v>Kebumen</v>
          </cell>
          <cell r="G110" t="str">
            <v>Jawa Tengah</v>
          </cell>
          <cell r="H110" t="str">
            <v>Penyangga</v>
          </cell>
          <cell r="K110" t="str">
            <v>CV Javanesia</v>
          </cell>
          <cell r="L110" t="str">
            <v>#REF!</v>
          </cell>
          <cell r="M110" t="str">
            <v>CV. Javanesia</v>
          </cell>
        </row>
        <row r="111">
          <cell r="D111" t="str">
            <v>Podi</v>
          </cell>
          <cell r="E111" t="str">
            <v>Tojo</v>
          </cell>
          <cell r="F111" t="str">
            <v>Tojo Una Una</v>
          </cell>
          <cell r="G111" t="str">
            <v>Sulawesi Tengah</v>
          </cell>
          <cell r="H111" t="str">
            <v>Penyangga</v>
          </cell>
          <cell r="K111" t="str">
            <v>PT. Salsabila</v>
          </cell>
          <cell r="L111" t="str">
            <v>#REF!</v>
          </cell>
          <cell r="M111" t="str">
            <v>CV. Penggawa Raya</v>
          </cell>
        </row>
        <row r="112">
          <cell r="D112" t="str">
            <v>Kupa</v>
          </cell>
          <cell r="E112" t="str">
            <v>Mallusetasi</v>
          </cell>
          <cell r="F112" t="str">
            <v>Barru</v>
          </cell>
          <cell r="G112" t="str">
            <v>Sulawesi Selatan</v>
          </cell>
          <cell r="H112" t="str">
            <v>Penyangga</v>
          </cell>
          <cell r="K112" t="str">
            <v>PT. Bumi Indo Graha</v>
          </cell>
          <cell r="L112" t="str">
            <v>#REF!</v>
          </cell>
          <cell r="M112" t="str">
            <v>CV. LIAN</v>
          </cell>
        </row>
        <row r="113">
          <cell r="D113" t="str">
            <v>Lero</v>
          </cell>
          <cell r="E113" t="str">
            <v>Suppa</v>
          </cell>
          <cell r="F113" t="str">
            <v>Pinrang</v>
          </cell>
          <cell r="G113" t="str">
            <v>Sulawesi Selatan</v>
          </cell>
          <cell r="H113" t="str">
            <v>Hub</v>
          </cell>
          <cell r="K113" t="str">
            <v>CV Rahmat Muda</v>
          </cell>
          <cell r="L113" t="str">
            <v>#REF!</v>
          </cell>
          <cell r="M113" t="str">
            <v>CV. Triga Cipta Abadi</v>
          </cell>
        </row>
        <row r="114">
          <cell r="D114" t="str">
            <v>Lumpue</v>
          </cell>
          <cell r="E114" t="str">
            <v>Bacukiki Barat</v>
          </cell>
          <cell r="F114" t="str">
            <v>Kota Parepare</v>
          </cell>
          <cell r="G114" t="str">
            <v>Sulawesi Selatan</v>
          </cell>
          <cell r="H114" t="str">
            <v>Penyangga</v>
          </cell>
          <cell r="K114" t="str">
            <v>PT. Bumi Indo Graha</v>
          </cell>
          <cell r="L114" t="str">
            <v>#REF!</v>
          </cell>
          <cell r="M114" t="str">
            <v>PT Viqry Sanjaya Putra</v>
          </cell>
        </row>
        <row r="115">
          <cell r="D115" t="str">
            <v>Takkalasi</v>
          </cell>
          <cell r="E115" t="str">
            <v>Balusu</v>
          </cell>
          <cell r="F115" t="str">
            <v>Barru</v>
          </cell>
          <cell r="G115" t="str">
            <v>Sulawesi Selatan</v>
          </cell>
          <cell r="H115" t="str">
            <v>Penyangga</v>
          </cell>
          <cell r="K115" t="str">
            <v>PT. Bumi Indo Graha</v>
          </cell>
          <cell r="L115" t="str">
            <v>#REF!</v>
          </cell>
          <cell r="M115" t="str">
            <v>CV. LIAN</v>
          </cell>
        </row>
        <row r="116">
          <cell r="D116" t="str">
            <v>Watang Soreang</v>
          </cell>
          <cell r="E116" t="str">
            <v>Soreang</v>
          </cell>
          <cell r="F116" t="str">
            <v>Kota Parepare</v>
          </cell>
          <cell r="G116" t="str">
            <v>Sulawesi Selatan</v>
          </cell>
          <cell r="H116" t="str">
            <v>Penyangga</v>
          </cell>
          <cell r="K116" t="str">
            <v>PT. Bumi Indo Graha</v>
          </cell>
          <cell r="L116" t="str">
            <v>#REF!</v>
          </cell>
          <cell r="M116" t="str">
            <v>PT Viqry Sanjaya Putra</v>
          </cell>
        </row>
        <row r="117">
          <cell r="D117" t="str">
            <v>Lontar</v>
          </cell>
          <cell r="E117" t="str">
            <v>Kemiri</v>
          </cell>
          <cell r="F117" t="str">
            <v>Tangerang</v>
          </cell>
          <cell r="G117" t="str">
            <v>Banten</v>
          </cell>
          <cell r="H117" t="str">
            <v>Penyangga</v>
          </cell>
          <cell r="K117" t="str">
            <v>PT. Yarisa Cabang Group (tidak punya SBU)</v>
          </cell>
          <cell r="L117" t="str">
            <v>#REF!</v>
          </cell>
          <cell r="M117" t="str">
            <v>CV. Masa Barokah</v>
          </cell>
        </row>
        <row r="118">
          <cell r="D118" t="str">
            <v>Lontar</v>
          </cell>
          <cell r="E118" t="str">
            <v>Tirtayasa</v>
          </cell>
          <cell r="F118" t="str">
            <v>Serang</v>
          </cell>
          <cell r="G118" t="str">
            <v>Banten</v>
          </cell>
          <cell r="H118" t="str">
            <v>Hub</v>
          </cell>
          <cell r="K118" t="str">
            <v>PT. Yarisa Cabang Group (tidak punya SBU)</v>
          </cell>
          <cell r="L118" t="str">
            <v>#REF!</v>
          </cell>
          <cell r="M118" t="str">
            <v>CV. Masa Barokah</v>
          </cell>
        </row>
        <row r="119">
          <cell r="D119" t="str">
            <v>Tanjung Anom</v>
          </cell>
          <cell r="E119" t="str">
            <v>Mauk</v>
          </cell>
          <cell r="F119" t="str">
            <v>Tangerang</v>
          </cell>
          <cell r="G119" t="str">
            <v>Banten</v>
          </cell>
          <cell r="H119" t="str">
            <v>Penyangga</v>
          </cell>
          <cell r="K119" t="str">
            <v>PT. Yarisa Cabang Group (tidak punya SBU)</v>
          </cell>
          <cell r="L119" t="str">
            <v>#REF!</v>
          </cell>
          <cell r="M119" t="str">
            <v>CV. Inti Perkasa</v>
          </cell>
        </row>
        <row r="120">
          <cell r="D120" t="str">
            <v>Tengkurak</v>
          </cell>
          <cell r="E120" t="str">
            <v>Tirtayasa</v>
          </cell>
          <cell r="F120" t="str">
            <v>Serang</v>
          </cell>
          <cell r="G120" t="str">
            <v>Banten</v>
          </cell>
          <cell r="H120" t="str">
            <v>Penyangga</v>
          </cell>
          <cell r="K120" t="str">
            <v>PT. Sambo Hasbo (kualifikais menengah)</v>
          </cell>
          <cell r="L120" t="str">
            <v>#REF!</v>
          </cell>
          <cell r="M120" t="str">
            <v>CV. Masa Barokah</v>
          </cell>
        </row>
        <row r="121">
          <cell r="D121" t="str">
            <v>Lanosangia</v>
          </cell>
          <cell r="E121" t="str">
            <v>Kulisusu Utara</v>
          </cell>
          <cell r="F121" t="str">
            <v>Buton Utara</v>
          </cell>
          <cell r="G121" t="str">
            <v>Sulawesi Tenggara</v>
          </cell>
          <cell r="H121" t="str">
            <v>Hub</v>
          </cell>
          <cell r="K121" t="str">
            <v>PT. Boriandy Putra (usulan dibatalkan)</v>
          </cell>
          <cell r="L121" t="str">
            <v>PT. Nenci Citra Pratama Cab Buton Tengah</v>
          </cell>
          <cell r="M121" t="str">
            <v>PT. VTB Jaya Makmur</v>
          </cell>
        </row>
        <row r="122">
          <cell r="D122" t="str">
            <v>Lasalimu</v>
          </cell>
          <cell r="E122" t="str">
            <v>Lasalimu Selatan</v>
          </cell>
          <cell r="F122" t="str">
            <v>Buton</v>
          </cell>
          <cell r="G122" t="str">
            <v>Sulawesi Tenggara</v>
          </cell>
          <cell r="H122" t="str">
            <v>Penyangga</v>
          </cell>
          <cell r="L122" t="str">
            <v>PT. Nenci Citra Pratama ganti PT WIrabaya Nusantara Cab Kolaka</v>
          </cell>
          <cell r="M122" t="str">
            <v>First Grand Synergy Indonesia</v>
          </cell>
        </row>
        <row r="123">
          <cell r="D123" t="str">
            <v>Manuru</v>
          </cell>
          <cell r="E123" t="str">
            <v>Siotapina</v>
          </cell>
          <cell r="F123" t="str">
            <v>Buton</v>
          </cell>
          <cell r="G123" t="str">
            <v>Sulawesi Tenggara</v>
          </cell>
          <cell r="H123" t="str">
            <v>Hub</v>
          </cell>
          <cell r="I123" t="str">
            <v>Boriandy Putra</v>
          </cell>
          <cell r="J123" t="str">
            <v>Nodin PPK 29 Mei 2029</v>
          </cell>
          <cell r="K123" t="str">
            <v>PT. Boriandy Putra (usulan dibatalkan)</v>
          </cell>
          <cell r="L123" t="str">
            <v>PT. Nenci Citra Pratama ganti PT WIrabaya Nusantara Cab Kolaka</v>
          </cell>
          <cell r="M123" t="str">
            <v>First Grand Synergy Indonesia</v>
          </cell>
        </row>
        <row r="124">
          <cell r="D124" t="str">
            <v>Balo-Balo</v>
          </cell>
          <cell r="E124" t="str">
            <v>Wotu</v>
          </cell>
          <cell r="F124" t="str">
            <v>Luwu Timur</v>
          </cell>
          <cell r="G124" t="str">
            <v>Sulawesi Selatan</v>
          </cell>
          <cell r="H124" t="str">
            <v>Penyangga</v>
          </cell>
          <cell r="K124" t="str">
            <v>PT. Relis Sapindo Utama</v>
          </cell>
          <cell r="L124" t="str">
            <v>#REF!</v>
          </cell>
          <cell r="M124" t="str">
            <v>PT. Relis Sapindo Utama</v>
          </cell>
        </row>
        <row r="125">
          <cell r="D125" t="str">
            <v>Bawalipu</v>
          </cell>
          <cell r="E125" t="str">
            <v>Wotu</v>
          </cell>
          <cell r="F125" t="str">
            <v>Luwu Timur</v>
          </cell>
          <cell r="G125" t="str">
            <v>Sulawesi Selatan</v>
          </cell>
          <cell r="H125" t="str">
            <v>Penyangga</v>
          </cell>
          <cell r="K125" t="str">
            <v>PT. Relis Sapindo Utama</v>
          </cell>
          <cell r="L125" t="str">
            <v>#REF!</v>
          </cell>
          <cell r="M125" t="str">
            <v>PT. Relis Sapindo Utama</v>
          </cell>
        </row>
        <row r="126">
          <cell r="D126" t="str">
            <v>Burau Pantai</v>
          </cell>
          <cell r="E126" t="str">
            <v>Burau</v>
          </cell>
          <cell r="F126" t="str">
            <v>Luwu Timur</v>
          </cell>
          <cell r="G126" t="str">
            <v>Sulawesi Selatan</v>
          </cell>
          <cell r="H126" t="str">
            <v>Penyangga</v>
          </cell>
          <cell r="I126" t="str">
            <v>PT Relis Sapindo Utama</v>
          </cell>
          <cell r="J126" t="str">
            <v>Nodin PPK 26 Mei 2026</v>
          </cell>
          <cell r="K126" t="str">
            <v>PT. Relis Sapindo Utama</v>
          </cell>
          <cell r="L126" t="str">
            <v>#REF!</v>
          </cell>
          <cell r="M126" t="str">
            <v>PT. Relis Sapindo Utama</v>
          </cell>
        </row>
        <row r="127">
          <cell r="D127" t="str">
            <v>Lampenai</v>
          </cell>
          <cell r="E127" t="str">
            <v>Wotu</v>
          </cell>
          <cell r="F127" t="str">
            <v>Luwu Timur</v>
          </cell>
          <cell r="G127" t="str">
            <v>Sulawesi Selatan</v>
          </cell>
          <cell r="H127" t="str">
            <v>Penyangga</v>
          </cell>
          <cell r="I127" t="str">
            <v>PT Relis Sapindo Utama</v>
          </cell>
          <cell r="J127" t="str">
            <v>Nodin PPK 26 Mei 2026</v>
          </cell>
          <cell r="K127" t="str">
            <v>PT. Relis Sapindo Utama</v>
          </cell>
          <cell r="L127" t="str">
            <v>#REF!</v>
          </cell>
          <cell r="M127" t="str">
            <v>PT. Relis Sapindo Utama</v>
          </cell>
        </row>
        <row r="128">
          <cell r="D128" t="str">
            <v>Mabonta</v>
          </cell>
          <cell r="E128" t="str">
            <v>Burau</v>
          </cell>
          <cell r="F128" t="str">
            <v>Luwu Timur</v>
          </cell>
          <cell r="G128" t="str">
            <v>Sulawesi Selatan</v>
          </cell>
          <cell r="H128" t="str">
            <v>Penyangga</v>
          </cell>
          <cell r="I128" t="str">
            <v>PT Relis Sapindo Utama</v>
          </cell>
          <cell r="J128" t="str">
            <v>Nodin PPK 26 Mei 2026</v>
          </cell>
          <cell r="K128" t="str">
            <v>PT. Relis Sapindo Utama</v>
          </cell>
          <cell r="L128" t="str">
            <v>#REF!</v>
          </cell>
          <cell r="M128" t="str">
            <v>PT. Relis Sapindo Utama</v>
          </cell>
        </row>
        <row r="129">
          <cell r="D129" t="str">
            <v>Munte</v>
          </cell>
          <cell r="E129" t="str">
            <v>Tana Lili</v>
          </cell>
          <cell r="F129" t="str">
            <v>Luwu Utara</v>
          </cell>
          <cell r="G129" t="str">
            <v>Sulawesi Selatan</v>
          </cell>
          <cell r="H129" t="str">
            <v>Hub</v>
          </cell>
          <cell r="I129" t="str">
            <v>PT Relis Sapindo Utama</v>
          </cell>
          <cell r="J129" t="str">
            <v>Nodin PPK 26 Mei 2026</v>
          </cell>
          <cell r="K129" t="str">
            <v>PT. Relis Sapindo Utama</v>
          </cell>
          <cell r="L129" t="str">
            <v>#REF!</v>
          </cell>
          <cell r="M129" t="str">
            <v>PT. Relis Sapindo Utama</v>
          </cell>
        </row>
        <row r="130">
          <cell r="D130" t="str">
            <v>Tamuku</v>
          </cell>
          <cell r="E130" t="str">
            <v>Bone Bone</v>
          </cell>
          <cell r="F130" t="str">
            <v>Luwu Utara</v>
          </cell>
          <cell r="G130" t="str">
            <v>Sulawesi Selatan</v>
          </cell>
          <cell r="H130" t="str">
            <v>Penyangga</v>
          </cell>
          <cell r="I130" t="str">
            <v>PT Relis Sapindo Utama</v>
          </cell>
          <cell r="J130" t="str">
            <v>Nodin PPK 26 Mei 2026</v>
          </cell>
          <cell r="K130" t="str">
            <v>PT. Putra Jaya</v>
          </cell>
          <cell r="L130" t="str">
            <v>#REF!</v>
          </cell>
          <cell r="M130" t="str">
            <v>PT. Putra Jaya</v>
          </cell>
        </row>
        <row r="131">
          <cell r="D131" t="str">
            <v>Borimasunggu</v>
          </cell>
          <cell r="E131" t="str">
            <v>Maros Baru</v>
          </cell>
          <cell r="F131" t="str">
            <v>Maros</v>
          </cell>
          <cell r="G131" t="str">
            <v>Sulawesi Selatan</v>
          </cell>
          <cell r="H131" t="str">
            <v>Penyangga</v>
          </cell>
          <cell r="K131" t="str">
            <v>PT Bumi Indo Graha</v>
          </cell>
          <cell r="L131" t="str">
            <v>#REF!</v>
          </cell>
          <cell r="M131" t="str">
            <v>PT. PASELE KARYA PRATAMA</v>
          </cell>
        </row>
        <row r="132">
          <cell r="D132" t="str">
            <v>Pajjukukang</v>
          </cell>
          <cell r="E132" t="str">
            <v>Bontoa</v>
          </cell>
          <cell r="F132" t="str">
            <v>Maros</v>
          </cell>
          <cell r="G132" t="str">
            <v>Sulawesi Selatan</v>
          </cell>
          <cell r="H132" t="str">
            <v>Penyangga</v>
          </cell>
          <cell r="K132" t="str">
            <v>PT Bumi Indo Graha</v>
          </cell>
          <cell r="L132" t="str">
            <v>#REF!</v>
          </cell>
          <cell r="M132" t="str">
            <v>PT. PASELE KARYA PRATAMA</v>
          </cell>
        </row>
        <row r="133">
          <cell r="D133" t="str">
            <v>Dete</v>
          </cell>
          <cell r="E133" t="str">
            <v>Tomia Timur</v>
          </cell>
          <cell r="F133" t="str">
            <v>Wakatobi</v>
          </cell>
          <cell r="G133" t="str">
            <v>Sulawesi Tenggara</v>
          </cell>
          <cell r="H133" t="str">
            <v>Penyangga</v>
          </cell>
          <cell r="L133" t="str">
            <v>#REF!</v>
          </cell>
          <cell r="M133" t="str">
            <v>PT. Intan Jaya Koneksi Cabang Baubau</v>
          </cell>
        </row>
        <row r="134">
          <cell r="D134" t="str">
            <v>Numana</v>
          </cell>
          <cell r="E134" t="str">
            <v>Wangi Wangi Selatan</v>
          </cell>
          <cell r="F134" t="str">
            <v>Wakatobi</v>
          </cell>
          <cell r="G134" t="str">
            <v>Sulawesi Tenggara</v>
          </cell>
          <cell r="H134" t="str">
            <v>Hub</v>
          </cell>
          <cell r="L134" t="str">
            <v>#REF!</v>
          </cell>
          <cell r="M134" t="str">
            <v>PT. Intan Jaya Koneksi Cabang Baubau</v>
          </cell>
        </row>
        <row r="135">
          <cell r="D135" t="str">
            <v>Palahidu Barat</v>
          </cell>
          <cell r="E135" t="str">
            <v>Binongko</v>
          </cell>
          <cell r="F135" t="str">
            <v>Wakatobi</v>
          </cell>
          <cell r="G135" t="str">
            <v>Sulawesi Tenggara</v>
          </cell>
          <cell r="H135" t="str">
            <v>Penyangga</v>
          </cell>
          <cell r="L135" t="str">
            <v>#REF!</v>
          </cell>
          <cell r="M135" t="str">
            <v>PT. Intan Jaya Koneksi Cabang Baubau</v>
          </cell>
        </row>
        <row r="136">
          <cell r="D136" t="str">
            <v>Cemara kulon</v>
          </cell>
          <cell r="E136" t="str">
            <v>Losarang</v>
          </cell>
          <cell r="F136" t="str">
            <v>Indramayu</v>
          </cell>
          <cell r="G136" t="str">
            <v>Jawa Barat</v>
          </cell>
          <cell r="H136" t="str">
            <v>Penyangga</v>
          </cell>
          <cell r="I136" t="str">
            <v>PT Anugerah Bangun Kencana</v>
          </cell>
          <cell r="J136" t="str">
            <v>Nodin PPK 26 Mei 2026</v>
          </cell>
          <cell r="K136" t="str">
            <v>PT Anugerah Bangun Kencana</v>
          </cell>
          <cell r="L136" t="str">
            <v>#REF!</v>
          </cell>
          <cell r="M136" t="str">
            <v>PT. Citra Mutiara Bangun Persada</v>
          </cell>
        </row>
        <row r="137">
          <cell r="D137" t="str">
            <v>Dadap</v>
          </cell>
          <cell r="E137" t="str">
            <v>Juntinyuat</v>
          </cell>
          <cell r="F137" t="str">
            <v>Indramayu</v>
          </cell>
          <cell r="G137" t="str">
            <v>Jawa Barat</v>
          </cell>
          <cell r="H137" t="str">
            <v>Penyangga (+cs)</v>
          </cell>
          <cell r="I137" t="str">
            <v>PT Anugerah Bangun Kencana</v>
          </cell>
          <cell r="J137" t="str">
            <v>Nodin PPK 26 Mei 2026</v>
          </cell>
          <cell r="K137" t="str">
            <v>PT Anugerah Bangun Kencana</v>
          </cell>
          <cell r="L137" t="str">
            <v>#REF!</v>
          </cell>
          <cell r="M137" t="str">
            <v>PT. Citra Mutiara Bangun Persada</v>
          </cell>
        </row>
        <row r="138">
          <cell r="D138" t="str">
            <v>Pabeanudik</v>
          </cell>
          <cell r="E138" t="str">
            <v>Indramayu</v>
          </cell>
          <cell r="F138" t="str">
            <v>Indramayu</v>
          </cell>
          <cell r="G138" t="str">
            <v>Jawa Barat</v>
          </cell>
          <cell r="H138" t="str">
            <v>Hub</v>
          </cell>
          <cell r="I138" t="str">
            <v>PT Anugerah Bangun Kencana</v>
          </cell>
          <cell r="J138" t="str">
            <v>Nodin PPK 26 Mei 2026</v>
          </cell>
          <cell r="K138" t="str">
            <v>PT Anugerah Bangun Kencana</v>
          </cell>
          <cell r="L138" t="str">
            <v>#REF!</v>
          </cell>
          <cell r="M138" t="str">
            <v>PT. Citra Mutiara Bangun Persada</v>
          </cell>
        </row>
        <row r="139">
          <cell r="D139" t="str">
            <v>Pareangirang</v>
          </cell>
          <cell r="E139" t="str">
            <v>Kandanghaur</v>
          </cell>
          <cell r="F139" t="str">
            <v>Indramayu</v>
          </cell>
          <cell r="G139" t="str">
            <v>Jawa Barat</v>
          </cell>
          <cell r="H139" t="str">
            <v>Penyangga</v>
          </cell>
          <cell r="I139" t="str">
            <v>PT Anugerah Bangun Kencana</v>
          </cell>
          <cell r="J139" t="str">
            <v>Nodin PPK 26 Mei 2026</v>
          </cell>
          <cell r="K139" t="str">
            <v>PT Anugerah Bangun Kencana</v>
          </cell>
          <cell r="L139" t="str">
            <v>#REF!</v>
          </cell>
          <cell r="M139" t="str">
            <v>PT. Citra Mutiara Bangun Persada</v>
          </cell>
        </row>
        <row r="140">
          <cell r="D140" t="str">
            <v>Bontorannu</v>
          </cell>
          <cell r="E140" t="str">
            <v>Bangkala</v>
          </cell>
          <cell r="F140" t="str">
            <v>Jeneponto</v>
          </cell>
          <cell r="G140" t="str">
            <v>Sulawesi Selatan</v>
          </cell>
          <cell r="H140" t="str">
            <v>Penyangga</v>
          </cell>
          <cell r="K140" t="str">
            <v>PT. Bumi Palapa Perkasa</v>
          </cell>
          <cell r="L140" t="str">
            <v>#REF!</v>
          </cell>
          <cell r="M140" t="str">
            <v>PT. Piranti Jagad Raya</v>
          </cell>
        </row>
        <row r="141">
          <cell r="D141" t="str">
            <v>Pabiringa</v>
          </cell>
          <cell r="E141" t="str">
            <v>Binamu</v>
          </cell>
          <cell r="F141" t="str">
            <v>Jeneponto</v>
          </cell>
          <cell r="G141" t="str">
            <v>Sulawesi Selatan</v>
          </cell>
          <cell r="H141" t="str">
            <v>Hub</v>
          </cell>
          <cell r="K141" t="str">
            <v>PT. Bumi Palapa Perkasa</v>
          </cell>
          <cell r="L141" t="str">
            <v>#REF!</v>
          </cell>
          <cell r="M141" t="str">
            <v>PT. Piranti Jagad Raya</v>
          </cell>
        </row>
        <row r="142">
          <cell r="D142" t="str">
            <v>Punagaya</v>
          </cell>
          <cell r="E142" t="str">
            <v>Bangkala</v>
          </cell>
          <cell r="F142" t="str">
            <v>Jeneponto</v>
          </cell>
          <cell r="G142" t="str">
            <v>Sulawesi Selatan</v>
          </cell>
          <cell r="H142" t="str">
            <v>Penyangga</v>
          </cell>
          <cell r="K142" t="str">
            <v>PT. Bumi Palapa Perkasa</v>
          </cell>
          <cell r="L142" t="str">
            <v>#REF!</v>
          </cell>
          <cell r="M142" t="str">
            <v>PT. Piranti Jagad Raya</v>
          </cell>
        </row>
        <row r="143">
          <cell r="D143" t="str">
            <v>Cikawungading</v>
          </cell>
          <cell r="E143" t="str">
            <v>Cipatujah</v>
          </cell>
          <cell r="F143" t="str">
            <v>Tasikmalaya</v>
          </cell>
          <cell r="G143" t="str">
            <v>Jawa Barat</v>
          </cell>
          <cell r="H143" t="str">
            <v>Penyangga</v>
          </cell>
          <cell r="I143" t="str">
            <v>PT Leviana Abadi Jaya</v>
          </cell>
          <cell r="J143" t="str">
            <v>Nodin PPK 26 Mei 2026</v>
          </cell>
          <cell r="K143" t="str">
            <v>PT Leviana Abadi Jaya</v>
          </cell>
          <cell r="L143" t="str">
            <v>#REF!</v>
          </cell>
          <cell r="M143" t="str">
            <v>PT. Leviana Abadi Jaya</v>
          </cell>
        </row>
        <row r="144">
          <cell r="D144" t="str">
            <v>Kertamukti</v>
          </cell>
          <cell r="E144" t="str">
            <v>Cimerak</v>
          </cell>
          <cell r="F144" t="str">
            <v>Pangandaran</v>
          </cell>
          <cell r="G144" t="str">
            <v>Jawa Barat</v>
          </cell>
          <cell r="H144" t="str">
            <v>Penyangga</v>
          </cell>
          <cell r="K144" t="str">
            <v>PT. Amber Hasya</v>
          </cell>
          <cell r="L144" t="str">
            <v>#REF!</v>
          </cell>
          <cell r="M144" t="str">
            <v>PT. Amber Hasya</v>
          </cell>
        </row>
        <row r="145">
          <cell r="D145" t="str">
            <v>Legokjawa</v>
          </cell>
          <cell r="E145" t="str">
            <v>Cimerak</v>
          </cell>
          <cell r="F145" t="str">
            <v>Pangandaran</v>
          </cell>
          <cell r="G145" t="str">
            <v>Jawa Barat</v>
          </cell>
          <cell r="H145" t="str">
            <v>Penyangga</v>
          </cell>
          <cell r="I145" t="str">
            <v>PT Leviana Abadi Jaya</v>
          </cell>
          <cell r="J145" t="str">
            <v>Nodin PPK 26 Mei 2026</v>
          </cell>
          <cell r="K145" t="str">
            <v>PT Leviana Abadi Jaya</v>
          </cell>
          <cell r="L145" t="str">
            <v>#REF!</v>
          </cell>
          <cell r="M145" t="str">
            <v>PT. Leviana Abadi Jaya</v>
          </cell>
        </row>
        <row r="146">
          <cell r="D146" t="str">
            <v>Pamotan</v>
          </cell>
          <cell r="E146" t="str">
            <v>Kalipucang</v>
          </cell>
          <cell r="F146" t="str">
            <v>Pangandaran</v>
          </cell>
          <cell r="G146" t="str">
            <v>Jawa Barat</v>
          </cell>
          <cell r="H146" t="str">
            <v>Hub</v>
          </cell>
          <cell r="K146" t="str">
            <v>PT Leviana Abadi Jaya</v>
          </cell>
          <cell r="L146" t="str">
            <v>#REF!</v>
          </cell>
          <cell r="M146" t="str">
            <v>PT. AMI Kamena Jaya</v>
          </cell>
        </row>
        <row r="147">
          <cell r="D147" t="str">
            <v>Karangmangu</v>
          </cell>
          <cell r="E147" t="str">
            <v>Sarang</v>
          </cell>
          <cell r="F147" t="str">
            <v>Rembang</v>
          </cell>
          <cell r="G147" t="str">
            <v>Jawa Tengah</v>
          </cell>
          <cell r="H147" t="str">
            <v>Penyangga</v>
          </cell>
          <cell r="K147" t="str">
            <v>PT. Kurnia Alam Sentosa</v>
          </cell>
          <cell r="L147" t="str">
            <v>#REF!</v>
          </cell>
          <cell r="M147" t="str">
            <v>PT. Kurnia Alam Sentosa</v>
          </cell>
        </row>
        <row r="148">
          <cell r="D148" t="str">
            <v>Pasar Banggi</v>
          </cell>
          <cell r="E148" t="str">
            <v>Rembang</v>
          </cell>
          <cell r="F148" t="str">
            <v>Rembang</v>
          </cell>
          <cell r="G148" t="str">
            <v>Jawa Tengah</v>
          </cell>
          <cell r="H148" t="str">
            <v>Hub</v>
          </cell>
          <cell r="K148" t="str">
            <v>PT. Kurnia Alam Sentosa</v>
          </cell>
          <cell r="L148" t="str">
            <v>#REF!</v>
          </cell>
          <cell r="M148" t="str">
            <v>PT. Kurnia Alam Sentosa</v>
          </cell>
        </row>
        <row r="149">
          <cell r="D149" t="str">
            <v>Tambakagung</v>
          </cell>
          <cell r="E149" t="str">
            <v>Kaliori</v>
          </cell>
          <cell r="F149" t="str">
            <v>Rembang</v>
          </cell>
          <cell r="G149" t="str">
            <v>Jawa Tengah</v>
          </cell>
          <cell r="H149" t="str">
            <v>Penyangga</v>
          </cell>
          <cell r="K149" t="str">
            <v>PT. Kurnia Alam Sentosa</v>
          </cell>
          <cell r="L149" t="str">
            <v>#REF!</v>
          </cell>
          <cell r="M149" t="str">
            <v>PT. Kurnia Alam Sentosa</v>
          </cell>
        </row>
        <row r="150">
          <cell r="D150" t="str">
            <v>Moilong</v>
          </cell>
          <cell r="E150" t="str">
            <v>Moilong</v>
          </cell>
          <cell r="F150" t="str">
            <v>Banggai</v>
          </cell>
          <cell r="G150" t="str">
            <v>Sulawesi Tengah</v>
          </cell>
          <cell r="H150" t="str">
            <v>Penyangga</v>
          </cell>
          <cell r="K150" t="str">
            <v>PT. Wahana Cipta Berkah (data tidak ditemukan dalam LPJK)</v>
          </cell>
          <cell r="L150" t="str">
            <v>PT. Wahana Cipta Barakallaah</v>
          </cell>
          <cell r="M150" t="str">
            <v>PT. Wahana Cipta Barakallaah</v>
          </cell>
        </row>
        <row r="151">
          <cell r="D151" t="str">
            <v>Rata</v>
          </cell>
          <cell r="E151" t="str">
            <v>Toili Barat</v>
          </cell>
          <cell r="F151" t="str">
            <v>Banggai</v>
          </cell>
          <cell r="G151" t="str">
            <v>Sulawesi Tengah</v>
          </cell>
          <cell r="H151" t="str">
            <v>Hub</v>
          </cell>
          <cell r="K151" t="str">
            <v>PT. Wahana Cipta Berkah (data tidak ditemukan dalam LPJK)</v>
          </cell>
          <cell r="L151" t="str">
            <v>PT. Wahana Cipta Barakallaah</v>
          </cell>
          <cell r="M151" t="str">
            <v>PT. Wahana Cipta Barakallaah</v>
          </cell>
        </row>
        <row r="152">
          <cell r="D152" t="str">
            <v>Pasir Putih</v>
          </cell>
          <cell r="E152" t="str">
            <v>Wawonii Barat</v>
          </cell>
          <cell r="F152" t="str">
            <v>Konawe Kepulauan</v>
          </cell>
          <cell r="G152" t="str">
            <v>Sulawesi Tenggara</v>
          </cell>
          <cell r="H152" t="str">
            <v>Penyangga</v>
          </cell>
          <cell r="K152" t="str">
            <v>PT. Central Tata Bangunan</v>
          </cell>
          <cell r="L152" t="str">
            <v>#REF!</v>
          </cell>
          <cell r="M152" t="str">
            <v>Independent Fighter</v>
          </cell>
        </row>
        <row r="153">
          <cell r="D153" t="str">
            <v>Saburano</v>
          </cell>
          <cell r="E153" t="str">
            <v>Wawonii Timur</v>
          </cell>
          <cell r="F153" t="str">
            <v>Konawe Kepulauan</v>
          </cell>
          <cell r="G153" t="str">
            <v>Sulawesi Tenggara</v>
          </cell>
          <cell r="H153" t="str">
            <v>Hub</v>
          </cell>
          <cell r="K153" t="str">
            <v>PT. Central Tata Bangunan</v>
          </cell>
          <cell r="L153" t="str">
            <v>#REF!</v>
          </cell>
          <cell r="M153" t="str">
            <v>CV. Sedarah Sejahtera</v>
          </cell>
        </row>
        <row r="154">
          <cell r="D154" t="str">
            <v>Sainoa Indah</v>
          </cell>
          <cell r="E154" t="str">
            <v>Wawonii Tenggara</v>
          </cell>
          <cell r="F154" t="str">
            <v>Konawe Kepulauan</v>
          </cell>
          <cell r="G154" t="str">
            <v>Sulawesi Tenggara</v>
          </cell>
          <cell r="H154" t="str">
            <v>Penyangga</v>
          </cell>
          <cell r="K154" t="str">
            <v>PT. Central Tata Bangunan</v>
          </cell>
          <cell r="L154" t="str">
            <v>#REF!</v>
          </cell>
          <cell r="M154" t="str">
            <v>Independent Fighter</v>
          </cell>
        </row>
        <row r="155">
          <cell r="D155" t="str">
            <v>Banjarejo</v>
          </cell>
          <cell r="E155" t="str">
            <v>Tanjungsari</v>
          </cell>
          <cell r="F155" t="str">
            <v>Gunungkidul</v>
          </cell>
          <cell r="G155" t="str">
            <v>Daerah Istimewa Yogyakarta</v>
          </cell>
          <cell r="H155" t="str">
            <v>Penyangga</v>
          </cell>
          <cell r="K155" t="str">
            <v>PT. Kurnia Alam Sentosa</v>
          </cell>
          <cell r="L155" t="str">
            <v>#REF!</v>
          </cell>
          <cell r="M155" t="str">
            <v>PT. Kurnia Alam Sentosa</v>
          </cell>
        </row>
        <row r="156">
          <cell r="D156" t="str">
            <v>Kanigoro</v>
          </cell>
          <cell r="E156" t="str">
            <v>Saptosari</v>
          </cell>
          <cell r="F156" t="str">
            <v>Gunungkidul</v>
          </cell>
          <cell r="G156" t="str">
            <v>Daerah Istimewa Yogyakarta</v>
          </cell>
          <cell r="H156" t="str">
            <v>Penyangga</v>
          </cell>
          <cell r="K156" t="str">
            <v>PT. Kurnia Alam Sentosa</v>
          </cell>
          <cell r="L156" t="str">
            <v>#REF!</v>
          </cell>
          <cell r="M156" t="str">
            <v>PT. Kurnia Alam Sentosa</v>
          </cell>
        </row>
        <row r="157">
          <cell r="D157" t="str">
            <v>Kemadang</v>
          </cell>
          <cell r="E157" t="str">
            <v>Tanjungsari</v>
          </cell>
          <cell r="F157" t="str">
            <v>Gunungkidul</v>
          </cell>
          <cell r="G157" t="str">
            <v>Daerah Istimewa Yogyakarta</v>
          </cell>
          <cell r="H157" t="str">
            <v>Penyangga</v>
          </cell>
          <cell r="K157" t="str">
            <v>PT. Kurnia Alam Sentosa</v>
          </cell>
          <cell r="L157" t="str">
            <v>#REF!</v>
          </cell>
          <cell r="M157" t="str">
            <v>PT. Kurnia Alam Sentosa</v>
          </cell>
        </row>
        <row r="158">
          <cell r="D158" t="str">
            <v>Sidoharjo</v>
          </cell>
          <cell r="E158" t="str">
            <v>Tepus</v>
          </cell>
          <cell r="F158" t="str">
            <v>Gunungkidul</v>
          </cell>
          <cell r="G158" t="str">
            <v>Daerah Istimewa Yogyakarta</v>
          </cell>
          <cell r="H158" t="str">
            <v>Penyangga</v>
          </cell>
          <cell r="K158" t="str">
            <v>PT. Kurnia Alam Sentosa</v>
          </cell>
          <cell r="L158" t="str">
            <v>#REF!</v>
          </cell>
          <cell r="M158" t="str">
            <v>PT. Kurnia Alam Sentosa</v>
          </cell>
        </row>
        <row r="159">
          <cell r="D159" t="str">
            <v>Songbanyu</v>
          </cell>
          <cell r="E159" t="str">
            <v>Girisubo</v>
          </cell>
          <cell r="F159" t="str">
            <v>Gunungkidul</v>
          </cell>
          <cell r="G159" t="str">
            <v>Daerah Istimewa Yogyakarta</v>
          </cell>
          <cell r="H159" t="str">
            <v>Hub</v>
          </cell>
          <cell r="K159" t="str">
            <v>PT. Kurnia Alam Sentosa</v>
          </cell>
          <cell r="L159" t="str">
            <v>#REF!</v>
          </cell>
          <cell r="M159" t="str">
            <v>PT. Kurnia Alam Sentosa</v>
          </cell>
        </row>
        <row r="160">
          <cell r="D160" t="str">
            <v>Puday</v>
          </cell>
          <cell r="E160" t="str">
            <v>Abeli</v>
          </cell>
          <cell r="F160" t="str">
            <v>Kota Kendari</v>
          </cell>
          <cell r="G160" t="str">
            <v>Sulawesi Tenggara</v>
          </cell>
          <cell r="H160" t="str">
            <v>Penyangga</v>
          </cell>
          <cell r="I160" t="str">
            <v>Utama Jaya Perkasa</v>
          </cell>
          <cell r="J160" t="str">
            <v>Nodin PPK 26 Mei 2026</v>
          </cell>
          <cell r="K160" t="str">
            <v>Utama Jaya Perkasa</v>
          </cell>
          <cell r="L160" t="str">
            <v>#REF!</v>
          </cell>
          <cell r="M160" t="str">
            <v>CV. Utama Jaya Perkasa</v>
          </cell>
        </row>
        <row r="161">
          <cell r="D161" t="str">
            <v>Sambuli</v>
          </cell>
          <cell r="E161" t="str">
            <v>Nambo</v>
          </cell>
          <cell r="F161" t="str">
            <v>Kota Kendari</v>
          </cell>
          <cell r="G161" t="str">
            <v>Sulawesi Tenggara</v>
          </cell>
          <cell r="H161" t="str">
            <v>Penyangga</v>
          </cell>
          <cell r="I161" t="str">
            <v>Utama Jaya Perkasa</v>
          </cell>
          <cell r="J161" t="str">
            <v>Nodin PPK 26 Mei 2026</v>
          </cell>
          <cell r="K161" t="str">
            <v>Utama Jaya Perkasa</v>
          </cell>
          <cell r="L161" t="str">
            <v>#REF!</v>
          </cell>
          <cell r="M161" t="str">
            <v>CV. Utama Jaya Perkasa</v>
          </cell>
        </row>
        <row r="162">
          <cell r="D162" t="str">
            <v>Tondonggeu</v>
          </cell>
          <cell r="E162" t="str">
            <v>Nambo</v>
          </cell>
          <cell r="F162" t="str">
            <v>Kota Kendari</v>
          </cell>
          <cell r="G162" t="str">
            <v>Sulawesi Tenggara</v>
          </cell>
          <cell r="H162" t="str">
            <v>Penyangga</v>
          </cell>
          <cell r="I162" t="str">
            <v>Utama Jaya Perkasa</v>
          </cell>
          <cell r="J162" t="str">
            <v>Nodin PPK 26 Mei 2026</v>
          </cell>
          <cell r="K162" t="str">
            <v>Utama Jaya Perkasa</v>
          </cell>
          <cell r="L162" t="str">
            <v>#REF!</v>
          </cell>
          <cell r="M162" t="str">
            <v>CV. Utama Jaya Perkasa</v>
          </cell>
        </row>
        <row r="163">
          <cell r="D163" t="str">
            <v>Gempolsewu</v>
          </cell>
          <cell r="E163" t="str">
            <v>Rowosari</v>
          </cell>
          <cell r="F163" t="str">
            <v>Kendal</v>
          </cell>
          <cell r="G163" t="str">
            <v>Jawa Tengah</v>
          </cell>
          <cell r="H163" t="str">
            <v>Penyangga</v>
          </cell>
          <cell r="K163" t="str">
            <v>PT. Suryaraya Anugerah Samudra</v>
          </cell>
          <cell r="L163" t="str">
            <v>#REF!</v>
          </cell>
          <cell r="M163" t="str">
            <v>CV. Sinar Mulya</v>
          </cell>
        </row>
        <row r="164">
          <cell r="D164" t="str">
            <v>Mojo</v>
          </cell>
          <cell r="E164" t="str">
            <v>Ulujami</v>
          </cell>
          <cell r="F164" t="str">
            <v>Pemalang</v>
          </cell>
          <cell r="G164" t="str">
            <v>Jawa Tengah</v>
          </cell>
          <cell r="H164" t="str">
            <v>Penyangga</v>
          </cell>
          <cell r="K164" t="str">
            <v>PT. Kurnia Alam Sentosa</v>
          </cell>
          <cell r="L164" t="str">
            <v>#REF!</v>
          </cell>
          <cell r="M164" t="str">
            <v>PT. Kurnia Alam Sentosa</v>
          </cell>
        </row>
        <row r="165">
          <cell r="D165" t="str">
            <v>Nyamplungsari</v>
          </cell>
          <cell r="E165" t="str">
            <v>Petarukan</v>
          </cell>
          <cell r="F165" t="str">
            <v>Pemalang</v>
          </cell>
          <cell r="G165" t="str">
            <v>Jawa Tengah</v>
          </cell>
          <cell r="H165" t="str">
            <v>Penyangga</v>
          </cell>
          <cell r="K165" t="str">
            <v>PT. Kurnia Alam Sentosa</v>
          </cell>
          <cell r="L165" t="str">
            <v>#REF!</v>
          </cell>
          <cell r="M165" t="str">
            <v>PT. Kurnia Alam Sentosa</v>
          </cell>
        </row>
        <row r="166">
          <cell r="D166" t="str">
            <v>Sugihwaras</v>
          </cell>
          <cell r="E166" t="str">
            <v>Pemalang</v>
          </cell>
          <cell r="F166" t="str">
            <v>Pemalang</v>
          </cell>
          <cell r="G166" t="str">
            <v>Jawa Tengah</v>
          </cell>
          <cell r="H166" t="str">
            <v>Hub</v>
          </cell>
          <cell r="K166" t="str">
            <v>PT. Kurnia Alam Sentosa</v>
          </cell>
          <cell r="L166" t="str">
            <v>#REF!</v>
          </cell>
          <cell r="M166" t="str">
            <v>PT. Kurnia Alam Sentosa</v>
          </cell>
        </row>
        <row r="167">
          <cell r="D167" t="str">
            <v>Suradadi</v>
          </cell>
          <cell r="E167" t="str">
            <v>Suradadi</v>
          </cell>
          <cell r="F167" t="str">
            <v>Tegal</v>
          </cell>
          <cell r="G167" t="str">
            <v>Jawa Tengah</v>
          </cell>
          <cell r="H167" t="str">
            <v>Penyangga</v>
          </cell>
          <cell r="K167" t="str">
            <v>PT. Gapura Abadi (kualifikasi menengah, paket untuk kualifikasi kecil)</v>
          </cell>
          <cell r="L167" t="str">
            <v>#REF!</v>
          </cell>
          <cell r="M167" t="str">
            <v>CV. Alkomber Karya</v>
          </cell>
        </row>
        <row r="168">
          <cell r="D168" t="str">
            <v>Mekkatta Selatan</v>
          </cell>
          <cell r="E168" t="str">
            <v>Malunda</v>
          </cell>
          <cell r="F168" t="str">
            <v>Majene</v>
          </cell>
          <cell r="G168" t="str">
            <v>Sulawesi Barat</v>
          </cell>
          <cell r="H168" t="str">
            <v>Penyangga</v>
          </cell>
          <cell r="K168" t="str">
            <v>CV. Lion Jaya Mandiri</v>
          </cell>
          <cell r="L168" t="str">
            <v>#REF!</v>
          </cell>
          <cell r="M168" t="str">
            <v>CV. Lion Jaya Mandiri</v>
          </cell>
        </row>
        <row r="169">
          <cell r="D169" t="str">
            <v>Tubo Poang</v>
          </cell>
          <cell r="E169" t="str">
            <v>Tubo Sendana</v>
          </cell>
          <cell r="F169" t="str">
            <v>Majene</v>
          </cell>
          <cell r="G169" t="str">
            <v>Sulawesi Barat</v>
          </cell>
          <cell r="H169" t="str">
            <v>Penyangga</v>
          </cell>
          <cell r="K169" t="str">
            <v>CV. Lion Jaya Mandiri</v>
          </cell>
          <cell r="L169" t="str">
            <v>#REF!</v>
          </cell>
          <cell r="M169" t="str">
            <v>CV. Lion Jaya Mandiri</v>
          </cell>
        </row>
        <row r="170">
          <cell r="D170" t="str">
            <v>Mattiro Bombang</v>
          </cell>
          <cell r="E170" t="str">
            <v>Liukang Tupabbiring Utara</v>
          </cell>
          <cell r="F170" t="str">
            <v>Pangkajene dan Kepulauan</v>
          </cell>
          <cell r="G170" t="str">
            <v>Sulawesi Selatan</v>
          </cell>
          <cell r="H170" t="str">
            <v>Penyangga</v>
          </cell>
          <cell r="K170" t="str">
            <v>PT. Bunaken Inti Nusantara</v>
          </cell>
          <cell r="L170" t="str">
            <v>#REF!</v>
          </cell>
          <cell r="M170" t="str">
            <v>PT. Bunaken Inti Nusantara</v>
          </cell>
        </row>
        <row r="171">
          <cell r="D171" t="str">
            <v>Tamarupa</v>
          </cell>
          <cell r="E171" t="str">
            <v>Mandalle</v>
          </cell>
          <cell r="F171" t="str">
            <v>Pangkajene dan Kepulauan</v>
          </cell>
          <cell r="G171" t="str">
            <v>Sulawesi Selatan</v>
          </cell>
          <cell r="H171" t="str">
            <v>Penyangga</v>
          </cell>
          <cell r="K171" t="str">
            <v>PT. Bunaken Inti Nusantara</v>
          </cell>
          <cell r="L171" t="str">
            <v>#REF!</v>
          </cell>
          <cell r="M171" t="str">
            <v>PT. Bunaken Inti Nusantara</v>
          </cell>
        </row>
        <row r="172">
          <cell r="D172" t="str">
            <v>Muara Sampara</v>
          </cell>
          <cell r="E172" t="str">
            <v>Kapoiala</v>
          </cell>
          <cell r="F172" t="str">
            <v>Konawe</v>
          </cell>
          <cell r="G172" t="str">
            <v>Sulawesi Tenggara</v>
          </cell>
          <cell r="H172" t="str">
            <v>Penyangga</v>
          </cell>
          <cell r="K172" t="str">
            <v>CV. Sakti Mandiri (kualifikasi usaha kecil)</v>
          </cell>
          <cell r="L172" t="str">
            <v>#REF!</v>
          </cell>
          <cell r="M172" t="str">
            <v>CV. Sakti Mandiri</v>
          </cell>
        </row>
        <row r="173">
          <cell r="D173" t="str">
            <v>Muara Tinobu</v>
          </cell>
          <cell r="E173" t="str">
            <v>Lasolo</v>
          </cell>
          <cell r="F173" t="str">
            <v>Konawe Utara</v>
          </cell>
          <cell r="G173" t="str">
            <v>Sulawesi Tenggara</v>
          </cell>
          <cell r="H173" t="str">
            <v>Penyangga</v>
          </cell>
          <cell r="K173" t="str">
            <v>CV. Sakti Mandiri (kualifikasi usaha kecil)</v>
          </cell>
          <cell r="L173" t="str">
            <v>#REF!</v>
          </cell>
          <cell r="M173" t="str">
            <v>CV. Sakti Mandiri</v>
          </cell>
        </row>
        <row r="174">
          <cell r="D174" t="str">
            <v>Pasir Putih</v>
          </cell>
          <cell r="E174" t="str">
            <v>Lembo</v>
          </cell>
          <cell r="F174" t="str">
            <v>Konawe Utara</v>
          </cell>
          <cell r="G174" t="str">
            <v>Sulawesi Tenggara</v>
          </cell>
          <cell r="H174" t="str">
            <v>Penyangga</v>
          </cell>
          <cell r="K174" t="str">
            <v>PT. Central Tata Bangunan</v>
          </cell>
          <cell r="L174" t="str">
            <v>#REF!</v>
          </cell>
          <cell r="M174" t="str">
            <v>Independent Fighter</v>
          </cell>
        </row>
        <row r="175">
          <cell r="D175" t="str">
            <v>Tanjung Bunga</v>
          </cell>
          <cell r="E175" t="str">
            <v>Wawolesea</v>
          </cell>
          <cell r="F175" t="str">
            <v>Konawe Utara</v>
          </cell>
          <cell r="G175" t="str">
            <v>Sulawesi Tenggara</v>
          </cell>
          <cell r="H175" t="str">
            <v>Penyangga</v>
          </cell>
          <cell r="K175" t="str">
            <v>CV. Sakti Mandiri (kualifikasi usaha kecil)</v>
          </cell>
          <cell r="L175" t="str">
            <v>#REF!</v>
          </cell>
          <cell r="M175" t="str">
            <v>CV. Sakti Mandiri</v>
          </cell>
        </row>
        <row r="176">
          <cell r="D176" t="str">
            <v>Tanjung Laimeo</v>
          </cell>
          <cell r="E176" t="str">
            <v>Sawa</v>
          </cell>
          <cell r="F176" t="str">
            <v>Konawe Utara</v>
          </cell>
          <cell r="G176" t="str">
            <v>Sulawesi Tenggara</v>
          </cell>
          <cell r="H176" t="str">
            <v>Hub</v>
          </cell>
          <cell r="K176" t="str">
            <v>CV. Sakti Mandiri (kualifikasi usaha kecil)</v>
          </cell>
          <cell r="L176" t="str">
            <v>#REF!</v>
          </cell>
          <cell r="M176" t="str">
            <v>CV. Sakti Mandiri</v>
          </cell>
        </row>
        <row r="177">
          <cell r="D177" t="str">
            <v>Ulu Sawa</v>
          </cell>
          <cell r="E177" t="str">
            <v>Sawa</v>
          </cell>
          <cell r="F177" t="str">
            <v>Konawe Utara</v>
          </cell>
          <cell r="G177" t="str">
            <v>Sulawesi Tenggara</v>
          </cell>
          <cell r="H177" t="str">
            <v>Penyangga</v>
          </cell>
          <cell r="K177" t="str">
            <v>CV. Sakti Mandiri (kualifikasi usaha kecil)</v>
          </cell>
          <cell r="L177" t="str">
            <v>#REF!</v>
          </cell>
          <cell r="M177" t="str">
            <v>CV. Sakti Mandiri</v>
          </cell>
        </row>
        <row r="178">
          <cell r="D178" t="str">
            <v>Tapuhahi</v>
          </cell>
          <cell r="E178" t="str">
            <v>Rumbia Tengah</v>
          </cell>
          <cell r="F178" t="str">
            <v>Bombana</v>
          </cell>
          <cell r="G178" t="str">
            <v>Sulawesi Tenggara</v>
          </cell>
          <cell r="H178" t="str">
            <v>Penyangga</v>
          </cell>
          <cell r="I178" t="str">
            <v>PT Trijaya Solusi Konstruksindo</v>
          </cell>
          <cell r="J178" t="str">
            <v>Nodin PPK 29 Mei 2026</v>
          </cell>
          <cell r="K178" t="str">
            <v>PT. Trijaya Solusi Konstruksindo</v>
          </cell>
          <cell r="L178" t="str">
            <v>#REF!</v>
          </cell>
          <cell r="M178" t="str">
            <v>CV. Radhika Pratama</v>
          </cell>
        </row>
        <row r="179">
          <cell r="D179" t="str">
            <v>Terapung</v>
          </cell>
          <cell r="E179" t="str">
            <v>Mawasangka</v>
          </cell>
          <cell r="F179" t="str">
            <v>Buton Tengah</v>
          </cell>
          <cell r="G179" t="str">
            <v>Sulawesi Tenggara</v>
          </cell>
          <cell r="H179" t="str">
            <v>Hub</v>
          </cell>
          <cell r="L179" t="str">
            <v>#REF!</v>
          </cell>
          <cell r="M179" t="str">
            <v>CV. RIDZAH ANANDA</v>
          </cell>
        </row>
        <row r="180">
          <cell r="D180" t="str">
            <v>Watolo</v>
          </cell>
          <cell r="E180" t="str">
            <v>Mawasangka</v>
          </cell>
          <cell r="F180" t="str">
            <v>Buton Tengah</v>
          </cell>
          <cell r="G180" t="str">
            <v>Sulawesi Tenggara</v>
          </cell>
          <cell r="H180" t="str">
            <v>Penyangga</v>
          </cell>
          <cell r="K180" t="str">
            <v>PT. Sarjis Agung Indrajaya</v>
          </cell>
          <cell r="L180" t="str">
            <v>#REF!</v>
          </cell>
          <cell r="M180" t="str">
            <v>CV. RIDZAH ANANDA</v>
          </cell>
        </row>
        <row r="181">
          <cell r="D181" t="str">
            <v>Bassiang Timur</v>
          </cell>
          <cell r="E181" t="str">
            <v>Ponrang Selatan</v>
          </cell>
          <cell r="F181" t="str">
            <v>Luwu</v>
          </cell>
          <cell r="G181" t="str">
            <v>Sulawesi Selatan</v>
          </cell>
          <cell r="H181" t="str">
            <v>Penyangga</v>
          </cell>
          <cell r="I181" t="str">
            <v>PT Relis Sapindo Utama</v>
          </cell>
          <cell r="J181" t="str">
            <v>Nodin PPK 26 Mei 2026</v>
          </cell>
          <cell r="K181" t="str">
            <v>PT. Relis Sapindo Utama</v>
          </cell>
          <cell r="L181" t="str">
            <v>#REF!</v>
          </cell>
          <cell r="M181" t="str">
            <v>PT. Relis Sapindo Utama</v>
          </cell>
        </row>
        <row r="182">
          <cell r="D182" t="str">
            <v>Karang-Karangan</v>
          </cell>
          <cell r="E182" t="str">
            <v>Bua</v>
          </cell>
          <cell r="F182" t="str">
            <v>Luwu</v>
          </cell>
          <cell r="G182" t="str">
            <v>Sulawesi Selatan</v>
          </cell>
          <cell r="H182" t="str">
            <v>Penyangga</v>
          </cell>
          <cell r="I182" t="str">
            <v>PT Relis Sapindo Utama</v>
          </cell>
          <cell r="J182" t="str">
            <v>Nodin PPK 26 Mei 2026</v>
          </cell>
          <cell r="K182" t="str">
            <v>PT. Relis Sapindo Utama</v>
          </cell>
          <cell r="L182" t="str">
            <v>#REF!</v>
          </cell>
          <cell r="M182" t="str">
            <v>PT. Relis Sapindo Utama</v>
          </cell>
        </row>
        <row r="183">
          <cell r="D183" t="str">
            <v>Padang Kalua</v>
          </cell>
          <cell r="E183" t="str">
            <v>Bua</v>
          </cell>
          <cell r="F183" t="str">
            <v>Luwu</v>
          </cell>
          <cell r="G183" t="str">
            <v>Sulawesi Selatan</v>
          </cell>
          <cell r="H183" t="str">
            <v>Penyangga</v>
          </cell>
          <cell r="I183" t="str">
            <v>PT Relis Sapindo Utama</v>
          </cell>
          <cell r="J183" t="str">
            <v>Nodin PPK 26 Mei 2026</v>
          </cell>
          <cell r="K183" t="str">
            <v>PT. Relis Sapindo Utama</v>
          </cell>
          <cell r="L183" t="str">
            <v>#REF!</v>
          </cell>
          <cell r="M183" t="str">
            <v>PT. Relis Sapindo Utama</v>
          </cell>
        </row>
        <row r="184">
          <cell r="D184" t="str">
            <v>Ponjalae</v>
          </cell>
          <cell r="E184" t="str">
            <v>Wara Timur</v>
          </cell>
          <cell r="F184" t="str">
            <v>Kota Palopo</v>
          </cell>
          <cell r="G184" t="str">
            <v>Sulawesi Selatan</v>
          </cell>
          <cell r="H184" t="str">
            <v>Penyangga</v>
          </cell>
          <cell r="K184" t="str">
            <v>PT. Relis Sapindo Utama</v>
          </cell>
          <cell r="L184" t="str">
            <v>#REF!</v>
          </cell>
          <cell r="M184" t="str">
            <v>PT. Relis Sapindo Utama</v>
          </cell>
        </row>
        <row r="185">
          <cell r="D185" t="str">
            <v>Songka</v>
          </cell>
          <cell r="E185" t="str">
            <v>Wara Selatan</v>
          </cell>
          <cell r="F185" t="str">
            <v>Kota Palopo</v>
          </cell>
          <cell r="G185" t="str">
            <v>Sulawesi Selatan</v>
          </cell>
          <cell r="H185" t="str">
            <v>Penyangga</v>
          </cell>
          <cell r="K185" t="str">
            <v>PT. Relis Sapindo Utama</v>
          </cell>
          <cell r="L185" t="str">
            <v>#REF!</v>
          </cell>
          <cell r="M185" t="str">
            <v>PT. Relis Sapindo Utama</v>
          </cell>
        </row>
        <row r="186">
          <cell r="D186" t="str">
            <v>Takkalala</v>
          </cell>
          <cell r="E186" t="str">
            <v>Wara Selatan</v>
          </cell>
          <cell r="F186" t="str">
            <v>Kota Palopo</v>
          </cell>
          <cell r="G186" t="str">
            <v>Sulawesi Selatan</v>
          </cell>
          <cell r="H186" t="str">
            <v>Penyangga</v>
          </cell>
          <cell r="I186" t="str">
            <v>PT Relis Sapindo Utama</v>
          </cell>
          <cell r="J186" t="str">
            <v>Nodin PPK 26 Mei 2026</v>
          </cell>
          <cell r="K186" t="str">
            <v>PT. Relis Sapindo Utama</v>
          </cell>
          <cell r="L186" t="str">
            <v>#REF!</v>
          </cell>
          <cell r="M186" t="str">
            <v>PT. Relis Sapindo Utama</v>
          </cell>
        </row>
        <row r="187">
          <cell r="D187" t="str">
            <v>Tirowali</v>
          </cell>
          <cell r="E187" t="str">
            <v>Ponrang</v>
          </cell>
          <cell r="F187" t="str">
            <v>Luwu</v>
          </cell>
          <cell r="G187" t="str">
            <v>Sulawesi Selatan</v>
          </cell>
          <cell r="H187" t="str">
            <v>Hub</v>
          </cell>
          <cell r="I187" t="str">
            <v>PT Relis Sapindo Utama</v>
          </cell>
          <cell r="J187" t="str">
            <v>Nodin PPK 26 Mei 2026</v>
          </cell>
          <cell r="K187" t="str">
            <v>PT. Relis Sapindo Utama</v>
          </cell>
          <cell r="L187" t="str">
            <v>#REF!</v>
          </cell>
          <cell r="M187" t="str">
            <v>PT. Relis Sapindo Utama</v>
          </cell>
        </row>
        <row r="188">
          <cell r="D188" t="str">
            <v>To'Bia</v>
          </cell>
          <cell r="E188" t="str">
            <v>Ponrang Selatan</v>
          </cell>
          <cell r="F188" t="str">
            <v>Luwu</v>
          </cell>
          <cell r="G188" t="str">
            <v>Sulawesi Selatan</v>
          </cell>
          <cell r="H188" t="str">
            <v>Penyangga</v>
          </cell>
          <cell r="I188" t="str">
            <v>PT Relis Sapindo Utama</v>
          </cell>
          <cell r="J188" t="str">
            <v>Nodin PPK 26 Mei 2026</v>
          </cell>
          <cell r="K188" t="str">
            <v>PT. Relis Sapindo Utama</v>
          </cell>
          <cell r="L188" t="str">
            <v>#REF!</v>
          </cell>
          <cell r="M188" t="str">
            <v>PT. Relis Sapindo Utama</v>
          </cell>
        </row>
        <row r="189">
          <cell r="D189" t="str">
            <v>Bulontiyo Barat</v>
          </cell>
          <cell r="E189" t="str">
            <v>Sumalata</v>
          </cell>
          <cell r="F189" t="str">
            <v>Gorontalo Utara</v>
          </cell>
          <cell r="G189" t="str">
            <v>Gorontalo</v>
          </cell>
          <cell r="H189" t="str">
            <v>Penyangga</v>
          </cell>
          <cell r="K189" t="str">
            <v>PT. Bumi Aceh Persada (kualifikasi besar nilai paket untuk kecil)</v>
          </cell>
          <cell r="L189" t="str">
            <v>PT. Bumi Aceh Persada Ganti Penyedia</v>
          </cell>
          <cell r="M189" t="str">
            <v>CV. THERESIA PUTRI PERMATA</v>
          </cell>
        </row>
        <row r="190">
          <cell r="D190" t="str">
            <v>Kasia</v>
          </cell>
          <cell r="E190" t="str">
            <v>Sumalata</v>
          </cell>
          <cell r="F190" t="str">
            <v>Gorontalo Utara</v>
          </cell>
          <cell r="G190" t="str">
            <v>Gorontalo</v>
          </cell>
          <cell r="H190" t="str">
            <v>Penyangga</v>
          </cell>
          <cell r="K190" t="str">
            <v>PT. Bumi Aceh Persada (kualifikasi besar nilai paket untuk kecil)</v>
          </cell>
          <cell r="L190" t="str">
            <v>PT. Bumi Aceh Persada Ganti Penyedia</v>
          </cell>
          <cell r="M190" t="str">
            <v>CV. THERESIA PUTRI PERMATA</v>
          </cell>
        </row>
        <row r="191">
          <cell r="D191" t="str">
            <v>Mopuya</v>
          </cell>
          <cell r="E191" t="str">
            <v>Bulawa</v>
          </cell>
          <cell r="F191" t="str">
            <v>Bone Bolango</v>
          </cell>
          <cell r="G191" t="str">
            <v>Gorontalo</v>
          </cell>
          <cell r="H191" t="str">
            <v>Penyangga</v>
          </cell>
          <cell r="K191" t="str">
            <v>PT. Atiqa Ramadhan Sejahtera (kualifikasi menengah)</v>
          </cell>
          <cell r="L191" t="str">
            <v>#REF!</v>
          </cell>
          <cell r="M191" t="str">
            <v>CV. Koperu Sejahtera</v>
          </cell>
        </row>
        <row r="192">
          <cell r="D192" t="str">
            <v>Bacu</v>
          </cell>
          <cell r="E192" t="str">
            <v>Tonra</v>
          </cell>
          <cell r="F192" t="str">
            <v>Bone</v>
          </cell>
          <cell r="G192" t="str">
            <v>Sulawesi Selatan</v>
          </cell>
          <cell r="H192" t="str">
            <v>Penyangga</v>
          </cell>
          <cell r="I192" t="str">
            <v>Rahmat Utama Mulia</v>
          </cell>
          <cell r="J192" t="str">
            <v>Nodin PPK 29 Mei 2026</v>
          </cell>
          <cell r="K192" t="str">
            <v>PT. Rahmat Utama Mulia</v>
          </cell>
          <cell r="L192" t="str">
            <v>#REF!</v>
          </cell>
          <cell r="M192" t="str">
            <v>PT. Kamefeda Wijaya Indonesia</v>
          </cell>
        </row>
        <row r="193">
          <cell r="D193" t="str">
            <v>Bulu Bulu</v>
          </cell>
          <cell r="E193" t="str">
            <v>Tonra</v>
          </cell>
          <cell r="F193" t="str">
            <v>Bone</v>
          </cell>
          <cell r="G193" t="str">
            <v>Sulawesi Selatan</v>
          </cell>
          <cell r="H193" t="str">
            <v>Penyangga (+cs)</v>
          </cell>
          <cell r="I193" t="str">
            <v>Rahmat Utama Mulia</v>
          </cell>
          <cell r="J193" t="str">
            <v>Nodin PPK 29 Mei 2026</v>
          </cell>
          <cell r="K193" t="str">
            <v>PT. Rahmat Utama Mulia</v>
          </cell>
          <cell r="L193" t="str">
            <v>#REF!</v>
          </cell>
          <cell r="M193" t="str">
            <v>PT. Kamefeda Wijaya Indonesia</v>
          </cell>
        </row>
        <row r="194">
          <cell r="D194" t="str">
            <v>Sanjai</v>
          </cell>
          <cell r="E194" t="str">
            <v>Sinjai Timur</v>
          </cell>
          <cell r="F194" t="str">
            <v>Sinjai</v>
          </cell>
          <cell r="G194" t="str">
            <v>Sulawesi Selatan</v>
          </cell>
          <cell r="H194" t="str">
            <v>Penyangga</v>
          </cell>
          <cell r="I194" t="str">
            <v>Rahmat Utama Mulia</v>
          </cell>
          <cell r="J194" t="str">
            <v>Nodin PPK 29 Mei 2026</v>
          </cell>
          <cell r="K194" t="str">
            <v>PT. Rahmat Utama Mulia</v>
          </cell>
          <cell r="L194" t="str">
            <v>#REF!</v>
          </cell>
          <cell r="M194" t="str">
            <v>PT. Kamefeda Wijaya Indonesia</v>
          </cell>
        </row>
        <row r="195">
          <cell r="D195" t="str">
            <v>Ujung Salangketo</v>
          </cell>
          <cell r="E195" t="str">
            <v>Mare</v>
          </cell>
          <cell r="F195" t="str">
            <v>Bone</v>
          </cell>
          <cell r="G195" t="str">
            <v>Sulawesi Selatan</v>
          </cell>
          <cell r="H195" t="str">
            <v>Penyangga</v>
          </cell>
          <cell r="I195" t="str">
            <v>Rahmat Utama Mulia</v>
          </cell>
          <cell r="J195" t="str">
            <v>Nodin PPK 29 Mei 2026</v>
          </cell>
          <cell r="K195" t="str">
            <v>PT. Rahmat Utama Mulia</v>
          </cell>
          <cell r="L195" t="str">
            <v>#REF!</v>
          </cell>
          <cell r="M195" t="str">
            <v>PT. Kamefeda Wijaya Indonesia</v>
          </cell>
        </row>
        <row r="196">
          <cell r="D196" t="str">
            <v>Wonggarasi Timur</v>
          </cell>
          <cell r="E196" t="str">
            <v>Wanggarasi</v>
          </cell>
          <cell r="F196" t="str">
            <v>Pohuwato</v>
          </cell>
          <cell r="G196" t="str">
            <v>Gorontalo</v>
          </cell>
          <cell r="H196" t="str">
            <v>Penyangga</v>
          </cell>
          <cell r="L196" t="str">
            <v>#REF!</v>
          </cell>
          <cell r="M196" t="str">
            <v>CV. Khayra Berkah Konstruksindo</v>
          </cell>
        </row>
        <row r="197">
          <cell r="D197" t="str">
            <v>Lakara</v>
          </cell>
          <cell r="E197" t="str">
            <v>Palangga Selatan</v>
          </cell>
          <cell r="F197" t="str">
            <v>Konawe Selatan</v>
          </cell>
          <cell r="G197" t="str">
            <v>Sulawesi Tenggara</v>
          </cell>
          <cell r="H197" t="str">
            <v>Penyangga</v>
          </cell>
          <cell r="K197" t="str">
            <v>CV. Sangkaropi Mandiri</v>
          </cell>
          <cell r="L197" t="str">
            <v>#REF!</v>
          </cell>
          <cell r="M197" t="str">
            <v>CV. Sangkaropi Mandiri</v>
          </cell>
        </row>
        <row r="198">
          <cell r="D198" t="str">
            <v>Torokeku</v>
          </cell>
          <cell r="E198" t="str">
            <v>Tinanggea</v>
          </cell>
          <cell r="F198" t="str">
            <v>Konawe Selatan</v>
          </cell>
          <cell r="G198" t="str">
            <v>Sulawesi Tenggara</v>
          </cell>
          <cell r="H198" t="str">
            <v>Hub</v>
          </cell>
          <cell r="K198" t="str">
            <v>CV. Sangkaropi Mandiri</v>
          </cell>
          <cell r="L198" t="str">
            <v>#REF!</v>
          </cell>
          <cell r="M198" t="str">
            <v>CV. Sangkaropi Mandiri</v>
          </cell>
        </row>
        <row r="199">
          <cell r="D199" t="str">
            <v>Jayagiri</v>
          </cell>
          <cell r="E199" t="str">
            <v>Sindangbarang</v>
          </cell>
          <cell r="F199" t="str">
            <v>Cianjur</v>
          </cell>
          <cell r="G199" t="str">
            <v>Jawa Barat</v>
          </cell>
          <cell r="H199" t="str">
            <v>Penyangga</v>
          </cell>
          <cell r="K199" t="str">
            <v>PT. Bumi Perkasa Kalipancur (kualifikasi menengah)</v>
          </cell>
          <cell r="L199" t="str">
            <v>#REF!</v>
          </cell>
          <cell r="M199" t="str">
            <v>PT. AMI Kamena Jaya</v>
          </cell>
        </row>
        <row r="200">
          <cell r="D200" t="str">
            <v>Jayapura</v>
          </cell>
          <cell r="E200" t="str">
            <v>Cidaun</v>
          </cell>
          <cell r="F200" t="str">
            <v>Cianjur</v>
          </cell>
          <cell r="G200" t="str">
            <v>Jawa Barat</v>
          </cell>
          <cell r="H200" t="str">
            <v>Penyangga</v>
          </cell>
          <cell r="K200" t="str">
            <v>PT. Bumi Perkasa Kalipancur (kualifikasi menengah)</v>
          </cell>
          <cell r="L200" t="str">
            <v>#REF!</v>
          </cell>
          <cell r="M200" t="str">
            <v>PT. AMI Kamena Jaya</v>
          </cell>
        </row>
        <row r="201">
          <cell r="D201" t="str">
            <v>Harapan</v>
          </cell>
          <cell r="E201" t="str">
            <v>Malili</v>
          </cell>
          <cell r="F201" t="str">
            <v>Luwu Timur</v>
          </cell>
          <cell r="G201" t="str">
            <v>Sulawesi Selatan</v>
          </cell>
          <cell r="H201" t="str">
            <v>Penyangga</v>
          </cell>
          <cell r="K201" t="str">
            <v>CV. Putra Losa Konstruksi</v>
          </cell>
          <cell r="L201" t="str">
            <v>#REF!</v>
          </cell>
          <cell r="M201" t="str">
            <v>CV. Putra Losa Konstruksi</v>
          </cell>
        </row>
        <row r="202">
          <cell r="D202" t="str">
            <v>Lakawali Pantai</v>
          </cell>
          <cell r="E202" t="str">
            <v>Malili</v>
          </cell>
          <cell r="F202" t="str">
            <v>Luwu Timur</v>
          </cell>
          <cell r="G202" t="str">
            <v>Sulawesi Selatan</v>
          </cell>
          <cell r="H202" t="str">
            <v>Penyangga</v>
          </cell>
          <cell r="K202" t="str">
            <v>CV. Sendana Karya</v>
          </cell>
          <cell r="L202" t="str">
            <v>#REF!</v>
          </cell>
          <cell r="M202" t="str">
            <v>CV. Sendana Karya</v>
          </cell>
        </row>
        <row r="203">
          <cell r="D203" t="str">
            <v>Lawadia</v>
          </cell>
          <cell r="E203" t="str">
            <v>Tiwu</v>
          </cell>
          <cell r="F203" t="str">
            <v>Kolaka Utara</v>
          </cell>
          <cell r="G203" t="str">
            <v>Sulawesi Tenggara</v>
          </cell>
          <cell r="H203" t="str">
            <v>Penyangga</v>
          </cell>
          <cell r="L203" t="str">
            <v>#REF!</v>
          </cell>
          <cell r="M203" t="str">
            <v>PT. ARCHITA GRAHA INDAH LESTARI</v>
          </cell>
        </row>
        <row r="204">
          <cell r="D204" t="str">
            <v>Pakue</v>
          </cell>
          <cell r="E204" t="str">
            <v>Pakue Utara</v>
          </cell>
          <cell r="F204" t="str">
            <v>Kolaka Utara</v>
          </cell>
          <cell r="G204" t="str">
            <v>Sulawesi Tenggara</v>
          </cell>
          <cell r="H204" t="str">
            <v>Penyangga</v>
          </cell>
          <cell r="K204" t="str">
            <v>PT. Tavoo Barakah Nusantara</v>
          </cell>
          <cell r="L204" t="str">
            <v>#REF!</v>
          </cell>
          <cell r="M204" t="str">
            <v>PT. Tavoo Barakah Nusantara</v>
          </cell>
        </row>
        <row r="205">
          <cell r="D205" t="str">
            <v>Pasi-Pasi</v>
          </cell>
          <cell r="E205" t="str">
            <v>Malili</v>
          </cell>
          <cell r="F205" t="str">
            <v>Luwu Timur</v>
          </cell>
          <cell r="G205" t="str">
            <v>Sulawesi Selatan</v>
          </cell>
          <cell r="H205" t="str">
            <v>Penyangga</v>
          </cell>
          <cell r="K205" t="str">
            <v>CV. Sendana Karya</v>
          </cell>
          <cell r="L205" t="str">
            <v>#REF!</v>
          </cell>
          <cell r="M205" t="str">
            <v>CV. Sendana Karya</v>
          </cell>
        </row>
        <row r="206">
          <cell r="D206" t="str">
            <v>Sipakainge</v>
          </cell>
          <cell r="E206" t="str">
            <v>Pakue</v>
          </cell>
          <cell r="F206" t="str">
            <v>Kolaka Utara</v>
          </cell>
          <cell r="G206" t="str">
            <v>Sulawesi Tenggara</v>
          </cell>
          <cell r="H206" t="str">
            <v>Penyangga</v>
          </cell>
          <cell r="K206" t="str">
            <v>PT. Tavoo Barakah Nusantara</v>
          </cell>
          <cell r="L206" t="str">
            <v>#REF!</v>
          </cell>
          <cell r="M206" t="str">
            <v>PT. Tavoo Barakah Nusantara</v>
          </cell>
        </row>
        <row r="207">
          <cell r="D207" t="str">
            <v>Wewangriu</v>
          </cell>
          <cell r="E207" t="str">
            <v>Malili</v>
          </cell>
          <cell r="F207" t="str">
            <v>Luwu Timur</v>
          </cell>
          <cell r="G207" t="str">
            <v>Sulawesi Selatan</v>
          </cell>
          <cell r="H207" t="str">
            <v>Hub</v>
          </cell>
          <cell r="K207" t="str">
            <v>CV. Putra Losa Konstruksi</v>
          </cell>
          <cell r="L207" t="str">
            <v>#REF!</v>
          </cell>
          <cell r="M207" t="str">
            <v>CV. Putra Losa Konstruksi</v>
          </cell>
        </row>
        <row r="208">
          <cell r="D208" t="str">
            <v>Sagara</v>
          </cell>
          <cell r="E208" t="str">
            <v>Cibalong</v>
          </cell>
          <cell r="F208" t="str">
            <v>Garut</v>
          </cell>
          <cell r="G208" t="str">
            <v>Jawa Barat</v>
          </cell>
          <cell r="H208" t="str">
            <v>Penyangga (+cs)</v>
          </cell>
          <cell r="K208" t="str">
            <v>PT. Putra Ogan Cemerlang</v>
          </cell>
          <cell r="L208" t="str">
            <v>PT. Putra Ogan Cemerlang</v>
          </cell>
          <cell r="M208" t="str">
            <v>PT. Putra Ogan Cemerlang</v>
          </cell>
        </row>
        <row r="209">
          <cell r="D209" t="str">
            <v>Batusuya</v>
          </cell>
          <cell r="E209" t="str">
            <v>Sindue Tombusabora</v>
          </cell>
          <cell r="F209" t="str">
            <v>Donggala</v>
          </cell>
          <cell r="G209" t="str">
            <v>Sulawesi Tengah</v>
          </cell>
          <cell r="H209" t="str">
            <v>Penyangga</v>
          </cell>
          <cell r="K209" t="str">
            <v>PT. Venue Inari Pratama (SBU dicabut)</v>
          </cell>
          <cell r="L209" t="str">
            <v>PT. Putra Ogan Cemerlang Ganti PT Armyndo Jaya Konstruksi</v>
          </cell>
          <cell r="M209" t="str">
            <v>PT. Armyndo Jaya Konstruksi</v>
          </cell>
        </row>
        <row r="210">
          <cell r="D210" t="str">
            <v>Wani Dua</v>
          </cell>
          <cell r="E210" t="str">
            <v>Tanantovea</v>
          </cell>
          <cell r="F210" t="str">
            <v>Donggala</v>
          </cell>
          <cell r="G210" t="str">
            <v>Sulawesi Tengah</v>
          </cell>
          <cell r="H210" t="str">
            <v>Penyangga</v>
          </cell>
          <cell r="K210" t="str">
            <v>PT. Venue Inari Pratama (SBU dicabut)</v>
          </cell>
          <cell r="L210" t="str">
            <v>PT. Putra Ogan Cemerlang Ganti PT Armyndo Jaya Konstruksi</v>
          </cell>
          <cell r="M210" t="str">
            <v>CV. Senja Timur Indonesia</v>
          </cell>
        </row>
        <row r="211">
          <cell r="D211" t="str">
            <v>Bumbulan</v>
          </cell>
          <cell r="E211" t="str">
            <v>Paguat</v>
          </cell>
          <cell r="F211" t="str">
            <v>Pohuwato</v>
          </cell>
          <cell r="G211" t="str">
            <v>Gorontalo</v>
          </cell>
          <cell r="H211" t="str">
            <v>Penyangga (+cs)</v>
          </cell>
          <cell r="L211" t="str">
            <v>#REF!</v>
          </cell>
          <cell r="M211" t="str">
            <v>CV. Almaliku</v>
          </cell>
        </row>
        <row r="212">
          <cell r="D212" t="str">
            <v>Tabulo Selatan</v>
          </cell>
          <cell r="E212" t="str">
            <v>Mananggu</v>
          </cell>
          <cell r="F212" t="str">
            <v>Boalemo</v>
          </cell>
          <cell r="G212" t="str">
            <v>Gorontalo</v>
          </cell>
          <cell r="H212" t="str">
            <v>Penyangga</v>
          </cell>
          <cell r="L212" t="str">
            <v>#REF!</v>
          </cell>
          <cell r="M212" t="str">
            <v>CV. Almaliku</v>
          </cell>
        </row>
        <row r="213">
          <cell r="D213" t="str">
            <v>Betahwalang</v>
          </cell>
          <cell r="E213" t="str">
            <v>Bonang</v>
          </cell>
          <cell r="F213" t="str">
            <v>Demak</v>
          </cell>
          <cell r="G213" t="str">
            <v>Jawa Tengah</v>
          </cell>
          <cell r="H213" t="str">
            <v>Penyangga</v>
          </cell>
          <cell r="K213" t="str">
            <v>PT. Suryaraya Anugerah Samudra</v>
          </cell>
          <cell r="L213" t="str">
            <v>#REF!</v>
          </cell>
          <cell r="M213" t="str">
            <v>CV. Sinar Mulya</v>
          </cell>
        </row>
        <row r="214">
          <cell r="D214" t="str">
            <v>Cijayana</v>
          </cell>
          <cell r="E214" t="str">
            <v>Mekarmukti</v>
          </cell>
          <cell r="F214" t="str">
            <v>Garut</v>
          </cell>
          <cell r="G214" t="str">
            <v>Jawa Barat</v>
          </cell>
          <cell r="H214" t="str">
            <v>Penyangga</v>
          </cell>
          <cell r="K214" t="str">
            <v>PT. Putra Ogan Cemerlang</v>
          </cell>
          <cell r="L214" t="str">
            <v>PT. Putra Ogan Cemerlang</v>
          </cell>
          <cell r="M214" t="str">
            <v>PT. Putra Ogan Cemerlang</v>
          </cell>
        </row>
        <row r="215">
          <cell r="D215" t="str">
            <v>Indralayang</v>
          </cell>
          <cell r="E215" t="str">
            <v>Caringin</v>
          </cell>
          <cell r="F215" t="str">
            <v>Garut</v>
          </cell>
          <cell r="G215" t="str">
            <v>Jawa Barat</v>
          </cell>
          <cell r="H215" t="str">
            <v>Hub</v>
          </cell>
          <cell r="K215" t="str">
            <v>PT. Putra Ogan Cemerlang</v>
          </cell>
          <cell r="L215" t="str">
            <v>PT. Putra Ogan Cemerlang</v>
          </cell>
          <cell r="M215" t="str">
            <v>PT. Putra Ogan Cemerlang</v>
          </cell>
        </row>
        <row r="216">
          <cell r="D216" t="str">
            <v>Pamalayan</v>
          </cell>
          <cell r="E216" t="str">
            <v>Cikelet</v>
          </cell>
          <cell r="F216" t="str">
            <v>Garut</v>
          </cell>
          <cell r="G216" t="str">
            <v>Jawa Barat</v>
          </cell>
          <cell r="H216" t="str">
            <v>Penyangga</v>
          </cell>
          <cell r="K216" t="str">
            <v>PT. Putra Ogan Cemerlang</v>
          </cell>
          <cell r="L216" t="str">
            <v>#REF!</v>
          </cell>
          <cell r="M216" t="str">
            <v>tidak ada lahan</v>
          </cell>
        </row>
        <row r="217">
          <cell r="D217" t="str">
            <v>Jetak</v>
          </cell>
          <cell r="E217" t="str">
            <v>Tulakan</v>
          </cell>
          <cell r="F217" t="str">
            <v>Pacitan</v>
          </cell>
          <cell r="G217" t="str">
            <v>Jawa Timur</v>
          </cell>
          <cell r="H217" t="str">
            <v>Penyangga</v>
          </cell>
          <cell r="K217" t="str">
            <v>PT. Gora Cipta Sarana</v>
          </cell>
          <cell r="L217" t="str">
            <v>#REF!</v>
          </cell>
          <cell r="M217" t="str">
            <v>PT. Gora Cipta Sarana</v>
          </cell>
        </row>
        <row r="218">
          <cell r="D218" t="str">
            <v>Balalon</v>
          </cell>
          <cell r="E218" t="str">
            <v>Bulagi Selatan</v>
          </cell>
          <cell r="F218" t="str">
            <v>Banggai Kepulauan</v>
          </cell>
          <cell r="G218" t="str">
            <v>Sulawesi Tengah</v>
          </cell>
          <cell r="H218" t="str">
            <v>Penyangga</v>
          </cell>
          <cell r="K218" t="str">
            <v>PT. Esa Surya Arcapada</v>
          </cell>
          <cell r="L218" t="str">
            <v>#REF!</v>
          </cell>
          <cell r="M218" t="str">
            <v>CV. Lasinrang Jaya Perkasa</v>
          </cell>
        </row>
        <row r="219">
          <cell r="D219" t="str">
            <v>Patukuki</v>
          </cell>
          <cell r="E219" t="str">
            <v>Peling Tengah</v>
          </cell>
          <cell r="F219" t="str">
            <v>Banggai Kepulauan</v>
          </cell>
          <cell r="G219" t="str">
            <v>Sulawesi Tengah</v>
          </cell>
          <cell r="H219" t="str">
            <v>Hub</v>
          </cell>
          <cell r="K219" t="str">
            <v>PT. Esa Surya Arcapada</v>
          </cell>
          <cell r="L219" t="str">
            <v>#REF!</v>
          </cell>
          <cell r="M219" t="str">
            <v>CV. Lasinrang Jaya Perkasa</v>
          </cell>
        </row>
        <row r="220">
          <cell r="D220" t="str">
            <v>Biluhu Barat</v>
          </cell>
          <cell r="E220" t="str">
            <v>Biluhu</v>
          </cell>
          <cell r="F220" t="str">
            <v>Gorontalo</v>
          </cell>
          <cell r="G220" t="str">
            <v>Gorontalo</v>
          </cell>
          <cell r="H220" t="str">
            <v>Penyangga</v>
          </cell>
          <cell r="L220" t="str">
            <v>#REF!</v>
          </cell>
          <cell r="M220" t="str">
            <v>PT. Mega Kreasi Bersinar</v>
          </cell>
        </row>
        <row r="221">
          <cell r="D221" t="str">
            <v>Biluhu Tengah</v>
          </cell>
          <cell r="E221" t="str">
            <v>Biluhu</v>
          </cell>
          <cell r="F221" t="str">
            <v>Gorontalo</v>
          </cell>
          <cell r="G221" t="str">
            <v>Gorontalo</v>
          </cell>
          <cell r="H221" t="str">
            <v>Penyangga</v>
          </cell>
          <cell r="L221" t="str">
            <v>#REF!</v>
          </cell>
          <cell r="M221" t="str">
            <v>PT. KARYA PALMALINDO ANUGERAH</v>
          </cell>
        </row>
        <row r="222">
          <cell r="D222" t="str">
            <v>Botubolu'O</v>
          </cell>
          <cell r="E222" t="str">
            <v>Biluhu</v>
          </cell>
          <cell r="F222" t="str">
            <v>Gorontalo</v>
          </cell>
          <cell r="G222" t="str">
            <v>Gorontalo</v>
          </cell>
          <cell r="H222" t="str">
            <v>Penyangga</v>
          </cell>
          <cell r="L222" t="str">
            <v>#REF!</v>
          </cell>
          <cell r="M222" t="str">
            <v>PT. Mega Kreasi Bersinar</v>
          </cell>
        </row>
        <row r="223">
          <cell r="D223" t="str">
            <v>Lobuto</v>
          </cell>
          <cell r="E223" t="str">
            <v>Biluhu</v>
          </cell>
          <cell r="F223" t="str">
            <v>Gorontalo</v>
          </cell>
          <cell r="G223" t="str">
            <v>Gorontalo</v>
          </cell>
          <cell r="H223" t="str">
            <v>Penyangga</v>
          </cell>
          <cell r="L223" t="str">
            <v>#REF!</v>
          </cell>
          <cell r="M223" t="str">
            <v>PT. Mega Kreasi Bersinar</v>
          </cell>
        </row>
        <row r="224">
          <cell r="D224" t="str">
            <v>Olimoo'O</v>
          </cell>
          <cell r="E224" t="str">
            <v>Batudaa Pantai</v>
          </cell>
          <cell r="F224" t="str">
            <v>Gorontalo</v>
          </cell>
          <cell r="G224" t="str">
            <v>Gorontalo</v>
          </cell>
          <cell r="H224" t="str">
            <v>Penyangga</v>
          </cell>
          <cell r="L224" t="str">
            <v>#REF!</v>
          </cell>
          <cell r="M224" t="str">
            <v>PT. KARYA PALMALINDO ANUGERAH</v>
          </cell>
        </row>
        <row r="225">
          <cell r="D225" t="str">
            <v>Kedungrejo</v>
          </cell>
          <cell r="E225" t="str">
            <v>Muncar</v>
          </cell>
          <cell r="F225" t="str">
            <v>Banyuwangi</v>
          </cell>
          <cell r="G225" t="str">
            <v>Jawa Timur</v>
          </cell>
          <cell r="H225" t="str">
            <v>Penyangga (+cs)</v>
          </cell>
          <cell r="K225" t="str">
            <v>PT. Arisco Cipta Graha (kualifikasi menengah, paket untuk kecil)</v>
          </cell>
          <cell r="L225" t="str">
            <v>#REF!</v>
          </cell>
          <cell r="M225" t="str">
            <v>CV. Megah Makmur Konstruksi</v>
          </cell>
        </row>
        <row r="226">
          <cell r="D226" t="str">
            <v>Singaraja</v>
          </cell>
          <cell r="E226" t="str">
            <v>Indramayu</v>
          </cell>
          <cell r="F226" t="str">
            <v>Indramayu</v>
          </cell>
          <cell r="G226" t="str">
            <v>Jawa Barat</v>
          </cell>
          <cell r="H226" t="str">
            <v>Penyangga</v>
          </cell>
          <cell r="K226" t="str">
            <v>PT. Karina Prima Utama</v>
          </cell>
          <cell r="L226" t="str">
            <v>#REF!</v>
          </cell>
          <cell r="M226" t="str">
            <v>PT. Karina Prima Utama (Kecil)</v>
          </cell>
        </row>
        <row r="227">
          <cell r="D227" t="str">
            <v>Lemahwungkuk</v>
          </cell>
          <cell r="E227" t="str">
            <v>Lemahwungkuk</v>
          </cell>
          <cell r="F227" t="str">
            <v>Kota Cirebon</v>
          </cell>
          <cell r="G227" t="str">
            <v>Jawa Barat</v>
          </cell>
          <cell r="H227" t="str">
            <v>Penyangga</v>
          </cell>
          <cell r="K227" t="str">
            <v>CV. Mekar Jaya</v>
          </cell>
          <cell r="L227" t="str">
            <v>#REF!</v>
          </cell>
          <cell r="M227" t="str">
            <v>CV. Mekar Jaya</v>
          </cell>
        </row>
        <row r="228">
          <cell r="D228" t="str">
            <v>Bilato</v>
          </cell>
          <cell r="E228" t="str">
            <v>Bilato</v>
          </cell>
          <cell r="F228" t="str">
            <v>Gorontalo</v>
          </cell>
          <cell r="G228" t="str">
            <v>Gorontalo</v>
          </cell>
          <cell r="H228" t="str">
            <v>Penyangga</v>
          </cell>
          <cell r="L228" t="str">
            <v>#REF!</v>
          </cell>
          <cell r="M228" t="str">
            <v>PT. Kelman Infra Perkasa</v>
          </cell>
        </row>
        <row r="229">
          <cell r="D229" t="str">
            <v>Bubaa</v>
          </cell>
          <cell r="E229" t="str">
            <v>Paguyaman Pantai</v>
          </cell>
          <cell r="F229" t="str">
            <v>Boalemo</v>
          </cell>
          <cell r="G229" t="str">
            <v>Gorontalo</v>
          </cell>
          <cell r="H229" t="str">
            <v>Penyangga</v>
          </cell>
          <cell r="L229" t="str">
            <v>#REF!</v>
          </cell>
          <cell r="M229" t="str">
            <v>PT. Inovasi Multi Kreasindo (Kecil)</v>
          </cell>
        </row>
        <row r="230">
          <cell r="D230" t="str">
            <v>Girisa</v>
          </cell>
          <cell r="E230" t="str">
            <v>Paguyaman</v>
          </cell>
          <cell r="F230" t="str">
            <v>Boalemo</v>
          </cell>
          <cell r="G230" t="str">
            <v>Gorontalo</v>
          </cell>
          <cell r="H230" t="str">
            <v>Penyangga (+cs)</v>
          </cell>
          <cell r="L230" t="str">
            <v>#REF!</v>
          </cell>
          <cell r="M230" t="str">
            <v>PT. Kelman Infra Perkasa</v>
          </cell>
        </row>
        <row r="231">
          <cell r="D231" t="str">
            <v>Olibu</v>
          </cell>
          <cell r="E231" t="str">
            <v>Paguyaman Pantai</v>
          </cell>
          <cell r="F231" t="str">
            <v>Boalemo</v>
          </cell>
          <cell r="G231" t="str">
            <v>Gorontalo</v>
          </cell>
          <cell r="H231" t="str">
            <v>Penyangga</v>
          </cell>
          <cell r="L231" t="str">
            <v>#REF!</v>
          </cell>
          <cell r="M231" t="str">
            <v>PT. Inovasi Multi Kreasindo (Kecil)</v>
          </cell>
        </row>
        <row r="232">
          <cell r="D232" t="str">
            <v>Patoameme</v>
          </cell>
          <cell r="E232" t="str">
            <v>Botumoito</v>
          </cell>
          <cell r="F232" t="str">
            <v>Boalemo</v>
          </cell>
          <cell r="G232" t="str">
            <v>Gorontalo</v>
          </cell>
          <cell r="H232" t="str">
            <v>Penyangga</v>
          </cell>
          <cell r="L232" t="str">
            <v>#REF!</v>
          </cell>
          <cell r="M232" t="str">
            <v>PT. Kelman Infra Perkasa</v>
          </cell>
        </row>
        <row r="233">
          <cell r="D233" t="str">
            <v>Tabongo</v>
          </cell>
          <cell r="E233" t="str">
            <v>Dulupi</v>
          </cell>
          <cell r="F233" t="str">
            <v>Boalemo</v>
          </cell>
          <cell r="G233" t="str">
            <v>Gorontalo</v>
          </cell>
          <cell r="H233" t="str">
            <v>Penyangga</v>
          </cell>
          <cell r="L233" t="str">
            <v>#REF!</v>
          </cell>
          <cell r="M233" t="str">
            <v>PT. Kelman Infra Perkasa</v>
          </cell>
        </row>
        <row r="234">
          <cell r="D234" t="str">
            <v>Kalibuntu</v>
          </cell>
          <cell r="E234" t="str">
            <v>Kraksaan</v>
          </cell>
          <cell r="F234" t="str">
            <v>Probolinggo</v>
          </cell>
          <cell r="G234" t="str">
            <v>Jawa Timur</v>
          </cell>
          <cell r="H234" t="str">
            <v>Penyangga</v>
          </cell>
          <cell r="K234" t="str">
            <v>PT. Kembar Jaya Abadi</v>
          </cell>
          <cell r="L234" t="str">
            <v>PT Defani Energi Indonesia</v>
          </cell>
          <cell r="M234" t="str">
            <v>CV. Mayang Jaya</v>
          </cell>
        </row>
        <row r="235">
          <cell r="D235" t="str">
            <v>Pesisir</v>
          </cell>
          <cell r="E235" t="str">
            <v>Besuki</v>
          </cell>
          <cell r="F235" t="str">
            <v>Situbondo</v>
          </cell>
          <cell r="G235" t="str">
            <v>Jawa Timur</v>
          </cell>
          <cell r="H235" t="str">
            <v>Hub</v>
          </cell>
          <cell r="K235" t="str">
            <v>CV. Tosan</v>
          </cell>
          <cell r="L235" t="str">
            <v>#REF!</v>
          </cell>
          <cell r="M235" t="str">
            <v>CV. Tosan</v>
          </cell>
        </row>
        <row r="236">
          <cell r="D236" t="str">
            <v>Randuputih</v>
          </cell>
          <cell r="E236" t="str">
            <v>Dringu</v>
          </cell>
          <cell r="F236" t="str">
            <v>Probolinggo</v>
          </cell>
          <cell r="G236" t="str">
            <v>Jawa Timur</v>
          </cell>
          <cell r="H236" t="str">
            <v>Penyangga</v>
          </cell>
          <cell r="K236" t="str">
            <v>PT. Elang Mas Berdikari</v>
          </cell>
          <cell r="L236" t="str">
            <v>#REF!</v>
          </cell>
          <cell r="M236" t="str">
            <v>CV. Wapike Bali</v>
          </cell>
        </row>
        <row r="237">
          <cell r="D237" t="str">
            <v>Wonorejo</v>
          </cell>
          <cell r="E237" t="str">
            <v>Banyuputih</v>
          </cell>
          <cell r="F237" t="str">
            <v>Situbondo</v>
          </cell>
          <cell r="G237" t="str">
            <v>Jawa Timur</v>
          </cell>
          <cell r="H237" t="str">
            <v>Penyangga (+cs)</v>
          </cell>
          <cell r="K237" t="str">
            <v>CV. Tosan</v>
          </cell>
          <cell r="L237" t="str">
            <v>#REF!</v>
          </cell>
          <cell r="M237" t="str">
            <v>CV. Tosan</v>
          </cell>
        </row>
        <row r="238">
          <cell r="D238" t="str">
            <v>Langge</v>
          </cell>
          <cell r="E238" t="str">
            <v>Anggrek</v>
          </cell>
          <cell r="F238" t="str">
            <v>Gorontalo Utara</v>
          </cell>
          <cell r="G238" t="str">
            <v>Gorontalo</v>
          </cell>
          <cell r="H238" t="str">
            <v>Penyangga</v>
          </cell>
          <cell r="K238" t="str">
            <v>PT. Gora Cipta Sarana</v>
          </cell>
          <cell r="M238" t="str">
            <v>PT. Tata Sejatera Indonesia (Menengah)</v>
          </cell>
        </row>
        <row r="239">
          <cell r="D239" t="str">
            <v>Paseban</v>
          </cell>
          <cell r="E239" t="str">
            <v>Kencong</v>
          </cell>
          <cell r="F239" t="str">
            <v>Jember</v>
          </cell>
          <cell r="G239" t="str">
            <v>Jawa Timur</v>
          </cell>
          <cell r="H239" t="str">
            <v>Penyangga</v>
          </cell>
          <cell r="K239" t="str">
            <v>PT. Naviri Multi Konstruksi</v>
          </cell>
          <cell r="L239" t="str">
            <v>#REF!</v>
          </cell>
          <cell r="M239" t="str">
            <v>CV. Wapike Bali</v>
          </cell>
        </row>
        <row r="240">
          <cell r="D240" t="str">
            <v>Pugerkulon</v>
          </cell>
          <cell r="E240" t="str">
            <v>Puger</v>
          </cell>
          <cell r="F240" t="str">
            <v>Jember</v>
          </cell>
          <cell r="G240" t="str">
            <v>Jawa Timur</v>
          </cell>
          <cell r="H240" t="str">
            <v>Hub</v>
          </cell>
          <cell r="K240" t="str">
            <v>PT. Rizky Nanda Jaya</v>
          </cell>
          <cell r="L240" t="str">
            <v>#REF!</v>
          </cell>
          <cell r="M240" t="str">
            <v>CV. Pandunawi</v>
          </cell>
        </row>
        <row r="241">
          <cell r="D241" t="str">
            <v>Sumberejo</v>
          </cell>
          <cell r="E241" t="str">
            <v>Ambulu</v>
          </cell>
          <cell r="F241" t="str">
            <v>candigi</v>
          </cell>
          <cell r="G241" t="str">
            <v>Jawa Timur</v>
          </cell>
          <cell r="H241" t="str">
            <v>Penyangga (+cs)</v>
          </cell>
          <cell r="K241" t="str">
            <v>PT. Alinea Multi Consultant</v>
          </cell>
          <cell r="L241" t="str">
            <v>#REF!</v>
          </cell>
          <cell r="M241" t="str">
            <v>CV. Wapike Bali</v>
          </cell>
        </row>
        <row r="242">
          <cell r="D242" t="str">
            <v>Kwalabesar</v>
          </cell>
          <cell r="E242" t="str">
            <v>Paleleh</v>
          </cell>
          <cell r="F242" t="str">
            <v>Buol</v>
          </cell>
          <cell r="G242" t="str">
            <v>Sulawesi Tengah</v>
          </cell>
          <cell r="H242" t="str">
            <v>Penyangga</v>
          </cell>
          <cell r="K242" t="str">
            <v>CV. Frelly</v>
          </cell>
          <cell r="L242" t="str">
            <v>PT. Macini Raya Pratama</v>
          </cell>
          <cell r="M242" t="str">
            <v>PT. Macini Raya Pratama</v>
          </cell>
        </row>
        <row r="243">
          <cell r="D243" t="str">
            <v>Taat</v>
          </cell>
          <cell r="E243" t="str">
            <v>Gadung</v>
          </cell>
          <cell r="F243" t="str">
            <v>Buol</v>
          </cell>
          <cell r="G243" t="str">
            <v>Sulawesi Tengah</v>
          </cell>
          <cell r="H243" t="str">
            <v>Penyangga</v>
          </cell>
          <cell r="K243" t="str">
            <v>CV. Frelly</v>
          </cell>
          <cell r="L243" t="str">
            <v>PT. Macini Raya Pratama</v>
          </cell>
          <cell r="M243" t="str">
            <v>PT. Macini Raya Pratama</v>
          </cell>
        </row>
        <row r="244">
          <cell r="D244" t="str">
            <v>Tamit</v>
          </cell>
          <cell r="E244" t="str">
            <v>Bunobogu</v>
          </cell>
          <cell r="F244" t="str">
            <v>Buol</v>
          </cell>
          <cell r="G244" t="str">
            <v>Sulawesi Tengah</v>
          </cell>
          <cell r="H244" t="str">
            <v>Hub</v>
          </cell>
          <cell r="K244" t="str">
            <v>CV. Frelly</v>
          </cell>
          <cell r="L244" t="str">
            <v>PT. Macini Raya Pratama</v>
          </cell>
          <cell r="M244" t="str">
            <v>PT. Macini Raya Pratama</v>
          </cell>
        </row>
        <row r="245">
          <cell r="D245" t="str">
            <v>Torosiaje Jaya</v>
          </cell>
          <cell r="E245" t="str">
            <v>Popayato</v>
          </cell>
          <cell r="F245" t="str">
            <v>Pohuwato</v>
          </cell>
          <cell r="G245" t="str">
            <v>Gorontalo</v>
          </cell>
          <cell r="H245" t="str">
            <v>Hub</v>
          </cell>
          <cell r="L245" t="str">
            <v>#REF!</v>
          </cell>
          <cell r="M245" t="str">
            <v>CV. Khayra Berkah Konstruksindo</v>
          </cell>
        </row>
        <row r="246">
          <cell r="D246" t="str">
            <v>Bajo Pulau</v>
          </cell>
          <cell r="E246" t="str">
            <v>Sape</v>
          </cell>
          <cell r="F246" t="str">
            <v>Bima</v>
          </cell>
          <cell r="G246" t="str">
            <v>Nusa Tenggara Barat</v>
          </cell>
          <cell r="H246" t="str">
            <v>Penyangga</v>
          </cell>
          <cell r="K246" t="str">
            <v>PT. Daffa Buana Sakti</v>
          </cell>
          <cell r="L246" t="str">
            <v>#REF!</v>
          </cell>
          <cell r="M246" t="str">
            <v>CV. Kalembo Ade Nautama</v>
          </cell>
        </row>
        <row r="247">
          <cell r="D247" t="str">
            <v>Labuhan Ratu</v>
          </cell>
          <cell r="E247" t="str">
            <v>Pasir Sakti</v>
          </cell>
          <cell r="F247" t="str">
            <v>Lampung Timur</v>
          </cell>
          <cell r="G247" t="str">
            <v>Lampung</v>
          </cell>
          <cell r="H247" t="str">
            <v>Penyangga</v>
          </cell>
          <cell r="K247" t="str">
            <v>PT. Ratu Nayla Mandiri</v>
          </cell>
          <cell r="L247" t="str">
            <v>#REF!</v>
          </cell>
          <cell r="M247" t="str">
            <v>PT. Ratu Nayla Mandiri</v>
          </cell>
        </row>
        <row r="248">
          <cell r="D248" t="str">
            <v>Biduk-Biduk</v>
          </cell>
          <cell r="E248" t="str">
            <v>Biduk-Biduk</v>
          </cell>
          <cell r="F248" t="str">
            <v>Berau</v>
          </cell>
          <cell r="G248" t="str">
            <v>Kalimantan Timur</v>
          </cell>
          <cell r="H248" t="str">
            <v>Hub</v>
          </cell>
          <cell r="K248" t="str">
            <v>PT. Maju Tama Mulia</v>
          </cell>
          <cell r="L248" t="str">
            <v>#REF!</v>
          </cell>
          <cell r="M248" t="str">
            <v>PT. Manggusu Waru Nusantara</v>
          </cell>
        </row>
        <row r="249">
          <cell r="D249" t="str">
            <v>Buyung-Buyung</v>
          </cell>
          <cell r="E249" t="str">
            <v>Tabalar</v>
          </cell>
          <cell r="F249" t="str">
            <v>Berau</v>
          </cell>
          <cell r="G249" t="str">
            <v>Kalimantan Timur</v>
          </cell>
          <cell r="H249" t="str">
            <v>Penyangga</v>
          </cell>
          <cell r="K249" t="str">
            <v>PT. Maju Tama Mulia</v>
          </cell>
          <cell r="L249" t="str">
            <v>#REF!</v>
          </cell>
          <cell r="M249" t="str">
            <v>PT. Manggusu Waru Nusantara</v>
          </cell>
        </row>
        <row r="250">
          <cell r="D250" t="str">
            <v>Kuta</v>
          </cell>
          <cell r="E250" t="str">
            <v>Pujut</v>
          </cell>
          <cell r="F250" t="str">
            <v>Lombok Tengah</v>
          </cell>
          <cell r="G250" t="str">
            <v>Nusa Tenggara Barat</v>
          </cell>
          <cell r="H250" t="str">
            <v>Penyangga (+cs)</v>
          </cell>
          <cell r="K250" t="str">
            <v>PT Asuka Engineering Indonesia</v>
          </cell>
          <cell r="L250" t="str">
            <v>#REF!</v>
          </cell>
          <cell r="M250" t="str">
            <v>PT. Asuka Engineering Indonesia</v>
          </cell>
        </row>
        <row r="251">
          <cell r="D251" t="str">
            <v>Mertak</v>
          </cell>
          <cell r="E251" t="str">
            <v>Pujut</v>
          </cell>
          <cell r="F251" t="str">
            <v>Lombok Tengah</v>
          </cell>
          <cell r="G251" t="str">
            <v>Nusa Tenggara Barat</v>
          </cell>
          <cell r="H251" t="str">
            <v>Penyangga (+cs)</v>
          </cell>
          <cell r="K251" t="str">
            <v>PT Asuka Engineering Indonesia</v>
          </cell>
          <cell r="L251" t="str">
            <v>#REF!</v>
          </cell>
          <cell r="M251" t="str">
            <v>PT. Asuka Engineering Indonesia</v>
          </cell>
        </row>
        <row r="252">
          <cell r="D252" t="str">
            <v>Buncu</v>
          </cell>
          <cell r="E252" t="str">
            <v>Sape</v>
          </cell>
          <cell r="F252" t="str">
            <v>Bima</v>
          </cell>
          <cell r="G252" t="str">
            <v>Nusa Tenggara Barat</v>
          </cell>
          <cell r="H252" t="str">
            <v>Penyangga</v>
          </cell>
          <cell r="K252" t="str">
            <v>PT. Daffa Buana Sakti</v>
          </cell>
          <cell r="L252" t="str">
            <v>#REF!</v>
          </cell>
          <cell r="M252" t="str">
            <v>CV. Kalembo Ade Nautama</v>
          </cell>
        </row>
        <row r="253">
          <cell r="D253" t="str">
            <v>Lamere</v>
          </cell>
          <cell r="E253" t="str">
            <v>Sape</v>
          </cell>
          <cell r="F253" t="str">
            <v>Bima</v>
          </cell>
          <cell r="G253" t="str">
            <v>Nusa Tenggara Barat</v>
          </cell>
          <cell r="H253" t="str">
            <v>Penyangga</v>
          </cell>
          <cell r="K253" t="str">
            <v>PT. Daffa Buana Sakti</v>
          </cell>
          <cell r="L253" t="str">
            <v>#REF!</v>
          </cell>
          <cell r="M253" t="str">
            <v>CV. Kalembo Ade Nautama</v>
          </cell>
        </row>
        <row r="254">
          <cell r="D254" t="str">
            <v>Banjar</v>
          </cell>
          <cell r="E254" t="str">
            <v>Ampenan</v>
          </cell>
          <cell r="F254" t="str">
            <v>Kota Mataram</v>
          </cell>
          <cell r="G254" t="str">
            <v>Nusa Tenggara Barat</v>
          </cell>
          <cell r="H254" t="str">
            <v>Penyangga</v>
          </cell>
          <cell r="K254" t="str">
            <v>PT Asuka Engineering Indonesia</v>
          </cell>
          <cell r="L254" t="str">
            <v>#REF!</v>
          </cell>
          <cell r="M254" t="str">
            <v>PT. Asuka Engineering Indonesia</v>
          </cell>
        </row>
        <row r="255">
          <cell r="D255" t="str">
            <v>Batu Putih</v>
          </cell>
          <cell r="E255" t="str">
            <v>Sekotong</v>
          </cell>
          <cell r="F255" t="str">
            <v>Lombok Barat</v>
          </cell>
          <cell r="G255" t="str">
            <v>Nusa Tenggara Barat</v>
          </cell>
          <cell r="H255" t="str">
            <v>Penyangga</v>
          </cell>
          <cell r="K255" t="str">
            <v>PT Asuka Engineering Indonesia</v>
          </cell>
          <cell r="L255" t="str">
            <v>#REF!</v>
          </cell>
          <cell r="M255" t="str">
            <v>PT. Asuka Engineering Indonesia</v>
          </cell>
        </row>
        <row r="256">
          <cell r="D256" t="str">
            <v>Buwun Mas</v>
          </cell>
          <cell r="E256" t="str">
            <v>Sekotong</v>
          </cell>
          <cell r="F256" t="str">
            <v>Lombok Barat</v>
          </cell>
          <cell r="G256" t="str">
            <v>Nusa Tenggara Barat</v>
          </cell>
          <cell r="H256" t="str">
            <v>Hub</v>
          </cell>
          <cell r="K256" t="str">
            <v>PT Asuka Engineering Indonesia</v>
          </cell>
          <cell r="L256" t="str">
            <v>#REF!</v>
          </cell>
          <cell r="M256" t="str">
            <v>PT. Asuka Engineering Indonesia</v>
          </cell>
        </row>
        <row r="257">
          <cell r="D257" t="str">
            <v>Gili Gede Indah</v>
          </cell>
          <cell r="E257" t="str">
            <v>Sekotong</v>
          </cell>
          <cell r="F257" t="str">
            <v>Lombok Barat</v>
          </cell>
          <cell r="G257" t="str">
            <v>Nusa Tenggara Barat</v>
          </cell>
          <cell r="H257" t="str">
            <v>Penyangga</v>
          </cell>
          <cell r="K257" t="str">
            <v>PT Asuka Engineering Indonesia</v>
          </cell>
          <cell r="L257" t="str">
            <v>#REF!</v>
          </cell>
          <cell r="M257" t="str">
            <v>PT. Asuka Engineering Indonesia</v>
          </cell>
        </row>
        <row r="258">
          <cell r="D258" t="str">
            <v>Kuranji Dalang</v>
          </cell>
          <cell r="E258" t="str">
            <v>Labuapi</v>
          </cell>
          <cell r="F258" t="str">
            <v>Lombok Barat</v>
          </cell>
          <cell r="G258" t="str">
            <v>Nusa Tenggara Barat</v>
          </cell>
          <cell r="H258" t="str">
            <v>Penyangga</v>
          </cell>
          <cell r="K258" t="str">
            <v>PT Asuka Engineering Indonesia</v>
          </cell>
          <cell r="L258" t="str">
            <v>#REF!</v>
          </cell>
          <cell r="M258" t="str">
            <v>PT. Asuka Engineering Indonesia</v>
          </cell>
        </row>
        <row r="259">
          <cell r="D259" t="str">
            <v>Sungai Burung</v>
          </cell>
          <cell r="E259" t="str">
            <v>Dente Teladas</v>
          </cell>
          <cell r="F259" t="str">
            <v>Tulang Bawang</v>
          </cell>
          <cell r="G259" t="str">
            <v>Lampung</v>
          </cell>
          <cell r="H259" t="str">
            <v>Penyangga</v>
          </cell>
          <cell r="K259" t="str">
            <v>PT. Takabea Reshi Consulindo</v>
          </cell>
          <cell r="L259" t="str">
            <v>#REF!</v>
          </cell>
          <cell r="M259" t="str">
            <v>PT. Berkarya Indo Guna</v>
          </cell>
        </row>
        <row r="260">
          <cell r="D260" t="str">
            <v>Tanjung</v>
          </cell>
          <cell r="E260" t="str">
            <v>Bunguran Timur Laut</v>
          </cell>
          <cell r="F260" t="str">
            <v>Natuna</v>
          </cell>
          <cell r="G260" t="str">
            <v>Kepulauan Riau</v>
          </cell>
          <cell r="H260" t="str">
            <v>Penyangga</v>
          </cell>
          <cell r="K260" t="str">
            <v>PT. Aset Prima Konstruksi</v>
          </cell>
          <cell r="L260" t="str">
            <v>#REF!</v>
          </cell>
          <cell r="M260" t="str">
            <v>PT SPECTRATAMA PERKASA</v>
          </cell>
        </row>
        <row r="261">
          <cell r="D261" t="str">
            <v>Kekatang</v>
          </cell>
          <cell r="E261" t="str">
            <v>Marga Punduh</v>
          </cell>
          <cell r="F261" t="str">
            <v>Pesawaran</v>
          </cell>
          <cell r="G261" t="str">
            <v>Lampung</v>
          </cell>
          <cell r="H261" t="str">
            <v>Penyangga</v>
          </cell>
          <cell r="L261" t="str">
            <v>#REF!</v>
          </cell>
          <cell r="M261" t="str">
            <v>PT. Baragalu Tias Jaya</v>
          </cell>
        </row>
        <row r="262">
          <cell r="D262" t="str">
            <v>Penyandingan</v>
          </cell>
          <cell r="E262" t="str">
            <v>Kelumbayan</v>
          </cell>
          <cell r="F262" t="str">
            <v>Tanggamus</v>
          </cell>
          <cell r="G262" t="str">
            <v>Lampung</v>
          </cell>
          <cell r="H262" t="str">
            <v>Penyangga</v>
          </cell>
          <cell r="L262" t="str">
            <v>#REF!</v>
          </cell>
          <cell r="M262" t="str">
            <v>PT. Baragalu Tias Jaya</v>
          </cell>
        </row>
        <row r="263">
          <cell r="D263" t="str">
            <v>Sukarame</v>
          </cell>
          <cell r="E263" t="str">
            <v>Punduh Pidada</v>
          </cell>
          <cell r="F263" t="str">
            <v>Pesawaran</v>
          </cell>
          <cell r="G263" t="str">
            <v>Lampung</v>
          </cell>
          <cell r="H263" t="str">
            <v>Penyangga</v>
          </cell>
          <cell r="L263" t="str">
            <v>#REF!</v>
          </cell>
          <cell r="M263" t="str">
            <v>PT. Baragalu Tias Jaya</v>
          </cell>
        </row>
        <row r="264">
          <cell r="D264" t="str">
            <v>Pemongkong</v>
          </cell>
          <cell r="E264" t="str">
            <v>Jerowaru</v>
          </cell>
          <cell r="F264" t="str">
            <v>Lombok Timur</v>
          </cell>
          <cell r="G264" t="str">
            <v>Nusa Tenggara Barat</v>
          </cell>
          <cell r="H264" t="str">
            <v>Penyangga</v>
          </cell>
          <cell r="K264" t="str">
            <v>CV. Karbonat Inti Media</v>
          </cell>
          <cell r="L264" t="str">
            <v>#REF!</v>
          </cell>
          <cell r="M264" t="str">
            <v>PT. Asuka Engineering Indonesia</v>
          </cell>
        </row>
        <row r="265">
          <cell r="D265" t="str">
            <v>Tanjung Luar</v>
          </cell>
          <cell r="E265" t="str">
            <v>Keruak</v>
          </cell>
          <cell r="F265" t="str">
            <v>Lombok Timur</v>
          </cell>
          <cell r="G265" t="str">
            <v>Nusa Tenggara Barat</v>
          </cell>
          <cell r="H265" t="str">
            <v>Penyangga (+cs)</v>
          </cell>
          <cell r="K265" t="str">
            <v>PT. Ramadika Mandiri</v>
          </cell>
          <cell r="L265" t="str">
            <v>#REF!</v>
          </cell>
          <cell r="M265" t="str">
            <v>PT. Asuka Engineering Indonesia</v>
          </cell>
        </row>
        <row r="266">
          <cell r="D266" t="str">
            <v>Hu'U</v>
          </cell>
          <cell r="E266" t="str">
            <v>Hu'U</v>
          </cell>
          <cell r="F266" t="str">
            <v>Dompu</v>
          </cell>
          <cell r="G266" t="str">
            <v>Nusa Tenggara Barat</v>
          </cell>
          <cell r="H266" t="str">
            <v>Penyangga</v>
          </cell>
          <cell r="K266" t="str">
            <v>PT. Karya Bumi Inti Konstruksi</v>
          </cell>
          <cell r="L266" t="str">
            <v>#REF!</v>
          </cell>
          <cell r="M266" t="str">
            <v>PT. Daffa Buana Sakti (Menengah)</v>
          </cell>
        </row>
        <row r="267">
          <cell r="D267" t="str">
            <v>Jambu</v>
          </cell>
          <cell r="E267" t="str">
            <v>Pajo</v>
          </cell>
          <cell r="F267" t="str">
            <v>Dompu</v>
          </cell>
          <cell r="G267" t="str">
            <v>Nusa Tenggara Barat</v>
          </cell>
          <cell r="H267" t="str">
            <v>Penyangga</v>
          </cell>
          <cell r="K267" t="str">
            <v>PT. Karya Bumi Inti Konstruksi</v>
          </cell>
          <cell r="L267" t="str">
            <v>#REF!</v>
          </cell>
          <cell r="M267" t="str">
            <v>PT. Daffa Buana Sakti (Menengah)</v>
          </cell>
        </row>
        <row r="268">
          <cell r="D268" t="str">
            <v>Karama</v>
          </cell>
          <cell r="E268" t="str">
            <v>Kilo</v>
          </cell>
          <cell r="F268" t="str">
            <v>Dompu</v>
          </cell>
          <cell r="G268" t="str">
            <v>Nusa Tenggara Barat</v>
          </cell>
          <cell r="H268" t="str">
            <v>Penyangga</v>
          </cell>
          <cell r="K268" t="str">
            <v>PT. Karya Bumi Inti Konstruksi</v>
          </cell>
          <cell r="L268" t="str">
            <v>#REF!</v>
          </cell>
          <cell r="M268" t="str">
            <v>PT. Daffa Buana Sakti (Menengah)</v>
          </cell>
        </row>
        <row r="269">
          <cell r="D269" t="str">
            <v>Kletek</v>
          </cell>
          <cell r="E269" t="str">
            <v>Malaka Tengah</v>
          </cell>
          <cell r="F269" t="str">
            <v>Malaka</v>
          </cell>
          <cell r="G269" t="str">
            <v>Nusa Tenggara Timur</v>
          </cell>
          <cell r="H269" t="str">
            <v>Penyangga</v>
          </cell>
          <cell r="K269" t="str">
            <v>PT. Santosa Asih Jaya</v>
          </cell>
          <cell r="L269" t="str">
            <v>#REF!</v>
          </cell>
          <cell r="M269" t="str">
            <v>PT. AMI Kamena Jaya</v>
          </cell>
        </row>
        <row r="270">
          <cell r="D270" t="str">
            <v>Weoe</v>
          </cell>
          <cell r="E270" t="str">
            <v>Wewiku</v>
          </cell>
          <cell r="F270" t="str">
            <v>Malaka</v>
          </cell>
          <cell r="G270" t="str">
            <v>Nusa Tenggara Timur</v>
          </cell>
          <cell r="H270" t="str">
            <v>Penyangga</v>
          </cell>
          <cell r="K270" t="str">
            <v>PT. Santosa Asih Jaya</v>
          </cell>
          <cell r="L270" t="str">
            <v>#REF!</v>
          </cell>
          <cell r="M270" t="str">
            <v>PT. AMI Kamena Jaya</v>
          </cell>
        </row>
        <row r="271">
          <cell r="D271" t="str">
            <v>Kore</v>
          </cell>
          <cell r="E271" t="str">
            <v>Sanggar</v>
          </cell>
          <cell r="F271" t="str">
            <v>Bima</v>
          </cell>
          <cell r="G271" t="str">
            <v>Nusa Tenggara Barat</v>
          </cell>
          <cell r="H271" t="str">
            <v>Penyangga</v>
          </cell>
          <cell r="K271" t="str">
            <v>PT. Daffa Buana Sakti</v>
          </cell>
          <cell r="L271" t="str">
            <v>#REF!</v>
          </cell>
          <cell r="M271" t="str">
            <v>CV. Kalembo Ade Nautama</v>
          </cell>
        </row>
        <row r="272">
          <cell r="D272" t="str">
            <v>Bumi Waras</v>
          </cell>
          <cell r="E272" t="str">
            <v>Bumi Waras</v>
          </cell>
          <cell r="F272" t="str">
            <v>Kota Bandar Lampung</v>
          </cell>
          <cell r="G272" t="str">
            <v>Lampung</v>
          </cell>
          <cell r="H272" t="str">
            <v>Penyangga</v>
          </cell>
          <cell r="K272" t="str">
            <v>PT. Mitra Selaras Nusantara</v>
          </cell>
          <cell r="L272" t="str">
            <v>#REF!</v>
          </cell>
          <cell r="M272" t="str">
            <v>PT. Mitra Selaras Nusantara</v>
          </cell>
        </row>
        <row r="273">
          <cell r="D273" t="str">
            <v>Kangkung</v>
          </cell>
          <cell r="E273" t="str">
            <v>Bumi Waras</v>
          </cell>
          <cell r="F273" t="str">
            <v>Kota Bandar Lampung</v>
          </cell>
          <cell r="G273" t="str">
            <v>Lampung</v>
          </cell>
          <cell r="H273" t="str">
            <v>Penyangga</v>
          </cell>
          <cell r="L273" t="str">
            <v>#REF!</v>
          </cell>
          <cell r="M273" t="str">
            <v>PT. Hage Primadi Konstruksi (Menengah)</v>
          </cell>
        </row>
        <row r="274">
          <cell r="D274" t="str">
            <v>Kota Karang Raya</v>
          </cell>
          <cell r="E274" t="str">
            <v>Telukbetung Timur</v>
          </cell>
          <cell r="F274" t="str">
            <v>Kota Bandar Lampung</v>
          </cell>
          <cell r="G274" t="str">
            <v>Lampung</v>
          </cell>
          <cell r="H274" t="str">
            <v>Hub</v>
          </cell>
          <cell r="L274" t="str">
            <v>#REF!</v>
          </cell>
          <cell r="M274" t="str">
            <v>PT. Hage Primadi Konstruksi (Menengah)</v>
          </cell>
        </row>
        <row r="275">
          <cell r="D275" t="str">
            <v>Kuala</v>
          </cell>
          <cell r="E275" t="str">
            <v>Singkawang Barat</v>
          </cell>
          <cell r="F275" t="str">
            <v>Kota Singkawang</v>
          </cell>
          <cell r="G275" t="str">
            <v>Kalimantan Barat</v>
          </cell>
          <cell r="H275" t="str">
            <v>Hub</v>
          </cell>
          <cell r="K275" t="str">
            <v>PT. Cipta Adhi Guna</v>
          </cell>
          <cell r="L275" t="str">
            <v>#REF!</v>
          </cell>
          <cell r="M275" t="str">
            <v>PT. Profitindo Primatama Jaya Abadi (Menengah)</v>
          </cell>
        </row>
        <row r="276">
          <cell r="D276" t="str">
            <v>Kuala Tambangan</v>
          </cell>
          <cell r="E276" t="str">
            <v>Takisung</v>
          </cell>
          <cell r="F276" t="str">
            <v>Tanah Laut</v>
          </cell>
          <cell r="G276" t="str">
            <v>Kalimantan Selatan</v>
          </cell>
          <cell r="H276" t="str">
            <v>Hub</v>
          </cell>
          <cell r="K276" t="str">
            <v>CV. Naufal Libra Jaya</v>
          </cell>
          <cell r="L276" t="str">
            <v>#REF!</v>
          </cell>
          <cell r="M276" t="str">
            <v>CV. Andalan Putra Bone Perkasa</v>
          </cell>
        </row>
        <row r="277">
          <cell r="D277" t="str">
            <v>Muara Asam-Asam</v>
          </cell>
          <cell r="E277" t="str">
            <v>Jorong</v>
          </cell>
          <cell r="F277" t="str">
            <v>Tanah Laut</v>
          </cell>
          <cell r="G277" t="str">
            <v>Kalimantan Selatan</v>
          </cell>
          <cell r="H277" t="str">
            <v>Penyangga (+cs)</v>
          </cell>
          <cell r="K277" t="str">
            <v>CV. Naufal Libra Jaya</v>
          </cell>
          <cell r="L277" t="str">
            <v>#REF!</v>
          </cell>
          <cell r="M277" t="str">
            <v>CV. Andalan Putra Bone Perkasa</v>
          </cell>
        </row>
        <row r="278">
          <cell r="D278" t="str">
            <v>Tabanio</v>
          </cell>
          <cell r="E278" t="str">
            <v>Takisung</v>
          </cell>
          <cell r="F278" t="str">
            <v>Tanah Laut</v>
          </cell>
          <cell r="G278" t="str">
            <v>Kalimantan Selatan</v>
          </cell>
          <cell r="H278" t="str">
            <v>Penyangga</v>
          </cell>
          <cell r="K278" t="str">
            <v>CV. Naufal Libra Jaya</v>
          </cell>
          <cell r="L278" t="str">
            <v>#REF!</v>
          </cell>
          <cell r="M278" t="str">
            <v>CV. Dwi Cipta Wijaya</v>
          </cell>
        </row>
        <row r="279">
          <cell r="D279" t="str">
            <v>Kualin</v>
          </cell>
          <cell r="E279" t="str">
            <v>Kualin</v>
          </cell>
          <cell r="F279" t="str">
            <v>Timor Tengah Selatan</v>
          </cell>
          <cell r="G279" t="str">
            <v>Nusa Tenggara Timur</v>
          </cell>
          <cell r="H279" t="str">
            <v>Hub</v>
          </cell>
          <cell r="K279" t="str">
            <v>PT. Mega Karya Sentralindo</v>
          </cell>
          <cell r="L279" t="str">
            <v>#REF!</v>
          </cell>
          <cell r="M279" t="str">
            <v>PT. Mega Karya Sentralindo (Kecil/Menengah)</v>
          </cell>
        </row>
        <row r="280">
          <cell r="D280" t="str">
            <v>Oetuke</v>
          </cell>
          <cell r="E280" t="str">
            <v>Kolbano</v>
          </cell>
          <cell r="F280" t="str">
            <v>Timor Tengah Selatan</v>
          </cell>
          <cell r="G280" t="str">
            <v>Nusa Tenggara Timur</v>
          </cell>
          <cell r="H280" t="str">
            <v>Penyangga</v>
          </cell>
          <cell r="K280" t="str">
            <v>PT. Mega Karya Sentralindo</v>
          </cell>
          <cell r="L280" t="str">
            <v>#REF!</v>
          </cell>
          <cell r="M280" t="str">
            <v>PT. Mega Karya Sentralindo (Kecil/Menengah)</v>
          </cell>
        </row>
        <row r="281">
          <cell r="D281" t="str">
            <v>Banding</v>
          </cell>
          <cell r="E281" t="str">
            <v>Raja Basa</v>
          </cell>
          <cell r="F281" t="str">
            <v>Lampung Selatan</v>
          </cell>
          <cell r="G281" t="str">
            <v>Lampung</v>
          </cell>
          <cell r="H281" t="str">
            <v>Penyangga</v>
          </cell>
          <cell r="L281" t="str">
            <v>#REF!</v>
          </cell>
          <cell r="M281" t="str">
            <v>PT. Ratu Nayla Mandiri</v>
          </cell>
        </row>
        <row r="282">
          <cell r="D282" t="str">
            <v>Kalianda</v>
          </cell>
          <cell r="E282" t="str">
            <v>Kalianda</v>
          </cell>
          <cell r="F282" t="str">
            <v>Lampung Selatan</v>
          </cell>
          <cell r="G282" t="str">
            <v>Lampung</v>
          </cell>
          <cell r="H282" t="str">
            <v>Penyangga</v>
          </cell>
          <cell r="L282" t="str">
            <v>#REF!</v>
          </cell>
          <cell r="M282" t="str">
            <v>PT. Ratu Nayla Mandiri</v>
          </cell>
        </row>
        <row r="283">
          <cell r="D283" t="str">
            <v>Kwangko</v>
          </cell>
          <cell r="E283" t="str">
            <v>Manggalewa</v>
          </cell>
          <cell r="F283" t="str">
            <v>Dompu</v>
          </cell>
          <cell r="G283" t="str">
            <v>Nusa Tenggara Barat</v>
          </cell>
          <cell r="H283" t="str">
            <v>Penyangga</v>
          </cell>
          <cell r="K283" t="str">
            <v>PT. Karya Bumi Inti Konstruksi</v>
          </cell>
          <cell r="L283" t="str">
            <v>#REF!</v>
          </cell>
          <cell r="M283" t="str">
            <v>PT. Daffa Buana Sakti (Menengah)</v>
          </cell>
        </row>
        <row r="284">
          <cell r="D284" t="str">
            <v>Labuhan Jambu</v>
          </cell>
          <cell r="E284" t="str">
            <v>Tarano</v>
          </cell>
          <cell r="F284" t="str">
            <v>Sumbawa</v>
          </cell>
          <cell r="G284" t="str">
            <v>Nusa Tenggara Barat</v>
          </cell>
          <cell r="H284" t="str">
            <v>Penyangga (+cs)</v>
          </cell>
          <cell r="K284" t="str">
            <v>PT Asuka Engineering Indonesia</v>
          </cell>
          <cell r="L284" t="str">
            <v>#REF!</v>
          </cell>
          <cell r="M284" t="str">
            <v>PT. Asuka Engineering Indonesia</v>
          </cell>
        </row>
        <row r="285">
          <cell r="D285" t="str">
            <v>Teluk Santong</v>
          </cell>
          <cell r="E285" t="str">
            <v>Plampang</v>
          </cell>
          <cell r="F285" t="str">
            <v>Sumbawa</v>
          </cell>
          <cell r="G285" t="str">
            <v>Nusa Tenggara Barat</v>
          </cell>
          <cell r="H285" t="str">
            <v>Penyangga (+cs)</v>
          </cell>
          <cell r="K285" t="str">
            <v>PT Asuka Engineering Indonesia</v>
          </cell>
          <cell r="L285" t="str">
            <v>#REF!</v>
          </cell>
          <cell r="M285" t="str">
            <v>PT. Asuka Engineering Indonesia</v>
          </cell>
        </row>
        <row r="286">
          <cell r="D286" t="str">
            <v>Labuhan Alas</v>
          </cell>
          <cell r="E286" t="str">
            <v>Alas</v>
          </cell>
          <cell r="F286" t="str">
            <v>Sumbawa</v>
          </cell>
          <cell r="G286" t="str">
            <v>Nusa Tenggara Barat</v>
          </cell>
          <cell r="H286" t="str">
            <v>Penyangga</v>
          </cell>
          <cell r="K286" t="str">
            <v>PT Asuka Engineering Indonesia</v>
          </cell>
          <cell r="L286" t="str">
            <v>#REF!</v>
          </cell>
          <cell r="M286" t="str">
            <v>PT. Asuka Engineering Indonesia</v>
          </cell>
        </row>
        <row r="287">
          <cell r="D287" t="str">
            <v>Labuhan Burung</v>
          </cell>
          <cell r="E287" t="str">
            <v>Buer</v>
          </cell>
          <cell r="F287" t="str">
            <v>Sumbawa</v>
          </cell>
          <cell r="G287" t="str">
            <v>Nusa Tenggara Barat</v>
          </cell>
          <cell r="H287" t="str">
            <v>Penyangga</v>
          </cell>
          <cell r="K287" t="str">
            <v>PT Asuka Engineering Indonesia</v>
          </cell>
          <cell r="L287" t="str">
            <v>#REF!</v>
          </cell>
          <cell r="M287" t="str">
            <v>PT. Berkah Mitra Engineering</v>
          </cell>
        </row>
        <row r="288">
          <cell r="D288" t="str">
            <v>Labuhan Mapin</v>
          </cell>
          <cell r="E288" t="str">
            <v>Alas Barat</v>
          </cell>
          <cell r="F288" t="str">
            <v>Sumbawa</v>
          </cell>
          <cell r="G288" t="str">
            <v>Nusa Tenggara Barat</v>
          </cell>
          <cell r="H288" t="str">
            <v>Penyangga</v>
          </cell>
          <cell r="K288" t="str">
            <v>PT Asuka Engineering Indonesia</v>
          </cell>
          <cell r="L288" t="str">
            <v>#REF!</v>
          </cell>
          <cell r="M288" t="str">
            <v>PT. Asuka Engineering Indonesia</v>
          </cell>
        </row>
        <row r="289">
          <cell r="D289" t="str">
            <v>Pulau Kaung</v>
          </cell>
          <cell r="E289" t="str">
            <v>Buer</v>
          </cell>
          <cell r="F289" t="str">
            <v>Sumbawa</v>
          </cell>
          <cell r="G289" t="str">
            <v>Nusa Tenggara Barat</v>
          </cell>
          <cell r="H289" t="str">
            <v>Penyangga</v>
          </cell>
          <cell r="K289" t="str">
            <v>PT Asuka Engineering Indonesia</v>
          </cell>
          <cell r="L289" t="str">
            <v>#REF!</v>
          </cell>
          <cell r="M289" t="str">
            <v>PT. Asuka Engineering Indonesia</v>
          </cell>
        </row>
        <row r="290">
          <cell r="D290" t="str">
            <v>Lambu</v>
          </cell>
          <cell r="E290" t="str">
            <v>Lambu</v>
          </cell>
          <cell r="F290" t="str">
            <v>Bima</v>
          </cell>
          <cell r="G290" t="str">
            <v>Nusa Tenggara Barat</v>
          </cell>
          <cell r="H290" t="str">
            <v>Penyangga</v>
          </cell>
          <cell r="K290" t="str">
            <v>PT. Wijaya Karya Nusacipta</v>
          </cell>
          <cell r="L290" t="str">
            <v>#REF!</v>
          </cell>
          <cell r="M290" t="str">
            <v>CV. Terang Globalindo</v>
          </cell>
        </row>
        <row r="291">
          <cell r="D291" t="str">
            <v>Hansisi</v>
          </cell>
          <cell r="E291" t="str">
            <v>Semau</v>
          </cell>
          <cell r="F291" t="str">
            <v>Kupang</v>
          </cell>
          <cell r="G291" t="str">
            <v>Nusa Tenggara Timur</v>
          </cell>
          <cell r="H291" t="str">
            <v>Penyangga</v>
          </cell>
          <cell r="K291" t="str">
            <v>PT. Santosa Asih Jaya</v>
          </cell>
          <cell r="L291" t="str">
            <v>#REF!</v>
          </cell>
          <cell r="M291" t="str">
            <v>PT. AMI Kamena Jaya</v>
          </cell>
        </row>
        <row r="292">
          <cell r="D292" t="str">
            <v>Lasiana</v>
          </cell>
          <cell r="E292" t="str">
            <v>Kelapa Lima</v>
          </cell>
          <cell r="F292" t="str">
            <v>Kota Kupang</v>
          </cell>
          <cell r="G292" t="str">
            <v>Nusa Tenggara Timur</v>
          </cell>
          <cell r="H292" t="str">
            <v>Hub</v>
          </cell>
          <cell r="K292" t="str">
            <v>PT. Davico Engineering</v>
          </cell>
          <cell r="L292" t="str">
            <v>#REF!</v>
          </cell>
          <cell r="M292" t="str">
            <v>PT. Pandan Arum</v>
          </cell>
        </row>
        <row r="293">
          <cell r="D293" t="str">
            <v>Namosain</v>
          </cell>
          <cell r="E293" t="str">
            <v>Alak</v>
          </cell>
          <cell r="F293" t="str">
            <v>Kota Kupang</v>
          </cell>
          <cell r="G293" t="str">
            <v>Nusa Tenggara Timur</v>
          </cell>
          <cell r="H293" t="str">
            <v>Penyangga (+cs)</v>
          </cell>
          <cell r="K293" t="str">
            <v>PT. Davico Engineering</v>
          </cell>
          <cell r="L293" t="str">
            <v>#REF!</v>
          </cell>
          <cell r="M293" t="str">
            <v>PT. Citra Timor Mandiri (Menengah)</v>
          </cell>
        </row>
        <row r="294">
          <cell r="D294" t="str">
            <v>Oesapa</v>
          </cell>
          <cell r="E294" t="str">
            <v>Kelapa Lima</v>
          </cell>
          <cell r="F294" t="str">
            <v>Kota Kupang</v>
          </cell>
          <cell r="G294" t="str">
            <v>Nusa Tenggara Timur</v>
          </cell>
          <cell r="H294" t="str">
            <v>Penyangga</v>
          </cell>
          <cell r="K294" t="str">
            <v>PT. Davico Engineering</v>
          </cell>
          <cell r="L294" t="str">
            <v>#REF!</v>
          </cell>
          <cell r="M294" t="str">
            <v>PT. Pandan Arum</v>
          </cell>
        </row>
        <row r="295">
          <cell r="D295" t="str">
            <v>Uiasa</v>
          </cell>
          <cell r="E295" t="str">
            <v>Semau</v>
          </cell>
          <cell r="F295" t="str">
            <v>Kupang</v>
          </cell>
          <cell r="G295" t="str">
            <v>Nusa Tenggara Timur</v>
          </cell>
          <cell r="H295" t="str">
            <v>Penyangga</v>
          </cell>
          <cell r="K295" t="str">
            <v>PT. Santosa Asih Jaya</v>
          </cell>
          <cell r="L295" t="str">
            <v>#REF!</v>
          </cell>
          <cell r="M295" t="str">
            <v>PT. AMI Kamena Jaya</v>
          </cell>
        </row>
        <row r="296">
          <cell r="D296" t="str">
            <v>Malaju</v>
          </cell>
          <cell r="E296" t="str">
            <v>Kilo</v>
          </cell>
          <cell r="F296" t="str">
            <v>Dompu</v>
          </cell>
          <cell r="G296" t="str">
            <v>Nusa Tenggara Barat</v>
          </cell>
          <cell r="H296" t="str">
            <v>Hub</v>
          </cell>
          <cell r="K296" t="str">
            <v>CV. Sun Jaya Generasi Contractor</v>
          </cell>
          <cell r="L296" t="str">
            <v>#REF!</v>
          </cell>
          <cell r="M296" t="str">
            <v>PT. Masco Energi</v>
          </cell>
        </row>
        <row r="297">
          <cell r="D297" t="str">
            <v>Kota Jawa</v>
          </cell>
          <cell r="E297" t="str">
            <v>Bangkunat</v>
          </cell>
          <cell r="F297" t="str">
            <v>Pesisir Barat</v>
          </cell>
          <cell r="G297" t="str">
            <v>Lampung</v>
          </cell>
          <cell r="H297" t="str">
            <v>Penyangga</v>
          </cell>
          <cell r="K297" t="str">
            <v>PT. Takabea Reshi Consulindo</v>
          </cell>
          <cell r="L297" t="str">
            <v>#REF!</v>
          </cell>
          <cell r="M297" t="str">
            <v>PT. Innevo Karya Andesindo</v>
          </cell>
        </row>
        <row r="298">
          <cell r="D298" t="str">
            <v>Marang</v>
          </cell>
          <cell r="E298" t="str">
            <v>Pesisir Selatan</v>
          </cell>
          <cell r="F298" t="str">
            <v>Pesisir Barat</v>
          </cell>
          <cell r="G298" t="str">
            <v>Lampung</v>
          </cell>
          <cell r="H298" t="str">
            <v>Hub</v>
          </cell>
          <cell r="K298" t="str">
            <v>PT. Takabea Reshi Consulindo</v>
          </cell>
          <cell r="L298" t="str">
            <v>#REF!</v>
          </cell>
          <cell r="M298" t="str">
            <v>PT. Innevo Karya Andesindo</v>
          </cell>
        </row>
        <row r="299">
          <cell r="D299" t="str">
            <v>Pasar Kota Krui</v>
          </cell>
          <cell r="E299" t="str">
            <v>Pesisir Tengah</v>
          </cell>
          <cell r="F299" t="str">
            <v>Pesisir Barat</v>
          </cell>
          <cell r="G299" t="str">
            <v>Lampung</v>
          </cell>
          <cell r="H299" t="str">
            <v>Penyangga</v>
          </cell>
          <cell r="K299" t="str">
            <v>PT. Takabea Reshi Consulindo</v>
          </cell>
          <cell r="L299" t="str">
            <v>#REF!</v>
          </cell>
          <cell r="M299" t="str">
            <v>PT. Innevo Karya Andesindo</v>
          </cell>
        </row>
        <row r="300">
          <cell r="D300" t="str">
            <v>Muara Gading Mas</v>
          </cell>
          <cell r="E300" t="str">
            <v>Labuhan Maringgai</v>
          </cell>
          <cell r="F300" t="str">
            <v>Lampung Timur</v>
          </cell>
          <cell r="G300" t="str">
            <v>Lampung</v>
          </cell>
          <cell r="H300" t="str">
            <v>Penyangga</v>
          </cell>
          <cell r="K300" t="str">
            <v>PT. Ratu Nayla Mandiri</v>
          </cell>
          <cell r="L300" t="str">
            <v>#REF!</v>
          </cell>
          <cell r="M300" t="str">
            <v>PT. Ratu Nayla Mandiri</v>
          </cell>
        </row>
        <row r="301">
          <cell r="D301" t="str">
            <v>Nangamiro</v>
          </cell>
          <cell r="E301" t="str">
            <v>Pekat</v>
          </cell>
          <cell r="F301" t="str">
            <v>Dompu</v>
          </cell>
          <cell r="G301" t="str">
            <v>Nusa Tenggara Barat</v>
          </cell>
          <cell r="H301" t="str">
            <v>Penyangga</v>
          </cell>
          <cell r="K301" t="str">
            <v>CV. Sun Jaya Generasi Contractor</v>
          </cell>
          <cell r="L301" t="str">
            <v>#REF!</v>
          </cell>
          <cell r="M301" t="str">
            <v>PT. Lesindo Bersinar (menengah)</v>
          </cell>
        </row>
        <row r="302">
          <cell r="D302" t="str">
            <v>Api-Api</v>
          </cell>
          <cell r="E302" t="str">
            <v>Waru</v>
          </cell>
          <cell r="F302" t="str">
            <v>Penajam Paser Utara</v>
          </cell>
          <cell r="G302" t="str">
            <v>Kalimantan Timur</v>
          </cell>
          <cell r="H302" t="str">
            <v>Penyangga</v>
          </cell>
          <cell r="K302" t="str">
            <v>CV. Tobi Jaya Utama</v>
          </cell>
          <cell r="L302" t="str">
            <v>#REF!</v>
          </cell>
          <cell r="M302">
            <v>0</v>
          </cell>
        </row>
        <row r="303">
          <cell r="D303" t="str">
            <v>Nenang</v>
          </cell>
          <cell r="E303" t="str">
            <v>Penajam</v>
          </cell>
          <cell r="F303" t="str">
            <v>Penajam Paser Utara</v>
          </cell>
          <cell r="G303" t="str">
            <v>Kalimantan Timur</v>
          </cell>
          <cell r="H303" t="str">
            <v>Hub</v>
          </cell>
          <cell r="K303" t="str">
            <v>CV. Tobi Jaya Utama</v>
          </cell>
          <cell r="L303" t="str">
            <v>#REF!</v>
          </cell>
          <cell r="M303" t="str">
            <v>CV. Tobi Jaya Utama</v>
          </cell>
        </row>
        <row r="304">
          <cell r="D304" t="str">
            <v>Tanjung Tengah</v>
          </cell>
          <cell r="E304" t="str">
            <v>Penajam</v>
          </cell>
          <cell r="F304" t="str">
            <v>Penajam Paser Utara</v>
          </cell>
          <cell r="G304" t="str">
            <v>Kalimantan Timur</v>
          </cell>
          <cell r="H304" t="str">
            <v>Penyangga</v>
          </cell>
          <cell r="K304" t="str">
            <v>CV. Tobi Jaya Utama</v>
          </cell>
          <cell r="L304" t="str">
            <v>#REF!</v>
          </cell>
          <cell r="M304" t="str">
            <v>CV. Tobi Jaya Utama</v>
          </cell>
        </row>
        <row r="305">
          <cell r="D305" t="str">
            <v>Pasar Ipuh</v>
          </cell>
          <cell r="E305" t="str">
            <v>Ipuh</v>
          </cell>
          <cell r="F305" t="str">
            <v>Mukomuko</v>
          </cell>
          <cell r="G305" t="str">
            <v>Bengkulu</v>
          </cell>
          <cell r="H305" t="str">
            <v>Penyangga</v>
          </cell>
          <cell r="K305" t="str">
            <v>PT. Aruna Karya Bangunindo (AUFAR)</v>
          </cell>
          <cell r="L305" t="str">
            <v>#REF!</v>
          </cell>
          <cell r="M305" t="str">
            <v>PT. Aruna Karya Bangunindo</v>
          </cell>
        </row>
        <row r="306">
          <cell r="D306" t="str">
            <v>Pasar Palik</v>
          </cell>
          <cell r="E306" t="str">
            <v>Air Napal</v>
          </cell>
          <cell r="F306" t="str">
            <v>Bengkulu Utara</v>
          </cell>
          <cell r="G306" t="str">
            <v>Bengkulu</v>
          </cell>
          <cell r="H306" t="str">
            <v>Hub</v>
          </cell>
          <cell r="K306" t="str">
            <v>PT. Aruna Karya Bangunindo (AUFAR)</v>
          </cell>
          <cell r="L306" t="str">
            <v>#REF!</v>
          </cell>
          <cell r="M306" t="str">
            <v>PT. Aruna Karya Bangunindo</v>
          </cell>
        </row>
        <row r="307">
          <cell r="D307" t="str">
            <v>Pasar Sebelat</v>
          </cell>
          <cell r="E307" t="str">
            <v>Putri Hijau</v>
          </cell>
          <cell r="F307" t="str">
            <v>Bengkulu Utara</v>
          </cell>
          <cell r="G307" t="str">
            <v>Bengkulu</v>
          </cell>
          <cell r="H307" t="str">
            <v>Penyangga</v>
          </cell>
          <cell r="K307" t="str">
            <v>PT. Aruna Karya Bangunindo (AUFAR)</v>
          </cell>
          <cell r="L307" t="str">
            <v>#REF!</v>
          </cell>
          <cell r="M307" t="str">
            <v>PT. Aruna Karya Bangunindo</v>
          </cell>
        </row>
        <row r="308">
          <cell r="D308" t="str">
            <v>Pekik Nyaring</v>
          </cell>
          <cell r="E308" t="str">
            <v>Pondok Kelapa</v>
          </cell>
          <cell r="F308" t="str">
            <v>Bengkulu Tengah</v>
          </cell>
          <cell r="G308" t="str">
            <v>Bengkulu</v>
          </cell>
          <cell r="H308" t="str">
            <v>Penyangga</v>
          </cell>
          <cell r="K308" t="str">
            <v>PT. Aruna Karya Bangunindo (AUFAR)</v>
          </cell>
          <cell r="L308" t="str">
            <v>#REF!</v>
          </cell>
          <cell r="M308" t="str">
            <v>PT. Aruna Karya Bangunindo</v>
          </cell>
        </row>
        <row r="309">
          <cell r="D309" t="str">
            <v>Serangai</v>
          </cell>
          <cell r="E309" t="str">
            <v>Batik Nau</v>
          </cell>
          <cell r="F309" t="str">
            <v>Bengkulu Utara</v>
          </cell>
          <cell r="G309" t="str">
            <v>Bengkulu</v>
          </cell>
          <cell r="H309" t="str">
            <v>Penyangga</v>
          </cell>
          <cell r="K309" t="str">
            <v>PT. Aruna Karya Bangunindo (AUFAR)</v>
          </cell>
          <cell r="L309" t="str">
            <v>#REF!</v>
          </cell>
          <cell r="M309" t="str">
            <v>PT. Aruna Karya Bangunindo</v>
          </cell>
        </row>
        <row r="310">
          <cell r="D310" t="str">
            <v>Pekat</v>
          </cell>
          <cell r="E310" t="str">
            <v>Pekat</v>
          </cell>
          <cell r="F310" t="str">
            <v>Dompu</v>
          </cell>
          <cell r="G310" t="str">
            <v>Nusa Tenggara Barat</v>
          </cell>
          <cell r="H310" t="str">
            <v>Penyangga</v>
          </cell>
          <cell r="K310" t="str">
            <v>CV. Sun Jaya Generasi Contractor</v>
          </cell>
          <cell r="L310" t="str">
            <v>#REF!</v>
          </cell>
          <cell r="M310" t="str">
            <v>PT. Lesindo Bersinar (menengah)</v>
          </cell>
        </row>
        <row r="311">
          <cell r="D311" t="str">
            <v>Bagan Asahan Baru</v>
          </cell>
          <cell r="E311" t="str">
            <v>Tanjung Balai</v>
          </cell>
          <cell r="F311" t="str">
            <v>Asahan</v>
          </cell>
          <cell r="G311" t="str">
            <v>Sumatera Utara</v>
          </cell>
          <cell r="H311" t="str">
            <v>Penyangga</v>
          </cell>
          <cell r="K311" t="str">
            <v>CV. Mahanaim</v>
          </cell>
          <cell r="L311" t="str">
            <v>#REF!</v>
          </cell>
          <cell r="M311" t="str">
            <v>CV. Mahanaim</v>
          </cell>
        </row>
        <row r="312">
          <cell r="D312" t="str">
            <v>Ketapang Baru</v>
          </cell>
          <cell r="E312" t="str">
            <v>Semidang Alas Maras</v>
          </cell>
          <cell r="F312" t="str">
            <v>Seluma</v>
          </cell>
          <cell r="G312" t="str">
            <v>Bengkulu</v>
          </cell>
          <cell r="H312" t="str">
            <v>Penyangga</v>
          </cell>
          <cell r="K312" t="str">
            <v>CV. Pondasi Alam Raya</v>
          </cell>
          <cell r="L312" t="str">
            <v>#REF!</v>
          </cell>
          <cell r="M312" t="str">
            <v>CV. Mahanaim</v>
          </cell>
        </row>
        <row r="313">
          <cell r="D313" t="str">
            <v>Kungkai Baru</v>
          </cell>
          <cell r="E313" t="str">
            <v>Air Periukan</v>
          </cell>
          <cell r="F313" t="str">
            <v>Seluma</v>
          </cell>
          <cell r="G313" t="str">
            <v>Bengkulu</v>
          </cell>
          <cell r="H313" t="str">
            <v>Penyangga</v>
          </cell>
          <cell r="K313" t="str">
            <v>PT. Indonesia Kerja Nyata</v>
          </cell>
          <cell r="L313" t="str">
            <v>#REF!</v>
          </cell>
          <cell r="M313" t="str">
            <v>CV. Mahanaim</v>
          </cell>
        </row>
        <row r="314">
          <cell r="D314" t="str">
            <v>Muara Maras</v>
          </cell>
          <cell r="E314" t="str">
            <v>Semidang Alas Maras</v>
          </cell>
          <cell r="F314" t="str">
            <v>Seluma</v>
          </cell>
          <cell r="G314" t="str">
            <v>Bengkulu</v>
          </cell>
          <cell r="H314" t="str">
            <v>Penyangga</v>
          </cell>
          <cell r="K314" t="str">
            <v>CV. Putra Raja Parna</v>
          </cell>
          <cell r="L314" t="str">
            <v>#REF!</v>
          </cell>
          <cell r="M314" t="str">
            <v>CV. Putra Raja Parna</v>
          </cell>
        </row>
        <row r="315">
          <cell r="D315" t="str">
            <v>Pasar Seluma</v>
          </cell>
          <cell r="E315" t="str">
            <v>Seluma Selatan</v>
          </cell>
          <cell r="F315" t="str">
            <v>Seluma</v>
          </cell>
          <cell r="G315" t="str">
            <v>Bengkulu</v>
          </cell>
          <cell r="H315" t="str">
            <v>Penyangga</v>
          </cell>
          <cell r="K315" t="str">
            <v>CV. Karya Bona Pasogit</v>
          </cell>
          <cell r="L315" t="str">
            <v>#REF!</v>
          </cell>
          <cell r="M315" t="str">
            <v>CV. Karya Bona Pasogit</v>
          </cell>
        </row>
        <row r="316">
          <cell r="D316" t="str">
            <v>Air Kuning</v>
          </cell>
          <cell r="E316" t="str">
            <v>Jembrana</v>
          </cell>
          <cell r="F316" t="str">
            <v>Jembrana</v>
          </cell>
          <cell r="G316" t="str">
            <v>Bali</v>
          </cell>
          <cell r="H316" t="str">
            <v>Hub</v>
          </cell>
          <cell r="K316" t="str">
            <v>PT. Sendang Dakara Nusantara</v>
          </cell>
          <cell r="L316" t="str">
            <v>#REF!</v>
          </cell>
          <cell r="M316" t="str">
            <v>PT. Sendang Dakara Nusantara</v>
          </cell>
        </row>
        <row r="317">
          <cell r="D317" t="str">
            <v>Candikusuma</v>
          </cell>
          <cell r="E317" t="str">
            <v>Melaya</v>
          </cell>
          <cell r="F317" t="str">
            <v>Jembrana</v>
          </cell>
          <cell r="G317" t="str">
            <v>Bali</v>
          </cell>
          <cell r="H317" t="str">
            <v>Penyangga</v>
          </cell>
          <cell r="K317" t="str">
            <v>PT. Sendang Dakara Nusantara</v>
          </cell>
          <cell r="L317" t="str">
            <v>#REF!</v>
          </cell>
          <cell r="M317" t="str">
            <v>PT. Sendang Dakara Nusantara</v>
          </cell>
        </row>
        <row r="318">
          <cell r="D318" t="str">
            <v>Sumberkima</v>
          </cell>
          <cell r="E318" t="str">
            <v>Gerokgak</v>
          </cell>
          <cell r="F318" t="str">
            <v>Buleleng</v>
          </cell>
          <cell r="G318" t="str">
            <v>Bali</v>
          </cell>
          <cell r="H318" t="str">
            <v>Penyangga</v>
          </cell>
          <cell r="K318" t="str">
            <v>PT. Sendang Dakara Nusantara</v>
          </cell>
          <cell r="L318" t="str">
            <v>#REF!</v>
          </cell>
          <cell r="M318" t="str">
            <v>PT. Sendang Dakara Nusantara</v>
          </cell>
        </row>
        <row r="319">
          <cell r="D319" t="str">
            <v>Piong</v>
          </cell>
          <cell r="E319" t="str">
            <v>Sanggar</v>
          </cell>
          <cell r="F319" t="str">
            <v>Bima</v>
          </cell>
          <cell r="G319" t="str">
            <v>Nusa Tenggara Barat</v>
          </cell>
          <cell r="H319" t="str">
            <v>Penyangga</v>
          </cell>
          <cell r="K319" t="str">
            <v>PT. Wijaya Karya Nusacipta</v>
          </cell>
          <cell r="L319" t="str">
            <v>#REF!</v>
          </cell>
          <cell r="M319" t="str">
            <v>CV. Terang Globalindo</v>
          </cell>
        </row>
        <row r="320">
          <cell r="D320" t="str">
            <v>Labuhan Lalar</v>
          </cell>
          <cell r="E320" t="str">
            <v>Taliwang</v>
          </cell>
          <cell r="F320" t="str">
            <v>Sumbawa Barat</v>
          </cell>
          <cell r="G320" t="str">
            <v>Nusa Tenggara Barat</v>
          </cell>
          <cell r="H320" t="str">
            <v>Penyangga</v>
          </cell>
          <cell r="K320" t="str">
            <v>PT. Lesindo Bersinar</v>
          </cell>
          <cell r="L320" t="str">
            <v>#REF!</v>
          </cell>
          <cell r="M320" t="str">
            <v>PT. Lesindo Bersinar (menengah)</v>
          </cell>
        </row>
        <row r="321">
          <cell r="D321" t="str">
            <v>Poto Tano</v>
          </cell>
          <cell r="E321" t="str">
            <v>Poto Tano</v>
          </cell>
          <cell r="F321" t="str">
            <v>Sumbawa Barat</v>
          </cell>
          <cell r="G321" t="str">
            <v>Nusa Tenggara Barat</v>
          </cell>
          <cell r="H321" t="str">
            <v>Hub</v>
          </cell>
          <cell r="K321" t="str">
            <v>PT. Lesindo Bersinar</v>
          </cell>
          <cell r="L321" t="str">
            <v>#REF!</v>
          </cell>
          <cell r="M321" t="str">
            <v>PT. Lesindo Bersinar (menengah)</v>
          </cell>
        </row>
        <row r="322">
          <cell r="D322" t="str">
            <v>Dumu</v>
          </cell>
          <cell r="E322" t="str">
            <v>Langgudu</v>
          </cell>
          <cell r="F322" t="str">
            <v>Bima</v>
          </cell>
          <cell r="G322" t="str">
            <v>Nusa Tenggara Barat</v>
          </cell>
          <cell r="H322" t="str">
            <v>Penyangga</v>
          </cell>
          <cell r="K322" t="str">
            <v>PT. Daffa Buana Sakti</v>
          </cell>
          <cell r="L322" t="str">
            <v>#REF!</v>
          </cell>
          <cell r="M322" t="str">
            <v>PT. Daffa Buana Sakti (Menengah)</v>
          </cell>
        </row>
        <row r="323">
          <cell r="D323" t="str">
            <v>Kangga</v>
          </cell>
          <cell r="E323" t="str">
            <v>Langgudu</v>
          </cell>
          <cell r="F323" t="str">
            <v>Bima</v>
          </cell>
          <cell r="G323" t="str">
            <v>Nusa Tenggara Barat</v>
          </cell>
          <cell r="H323" t="str">
            <v>Penyangga</v>
          </cell>
          <cell r="K323" t="str">
            <v>PT. Daffa Buana Sakti</v>
          </cell>
          <cell r="L323" t="str">
            <v>#REF!</v>
          </cell>
          <cell r="M323" t="str">
            <v>PT. Daffa Buana Sakti (Menengah)</v>
          </cell>
        </row>
        <row r="324">
          <cell r="D324" t="str">
            <v>Karampi</v>
          </cell>
          <cell r="E324" t="str">
            <v>Langgudu</v>
          </cell>
          <cell r="F324" t="str">
            <v>Bima</v>
          </cell>
          <cell r="G324" t="str">
            <v>Nusa Tenggara Barat</v>
          </cell>
          <cell r="H324" t="str">
            <v>Penyangga</v>
          </cell>
          <cell r="K324" t="str">
            <v>PT. Daffa Buana Sakti</v>
          </cell>
          <cell r="L324" t="str">
            <v>#REF!</v>
          </cell>
          <cell r="M324" t="str">
            <v>PT. Daffa Buana Sakti (Menengah)</v>
          </cell>
        </row>
        <row r="325">
          <cell r="D325" t="str">
            <v>Karumbu</v>
          </cell>
          <cell r="E325" t="str">
            <v>Langgudu</v>
          </cell>
          <cell r="F325" t="str">
            <v>Bima</v>
          </cell>
          <cell r="G325" t="str">
            <v>Nusa Tenggara Barat</v>
          </cell>
          <cell r="H325" t="str">
            <v>Penyangga</v>
          </cell>
          <cell r="K325" t="str">
            <v>PT. Daffa Buana Sakti</v>
          </cell>
          <cell r="L325" t="str">
            <v>#REF!</v>
          </cell>
          <cell r="M325" t="str">
            <v>PT. Daffa Buana Sakti (Menengah)</v>
          </cell>
        </row>
        <row r="326">
          <cell r="D326" t="str">
            <v>Rompo</v>
          </cell>
          <cell r="E326" t="str">
            <v>Langgudu</v>
          </cell>
          <cell r="F326" t="str">
            <v>Bima</v>
          </cell>
          <cell r="G326" t="str">
            <v>Nusa Tenggara Barat</v>
          </cell>
          <cell r="H326" t="str">
            <v>Hub</v>
          </cell>
          <cell r="K326" t="str">
            <v>PT. Daffa Buana Sakti</v>
          </cell>
          <cell r="L326" t="str">
            <v>#REF!</v>
          </cell>
          <cell r="M326" t="str">
            <v>PT. Daffa Buana Sakti (Menengah)</v>
          </cell>
        </row>
        <row r="327">
          <cell r="D327" t="str">
            <v>Sambane</v>
          </cell>
          <cell r="E327" t="str">
            <v>Langgudu</v>
          </cell>
          <cell r="F327" t="str">
            <v>Bima</v>
          </cell>
          <cell r="G327" t="str">
            <v>Nusa Tenggara Barat</v>
          </cell>
          <cell r="H327" t="str">
            <v>Penyangga</v>
          </cell>
          <cell r="K327" t="str">
            <v>PT. Daffa Buana Sakti</v>
          </cell>
          <cell r="L327" t="str">
            <v>#REF!</v>
          </cell>
          <cell r="M327" t="str">
            <v>PT. Daffa Buana Sakti (Menengah)</v>
          </cell>
        </row>
        <row r="328">
          <cell r="D328" t="str">
            <v>Sarae Ruma</v>
          </cell>
          <cell r="E328" t="str">
            <v>Langgudu</v>
          </cell>
          <cell r="F328" t="str">
            <v>Bima</v>
          </cell>
          <cell r="G328" t="str">
            <v>Nusa Tenggara Barat</v>
          </cell>
          <cell r="H328" t="str">
            <v>Penyangga</v>
          </cell>
          <cell r="K328" t="str">
            <v>PT. Daffa Buana Sakti</v>
          </cell>
          <cell r="L328" t="str">
            <v>#REF!</v>
          </cell>
          <cell r="M328" t="str">
            <v>PT. Daffa Buana Sakti (Menengah)</v>
          </cell>
        </row>
        <row r="329">
          <cell r="D329" t="str">
            <v>Boro</v>
          </cell>
          <cell r="E329" t="str">
            <v>Sanggar</v>
          </cell>
          <cell r="F329" t="str">
            <v>Bima</v>
          </cell>
          <cell r="G329" t="str">
            <v>Nusa Tenggara Barat</v>
          </cell>
          <cell r="H329" t="str">
            <v>Penyangga</v>
          </cell>
          <cell r="K329" t="str">
            <v>CV. Amel Sayang</v>
          </cell>
          <cell r="L329" t="str">
            <v>#REF!</v>
          </cell>
          <cell r="M329" t="str">
            <v>PT. Masco Energi</v>
          </cell>
        </row>
        <row r="330">
          <cell r="D330" t="str">
            <v>Sandue</v>
          </cell>
          <cell r="E330" t="str">
            <v>Sanggar</v>
          </cell>
          <cell r="F330" t="str">
            <v>Bima</v>
          </cell>
          <cell r="G330" t="str">
            <v>Nusa Tenggara Barat</v>
          </cell>
          <cell r="H330" t="str">
            <v>Penyangga</v>
          </cell>
          <cell r="K330" t="str">
            <v>CV. Amel Sayang</v>
          </cell>
          <cell r="L330" t="str">
            <v>#REF!</v>
          </cell>
          <cell r="M330" t="str">
            <v>PT. Masco Energi</v>
          </cell>
        </row>
        <row r="331">
          <cell r="D331" t="str">
            <v>Sangia</v>
          </cell>
          <cell r="E331" t="str">
            <v>Sape</v>
          </cell>
          <cell r="F331" t="str">
            <v>Bima</v>
          </cell>
          <cell r="G331" t="str">
            <v>Nusa Tenggara Barat</v>
          </cell>
          <cell r="H331" t="str">
            <v>Penyangga</v>
          </cell>
          <cell r="K331" t="str">
            <v>PT. Wijaya Karya Nusacipta</v>
          </cell>
          <cell r="L331" t="str">
            <v>#REF!</v>
          </cell>
          <cell r="M331" t="str">
            <v>CV. Terang Globalindo</v>
          </cell>
        </row>
        <row r="332">
          <cell r="D332" t="str">
            <v>Antiga Kelod</v>
          </cell>
          <cell r="E332" t="str">
            <v>Manggis</v>
          </cell>
          <cell r="F332" t="str">
            <v>Karangasem</v>
          </cell>
          <cell r="G332" t="str">
            <v>Bali</v>
          </cell>
          <cell r="H332" t="str">
            <v>Penyangga</v>
          </cell>
          <cell r="K332" t="str">
            <v>PT. Sendang Dakara Nusantara</v>
          </cell>
          <cell r="L332" t="str">
            <v>#REF!</v>
          </cell>
          <cell r="M332" t="str">
            <v>PT. Sendang Dakara Nusantara</v>
          </cell>
        </row>
        <row r="333">
          <cell r="D333" t="str">
            <v>Burai</v>
          </cell>
          <cell r="E333" t="str">
            <v>Tanjung Batu</v>
          </cell>
          <cell r="F333" t="str">
            <v>Ogan Ilir</v>
          </cell>
          <cell r="G333" t="str">
            <v>Sumatera Selatan</v>
          </cell>
          <cell r="H333" t="str">
            <v>Penyangga</v>
          </cell>
          <cell r="K333" t="str">
            <v>PT Cahaya Sriwijaya Abadi</v>
          </cell>
          <cell r="L333" t="str">
            <v>#REF!</v>
          </cell>
          <cell r="M333" t="str">
            <v>PT. Karang Baru Pratama</v>
          </cell>
        </row>
        <row r="334">
          <cell r="D334" t="str">
            <v>Seri Kembang</v>
          </cell>
          <cell r="E334" t="str">
            <v>Muara Kuang</v>
          </cell>
          <cell r="F334" t="str">
            <v>Ogan Ilir</v>
          </cell>
          <cell r="G334" t="str">
            <v>Sumatera Selatan</v>
          </cell>
          <cell r="H334" t="str">
            <v>Penyangga</v>
          </cell>
          <cell r="K334" t="str">
            <v>PT Cahaya Sriwijaya Abadi</v>
          </cell>
          <cell r="L334" t="str">
            <v>#REF!</v>
          </cell>
          <cell r="M334" t="str">
            <v>PT. Karang Baru Pratama</v>
          </cell>
        </row>
        <row r="335">
          <cell r="D335" t="str">
            <v>Soro</v>
          </cell>
          <cell r="E335" t="str">
            <v>Kempo</v>
          </cell>
          <cell r="F335" t="str">
            <v>Dompu</v>
          </cell>
          <cell r="G335" t="str">
            <v>Nusa Tenggara Barat</v>
          </cell>
          <cell r="H335" t="str">
            <v>Penyangga</v>
          </cell>
          <cell r="K335" t="str">
            <v>CV. Kalemba Ade Mauutama</v>
          </cell>
          <cell r="L335" t="str">
            <v>#REF!</v>
          </cell>
          <cell r="M335" t="str">
            <v>PT. Masco Energi</v>
          </cell>
        </row>
        <row r="336">
          <cell r="D336" t="str">
            <v>Tolo Kalo</v>
          </cell>
          <cell r="E336" t="str">
            <v>Kempo</v>
          </cell>
          <cell r="F336" t="str">
            <v>Dompu</v>
          </cell>
          <cell r="G336" t="str">
            <v>Nusa Tenggara Barat</v>
          </cell>
          <cell r="H336" t="str">
            <v>Penyangga</v>
          </cell>
          <cell r="K336" t="str">
            <v>CV. Sun Jaya Generasi Contractor</v>
          </cell>
          <cell r="L336" t="str">
            <v>#REF!</v>
          </cell>
          <cell r="M336" t="str">
            <v>PT. Lesindo Bersinar (menengah)</v>
          </cell>
        </row>
        <row r="337">
          <cell r="D337" t="str">
            <v>Sugian</v>
          </cell>
          <cell r="E337" t="str">
            <v>Sambelia</v>
          </cell>
          <cell r="F337" t="str">
            <v>Lombok Timur</v>
          </cell>
          <cell r="G337" t="str">
            <v>Nusa Tenggara Barat</v>
          </cell>
          <cell r="H337" t="str">
            <v>Penyangga</v>
          </cell>
          <cell r="K337" t="str">
            <v>PT. Sendang Dakara Nusantara</v>
          </cell>
          <cell r="L337" t="str">
            <v>#REF!</v>
          </cell>
          <cell r="M337" t="str">
            <v>PT. Asuka Engineering Indonesia</v>
          </cell>
        </row>
        <row r="338">
          <cell r="D338" t="str">
            <v>Kuala Sungai Pasir</v>
          </cell>
          <cell r="E338" t="str">
            <v>Cengal</v>
          </cell>
          <cell r="F338" t="str">
            <v>Ogan Komering Ilir</v>
          </cell>
          <cell r="G338" t="str">
            <v>Sumatera Selatan</v>
          </cell>
          <cell r="H338" t="str">
            <v>Penyangga</v>
          </cell>
          <cell r="K338" t="str">
            <v>PT Cahaya Sriwijaya Abadi</v>
          </cell>
          <cell r="L338" t="str">
            <v>#REF!</v>
          </cell>
          <cell r="M338" t="str">
            <v>CV. Syeren Indah (Kecil)</v>
          </cell>
        </row>
        <row r="339">
          <cell r="D339" t="str">
            <v>Simpang Tiga Makmur</v>
          </cell>
          <cell r="E339" t="str">
            <v>Tulung Selapan</v>
          </cell>
          <cell r="F339" t="str">
            <v>Ogan Komering Ilir</v>
          </cell>
          <cell r="G339" t="str">
            <v>Sumatera Selatan</v>
          </cell>
          <cell r="H339" t="str">
            <v>Penyangga</v>
          </cell>
          <cell r="K339" t="str">
            <v>PT Cahaya Sriwijaya Abadi</v>
          </cell>
          <cell r="L339" t="str">
            <v>#REF!</v>
          </cell>
          <cell r="M339" t="str">
            <v>CV. Syeren Indah (Kecil)</v>
          </cell>
        </row>
        <row r="340">
          <cell r="D340" t="str">
            <v>Sungai Lumpur</v>
          </cell>
          <cell r="E340" t="str">
            <v>Cengal</v>
          </cell>
          <cell r="F340" t="str">
            <v>Ogan Komering Ilir</v>
          </cell>
          <cell r="G340" t="str">
            <v>Sumatera Selatan</v>
          </cell>
          <cell r="H340" t="str">
            <v>Hub</v>
          </cell>
          <cell r="K340" t="str">
            <v>PT Cahaya Sriwijaya Abadi</v>
          </cell>
          <cell r="L340" t="str">
            <v>#REF!</v>
          </cell>
          <cell r="M340" t="str">
            <v>CV. Syeren Indah (Kecil)</v>
          </cell>
        </row>
        <row r="341">
          <cell r="D341" t="str">
            <v>Kuala Teladas</v>
          </cell>
          <cell r="E341" t="str">
            <v>Dente Teladas</v>
          </cell>
          <cell r="F341" t="str">
            <v>Tulang Bawang</v>
          </cell>
          <cell r="G341" t="str">
            <v>Lampung</v>
          </cell>
          <cell r="H341" t="str">
            <v>Penyangga</v>
          </cell>
          <cell r="L341" t="str">
            <v>#REF!</v>
          </cell>
          <cell r="M341" t="str">
            <v>PT. Hage Primadi Konstruksi (Menengah)</v>
          </cell>
        </row>
        <row r="342">
          <cell r="D342" t="str">
            <v>Sidang Muara Jaya</v>
          </cell>
          <cell r="E342" t="str">
            <v>Rawa Jitu Utara</v>
          </cell>
          <cell r="F342" t="str">
            <v>Mesuji</v>
          </cell>
          <cell r="G342" t="str">
            <v>Lampung</v>
          </cell>
          <cell r="H342" t="str">
            <v>Penyangga</v>
          </cell>
          <cell r="L342" t="str">
            <v>#REF!</v>
          </cell>
          <cell r="M342" t="str">
            <v>PT. Hage Primadi Konstruksi (Menengah)</v>
          </cell>
        </row>
        <row r="343">
          <cell r="D343" t="str">
            <v>Juru Taro</v>
          </cell>
          <cell r="E343" t="str">
            <v>Muara Sugihan</v>
          </cell>
          <cell r="F343" t="str">
            <v>Banyuasin</v>
          </cell>
          <cell r="G343" t="str">
            <v>Sumatera Selatan</v>
          </cell>
          <cell r="H343" t="str">
            <v>Penyangga</v>
          </cell>
          <cell r="L343" t="str">
            <v>#REF!</v>
          </cell>
          <cell r="M343" t="str">
            <v>PT. Cahaya Sriwijaya Abadi</v>
          </cell>
        </row>
        <row r="344">
          <cell r="D344" t="str">
            <v>Karang Anyar</v>
          </cell>
          <cell r="E344" t="str">
            <v>Sumber Marga Telang</v>
          </cell>
          <cell r="F344" t="str">
            <v>Banyuasin</v>
          </cell>
          <cell r="G344" t="str">
            <v>Sumatera Selatan</v>
          </cell>
          <cell r="H344" t="str">
            <v>Penyangga</v>
          </cell>
          <cell r="L344" t="str">
            <v>#REF!</v>
          </cell>
          <cell r="M344" t="str">
            <v>PT. Cahaya Sriwijaya Abadi</v>
          </cell>
        </row>
        <row r="345">
          <cell r="D345" t="str">
            <v>Ringin Agung</v>
          </cell>
          <cell r="E345" t="str">
            <v>Lalan</v>
          </cell>
          <cell r="F345" t="str">
            <v>Musi Banyuasin</v>
          </cell>
          <cell r="G345" t="str">
            <v>Sumatera Selatan</v>
          </cell>
          <cell r="H345" t="str">
            <v>Penyangga</v>
          </cell>
          <cell r="L345" t="str">
            <v>#REF!</v>
          </cell>
          <cell r="M345" t="str">
            <v>CV. Rayhan Aditya</v>
          </cell>
        </row>
        <row r="346">
          <cell r="D346" t="str">
            <v>Sungai Batang</v>
          </cell>
          <cell r="E346" t="str">
            <v>Air Sugihan</v>
          </cell>
          <cell r="F346" t="str">
            <v>Ogan Komering Ilir</v>
          </cell>
          <cell r="G346" t="str">
            <v>Sumatera Selatan</v>
          </cell>
          <cell r="H346" t="str">
            <v>Penyangga</v>
          </cell>
          <cell r="L346" t="str">
            <v>#REF!</v>
          </cell>
          <cell r="M346" t="str">
            <v>PT. Cahaya Sriwijaya Abadi</v>
          </cell>
        </row>
        <row r="347">
          <cell r="D347" t="str">
            <v>Upang Makmur</v>
          </cell>
          <cell r="E347" t="str">
            <v>Makarti Jaya</v>
          </cell>
          <cell r="F347" t="str">
            <v>Banyuasin</v>
          </cell>
          <cell r="G347" t="str">
            <v>Sumatera Selatan</v>
          </cell>
          <cell r="H347" t="str">
            <v>Penyangga</v>
          </cell>
          <cell r="L347" t="str">
            <v>#REF!</v>
          </cell>
          <cell r="M347" t="str">
            <v>PT. Cahaya Sriwijaya Abadi</v>
          </cell>
        </row>
        <row r="348">
          <cell r="D348" t="str">
            <v>Tanjung</v>
          </cell>
          <cell r="E348" t="str">
            <v>Rasanae Barat</v>
          </cell>
          <cell r="F348" t="str">
            <v>Kota Bima</v>
          </cell>
          <cell r="G348" t="str">
            <v>Nusa Tenggara Barat</v>
          </cell>
          <cell r="H348" t="str">
            <v>Penyangga</v>
          </cell>
          <cell r="K348" t="str">
            <v>PT. Aset Prima Konstruksi</v>
          </cell>
          <cell r="L348" t="str">
            <v>#REF!</v>
          </cell>
          <cell r="M348" t="str">
            <v>PT SPECTRATAMA PERKASA</v>
          </cell>
        </row>
        <row r="349">
          <cell r="D349" t="str">
            <v>Betung</v>
          </cell>
          <cell r="E349" t="str">
            <v>Pematang Sawa</v>
          </cell>
          <cell r="F349" t="str">
            <v>Tanggamus</v>
          </cell>
          <cell r="G349" t="str">
            <v>Lampung</v>
          </cell>
          <cell r="H349" t="str">
            <v>Penyangga</v>
          </cell>
          <cell r="L349" t="str">
            <v>#REF!</v>
          </cell>
          <cell r="M349" t="str">
            <v>PT. Yuniarto Sejahtera Abadi</v>
          </cell>
        </row>
        <row r="350">
          <cell r="D350" t="str">
            <v>Karang Anyar</v>
          </cell>
          <cell r="E350" t="str">
            <v>Wonosobo</v>
          </cell>
          <cell r="F350" t="str">
            <v>Tanggamus</v>
          </cell>
          <cell r="G350" t="str">
            <v>Lampung</v>
          </cell>
          <cell r="H350" t="str">
            <v>Penyangga</v>
          </cell>
          <cell r="L350" t="str">
            <v>#REF!</v>
          </cell>
          <cell r="M350" t="str">
            <v>PT. Cahaya Sriwijaya Abadi</v>
          </cell>
        </row>
        <row r="351">
          <cell r="D351" t="str">
            <v>Tala Gening</v>
          </cell>
          <cell r="E351" t="str">
            <v>Kota Agung Barat</v>
          </cell>
          <cell r="F351" t="str">
            <v>Tanggamus</v>
          </cell>
          <cell r="G351" t="str">
            <v>Lampung</v>
          </cell>
          <cell r="H351" t="str">
            <v>Penyangga</v>
          </cell>
          <cell r="L351" t="str">
            <v>#REF!</v>
          </cell>
          <cell r="M351" t="str">
            <v>PT. Hage Primadi Konstruksi (Menengah)</v>
          </cell>
        </row>
        <row r="352">
          <cell r="D352" t="str">
            <v>Tanjung Agung</v>
          </cell>
          <cell r="E352" t="str">
            <v>Kota Agung Barat</v>
          </cell>
          <cell r="F352" t="str">
            <v>Tanggamus</v>
          </cell>
          <cell r="G352" t="str">
            <v>Lampung</v>
          </cell>
          <cell r="H352" t="str">
            <v>Penyangga</v>
          </cell>
          <cell r="L352" t="str">
            <v>#REF!</v>
          </cell>
          <cell r="M352" t="str">
            <v>PT. Hage Primadi Konstruksi (Menengah)</v>
          </cell>
        </row>
        <row r="353">
          <cell r="D353" t="str">
            <v>Tanjungan</v>
          </cell>
          <cell r="E353" t="str">
            <v>Pematang Sawa</v>
          </cell>
          <cell r="F353" t="str">
            <v>Tanggamus</v>
          </cell>
          <cell r="G353" t="str">
            <v>Lampung</v>
          </cell>
          <cell r="H353" t="str">
            <v>Penyangga</v>
          </cell>
          <cell r="L353" t="str">
            <v>#REF!</v>
          </cell>
          <cell r="M353" t="str">
            <v>PT. Yuniarto Sejahtera Abadi</v>
          </cell>
        </row>
        <row r="354">
          <cell r="D354" t="str">
            <v>Way Nipah</v>
          </cell>
          <cell r="E354" t="str">
            <v>Pematang Sawa</v>
          </cell>
          <cell r="F354" t="str">
            <v>Tanggamus</v>
          </cell>
          <cell r="G354" t="str">
            <v>Lampung</v>
          </cell>
          <cell r="H354" t="str">
            <v>Penyangga</v>
          </cell>
          <cell r="L354" t="str">
            <v>#REF!</v>
          </cell>
          <cell r="M354" t="str">
            <v>PT. Yuniarto Sejahtera Abadi</v>
          </cell>
        </row>
        <row r="355">
          <cell r="D355" t="str">
            <v>Pasir Putih</v>
          </cell>
          <cell r="E355" t="str">
            <v>Tukak Sadai</v>
          </cell>
          <cell r="F355" t="str">
            <v>Bangka Selatan</v>
          </cell>
          <cell r="G355" t="str">
            <v>Kepulauan Bangka Belitung</v>
          </cell>
          <cell r="H355" t="str">
            <v>Penyangga</v>
          </cell>
          <cell r="K355" t="str">
            <v>PT. Central Tata Bangunan</v>
          </cell>
          <cell r="L355" t="str">
            <v>#REF!</v>
          </cell>
          <cell r="M355" t="str">
            <v>Independent Fighter</v>
          </cell>
        </row>
        <row r="356">
          <cell r="D356" t="str">
            <v>Arungkeke Pallantikang</v>
          </cell>
          <cell r="E356" t="str">
            <v>Jeneponto</v>
          </cell>
          <cell r="F356" t="str">
            <v>Arungkeke</v>
          </cell>
          <cell r="G356" t="str">
            <v>Sulawesi Selatan</v>
          </cell>
          <cell r="H356" t="str">
            <v>Sulawesi</v>
          </cell>
          <cell r="I356" t="str">
            <v>Penyangga</v>
          </cell>
          <cell r="K356" t="str">
            <v>PT. Bumi Palapa Perkasa</v>
          </cell>
          <cell r="M356" t="str">
            <v>PT. Piranti Jagad Raya</v>
          </cell>
        </row>
        <row r="357">
          <cell r="D357" t="str">
            <v>Bungeng</v>
          </cell>
          <cell r="E357" t="str">
            <v>Jeneponto</v>
          </cell>
          <cell r="F357" t="str">
            <v>Batang</v>
          </cell>
          <cell r="G357" t="str">
            <v>Sulawesi Selatan</v>
          </cell>
          <cell r="H357" t="str">
            <v>Sulawesi</v>
          </cell>
          <cell r="I357" t="str">
            <v>Penyangga</v>
          </cell>
          <cell r="K357" t="str">
            <v>PT. Bumi Palapa Perkasa</v>
          </cell>
          <cell r="M357" t="str">
            <v>PT. Piranti Jagad Raya</v>
          </cell>
        </row>
        <row r="358">
          <cell r="D358" t="str">
            <v>Tammangalle</v>
          </cell>
          <cell r="E358" t="str">
            <v>Polewali Mandar</v>
          </cell>
          <cell r="F358" t="str">
            <v>Balanipa</v>
          </cell>
          <cell r="G358" t="str">
            <v>Sulawesi Barat</v>
          </cell>
          <cell r="H358" t="str">
            <v>Sulawesi</v>
          </cell>
          <cell r="I358" t="str">
            <v>Penyangga</v>
          </cell>
          <cell r="K358" t="str">
            <v>CV. Sinar Mata Allo</v>
          </cell>
          <cell r="M358" t="str">
            <v>CV. RODA</v>
          </cell>
        </row>
        <row r="359">
          <cell r="D359" t="str">
            <v>Darubiah</v>
          </cell>
          <cell r="E359" t="str">
            <v>Bulukumba</v>
          </cell>
          <cell r="F359" t="str">
            <v>Bonto Bahari</v>
          </cell>
          <cell r="G359" t="str">
            <v>Sulawesi Selatan</v>
          </cell>
          <cell r="H359" t="str">
            <v>Sulawesi</v>
          </cell>
          <cell r="I359" t="str">
            <v>Penyangga</v>
          </cell>
          <cell r="K359" t="str">
            <v>PT. Bumi Palapa Perkasa</v>
          </cell>
          <cell r="M359" t="str">
            <v>PT. DARWIN KEMBAR JAYA</v>
          </cell>
        </row>
        <row r="360">
          <cell r="D360" t="str">
            <v>Besole</v>
          </cell>
          <cell r="E360" t="str">
            <v>Besuki</v>
          </cell>
          <cell r="F360" t="str">
            <v>Tulungagung</v>
          </cell>
          <cell r="G360" t="str">
            <v>Jawa Timur</v>
          </cell>
          <cell r="I360" t="str">
            <v>Penyangga</v>
          </cell>
          <cell r="K360" t="str">
            <v>PT. Elang Mas Berdikari</v>
          </cell>
          <cell r="M360" t="str">
            <v>CV. Wapike Bali</v>
          </cell>
        </row>
        <row r="361">
          <cell r="D361" t="str">
            <v>Data</v>
          </cell>
          <cell r="E361" t="str">
            <v>Pinrang</v>
          </cell>
          <cell r="F361" t="str">
            <v>Duampanua</v>
          </cell>
          <cell r="G361" t="str">
            <v>Sulawesi Selatan</v>
          </cell>
          <cell r="H361" t="str">
            <v>Sulawesi</v>
          </cell>
          <cell r="I361" t="str">
            <v>Penyangga</v>
          </cell>
          <cell r="K361" t="str">
            <v>PT. Viqra Azzahra Konstruksi</v>
          </cell>
          <cell r="M361" t="str">
            <v>CV. Buana Bahari</v>
          </cell>
        </row>
        <row r="362">
          <cell r="D362" t="str">
            <v>Imana</v>
          </cell>
          <cell r="E362" t="str">
            <v>Gorontalo Utara</v>
          </cell>
          <cell r="F362" t="str">
            <v>Atinggola</v>
          </cell>
          <cell r="G362" t="str">
            <v>Gorontalo</v>
          </cell>
          <cell r="H362" t="str">
            <v>Sulawesi</v>
          </cell>
          <cell r="I362" t="str">
            <v>Penyangga</v>
          </cell>
          <cell r="K362" t="str">
            <v>CV. Rifki Anugerah</v>
          </cell>
          <cell r="M362" t="str">
            <v>PT. Tata Sejatera Indonesia (Menengah)</v>
          </cell>
        </row>
        <row r="363">
          <cell r="D363" t="str">
            <v>Purworejo</v>
          </cell>
          <cell r="E363" t="str">
            <v>Bonang</v>
          </cell>
          <cell r="F363" t="str">
            <v>Demak</v>
          </cell>
          <cell r="G363" t="str">
            <v>Jawa Tengah</v>
          </cell>
          <cell r="I363" t="str">
            <v>Hub</v>
          </cell>
          <cell r="K363" t="str">
            <v>PT. Sinar Kertanegara</v>
          </cell>
          <cell r="M363" t="str">
            <v>CV. Sinar Mulya</v>
          </cell>
        </row>
        <row r="364">
          <cell r="D364" t="str">
            <v>Kedungkarang</v>
          </cell>
          <cell r="E364" t="str">
            <v>Demak</v>
          </cell>
          <cell r="F364" t="str">
            <v>Wedung</v>
          </cell>
          <cell r="G364" t="str">
            <v>Jawa Tengah</v>
          </cell>
          <cell r="H364" t="str">
            <v>Jawa</v>
          </cell>
          <cell r="I364" t="str">
            <v>Penyangga</v>
          </cell>
          <cell r="K364" t="str">
            <v>PT. Sinar Kertanegara</v>
          </cell>
          <cell r="M364" t="str">
            <v>CV. Sinar Mulya</v>
          </cell>
        </row>
        <row r="365">
          <cell r="D365" t="str">
            <v>Ujunggenteng</v>
          </cell>
          <cell r="E365" t="str">
            <v>Sukabumi</v>
          </cell>
          <cell r="F365" t="str">
            <v>Ciracap</v>
          </cell>
          <cell r="G365" t="str">
            <v>Jawa Barat</v>
          </cell>
          <cell r="H365" t="str">
            <v>Jawa</v>
          </cell>
          <cell r="I365" t="str">
            <v>Hub</v>
          </cell>
          <cell r="K365" t="str">
            <v>CV. Ardila</v>
          </cell>
          <cell r="M365" t="str">
            <v>CV. Ardila</v>
          </cell>
        </row>
        <row r="366">
          <cell r="D366" t="str">
            <v>Klesem</v>
          </cell>
          <cell r="E366" t="str">
            <v>Pacitan</v>
          </cell>
          <cell r="F366" t="str">
            <v>Kebonagung</v>
          </cell>
          <cell r="G366" t="str">
            <v>Jawa Timur</v>
          </cell>
          <cell r="H366" t="str">
            <v>Jawa</v>
          </cell>
          <cell r="I366" t="str">
            <v>Penyangga</v>
          </cell>
          <cell r="K366" t="str">
            <v>PT. Mitra Cipta Bangun</v>
          </cell>
          <cell r="M366" t="str">
            <v>CV. Sinar Surya</v>
          </cell>
        </row>
        <row r="367">
          <cell r="D367" t="str">
            <v>Bajo</v>
          </cell>
          <cell r="E367" t="str">
            <v>Banggai Kepulauan</v>
          </cell>
          <cell r="F367" t="str">
            <v>Liang</v>
          </cell>
          <cell r="G367" t="str">
            <v>Sulawesi Tengah</v>
          </cell>
          <cell r="H367" t="str">
            <v>Sulawesi</v>
          </cell>
          <cell r="I367" t="str">
            <v>Penyangga</v>
          </cell>
          <cell r="K367" t="str">
            <v>PT. Sulawesi Makmur Pratama</v>
          </cell>
          <cell r="M367">
            <v>0</v>
          </cell>
        </row>
        <row r="368">
          <cell r="D368" t="str">
            <v>Karangbolong</v>
          </cell>
          <cell r="E368" t="str">
            <v>Buayan</v>
          </cell>
          <cell r="F368" t="str">
            <v>Kebumen</v>
          </cell>
          <cell r="G368" t="str">
            <v>Jawa Tengah</v>
          </cell>
          <cell r="I368" t="str">
            <v>Penyangga</v>
          </cell>
          <cell r="K368" t="str">
            <v>PT. Suryaraya Anugerah Samudra</v>
          </cell>
          <cell r="M368" t="str">
            <v>CV. Alkomber Karya</v>
          </cell>
        </row>
        <row r="369">
          <cell r="D369" t="str">
            <v>Rowo</v>
          </cell>
          <cell r="E369" t="str">
            <v>Kebumen</v>
          </cell>
          <cell r="F369" t="str">
            <v>Mirit</v>
          </cell>
          <cell r="G369" t="str">
            <v>Jawa Tengah</v>
          </cell>
          <cell r="H369" t="str">
            <v>Jawa</v>
          </cell>
          <cell r="I369" t="str">
            <v>Penyangga</v>
          </cell>
          <cell r="K369" t="str">
            <v>CV. Javanesia</v>
          </cell>
          <cell r="M369" t="str">
            <v>CV. Putera Fahlevi</v>
          </cell>
        </row>
        <row r="370">
          <cell r="D370" t="str">
            <v>Tete B</v>
          </cell>
          <cell r="E370" t="str">
            <v>Tojo Una Una</v>
          </cell>
          <cell r="F370" t="str">
            <v>Ampana Tete</v>
          </cell>
          <cell r="G370" t="str">
            <v>Sulawesi Tengah</v>
          </cell>
          <cell r="H370" t="str">
            <v>Sulawesi</v>
          </cell>
          <cell r="I370" t="str">
            <v>Penyangga</v>
          </cell>
          <cell r="K370" t="str">
            <v>PT. Salsabila</v>
          </cell>
          <cell r="M370" t="str">
            <v>CV. Penggawa Raya</v>
          </cell>
        </row>
        <row r="371">
          <cell r="D371" t="str">
            <v>Huwongo</v>
          </cell>
          <cell r="E371" t="str">
            <v>Gorontalo</v>
          </cell>
          <cell r="F371" t="str">
            <v>Biluhu</v>
          </cell>
          <cell r="G371" t="str">
            <v>Gorontalo</v>
          </cell>
          <cell r="H371" t="str">
            <v>Sulawesi</v>
          </cell>
          <cell r="I371" t="str">
            <v>Penyangga</v>
          </cell>
          <cell r="M371" t="str">
            <v>PT. KARYA PALMALINDO ANUGERAH</v>
          </cell>
        </row>
        <row r="372">
          <cell r="D372" t="str">
            <v>Olimeyala</v>
          </cell>
          <cell r="E372" t="str">
            <v>Gorontalo</v>
          </cell>
          <cell r="F372" t="str">
            <v>Biluhu</v>
          </cell>
          <cell r="G372" t="str">
            <v>Gorontalo</v>
          </cell>
          <cell r="H372" t="str">
            <v>Sulawesi</v>
          </cell>
          <cell r="I372" t="str">
            <v>Penyangga</v>
          </cell>
          <cell r="M372" t="str">
            <v>PT. KARYA PALMALINDO ANUGERAH</v>
          </cell>
        </row>
        <row r="373">
          <cell r="D373" t="str">
            <v>Siddo</v>
          </cell>
          <cell r="E373" t="str">
            <v>Barru</v>
          </cell>
          <cell r="F373" t="str">
            <v>Soppeng Riaja</v>
          </cell>
          <cell r="G373" t="str">
            <v>Sulawesi Selatan</v>
          </cell>
          <cell r="H373" t="str">
            <v>Sulawesi</v>
          </cell>
          <cell r="I373" t="str">
            <v>Penyangga</v>
          </cell>
          <cell r="K373" t="str">
            <v>PT. Bumi Indo Graha</v>
          </cell>
          <cell r="M373" t="str">
            <v>PT. PASELE KARYA PRATAMA</v>
          </cell>
        </row>
        <row r="374">
          <cell r="D374" t="str">
            <v>Waetuoe</v>
          </cell>
          <cell r="E374" t="str">
            <v>Pinrang</v>
          </cell>
          <cell r="F374" t="str">
            <v>Lanrisang</v>
          </cell>
          <cell r="G374" t="str">
            <v>Sulawesi Selatan</v>
          </cell>
          <cell r="H374" t="str">
            <v>Sulawesi</v>
          </cell>
          <cell r="I374" t="str">
            <v>Penyangga</v>
          </cell>
          <cell r="K374" t="str">
            <v>PT. Bumi Indo Graha</v>
          </cell>
          <cell r="M374" t="str">
            <v>PT Viqry Sanjaya Putra</v>
          </cell>
        </row>
        <row r="375">
          <cell r="D375" t="str">
            <v>Tasiwalie</v>
          </cell>
          <cell r="E375" t="str">
            <v>Pinrang</v>
          </cell>
          <cell r="F375" t="str">
            <v>Suppa</v>
          </cell>
          <cell r="G375" t="str">
            <v>Sulawesi Selatan</v>
          </cell>
          <cell r="H375" t="str">
            <v>Sulawesi</v>
          </cell>
          <cell r="I375" t="str">
            <v>Penyangga</v>
          </cell>
          <cell r="K375" t="str">
            <v>PT. Bumi Indo Graha</v>
          </cell>
          <cell r="M375" t="str">
            <v>PT Viqry Sanjaya Putra</v>
          </cell>
        </row>
        <row r="376">
          <cell r="D376" t="str">
            <v>Ketapang</v>
          </cell>
          <cell r="E376" t="str">
            <v>Tangerang</v>
          </cell>
          <cell r="F376" t="str">
            <v>Mauk</v>
          </cell>
          <cell r="G376" t="str">
            <v>Banten</v>
          </cell>
          <cell r="H376" t="str">
            <v>Jawa</v>
          </cell>
          <cell r="I376" t="str">
            <v>Penyangga</v>
          </cell>
          <cell r="K376" t="str">
            <v>PT. Yarisa Cabang Group (tidak punya SBU)</v>
          </cell>
          <cell r="M376" t="str">
            <v>CV. Putra Jaya Semesta</v>
          </cell>
        </row>
        <row r="377">
          <cell r="D377" t="str">
            <v>Muara Bone</v>
          </cell>
          <cell r="E377" t="str">
            <v>Bone Bolango</v>
          </cell>
          <cell r="F377" t="str">
            <v>Bone</v>
          </cell>
          <cell r="G377" t="str">
            <v>Gorontalo</v>
          </cell>
          <cell r="H377" t="str">
            <v>Sulawesi</v>
          </cell>
          <cell r="I377" t="str">
            <v>Penyangga</v>
          </cell>
          <cell r="K377" t="str">
            <v>CV. Citra Wanita Indonesia</v>
          </cell>
          <cell r="M377" t="str">
            <v>PT. KARYA PALMALINDO ANUGERAH</v>
          </cell>
        </row>
        <row r="378">
          <cell r="D378" t="str">
            <v>Ujunggebang</v>
          </cell>
          <cell r="E378" t="str">
            <v>Indramayu</v>
          </cell>
          <cell r="F378" t="str">
            <v>Sukra</v>
          </cell>
          <cell r="G378" t="str">
            <v>Jawa Barat</v>
          </cell>
          <cell r="H378" t="str">
            <v>Jawa</v>
          </cell>
          <cell r="I378" t="str">
            <v>Penyangga</v>
          </cell>
          <cell r="K378" t="str">
            <v>PT. Toba Sakti Utama</v>
          </cell>
          <cell r="M378" t="str">
            <v>CV. Aufa Cikal Pasundan (Kecil)</v>
          </cell>
        </row>
        <row r="379">
          <cell r="D379" t="str">
            <v>Pulau Panggang</v>
          </cell>
          <cell r="E379" t="str">
            <v>Administrasi Kepulauan Seribu</v>
          </cell>
          <cell r="F379" t="str">
            <v>Kepulauan Seribu Utara</v>
          </cell>
          <cell r="G379" t="str">
            <v>Daerah Khusus Ibukota Jakarta</v>
          </cell>
          <cell r="H379" t="str">
            <v>Jawa</v>
          </cell>
          <cell r="I379" t="str">
            <v>Penyangga</v>
          </cell>
          <cell r="K379" t="str">
            <v>CV. Kharisma Agata N</v>
          </cell>
          <cell r="M379" t="str">
            <v>PT. Sabablik Jipang International</v>
          </cell>
        </row>
        <row r="380">
          <cell r="D380" t="str">
            <v>Limbatihu</v>
          </cell>
          <cell r="E380" t="str">
            <v>Boalemo</v>
          </cell>
          <cell r="F380" t="str">
            <v>Paguyaman Pantai</v>
          </cell>
          <cell r="G380" t="str">
            <v>Gorontalo</v>
          </cell>
          <cell r="H380" t="str">
            <v>Sulawesi</v>
          </cell>
          <cell r="I380" t="str">
            <v>Penyangga</v>
          </cell>
          <cell r="K380" t="str">
            <v>PT. Kelman Infra Perkasa</v>
          </cell>
          <cell r="M380" t="str">
            <v>PT. Inovasi Multi Kreasindo (Kecil)</v>
          </cell>
        </row>
        <row r="381">
          <cell r="D381" t="str">
            <v>Bulalo</v>
          </cell>
          <cell r="E381" t="str">
            <v>Gorontalo Utara</v>
          </cell>
          <cell r="F381" t="str">
            <v>Kwandang</v>
          </cell>
          <cell r="G381" t="str">
            <v>Gorontalo</v>
          </cell>
          <cell r="I381" t="str">
            <v>Penyangga</v>
          </cell>
          <cell r="M381" t="str">
            <v>PT. Nenci Citra Pratama Cabang Gorontalo</v>
          </cell>
        </row>
        <row r="382">
          <cell r="D382" t="str">
            <v>Tihengo</v>
          </cell>
          <cell r="E382" t="str">
            <v>Gorontalo Utara</v>
          </cell>
          <cell r="F382" t="str">
            <v>Ponelo Kepulauan</v>
          </cell>
          <cell r="G382" t="str">
            <v>Gorontalo</v>
          </cell>
          <cell r="I382" t="str">
            <v>Penyangga</v>
          </cell>
          <cell r="M382" t="str">
            <v>PT. Nenci Citra Pratama Cabang Gorontalo</v>
          </cell>
        </row>
        <row r="383">
          <cell r="D383" t="str">
            <v>Kedungsalam</v>
          </cell>
          <cell r="E383" t="str">
            <v>Malang</v>
          </cell>
          <cell r="F383" t="str">
            <v>Donomulyo</v>
          </cell>
          <cell r="G383" t="str">
            <v>Jawa Timur</v>
          </cell>
          <cell r="H383" t="str">
            <v>Jawa</v>
          </cell>
          <cell r="I383" t="str">
            <v>Penyangga</v>
          </cell>
          <cell r="K383" t="str">
            <v>PT. Alvin Akbar</v>
          </cell>
          <cell r="M383" t="str">
            <v>CV. Astana Mas</v>
          </cell>
        </row>
        <row r="384">
          <cell r="D384" t="str">
            <v>Klidang Lor</v>
          </cell>
          <cell r="E384" t="str">
            <v>Batang</v>
          </cell>
          <cell r="F384" t="str">
            <v>Batang</v>
          </cell>
          <cell r="G384" t="str">
            <v>Jawa Tengah</v>
          </cell>
          <cell r="H384" t="str">
            <v>Jawa</v>
          </cell>
          <cell r="I384" t="str">
            <v>Penyangga (+cs)</v>
          </cell>
          <cell r="M384" t="str">
            <v>CV. Bumi Jaya Berkah Abadi</v>
          </cell>
        </row>
        <row r="385">
          <cell r="D385" t="str">
            <v>Tegalsari</v>
          </cell>
          <cell r="E385" t="str">
            <v>Tegal Barat</v>
          </cell>
          <cell r="F385" t="str">
            <v>Kota Tegal</v>
          </cell>
          <cell r="G385" t="str">
            <v>Jawa Tengah</v>
          </cell>
          <cell r="I385" t="str">
            <v>Penyangga (+cs)</v>
          </cell>
          <cell r="K385" t="str">
            <v>CV. Alkomber Karya</v>
          </cell>
          <cell r="M385" t="str">
            <v>CV. Putera Fahlevi</v>
          </cell>
        </row>
        <row r="386">
          <cell r="D386" t="str">
            <v>Pecakaran</v>
          </cell>
          <cell r="E386" t="str">
            <v>Pekalongan</v>
          </cell>
          <cell r="F386" t="str">
            <v>Wonokerto</v>
          </cell>
          <cell r="G386" t="str">
            <v>Jawa Tengah</v>
          </cell>
          <cell r="H386" t="str">
            <v>Jawa</v>
          </cell>
          <cell r="I386" t="str">
            <v>Penyangga</v>
          </cell>
          <cell r="K386" t="str">
            <v>PT. Mekar Mulia Contractor</v>
          </cell>
          <cell r="M386" t="str">
            <v>PT. Mekar Mulia Contractor (Menengah)</v>
          </cell>
        </row>
        <row r="387">
          <cell r="D387" t="str">
            <v>Danasari</v>
          </cell>
          <cell r="E387" t="str">
            <v>Pemalang</v>
          </cell>
          <cell r="F387" t="str">
            <v>Pemalang</v>
          </cell>
          <cell r="G387" t="str">
            <v>Jawa Tengah</v>
          </cell>
          <cell r="I387" t="str">
            <v>Penyangga</v>
          </cell>
          <cell r="K387" t="str">
            <v>PT. Kurnia Alam Sentosa</v>
          </cell>
          <cell r="M387" t="str">
            <v>CV. Alkomber Karya</v>
          </cell>
        </row>
        <row r="388">
          <cell r="D388" t="str">
            <v>Asemdoyong</v>
          </cell>
          <cell r="E388" t="str">
            <v>Pemalang</v>
          </cell>
          <cell r="F388" t="str">
            <v>Taman</v>
          </cell>
          <cell r="G388" t="str">
            <v>Jawa Tengah</v>
          </cell>
          <cell r="I388" t="str">
            <v>Penyangga (+cs)</v>
          </cell>
          <cell r="K388" t="str">
            <v>PT. Kurnia Alam Sentosa</v>
          </cell>
          <cell r="M388" t="str">
            <v>CV. Putera Fahlevi</v>
          </cell>
        </row>
        <row r="389">
          <cell r="D389" t="str">
            <v>Purwahamba</v>
          </cell>
          <cell r="E389" t="str">
            <v>Suradadi</v>
          </cell>
          <cell r="F389" t="str">
            <v>Tegal</v>
          </cell>
          <cell r="G389" t="str">
            <v>Jawa Tengah</v>
          </cell>
          <cell r="I389" t="str">
            <v>Penyangga</v>
          </cell>
          <cell r="K389" t="str">
            <v>CV. Alkomber Karya</v>
          </cell>
          <cell r="M389" t="str">
            <v>CV. Putera Fahlevi</v>
          </cell>
        </row>
        <row r="390">
          <cell r="D390" t="str">
            <v>Tubo Selatan</v>
          </cell>
          <cell r="E390" t="str">
            <v>Majene</v>
          </cell>
          <cell r="F390" t="str">
            <v>Tubo Sendana</v>
          </cell>
          <cell r="G390" t="str">
            <v>Sulawesi Barat</v>
          </cell>
          <cell r="H390" t="str">
            <v>Sulawesi</v>
          </cell>
          <cell r="I390" t="str">
            <v>Penyangga</v>
          </cell>
          <cell r="K390" t="str">
            <v>CV. Lion Jaya Mandiri</v>
          </cell>
          <cell r="M390" t="str">
            <v>CV. Lion Jaya Mandiri</v>
          </cell>
        </row>
        <row r="391">
          <cell r="D391" t="str">
            <v>Sumpang Binangae</v>
          </cell>
          <cell r="E391" t="str">
            <v>Barru</v>
          </cell>
          <cell r="F391" t="str">
            <v>Barru</v>
          </cell>
          <cell r="G391" t="str">
            <v>Sulawesi Selatan</v>
          </cell>
          <cell r="H391" t="str">
            <v>Sulawesi</v>
          </cell>
          <cell r="I391" t="str">
            <v>Penyangga</v>
          </cell>
          <cell r="K391" t="str">
            <v>PT. Bumi Indo Graha</v>
          </cell>
          <cell r="M391" t="str">
            <v>PT. PASELE KARYA PRATAMA</v>
          </cell>
        </row>
        <row r="392">
          <cell r="D392" t="str">
            <v>Batah Timur</v>
          </cell>
          <cell r="E392" t="str">
            <v>Bangkalan</v>
          </cell>
          <cell r="F392" t="str">
            <v>Kwanyar</v>
          </cell>
          <cell r="G392" t="str">
            <v>Jawa Timur</v>
          </cell>
          <cell r="H392" t="str">
            <v>Jawa</v>
          </cell>
          <cell r="I392" t="str">
            <v>Penyangga</v>
          </cell>
          <cell r="K392" t="str">
            <v>CV. Adam Raya</v>
          </cell>
          <cell r="M392" t="str">
            <v>PT. Elang Mas Berdikari</v>
          </cell>
        </row>
        <row r="393">
          <cell r="D393" t="str">
            <v>Junganyar</v>
          </cell>
          <cell r="E393" t="str">
            <v>Socah</v>
          </cell>
          <cell r="F393" t="str">
            <v>Bangkalan</v>
          </cell>
          <cell r="G393" t="str">
            <v>Jawa Timur</v>
          </cell>
          <cell r="I393" t="str">
            <v>Penyangga</v>
          </cell>
          <cell r="K393" t="str">
            <v>PT. Lentera Bima Sakti</v>
          </cell>
          <cell r="M393" t="str">
            <v>PT. Elang Mas Berdikari</v>
          </cell>
        </row>
        <row r="394">
          <cell r="D394" t="str">
            <v>Benteng</v>
          </cell>
          <cell r="E394" t="str">
            <v>Kota Palopo</v>
          </cell>
          <cell r="F394" t="str">
            <v>Wara Timur</v>
          </cell>
          <cell r="G394" t="str">
            <v>Sulawesi Selatan</v>
          </cell>
          <cell r="H394" t="str">
            <v>Sulawesi</v>
          </cell>
          <cell r="I394" t="str">
            <v>Penyangga</v>
          </cell>
          <cell r="K394" t="str">
            <v>PT. Relis Sapindo Utama</v>
          </cell>
          <cell r="M394" t="str">
            <v>PT. DARWIN KEMBAR JAYA</v>
          </cell>
        </row>
        <row r="395">
          <cell r="D395" t="str">
            <v>Mootinelo</v>
          </cell>
          <cell r="E395" t="str">
            <v>Bone Bolango</v>
          </cell>
          <cell r="F395" t="str">
            <v>Bone Raya</v>
          </cell>
          <cell r="G395" t="str">
            <v>Gorontalo</v>
          </cell>
          <cell r="H395" t="str">
            <v>Sulawesi</v>
          </cell>
          <cell r="I395" t="str">
            <v>Penyangga</v>
          </cell>
          <cell r="K395" t="str">
            <v>PT. Mahakam Lembu</v>
          </cell>
          <cell r="M395" t="str">
            <v>CV. Cahaya Firatama</v>
          </cell>
        </row>
        <row r="396">
          <cell r="D396" t="str">
            <v>Manera</v>
          </cell>
          <cell r="E396" t="str">
            <v>Bone</v>
          </cell>
          <cell r="F396" t="str">
            <v>Salomekko</v>
          </cell>
          <cell r="G396" t="str">
            <v>Sulawesi Selatan</v>
          </cell>
          <cell r="H396" t="str">
            <v>Sulawesi</v>
          </cell>
          <cell r="I396" t="str">
            <v>Penyangga</v>
          </cell>
          <cell r="K396" t="str">
            <v>PT. Ibnu Munsyir Dwi Guna</v>
          </cell>
          <cell r="M396" t="str">
            <v>PT Anugerah Karya Pesona (Kecil)</v>
          </cell>
        </row>
        <row r="397">
          <cell r="D397" t="str">
            <v>Wonggarasi Barat</v>
          </cell>
          <cell r="E397" t="str">
            <v>Pohuwato</v>
          </cell>
          <cell r="F397" t="str">
            <v>Lemito</v>
          </cell>
          <cell r="G397" t="str">
            <v>Gorontalo</v>
          </cell>
          <cell r="H397" t="str">
            <v>Sulawesi</v>
          </cell>
          <cell r="I397" t="str">
            <v>Penyangga</v>
          </cell>
          <cell r="K397" t="str">
            <v>PT. Artajaya Mahakarya Samudra</v>
          </cell>
          <cell r="M397" t="str">
            <v>PT. Professional Construction Indonesia (Kecil)</v>
          </cell>
        </row>
        <row r="398">
          <cell r="D398" t="str">
            <v>Bangkuang</v>
          </cell>
          <cell r="E398" t="str">
            <v>Barito Selatan</v>
          </cell>
          <cell r="F398" t="str">
            <v>Karau Kuala</v>
          </cell>
          <cell r="G398" t="str">
            <v>Kalimantan Tengah</v>
          </cell>
          <cell r="H398" t="str">
            <v>Kalimantan</v>
          </cell>
          <cell r="I398" t="str">
            <v>Penyangga</v>
          </cell>
          <cell r="K398" t="str">
            <v>PT. Ensargus Indra Utama (Cab. Kalimantan)</v>
          </cell>
          <cell r="M398">
            <v>0</v>
          </cell>
        </row>
        <row r="399">
          <cell r="D399" t="str">
            <v>Janggi</v>
          </cell>
          <cell r="E399" t="str">
            <v>Barito Selatan</v>
          </cell>
          <cell r="F399" t="str">
            <v>Karau Kuala</v>
          </cell>
          <cell r="G399" t="str">
            <v>Kalimantan Tengah</v>
          </cell>
          <cell r="H399" t="str">
            <v>Kalimantan</v>
          </cell>
          <cell r="I399" t="str">
            <v>Penyangga</v>
          </cell>
          <cell r="K399" t="str">
            <v>PT. Ensargus Indra Utama (Cab. Kalimantan)</v>
          </cell>
          <cell r="M399" t="str">
            <v>PT. Nusa Indah Permai</v>
          </cell>
        </row>
        <row r="400">
          <cell r="D400" t="str">
            <v>Butong</v>
          </cell>
          <cell r="E400" t="str">
            <v>Barito Utara</v>
          </cell>
          <cell r="F400" t="str">
            <v>Teweh Selatan</v>
          </cell>
          <cell r="G400" t="str">
            <v>Kalimantan Tengah</v>
          </cell>
          <cell r="H400" t="str">
            <v>Kalimantan</v>
          </cell>
          <cell r="I400" t="str">
            <v>Penyangga</v>
          </cell>
          <cell r="K400" t="str">
            <v>PT. Ensargus Indra Utama (Cab. Kalimantan)</v>
          </cell>
          <cell r="M400" t="str">
            <v>PT. Nusa Indah Permai</v>
          </cell>
        </row>
        <row r="401">
          <cell r="D401" t="str">
            <v>Batanjung</v>
          </cell>
          <cell r="E401" t="str">
            <v>Kapuas</v>
          </cell>
          <cell r="F401" t="str">
            <v>Kapuas Kuala</v>
          </cell>
          <cell r="G401" t="str">
            <v>Kalimantan Tengah</v>
          </cell>
          <cell r="H401" t="str">
            <v>Kalimantan</v>
          </cell>
          <cell r="I401" t="str">
            <v>Penyangga</v>
          </cell>
          <cell r="K401" t="str">
            <v>PT. Dharma Perdana Muda</v>
          </cell>
          <cell r="M401" t="str">
            <v>CV. Davindo Putra Perkasa</v>
          </cell>
        </row>
        <row r="402">
          <cell r="D402" t="str">
            <v>Palampai</v>
          </cell>
          <cell r="E402" t="str">
            <v>Kapuas</v>
          </cell>
          <cell r="F402" t="str">
            <v>Kapuas Kuala</v>
          </cell>
          <cell r="G402" t="str">
            <v>Kalimantan Tengah</v>
          </cell>
          <cell r="H402" t="str">
            <v>Kalimantan</v>
          </cell>
          <cell r="I402" t="str">
            <v>Penyangga</v>
          </cell>
          <cell r="K402" t="str">
            <v>PT. Dharma Perdana Muda</v>
          </cell>
          <cell r="M402" t="str">
            <v>CV. Davindo Putra Perkasa</v>
          </cell>
        </row>
        <row r="403">
          <cell r="D403" t="str">
            <v>Sei Teras</v>
          </cell>
          <cell r="E403" t="str">
            <v>Kapuas</v>
          </cell>
          <cell r="F403" t="str">
            <v>Kapuas Kuala</v>
          </cell>
          <cell r="G403" t="str">
            <v>Kalimantan Tengah</v>
          </cell>
          <cell r="H403" t="str">
            <v>Kalimantan</v>
          </cell>
          <cell r="I403" t="str">
            <v>Penyangga</v>
          </cell>
          <cell r="K403" t="str">
            <v>PT. Dharma Perdana Muda</v>
          </cell>
          <cell r="M403" t="str">
            <v>CV. Davindo Putra Perkasa</v>
          </cell>
        </row>
        <row r="404">
          <cell r="D404" t="str">
            <v>Batu Kotam</v>
          </cell>
          <cell r="E404" t="str">
            <v>Lamandau</v>
          </cell>
          <cell r="F404" t="str">
            <v>Bulik</v>
          </cell>
          <cell r="G404" t="str">
            <v>Kalimantan Tengah</v>
          </cell>
          <cell r="H404" t="str">
            <v>Kalimantan</v>
          </cell>
          <cell r="I404" t="str">
            <v>Penyangga</v>
          </cell>
          <cell r="K404" t="str">
            <v>CV. Bahtera Abadi Pusat Kuala Kapuas</v>
          </cell>
          <cell r="M404" t="str">
            <v>PT. Borneo Mitra Strategis</v>
          </cell>
        </row>
        <row r="405">
          <cell r="D405" t="str">
            <v>Beringin</v>
          </cell>
          <cell r="E405" t="str">
            <v>Tanah Bumbu</v>
          </cell>
          <cell r="F405" t="str">
            <v>Kusan Hilir</v>
          </cell>
          <cell r="G405" t="str">
            <v>Kalimantan Selatan</v>
          </cell>
          <cell r="H405" t="str">
            <v>Kalimantan</v>
          </cell>
          <cell r="I405" t="str">
            <v>Hub</v>
          </cell>
          <cell r="M405" t="str">
            <v>PT. Cita Prasada Konstruksi</v>
          </cell>
        </row>
        <row r="406">
          <cell r="D406" t="str">
            <v>Muara Pagatan</v>
          </cell>
          <cell r="E406" t="str">
            <v>Tanah Bumbu</v>
          </cell>
          <cell r="F406" t="str">
            <v>Kusan Hilir</v>
          </cell>
          <cell r="G406" t="str">
            <v>Kalimantan Selatan</v>
          </cell>
          <cell r="H406" t="str">
            <v>Kalimantan</v>
          </cell>
          <cell r="I406" t="str">
            <v>Penyangga</v>
          </cell>
          <cell r="M406" t="str">
            <v>CV. Andalan Putra Bone Perkasa</v>
          </cell>
        </row>
        <row r="407">
          <cell r="D407" t="str">
            <v>Tanah Kuning</v>
          </cell>
          <cell r="E407" t="str">
            <v>Bulungan</v>
          </cell>
          <cell r="F407" t="str">
            <v>Tanjung Palas Timur</v>
          </cell>
          <cell r="G407" t="str">
            <v>Kalimantan Utara</v>
          </cell>
          <cell r="H407" t="str">
            <v>Kalimantan</v>
          </cell>
          <cell r="I407" t="str">
            <v>Penyangga</v>
          </cell>
          <cell r="M407">
            <v>0</v>
          </cell>
        </row>
        <row r="408">
          <cell r="D408" t="str">
            <v>Karang Anyar Pantai</v>
          </cell>
          <cell r="E408" t="str">
            <v>Kota Tarakan</v>
          </cell>
          <cell r="F408" t="str">
            <v>Tarakan Barat</v>
          </cell>
          <cell r="G408" t="str">
            <v>Kalimantan Utara</v>
          </cell>
          <cell r="H408" t="str">
            <v>Kalimantan</v>
          </cell>
          <cell r="I408" t="str">
            <v>Penyangga (+cs)</v>
          </cell>
          <cell r="M408" t="str">
            <v>CV. Davindo Putra Perkasa</v>
          </cell>
        </row>
        <row r="409">
          <cell r="D409" t="str">
            <v>Tanah Merah</v>
          </cell>
          <cell r="E409" t="str">
            <v>Tana Tidung</v>
          </cell>
          <cell r="F409" t="str">
            <v>Tana Lia</v>
          </cell>
          <cell r="G409" t="str">
            <v>Kalimantan Utara</v>
          </cell>
          <cell r="H409" t="str">
            <v>Kalimantan</v>
          </cell>
          <cell r="I409" t="str">
            <v>Penyangga</v>
          </cell>
          <cell r="M409">
            <v>0</v>
          </cell>
        </row>
        <row r="410">
          <cell r="D410" t="str">
            <v>Kelarik</v>
          </cell>
          <cell r="E410" t="str">
            <v>Natuna</v>
          </cell>
          <cell r="F410" t="str">
            <v>Bunguran Utara</v>
          </cell>
          <cell r="G410" t="str">
            <v>Kepulauan Riau</v>
          </cell>
          <cell r="H410" t="str">
            <v>Sumatera</v>
          </cell>
          <cell r="I410" t="str">
            <v>Penyangga</v>
          </cell>
          <cell r="K410" t="str">
            <v>PT. Aset Prima Konstruksi</v>
          </cell>
          <cell r="M410" t="str">
            <v>PT SPECTRATAMA PERKASA</v>
          </cell>
        </row>
        <row r="411">
          <cell r="D411" t="str">
            <v>Tanjung Pala</v>
          </cell>
          <cell r="E411" t="str">
            <v>Natuna</v>
          </cell>
          <cell r="F411" t="str">
            <v>Pulau Laut</v>
          </cell>
          <cell r="G411" t="str">
            <v>Kepulauan Riau</v>
          </cell>
          <cell r="H411" t="str">
            <v>Sumatera</v>
          </cell>
          <cell r="I411" t="str">
            <v>Penyangga</v>
          </cell>
          <cell r="K411" t="str">
            <v>PT. Aset Prima Konstruksi</v>
          </cell>
          <cell r="M411" t="str">
            <v>PT SPECTRATAMA PERKASA</v>
          </cell>
        </row>
        <row r="412">
          <cell r="D412" t="str">
            <v>Kelarik Barat</v>
          </cell>
          <cell r="E412" t="str">
            <v>Natuna</v>
          </cell>
          <cell r="F412" t="str">
            <v>Pulau Seluan</v>
          </cell>
          <cell r="G412" t="str">
            <v>Kepulauan Riau</v>
          </cell>
          <cell r="H412" t="str">
            <v>Sumatera</v>
          </cell>
          <cell r="I412" t="str">
            <v>Penyangga</v>
          </cell>
          <cell r="K412" t="str">
            <v>PT. Aset Prima Konstruksi</v>
          </cell>
          <cell r="M412" t="str">
            <v>PT SPECTRATAMA PERKASA</v>
          </cell>
        </row>
        <row r="413">
          <cell r="D413" t="str">
            <v>Dualaus</v>
          </cell>
          <cell r="E413" t="str">
            <v>Belu</v>
          </cell>
          <cell r="F413" t="str">
            <v>Kakuluk Mesak</v>
          </cell>
          <cell r="G413" t="str">
            <v>Nusa Tenggara Timur</v>
          </cell>
          <cell r="H413" t="str">
            <v>Bali Nusa Tenggara</v>
          </cell>
          <cell r="I413" t="str">
            <v>Hub</v>
          </cell>
          <cell r="K413" t="str">
            <v>PT. Mayang Maharani Jaya</v>
          </cell>
          <cell r="M413" t="str">
            <v>CV. Jasa Mandiri Bersama</v>
          </cell>
        </row>
        <row r="414">
          <cell r="D414" t="str">
            <v>Humusu Wini</v>
          </cell>
          <cell r="E414" t="str">
            <v>Timor Tengah Utara</v>
          </cell>
          <cell r="F414" t="str">
            <v>Insana Utara</v>
          </cell>
          <cell r="G414" t="str">
            <v>Nusa Tenggara Timur</v>
          </cell>
          <cell r="H414" t="str">
            <v>Bali Nusa Tenggara</v>
          </cell>
          <cell r="I414" t="str">
            <v>Penyangga</v>
          </cell>
          <cell r="K414" t="str">
            <v>PT. Mega Karya Sentralindo</v>
          </cell>
          <cell r="M414" t="str">
            <v>PT. Mega Karya Sentralindo (Kecil/Menengah)</v>
          </cell>
        </row>
        <row r="415">
          <cell r="D415" t="str">
            <v>Kabir</v>
          </cell>
          <cell r="E415" t="str">
            <v>Alor</v>
          </cell>
          <cell r="F415" t="str">
            <v>Pantar</v>
          </cell>
          <cell r="G415" t="str">
            <v>Nusa Tenggara Timur</v>
          </cell>
          <cell r="H415" t="str">
            <v>Bali Nusa Tenggara</v>
          </cell>
          <cell r="I415" t="str">
            <v>Hub</v>
          </cell>
          <cell r="K415" t="str">
            <v>PT. Rute Lintas Indonesia</v>
          </cell>
          <cell r="M415" t="str">
            <v>PT. Rute Lintas Indonesia</v>
          </cell>
        </row>
        <row r="416">
          <cell r="D416" t="str">
            <v>Kabola</v>
          </cell>
          <cell r="E416" t="str">
            <v>Alor</v>
          </cell>
          <cell r="F416" t="str">
            <v>Kabola</v>
          </cell>
          <cell r="G416" t="str">
            <v>Nusa Tenggara Timur</v>
          </cell>
          <cell r="H416" t="str">
            <v>Bali Nusa Tenggara</v>
          </cell>
          <cell r="I416" t="str">
            <v>Penyangga</v>
          </cell>
          <cell r="K416" t="str">
            <v>PT. Rute Lintas Indonesia</v>
          </cell>
          <cell r="M416" t="str">
            <v>PT. Rute Lintas Indonesia</v>
          </cell>
        </row>
        <row r="417">
          <cell r="D417" t="str">
            <v>Woewutu</v>
          </cell>
          <cell r="E417" t="str">
            <v>Nagekeo</v>
          </cell>
          <cell r="F417" t="str">
            <v>Nangaroro</v>
          </cell>
          <cell r="G417" t="str">
            <v>Nusa Tenggara Timur</v>
          </cell>
          <cell r="H417" t="str">
            <v>Bali Nusa Tenggara</v>
          </cell>
          <cell r="I417" t="str">
            <v>Penyangga</v>
          </cell>
          <cell r="K417" t="str">
            <v>PT. Rajasa Nusa Jaya</v>
          </cell>
          <cell r="M417" t="str">
            <v>PT. Rajasa Nusa Jaya</v>
          </cell>
        </row>
        <row r="418">
          <cell r="D418" t="str">
            <v>Tendakinde</v>
          </cell>
          <cell r="E418" t="str">
            <v>Nagekeo</v>
          </cell>
          <cell r="F418" t="str">
            <v>Wolowae</v>
          </cell>
          <cell r="G418" t="str">
            <v>Nusa Tenggara Timur</v>
          </cell>
          <cell r="H418" t="str">
            <v>Bali Nusa Tenggara</v>
          </cell>
          <cell r="I418" t="str">
            <v>Penyangga</v>
          </cell>
          <cell r="K418" t="str">
            <v>PT. Rajasa Nusa Jaya</v>
          </cell>
          <cell r="M418" t="str">
            <v>PT. Rajasa Nusa Jaya</v>
          </cell>
        </row>
        <row r="419">
          <cell r="D419" t="str">
            <v>Kedai Gedang</v>
          </cell>
          <cell r="E419" t="str">
            <v>Tapanuli Tengah</v>
          </cell>
          <cell r="F419" t="str">
            <v>Barus</v>
          </cell>
          <cell r="G419" t="str">
            <v>Sumatera Utara</v>
          </cell>
          <cell r="H419" t="str">
            <v>Sumatera</v>
          </cell>
          <cell r="I419" t="str">
            <v>Hub</v>
          </cell>
          <cell r="K419" t="str">
            <v>PT. Permata Anugrah Yala Persada</v>
          </cell>
          <cell r="M419" t="str">
            <v>PT. Bukit Zaitun (Menengah)</v>
          </cell>
        </row>
        <row r="420">
          <cell r="D420" t="str">
            <v>Pasar Sorkam</v>
          </cell>
          <cell r="E420" t="str">
            <v>Tapanuli Tengah</v>
          </cell>
          <cell r="F420" t="str">
            <v>Sorkam Barat</v>
          </cell>
          <cell r="G420" t="str">
            <v>Sumatera Utara</v>
          </cell>
          <cell r="H420" t="str">
            <v>Sumatera</v>
          </cell>
          <cell r="I420" t="str">
            <v>Penyangga</v>
          </cell>
          <cell r="K420" t="str">
            <v>PT. Permata Anugrah Yala Persada</v>
          </cell>
          <cell r="M420" t="str">
            <v>PT. Bukit Zaitun (Menengah)</v>
          </cell>
        </row>
        <row r="421">
          <cell r="D421" t="str">
            <v>Wuring</v>
          </cell>
          <cell r="E421" t="str">
            <v>Sikka</v>
          </cell>
          <cell r="F421" t="str">
            <v>Alok Barat</v>
          </cell>
          <cell r="G421" t="str">
            <v>Nusa Tenggara Timur</v>
          </cell>
          <cell r="H421" t="str">
            <v>Bali Nusa Tenggara</v>
          </cell>
          <cell r="I421" t="str">
            <v>Penyangga</v>
          </cell>
          <cell r="K421" t="str">
            <v>PT. Bimapatriya Pradanaraya</v>
          </cell>
          <cell r="M421" t="str">
            <v>PT. Arum Daya Sentausa</v>
          </cell>
        </row>
        <row r="422">
          <cell r="D422" t="str">
            <v>Kojagete</v>
          </cell>
          <cell r="E422" t="str">
            <v>Sikka</v>
          </cell>
          <cell r="F422" t="str">
            <v>Alok Timur</v>
          </cell>
          <cell r="G422" t="str">
            <v>Nusa Tenggara Timur</v>
          </cell>
          <cell r="H422" t="str">
            <v>Bali Nusa Tenggara</v>
          </cell>
          <cell r="I422" t="str">
            <v>Hub</v>
          </cell>
          <cell r="K422" t="str">
            <v>PT. Bimapatriya Pradanaraya</v>
          </cell>
          <cell r="M422" t="str">
            <v>PT. Arum Daya Sentausa</v>
          </cell>
        </row>
        <row r="423">
          <cell r="D423" t="str">
            <v>Watumilok</v>
          </cell>
          <cell r="E423" t="str">
            <v>Sikka</v>
          </cell>
          <cell r="F423" t="str">
            <v>Kangae</v>
          </cell>
          <cell r="G423" t="str">
            <v>Nusa Tenggara Timur</v>
          </cell>
          <cell r="H423" t="str">
            <v>Bali Nusa Tenggara</v>
          </cell>
          <cell r="I423" t="str">
            <v>Penyangga</v>
          </cell>
          <cell r="K423" t="str">
            <v>PT. Bimapatriya Pradanaraya</v>
          </cell>
          <cell r="M423" t="str">
            <v>PT. Arum Daya Sentausa</v>
          </cell>
        </row>
        <row r="424">
          <cell r="D424" t="str">
            <v>Geliting</v>
          </cell>
          <cell r="E424" t="str">
            <v>Sikka</v>
          </cell>
          <cell r="F424" t="str">
            <v>Kewapante</v>
          </cell>
          <cell r="G424" t="str">
            <v>Nusa Tenggara Timur</v>
          </cell>
          <cell r="H424" t="str">
            <v>Bali Nusa Tenggara</v>
          </cell>
          <cell r="I424" t="str">
            <v>Penyangga</v>
          </cell>
          <cell r="K424" t="str">
            <v>PT. Bimapatriya Pradanaraya</v>
          </cell>
          <cell r="M424" t="str">
            <v>PT. Arum Daya Sentausa</v>
          </cell>
        </row>
        <row r="425">
          <cell r="D425" t="str">
            <v>Kota Ndora</v>
          </cell>
          <cell r="E425" t="str">
            <v>Manggarai Timur</v>
          </cell>
          <cell r="F425" t="str">
            <v>Borong</v>
          </cell>
          <cell r="G425" t="str">
            <v>Nusa Tenggara Timur</v>
          </cell>
          <cell r="H425" t="str">
            <v>Bali Nusa Tenggara</v>
          </cell>
          <cell r="I425" t="str">
            <v>Hub</v>
          </cell>
          <cell r="K425" t="str">
            <v>PT. Garsi Jembar Niaga</v>
          </cell>
          <cell r="M425" t="str">
            <v>PT. Garsi Jembar Niaga</v>
          </cell>
        </row>
        <row r="426">
          <cell r="D426" t="str">
            <v>Waesae</v>
          </cell>
          <cell r="E426" t="str">
            <v>Ngada</v>
          </cell>
          <cell r="F426" t="str">
            <v>Aimere</v>
          </cell>
          <cell r="G426" t="str">
            <v>Nusa Tenggara Timur</v>
          </cell>
          <cell r="H426" t="str">
            <v>Bali Nusa Tenggara</v>
          </cell>
          <cell r="I426" t="str">
            <v>Penyangga</v>
          </cell>
          <cell r="K426" t="str">
            <v>PT. Garsi Jembar Niaga</v>
          </cell>
          <cell r="M426" t="str">
            <v>PT. Garsi Jembar Niaga</v>
          </cell>
        </row>
        <row r="427">
          <cell r="D427" t="str">
            <v>Dabong</v>
          </cell>
          <cell r="E427" t="str">
            <v>Kubu Raya</v>
          </cell>
          <cell r="F427" t="str">
            <v>Kubu</v>
          </cell>
          <cell r="G427" t="str">
            <v>Kalimantan Barat</v>
          </cell>
          <cell r="H427" t="str">
            <v>Kalimantan</v>
          </cell>
          <cell r="I427" t="str">
            <v>Penyangga</v>
          </cell>
          <cell r="K427" t="str">
            <v>PT. Aulia Multi Sarana</v>
          </cell>
          <cell r="M427" t="str">
            <v>PT. Elang Paksinusa</v>
          </cell>
        </row>
        <row r="428">
          <cell r="D428" t="str">
            <v>Jeruju Besar</v>
          </cell>
          <cell r="E428" t="str">
            <v>Kubu Raya</v>
          </cell>
          <cell r="F428" t="str">
            <v>Sungai Kakap</v>
          </cell>
          <cell r="G428" t="str">
            <v>Kalimantan Barat</v>
          </cell>
          <cell r="H428" t="str">
            <v>Kalimantan</v>
          </cell>
          <cell r="I428" t="str">
            <v>Penyangga</v>
          </cell>
          <cell r="K428" t="str">
            <v>PT. Aulia Multi Sarana</v>
          </cell>
          <cell r="M428" t="str">
            <v>PT. Elang Paksinusa</v>
          </cell>
        </row>
        <row r="429">
          <cell r="D429" t="str">
            <v>Kuala Karang</v>
          </cell>
          <cell r="E429" t="str">
            <v>Kubu Raya</v>
          </cell>
          <cell r="F429" t="str">
            <v>Teluk Pakedai</v>
          </cell>
          <cell r="G429" t="str">
            <v>Kalimantan Barat</v>
          </cell>
          <cell r="H429" t="str">
            <v>Kalimantan</v>
          </cell>
          <cell r="I429" t="str">
            <v>Hub</v>
          </cell>
          <cell r="K429" t="str">
            <v>PT. Aulia Multi Sarana</v>
          </cell>
          <cell r="M429" t="str">
            <v>PT. Elang Paksinusa</v>
          </cell>
        </row>
        <row r="430">
          <cell r="D430" t="str">
            <v>Teluk Gelam</v>
          </cell>
          <cell r="E430" t="str">
            <v>Kubu Raya</v>
          </cell>
          <cell r="F430" t="str">
            <v>Teluk Pakedai</v>
          </cell>
          <cell r="G430" t="str">
            <v>Kalimantan Barat</v>
          </cell>
          <cell r="H430" t="str">
            <v>Kalimantan</v>
          </cell>
          <cell r="I430" t="str">
            <v>Penyangga</v>
          </cell>
          <cell r="K430" t="str">
            <v>PT. Aulia Multi Sarana</v>
          </cell>
          <cell r="M430" t="str">
            <v>PT. Elang Paksinusa</v>
          </cell>
        </row>
        <row r="431">
          <cell r="D431" t="str">
            <v>Kuala Secapah</v>
          </cell>
          <cell r="E431" t="str">
            <v>Mempawah</v>
          </cell>
          <cell r="F431" t="str">
            <v>Mempawah Hilir</v>
          </cell>
          <cell r="G431" t="str">
            <v>Kalimantan Barat</v>
          </cell>
          <cell r="H431" t="str">
            <v>Kalimantan</v>
          </cell>
          <cell r="I431" t="str">
            <v>Hub</v>
          </cell>
          <cell r="K431" t="str">
            <v>PT. Falah Eka Cahya</v>
          </cell>
          <cell r="M431" t="str">
            <v>PT. Falah Eka Cahya</v>
          </cell>
        </row>
        <row r="432">
          <cell r="D432" t="str">
            <v>Penibung</v>
          </cell>
          <cell r="E432" t="str">
            <v>Mempawah</v>
          </cell>
          <cell r="F432" t="str">
            <v>Mempawah Hilir</v>
          </cell>
          <cell r="G432" t="str">
            <v>Kalimantan Barat</v>
          </cell>
          <cell r="H432" t="str">
            <v>Kalimantan</v>
          </cell>
          <cell r="I432" t="str">
            <v>Penyangga</v>
          </cell>
          <cell r="K432" t="str">
            <v>PT. Falah Eka Cahya</v>
          </cell>
          <cell r="M432" t="str">
            <v>PT. Falah Eka Cahya</v>
          </cell>
        </row>
        <row r="433">
          <cell r="D433" t="str">
            <v>Sengkubang</v>
          </cell>
          <cell r="E433" t="str">
            <v>Mempawah</v>
          </cell>
          <cell r="F433" t="str">
            <v>Mempawah Hilir</v>
          </cell>
          <cell r="G433" t="str">
            <v>Kalimantan Barat</v>
          </cell>
          <cell r="H433" t="str">
            <v>Kalimantan</v>
          </cell>
          <cell r="I433" t="str">
            <v>Penyangga</v>
          </cell>
          <cell r="K433" t="str">
            <v>PT. Falah Eka Cahya</v>
          </cell>
          <cell r="M433" t="str">
            <v>PT. Falah Eka Cahya</v>
          </cell>
        </row>
        <row r="434">
          <cell r="D434" t="str">
            <v>Sungai Duri Ii</v>
          </cell>
          <cell r="E434" t="str">
            <v>Mempawah</v>
          </cell>
          <cell r="F434" t="str">
            <v>Sungai Kunyit</v>
          </cell>
          <cell r="G434" t="str">
            <v>Kalimantan Barat</v>
          </cell>
          <cell r="H434" t="str">
            <v>Kalimantan</v>
          </cell>
          <cell r="I434" t="str">
            <v>Penyangga</v>
          </cell>
          <cell r="K434" t="str">
            <v>PT. Falah Eka Cahya</v>
          </cell>
          <cell r="M434" t="str">
            <v>PT. Falah Eka Cahya</v>
          </cell>
        </row>
        <row r="435">
          <cell r="D435" t="str">
            <v>Paluh Sibaji</v>
          </cell>
          <cell r="E435" t="str">
            <v>Deli Serdang</v>
          </cell>
          <cell r="F435" t="str">
            <v>Pantai Labu</v>
          </cell>
          <cell r="G435" t="str">
            <v>Sumatera Utara</v>
          </cell>
          <cell r="H435" t="str">
            <v>Sumatera</v>
          </cell>
          <cell r="I435" t="str">
            <v>Penyangga</v>
          </cell>
          <cell r="K435" t="str">
            <v>PT. Cinta Karya Membangun</v>
          </cell>
          <cell r="M435" t="str">
            <v>PT Multi Gapura Pembangunan Semesta</v>
          </cell>
        </row>
        <row r="436">
          <cell r="D436" t="str">
            <v>Nelayan Indah</v>
          </cell>
          <cell r="E436" t="str">
            <v>Kota Medan</v>
          </cell>
          <cell r="F436" t="str">
            <v>Medan Labuhan</v>
          </cell>
          <cell r="G436" t="str">
            <v>Sumatera Utara</v>
          </cell>
          <cell r="H436" t="str">
            <v>Sumatera</v>
          </cell>
          <cell r="I436" t="str">
            <v>Penyangga</v>
          </cell>
          <cell r="K436" t="str">
            <v>PT. Cinta Karya Membangun</v>
          </cell>
          <cell r="M436" t="str">
            <v>PT Multi Gapura Pembangunan Semesta</v>
          </cell>
        </row>
        <row r="437">
          <cell r="D437" t="str">
            <v>Kwala Serapuh</v>
          </cell>
          <cell r="E437" t="str">
            <v>Langkat</v>
          </cell>
          <cell r="F437" t="str">
            <v>Tanjung Pura</v>
          </cell>
          <cell r="G437" t="str">
            <v>Sumatera Utara</v>
          </cell>
          <cell r="H437" t="str">
            <v>Sumatera</v>
          </cell>
          <cell r="I437" t="str">
            <v>Penyangga</v>
          </cell>
          <cell r="K437" t="str">
            <v>PT. Cinta Karya Membangun</v>
          </cell>
          <cell r="M437" t="str">
            <v>PT Multi Gapura Pembangunan Semesta</v>
          </cell>
        </row>
        <row r="438">
          <cell r="D438" t="str">
            <v>Lamahala Jaya</v>
          </cell>
          <cell r="E438" t="str">
            <v>Flores Timur</v>
          </cell>
          <cell r="F438" t="str">
            <v>Adonara Timur</v>
          </cell>
          <cell r="G438" t="str">
            <v>Nusa Tenggara Timur</v>
          </cell>
          <cell r="H438" t="str">
            <v>Bali Nusa Tenggara</v>
          </cell>
          <cell r="I438" t="str">
            <v>Penyangga</v>
          </cell>
          <cell r="K438" t="str">
            <v>PT. Heri Jaya Palung Buana</v>
          </cell>
          <cell r="M438" t="str">
            <v>CV. Jasa Mandiri Bersama</v>
          </cell>
        </row>
        <row r="439">
          <cell r="D439" t="str">
            <v>Labelen</v>
          </cell>
          <cell r="E439" t="str">
            <v>Flores Timur</v>
          </cell>
          <cell r="F439" t="str">
            <v>Solor Timur</v>
          </cell>
          <cell r="G439" t="str">
            <v>Nusa Tenggara Timur</v>
          </cell>
          <cell r="H439" t="str">
            <v>Bali Nusa Tenggara</v>
          </cell>
          <cell r="I439" t="str">
            <v>Hub</v>
          </cell>
          <cell r="K439" t="str">
            <v>PT. Heri Jaya Palung Buana</v>
          </cell>
          <cell r="M439" t="str">
            <v>CV. Jasa Mandiri Bersama</v>
          </cell>
        </row>
        <row r="440">
          <cell r="D440" t="str">
            <v>Bale-Bale Sibohou</v>
          </cell>
          <cell r="E440" t="str">
            <v>Nias Selatan</v>
          </cell>
          <cell r="F440" t="str">
            <v>Pulau-Pulau Batu Utara</v>
          </cell>
          <cell r="G440" t="str">
            <v>Sumatera Utara</v>
          </cell>
          <cell r="H440" t="str">
            <v>Sumatera</v>
          </cell>
          <cell r="I440" t="str">
            <v>Penyangga</v>
          </cell>
          <cell r="K440" t="str">
            <v>PT. Bumi Palapa Perkasa</v>
          </cell>
          <cell r="M440" t="str">
            <v>PT. Bukit Zaitun (Menengah)</v>
          </cell>
        </row>
        <row r="441">
          <cell r="D441" t="str">
            <v>Majino Lorang</v>
          </cell>
          <cell r="E441" t="str">
            <v>Nias Selatan</v>
          </cell>
          <cell r="F441" t="str">
            <v>Pulau-Pulau Batu Utara</v>
          </cell>
          <cell r="G441" t="str">
            <v>Sumatera Utara</v>
          </cell>
          <cell r="H441" t="str">
            <v>Sumatera</v>
          </cell>
          <cell r="I441" t="str">
            <v>Penyangga</v>
          </cell>
          <cell r="K441" t="str">
            <v>PT. Bumi Palapa Perkasa</v>
          </cell>
          <cell r="M441" t="str">
            <v>PT. Bukit Zaitun (Menengah)</v>
          </cell>
        </row>
        <row r="442">
          <cell r="D442" t="str">
            <v>Maligi</v>
          </cell>
          <cell r="E442" t="str">
            <v>Pasaman Barat</v>
          </cell>
          <cell r="F442" t="str">
            <v>Sasak Ranah Pasisie</v>
          </cell>
          <cell r="G442" t="str">
            <v>Sumatera Barat</v>
          </cell>
          <cell r="H442" t="str">
            <v>Sumatera</v>
          </cell>
          <cell r="I442" t="str">
            <v>Hub</v>
          </cell>
          <cell r="K442" t="str">
            <v>PT. Wijaya Karya Bangunan Gedung</v>
          </cell>
          <cell r="M442" t="str">
            <v>PT. Wijaya Karya Bangunan Gedung</v>
          </cell>
        </row>
        <row r="443">
          <cell r="D443" t="str">
            <v>Ranah Pasisie</v>
          </cell>
          <cell r="E443" t="str">
            <v>Pasaman Barat</v>
          </cell>
          <cell r="F443" t="str">
            <v>Sasak Ranah Pasisie</v>
          </cell>
          <cell r="G443" t="str">
            <v>Sumatera Barat</v>
          </cell>
          <cell r="H443" t="str">
            <v>Sumatera</v>
          </cell>
          <cell r="I443" t="str">
            <v>Penyangga</v>
          </cell>
          <cell r="K443" t="str">
            <v>PT. Wijaya Karya Bangunan Gedung</v>
          </cell>
          <cell r="M443" t="str">
            <v>PT. Wijaya Karya Bangunan Gedung</v>
          </cell>
        </row>
        <row r="444">
          <cell r="D444" t="str">
            <v>Mbuliwaralau</v>
          </cell>
          <cell r="E444" t="str">
            <v>Ende</v>
          </cell>
          <cell r="F444" t="str">
            <v>Wolowaru</v>
          </cell>
          <cell r="G444" t="str">
            <v>Nusa Tenggara Timur</v>
          </cell>
          <cell r="H444" t="str">
            <v>Bali Nusa Tenggara</v>
          </cell>
          <cell r="I444" t="str">
            <v>Penyangga</v>
          </cell>
          <cell r="K444" t="str">
            <v>PT. Demix Jaya Utama</v>
          </cell>
          <cell r="M444" t="str">
            <v>CV. Jawa Mai</v>
          </cell>
        </row>
        <row r="445">
          <cell r="D445" t="str">
            <v>Pasar Lama</v>
          </cell>
          <cell r="E445" t="str">
            <v>Kaur</v>
          </cell>
          <cell r="F445" t="str">
            <v>Kaur Selatan</v>
          </cell>
          <cell r="G445" t="str">
            <v>Bengkulu</v>
          </cell>
          <cell r="H445" t="str">
            <v>Sumatera</v>
          </cell>
          <cell r="I445" t="str">
            <v>Penyangga</v>
          </cell>
          <cell r="K445" t="str">
            <v>PT. Aruna Karya Bangunindo (AUFAR)</v>
          </cell>
          <cell r="M445" t="str">
            <v>PT. Burniat Indah Karya</v>
          </cell>
        </row>
        <row r="446">
          <cell r="D446" t="str">
            <v>Way Hawang</v>
          </cell>
          <cell r="E446" t="str">
            <v>Kaur</v>
          </cell>
          <cell r="F446" t="str">
            <v>Maje</v>
          </cell>
          <cell r="G446" t="str">
            <v>Bengkulu</v>
          </cell>
          <cell r="H446" t="str">
            <v>Sumatera</v>
          </cell>
          <cell r="I446" t="str">
            <v>Penyangga</v>
          </cell>
          <cell r="K446" t="str">
            <v>PT. Aruna Karya Bangunindo (AUFAR)</v>
          </cell>
          <cell r="M446" t="str">
            <v>PT. Burniat Indah Karya</v>
          </cell>
        </row>
        <row r="447">
          <cell r="D447" t="str">
            <v>Nangadhero</v>
          </cell>
          <cell r="E447" t="str">
            <v>Nagekeo</v>
          </cell>
          <cell r="F447" t="str">
            <v>Aesesa</v>
          </cell>
          <cell r="G447" t="str">
            <v>Nusa Tenggara Timur</v>
          </cell>
          <cell r="H447" t="str">
            <v>Bali Nusa Tenggara</v>
          </cell>
          <cell r="I447" t="str">
            <v>Penyangga</v>
          </cell>
          <cell r="K447" t="str">
            <v>PT. Rajasa Nusa Jaya</v>
          </cell>
          <cell r="M447" t="str">
            <v>PT. Rajasa Nusa Jaya</v>
          </cell>
        </row>
        <row r="448">
          <cell r="D448" t="str">
            <v>Gunung Sari</v>
          </cell>
          <cell r="E448" t="str">
            <v>Sikka</v>
          </cell>
          <cell r="F448" t="str">
            <v>Alok</v>
          </cell>
          <cell r="G448" t="str">
            <v>Nusa Tenggara Timur</v>
          </cell>
          <cell r="H448" t="str">
            <v>Bali Nusa Tenggara</v>
          </cell>
          <cell r="I448" t="str">
            <v>Penyangga</v>
          </cell>
          <cell r="K448" t="str">
            <v>PT. Heri Jaya Palung Buana</v>
          </cell>
          <cell r="M448" t="str">
            <v>PT. Arum Daya Sentausa</v>
          </cell>
        </row>
        <row r="449">
          <cell r="D449" t="str">
            <v>Nangahale</v>
          </cell>
          <cell r="E449" t="str">
            <v>Sikka</v>
          </cell>
          <cell r="F449" t="str">
            <v>Talibura</v>
          </cell>
          <cell r="G449" t="str">
            <v>Nusa Tenggara Timur</v>
          </cell>
          <cell r="H449" t="str">
            <v>Bali Nusa Tenggara</v>
          </cell>
          <cell r="I449" t="str">
            <v>Hub</v>
          </cell>
          <cell r="K449" t="str">
            <v>PT. Heri Jaya Palung Buana</v>
          </cell>
          <cell r="M449" t="str">
            <v>PT. Arum Daya Sentausa</v>
          </cell>
        </row>
        <row r="450">
          <cell r="D450" t="str">
            <v>Seulayat Ulakan</v>
          </cell>
          <cell r="E450" t="str">
            <v>Padang Pariaman</v>
          </cell>
          <cell r="F450" t="str">
            <v>Ulakan Tapakih</v>
          </cell>
          <cell r="G450" t="str">
            <v>Sumatera Barat</v>
          </cell>
          <cell r="H450" t="str">
            <v>Sumatera</v>
          </cell>
          <cell r="I450" t="str">
            <v>Penyangga</v>
          </cell>
          <cell r="K450" t="str">
            <v>CV. Satria Konstruksi</v>
          </cell>
          <cell r="M450" t="str">
            <v>PT. Catur Pilar Cakrawala</v>
          </cell>
        </row>
        <row r="451">
          <cell r="D451" t="str">
            <v>Padang Tikar Dua</v>
          </cell>
          <cell r="E451" t="str">
            <v>Kubu Raya</v>
          </cell>
          <cell r="F451" t="str">
            <v>Batu Ampar</v>
          </cell>
          <cell r="G451" t="str">
            <v>Kalimantan Barat</v>
          </cell>
          <cell r="H451" t="str">
            <v>Kalimantan</v>
          </cell>
          <cell r="I451" t="str">
            <v>Hub</v>
          </cell>
          <cell r="K451" t="str">
            <v>PT. Aulia Multi Sarana</v>
          </cell>
          <cell r="M451" t="str">
            <v>PT. Mina Transindo Totabuan</v>
          </cell>
        </row>
        <row r="452">
          <cell r="D452" t="str">
            <v>Padang Tikar Satu</v>
          </cell>
          <cell r="E452" t="str">
            <v>Kubu Raya</v>
          </cell>
          <cell r="F452" t="str">
            <v>Batu Ampar</v>
          </cell>
          <cell r="G452" t="str">
            <v>Kalimantan Barat</v>
          </cell>
          <cell r="H452" t="str">
            <v>Kalimantan</v>
          </cell>
          <cell r="I452" t="str">
            <v>Penyangga</v>
          </cell>
          <cell r="K452" t="str">
            <v>PT. Aulia Multi Sarana</v>
          </cell>
          <cell r="M452" t="str">
            <v>PT. Mina Transindo Totabuan</v>
          </cell>
        </row>
        <row r="453">
          <cell r="D453" t="str">
            <v>Kampung Keramat</v>
          </cell>
          <cell r="E453" t="str">
            <v>Katingan</v>
          </cell>
          <cell r="F453" t="str">
            <v>Katingan Kuala</v>
          </cell>
          <cell r="G453" t="str">
            <v>Kalimantan Tengah</v>
          </cell>
          <cell r="H453" t="str">
            <v>Kalimantan</v>
          </cell>
          <cell r="I453" t="str">
            <v>Penyangga</v>
          </cell>
          <cell r="K453" t="str">
            <v>CV. Rahayu Prima Perkasa</v>
          </cell>
          <cell r="M453" t="str">
            <v>PT. Borneo Mitra Strategis</v>
          </cell>
        </row>
        <row r="454">
          <cell r="D454" t="str">
            <v>Sei Ijum Raya</v>
          </cell>
          <cell r="E454" t="str">
            <v>Kotawaringin Timur</v>
          </cell>
          <cell r="F454" t="str">
            <v>Mentaya Hilir Selatan</v>
          </cell>
          <cell r="G454" t="str">
            <v>Kalimantan Tengah</v>
          </cell>
          <cell r="H454" t="str">
            <v>Kalimantan</v>
          </cell>
          <cell r="I454" t="str">
            <v>Penyangga</v>
          </cell>
          <cell r="K454" t="str">
            <v>CV. Rahayu Prima Perkasa</v>
          </cell>
          <cell r="M454" t="str">
            <v>PT. Borneo Mitra Strategis</v>
          </cell>
        </row>
        <row r="455">
          <cell r="D455" t="str">
            <v>Kadahang</v>
          </cell>
          <cell r="E455" t="str">
            <v>Sumba Timur</v>
          </cell>
          <cell r="F455" t="str">
            <v>Haharu</v>
          </cell>
          <cell r="G455" t="str">
            <v>Nusa Tenggara Timur</v>
          </cell>
          <cell r="H455" t="str">
            <v>Bali Nusa Tenggara</v>
          </cell>
          <cell r="I455" t="str">
            <v>Penyangga</v>
          </cell>
          <cell r="M455" t="str">
            <v>PT. Assala Karya Perkasa (Menengah)</v>
          </cell>
        </row>
        <row r="456">
          <cell r="D456" t="str">
            <v>Temu</v>
          </cell>
          <cell r="E456" t="str">
            <v>Sumba Timur</v>
          </cell>
          <cell r="F456" t="str">
            <v>Kanatang</v>
          </cell>
          <cell r="G456" t="str">
            <v>Nusa Tenggara Timur</v>
          </cell>
          <cell r="H456" t="str">
            <v>Bali Nusa Tenggara</v>
          </cell>
          <cell r="I456" t="str">
            <v>Penyangga</v>
          </cell>
          <cell r="M456" t="str">
            <v>PT. Assala Karya Perkasa (Menengah)</v>
          </cell>
        </row>
        <row r="457">
          <cell r="D457" t="str">
            <v>Palaka Hembi</v>
          </cell>
          <cell r="E457" t="str">
            <v>Sumba Timur</v>
          </cell>
          <cell r="F457" t="str">
            <v>Pandawai</v>
          </cell>
          <cell r="G457" t="str">
            <v>Nusa Tenggara Timur</v>
          </cell>
          <cell r="H457" t="str">
            <v>Bali Nusa Tenggara</v>
          </cell>
          <cell r="I457" t="str">
            <v>Penyangga (+cs)</v>
          </cell>
          <cell r="M457" t="str">
            <v>PT. Assala Karya Perkasa (Menengah)</v>
          </cell>
        </row>
        <row r="458">
          <cell r="D458" t="str">
            <v>Wanga</v>
          </cell>
          <cell r="E458" t="str">
            <v>Sumba Timur</v>
          </cell>
          <cell r="F458" t="str">
            <v>Umalulu</v>
          </cell>
          <cell r="G458" t="str">
            <v>Nusa Tenggara Timur</v>
          </cell>
          <cell r="H458" t="str">
            <v>Bali Nusa Tenggara</v>
          </cell>
          <cell r="I458" t="str">
            <v>Penyangga</v>
          </cell>
          <cell r="M458" t="str">
            <v>PT. Assala Karya Perkasa (Menengah)</v>
          </cell>
        </row>
        <row r="459">
          <cell r="D459" t="str">
            <v>Oenggae</v>
          </cell>
          <cell r="E459" t="str">
            <v>Rote Ndao</v>
          </cell>
          <cell r="F459" t="str">
            <v>Pantai baru</v>
          </cell>
          <cell r="G459" t="str">
            <v>Nusa Tenggara Timur</v>
          </cell>
          <cell r="H459" t="str">
            <v>Bali Nusa Tenggara</v>
          </cell>
          <cell r="I459" t="str">
            <v>Penyangga</v>
          </cell>
          <cell r="M459" t="str">
            <v>PT. Aulia Berlian Konstruksi (Menengah)</v>
          </cell>
        </row>
        <row r="460">
          <cell r="D460" t="str">
            <v>Papela</v>
          </cell>
          <cell r="E460" t="str">
            <v>Rote Ndao</v>
          </cell>
          <cell r="F460" t="str">
            <v>Rote Timur</v>
          </cell>
          <cell r="G460" t="str">
            <v>Nusa Tenggara Timur</v>
          </cell>
          <cell r="H460" t="str">
            <v>Bali Nusa Tenggara</v>
          </cell>
          <cell r="I460" t="str">
            <v>Penyangga (+cs)</v>
          </cell>
          <cell r="M460" t="str">
            <v>PT. Aulia Berlian Konstruksi (Menengah)</v>
          </cell>
        </row>
        <row r="461">
          <cell r="D461" t="str">
            <v>Pasar Baru Batahan</v>
          </cell>
          <cell r="E461" t="str">
            <v>Mandailing Natal</v>
          </cell>
          <cell r="F461" t="str">
            <v>Batahan</v>
          </cell>
          <cell r="G461" t="str">
            <v>Sumatera Utara</v>
          </cell>
          <cell r="H461" t="str">
            <v>Sumatera</v>
          </cell>
          <cell r="I461" t="str">
            <v>Hub</v>
          </cell>
          <cell r="K461" t="str">
            <v>PT. Nila Nasra Nina</v>
          </cell>
          <cell r="M461" t="str">
            <v>PT. Pilar Persada Konstruksi</v>
          </cell>
        </row>
        <row r="462">
          <cell r="D462" t="str">
            <v>Tabuyung</v>
          </cell>
          <cell r="E462" t="str">
            <v>Mandailing Natal</v>
          </cell>
          <cell r="F462" t="str">
            <v>Muara Batang Gadis</v>
          </cell>
          <cell r="G462" t="str">
            <v>Sumatera Utara</v>
          </cell>
          <cell r="H462" t="str">
            <v>Sumatera</v>
          </cell>
          <cell r="I462" t="str">
            <v>Penyangga</v>
          </cell>
          <cell r="K462" t="str">
            <v>PT. Nila Nasra Nina</v>
          </cell>
          <cell r="M462" t="str">
            <v>PT. Pilar Persada Konstruksi</v>
          </cell>
        </row>
        <row r="463">
          <cell r="D463" t="str">
            <v>Pasar V Natal</v>
          </cell>
          <cell r="E463" t="str">
            <v>Mandailing Natal</v>
          </cell>
          <cell r="F463" t="str">
            <v>Natal</v>
          </cell>
          <cell r="G463" t="str">
            <v>Sumatera Utara</v>
          </cell>
          <cell r="H463" t="str">
            <v>Sumatera</v>
          </cell>
          <cell r="I463" t="str">
            <v>Penyangga</v>
          </cell>
          <cell r="K463" t="str">
            <v>PT. Nila Nasra Nina</v>
          </cell>
          <cell r="M463" t="str">
            <v>PT. Pilar Persada Konstruksi</v>
          </cell>
        </row>
        <row r="464">
          <cell r="D464" t="str">
            <v>Afia</v>
          </cell>
          <cell r="E464" t="str">
            <v>Kota Gunungsitoli</v>
          </cell>
          <cell r="F464" t="str">
            <v>Gunungsitoli Utara</v>
          </cell>
          <cell r="G464" t="str">
            <v>Sumatera Utara</v>
          </cell>
          <cell r="H464" t="str">
            <v>Sumatera</v>
          </cell>
          <cell r="I464" t="str">
            <v>Penyangga</v>
          </cell>
          <cell r="K464" t="str">
            <v>CV. Pantai Selatan Mandiri</v>
          </cell>
          <cell r="M464" t="str">
            <v>CV. Pantai Selatan Mandiri</v>
          </cell>
        </row>
        <row r="465">
          <cell r="D465" t="str">
            <v>Laira</v>
          </cell>
          <cell r="E465" t="str">
            <v>Nias</v>
          </cell>
          <cell r="F465" t="str">
            <v>Idanogawo</v>
          </cell>
          <cell r="G465" t="str">
            <v>Sumatera Utara</v>
          </cell>
          <cell r="H465" t="str">
            <v>Sumatera</v>
          </cell>
          <cell r="I465" t="str">
            <v>Penyangga</v>
          </cell>
          <cell r="K465" t="str">
            <v>PT. Bumi Palapa Perkasa</v>
          </cell>
          <cell r="M465" t="str">
            <v>CV. Ridho Pratama (Kecil)</v>
          </cell>
        </row>
        <row r="466">
          <cell r="D466" t="str">
            <v>Pasar Teluk Dalam</v>
          </cell>
          <cell r="E466" t="str">
            <v>Nias Selatan</v>
          </cell>
          <cell r="F466" t="str">
            <v>Teluk Dalam</v>
          </cell>
          <cell r="G466" t="str">
            <v>Sumatera Utara</v>
          </cell>
          <cell r="H466" t="str">
            <v>Sumatera</v>
          </cell>
          <cell r="I466" t="str">
            <v>Penyangga</v>
          </cell>
          <cell r="K466" t="str">
            <v>PT. Bumi Palapa Perkasa</v>
          </cell>
          <cell r="M466" t="str">
            <v>PT. Bukit Zaitun (Menengah)</v>
          </cell>
        </row>
        <row r="467">
          <cell r="D467" t="str">
            <v>Afulu</v>
          </cell>
          <cell r="E467" t="str">
            <v>Nias Utara</v>
          </cell>
          <cell r="F467" t="str">
            <v>Afulu</v>
          </cell>
          <cell r="G467" t="str">
            <v>Sumatera Utara</v>
          </cell>
          <cell r="H467" t="str">
            <v>Sumatera</v>
          </cell>
          <cell r="I467" t="str">
            <v>Penyangga</v>
          </cell>
          <cell r="K467" t="str">
            <v>CV. Pantai Selatan Mandiri</v>
          </cell>
          <cell r="M467" t="str">
            <v>CV. Pantai Selatan Mandiri</v>
          </cell>
        </row>
        <row r="468">
          <cell r="D468" t="str">
            <v>Pasar Lahewa</v>
          </cell>
          <cell r="E468" t="str">
            <v>Nias Utara</v>
          </cell>
          <cell r="F468" t="str">
            <v>Lahewa</v>
          </cell>
          <cell r="G468" t="str">
            <v>Sumatera Utara</v>
          </cell>
          <cell r="H468" t="str">
            <v>Sumatera</v>
          </cell>
          <cell r="I468" t="str">
            <v>Hub</v>
          </cell>
          <cell r="K468" t="str">
            <v>CV. Pantai Selatan Mandiri</v>
          </cell>
          <cell r="M468" t="str">
            <v>CV. Pantai Selatan Mandiri</v>
          </cell>
        </row>
        <row r="469">
          <cell r="D469" t="str">
            <v>Bagan Asahan Pekan</v>
          </cell>
          <cell r="E469" t="str">
            <v>Asahan</v>
          </cell>
          <cell r="F469" t="str">
            <v>Tanjung Balai</v>
          </cell>
          <cell r="G469" t="str">
            <v>Sumatera Utara</v>
          </cell>
          <cell r="H469" t="str">
            <v>Sumatera</v>
          </cell>
          <cell r="I469" t="str">
            <v>Penyangga</v>
          </cell>
          <cell r="K469" t="str">
            <v>CV. Mahanaim</v>
          </cell>
          <cell r="M469" t="str">
            <v>CV. Mahanaim</v>
          </cell>
        </row>
        <row r="470">
          <cell r="D470" t="str">
            <v>Nenas Siam</v>
          </cell>
          <cell r="E470" t="str">
            <v>Batu Bara</v>
          </cell>
          <cell r="F470" t="str">
            <v>Medang Deras</v>
          </cell>
          <cell r="G470" t="str">
            <v>Sumatera Utara</v>
          </cell>
          <cell r="H470" t="str">
            <v>Sumatera</v>
          </cell>
          <cell r="I470" t="str">
            <v>Penyangga</v>
          </cell>
          <cell r="K470" t="str">
            <v>PT. Ridho Anugrah</v>
          </cell>
          <cell r="M470" t="str">
            <v>CV. Ridho Pratama (Kecil)</v>
          </cell>
        </row>
        <row r="471">
          <cell r="D471" t="str">
            <v>Belungkur</v>
          </cell>
          <cell r="E471" t="str">
            <v>Lingga</v>
          </cell>
          <cell r="F471" t="str">
            <v>Lingga Timur</v>
          </cell>
          <cell r="G471" t="str">
            <v>Kepulauan Riau</v>
          </cell>
          <cell r="H471" t="str">
            <v>Sumatera</v>
          </cell>
          <cell r="I471" t="str">
            <v>Penyangga</v>
          </cell>
          <cell r="K471" t="str">
            <v>Dinamika Bangun Mandiri</v>
          </cell>
          <cell r="M471" t="str">
            <v>Dinamika Bangun Mandiri</v>
          </cell>
        </row>
        <row r="472">
          <cell r="D472" t="str">
            <v>Berlian</v>
          </cell>
          <cell r="E472" t="str">
            <v>Lingga</v>
          </cell>
          <cell r="F472" t="str">
            <v>Singkep Selatan</v>
          </cell>
          <cell r="G472" t="str">
            <v>Kepulauan Riau</v>
          </cell>
          <cell r="H472" t="str">
            <v>Sumatera</v>
          </cell>
          <cell r="I472" t="str">
            <v>Penyangga</v>
          </cell>
          <cell r="K472" t="str">
            <v>Dinamika Bangun Mandiri</v>
          </cell>
          <cell r="M472" t="str">
            <v>Dinamika Bangun Mandiri</v>
          </cell>
        </row>
        <row r="473">
          <cell r="D473" t="str">
            <v>Reo</v>
          </cell>
          <cell r="E473" t="str">
            <v>Manggarai</v>
          </cell>
          <cell r="F473" t="str">
            <v>Reok</v>
          </cell>
          <cell r="G473" t="str">
            <v>Nusa Tenggara Timur</v>
          </cell>
          <cell r="H473" t="str">
            <v>Bali Nusa Tenggara</v>
          </cell>
          <cell r="I473" t="str">
            <v>Penyangga</v>
          </cell>
          <cell r="K473" t="str">
            <v>PT. Garsi Jembar Niaga</v>
          </cell>
          <cell r="M473" t="str">
            <v>PT. Garsi Jembar Niaga</v>
          </cell>
        </row>
        <row r="474">
          <cell r="D474" t="str">
            <v>Pota</v>
          </cell>
          <cell r="E474" t="str">
            <v>Manggarai Timur</v>
          </cell>
          <cell r="F474" t="str">
            <v>Sambi Rampas</v>
          </cell>
          <cell r="G474" t="str">
            <v>Nusa Tenggara Timur</v>
          </cell>
          <cell r="H474" t="str">
            <v>Bali Nusa Tenggara</v>
          </cell>
          <cell r="I474" t="str">
            <v>Penyangga</v>
          </cell>
          <cell r="K474" t="str">
            <v>PT. Garsi Jembar Niaga</v>
          </cell>
          <cell r="M474" t="str">
            <v>PT. Garsi Jembar Niaga</v>
          </cell>
        </row>
        <row r="475">
          <cell r="D475" t="str">
            <v>Pelapis</v>
          </cell>
          <cell r="E475" t="str">
            <v>Kayong Utara</v>
          </cell>
          <cell r="F475" t="str">
            <v>Kepulauan Karimata</v>
          </cell>
          <cell r="G475" t="str">
            <v>Kalimantan Barat</v>
          </cell>
          <cell r="H475" t="str">
            <v>Kalimantan</v>
          </cell>
          <cell r="I475" t="str">
            <v>Penyangga</v>
          </cell>
          <cell r="K475" t="str">
            <v>PT. Cipta Adhi Guna</v>
          </cell>
          <cell r="M475" t="str">
            <v>PT. Savar Bikuro Sejahtera (Menengah)</v>
          </cell>
        </row>
        <row r="476">
          <cell r="D476" t="str">
            <v>Dusun Kecil</v>
          </cell>
          <cell r="E476" t="str">
            <v>Kayong Utara</v>
          </cell>
          <cell r="F476" t="str">
            <v>Pulau Maya</v>
          </cell>
          <cell r="G476" t="str">
            <v>Kalimantan Barat</v>
          </cell>
          <cell r="H476" t="str">
            <v>Kalimantan</v>
          </cell>
          <cell r="I476" t="str">
            <v>Penyangga</v>
          </cell>
          <cell r="K476" t="str">
            <v>PT. Cipta Adhi Guna</v>
          </cell>
          <cell r="M476" t="str">
            <v>PT. Savar Bikuro Sejahtera (Menengah)</v>
          </cell>
        </row>
        <row r="477">
          <cell r="D477" t="str">
            <v>Praisalura</v>
          </cell>
          <cell r="E477" t="str">
            <v>Sumba Timur</v>
          </cell>
          <cell r="F477" t="str">
            <v>Karera</v>
          </cell>
          <cell r="G477" t="str">
            <v>Nusa Tenggara Timur</v>
          </cell>
          <cell r="H477" t="str">
            <v>Bali Nusa Tenggara</v>
          </cell>
          <cell r="I477" t="str">
            <v>Penyangga</v>
          </cell>
          <cell r="K477" t="str">
            <v>PT. Mira</v>
          </cell>
          <cell r="M477" t="str">
            <v>PT. Winata Jaya Utama (Kecil)</v>
          </cell>
        </row>
        <row r="478">
          <cell r="D478" t="str">
            <v>Pulau Rajo Inderapura</v>
          </cell>
          <cell r="E478" t="str">
            <v>Pesisir Selatan</v>
          </cell>
          <cell r="F478" t="str">
            <v>Airpura</v>
          </cell>
          <cell r="G478" t="str">
            <v>Sumatera Barat</v>
          </cell>
          <cell r="H478" t="str">
            <v>Sumatera</v>
          </cell>
          <cell r="I478" t="str">
            <v>Hub</v>
          </cell>
          <cell r="K478" t="str">
            <v>PT. Wijaya Karya Bangunan Gedung</v>
          </cell>
          <cell r="M478" t="str">
            <v>PT. Wijaya Karya Bangunan Gedung</v>
          </cell>
        </row>
        <row r="479">
          <cell r="D479" t="str">
            <v>Air Haji Barat</v>
          </cell>
          <cell r="E479" t="str">
            <v>Pesisir Selatan</v>
          </cell>
          <cell r="F479" t="str">
            <v>Linggo Sari Baganti</v>
          </cell>
          <cell r="G479" t="str">
            <v>Sumatera Barat</v>
          </cell>
          <cell r="H479" t="str">
            <v>Sumatera</v>
          </cell>
          <cell r="I479" t="str">
            <v>Penyangga</v>
          </cell>
          <cell r="K479" t="str">
            <v>PT. Wijaya Karya Bangunan Gedung</v>
          </cell>
          <cell r="M479" t="str">
            <v>PT. Wijaya Karya Bangunan Gedung</v>
          </cell>
        </row>
        <row r="480">
          <cell r="D480" t="str">
            <v>Ledeunu</v>
          </cell>
          <cell r="E480" t="str">
            <v>Sabu Raijua</v>
          </cell>
          <cell r="F480" t="str">
            <v>Raijua</v>
          </cell>
          <cell r="G480" t="str">
            <v>Nusa Tenggara Timur</v>
          </cell>
          <cell r="H480" t="str">
            <v>Bali Nusa Tenggara</v>
          </cell>
          <cell r="I480" t="str">
            <v>Penyangga</v>
          </cell>
          <cell r="M480" t="str">
            <v>PT. Aulia Berlian Konstruksi (Menengah)</v>
          </cell>
        </row>
        <row r="481">
          <cell r="D481" t="str">
            <v>Raemadia</v>
          </cell>
          <cell r="E481" t="str">
            <v>Sabu Raijua</v>
          </cell>
          <cell r="F481" t="str">
            <v>Sabu Barat</v>
          </cell>
          <cell r="G481" t="str">
            <v>Nusa Tenggara Timur</v>
          </cell>
          <cell r="H481" t="str">
            <v>Bali Nusa Tenggara</v>
          </cell>
          <cell r="I481" t="str">
            <v>Penyangga (+cs)</v>
          </cell>
          <cell r="M481" t="str">
            <v>PT. Aulia Berlian Konstruksi (Menengah)</v>
          </cell>
        </row>
        <row r="482">
          <cell r="D482" t="str">
            <v>Maileppet</v>
          </cell>
          <cell r="E482" t="str">
            <v>Kepulauan Mentawai</v>
          </cell>
          <cell r="F482" t="str">
            <v>Siberut Selatan</v>
          </cell>
          <cell r="G482" t="str">
            <v>Sumatera Barat</v>
          </cell>
          <cell r="H482" t="str">
            <v>Sumatera</v>
          </cell>
          <cell r="I482" t="str">
            <v>Penyangga</v>
          </cell>
          <cell r="K482" t="str">
            <v>PT. Wijaya Karya Bangunan Gedung</v>
          </cell>
          <cell r="M482" t="str">
            <v>PT. Wijaya Karya Bangunan Gedung</v>
          </cell>
        </row>
        <row r="483">
          <cell r="D483" t="str">
            <v>Pela</v>
          </cell>
          <cell r="E483" t="str">
            <v>Kutai Kartanegara</v>
          </cell>
          <cell r="F483" t="str">
            <v>Kota Bangun</v>
          </cell>
          <cell r="G483" t="str">
            <v>Kalimantan Timur</v>
          </cell>
          <cell r="H483" t="str">
            <v>Kalimantan</v>
          </cell>
          <cell r="I483" t="str">
            <v>Penyangga</v>
          </cell>
          <cell r="K483" t="str">
            <v>PT. Riden Jaya Konstruksi</v>
          </cell>
          <cell r="M483" t="str">
            <v>PT. Global Tri Jaya</v>
          </cell>
        </row>
        <row r="484">
          <cell r="D484" t="str">
            <v>Sangkuliman</v>
          </cell>
          <cell r="E484" t="str">
            <v>Kutai Kartanegara</v>
          </cell>
          <cell r="F484" t="str">
            <v>Kota Bangun</v>
          </cell>
          <cell r="G484" t="str">
            <v>Kalimantan Timur</v>
          </cell>
          <cell r="H484" t="str">
            <v>Kalimantan</v>
          </cell>
          <cell r="I484" t="str">
            <v>Penyangga</v>
          </cell>
          <cell r="K484" t="str">
            <v>PT. Riden Jaya Konstruksi</v>
          </cell>
          <cell r="M484" t="str">
            <v>PT. Global Tri Jaya</v>
          </cell>
        </row>
        <row r="485">
          <cell r="D485" t="str">
            <v>Setarap</v>
          </cell>
          <cell r="E485" t="str">
            <v>Tanah Bumbu</v>
          </cell>
          <cell r="F485" t="str">
            <v>Satui</v>
          </cell>
          <cell r="G485" t="str">
            <v>Kalimantan Selatan</v>
          </cell>
          <cell r="H485" t="str">
            <v>Kalimantan</v>
          </cell>
          <cell r="I485" t="str">
            <v>Hub</v>
          </cell>
          <cell r="K485" t="str">
            <v>PT. Arya Graha Putratama</v>
          </cell>
          <cell r="M485" t="str">
            <v>CV. Andalan Putra Bone Perkasa</v>
          </cell>
        </row>
        <row r="486">
          <cell r="D486" t="str">
            <v>Sungaicuka</v>
          </cell>
          <cell r="E486" t="str">
            <v>Tanah Bumbu</v>
          </cell>
          <cell r="F486" t="str">
            <v>Satui</v>
          </cell>
          <cell r="G486" t="str">
            <v>Kalimantan Selatan</v>
          </cell>
          <cell r="H486" t="str">
            <v>Kalimantan</v>
          </cell>
          <cell r="I486" t="str">
            <v>Penyangga</v>
          </cell>
          <cell r="K486" t="str">
            <v>PT. Arya Graha Putratama</v>
          </cell>
          <cell r="M486" t="str">
            <v>PT. Cita Prasada Konstruksi</v>
          </cell>
        </row>
        <row r="487">
          <cell r="D487" t="str">
            <v>Suka Baru</v>
          </cell>
          <cell r="E487" t="str">
            <v>Ketapang</v>
          </cell>
          <cell r="F487" t="str">
            <v>Benua Kayong</v>
          </cell>
          <cell r="G487" t="str">
            <v>Kalimantan Barat</v>
          </cell>
          <cell r="H487" t="str">
            <v>Kalimantan</v>
          </cell>
          <cell r="I487" t="str">
            <v>Penyangga</v>
          </cell>
          <cell r="K487" t="str">
            <v>CV. Sonta Abadi</v>
          </cell>
          <cell r="M487" t="str">
            <v>CV. Sonta Abadi</v>
          </cell>
        </row>
        <row r="488">
          <cell r="D488" t="str">
            <v>Sungai Kupah</v>
          </cell>
          <cell r="E488" t="str">
            <v>Kubu Raya</v>
          </cell>
          <cell r="F488" t="str">
            <v>Sungai Kakap</v>
          </cell>
          <cell r="G488" t="str">
            <v>Kalimantan Barat</v>
          </cell>
          <cell r="H488" t="str">
            <v>Kalimantan</v>
          </cell>
          <cell r="I488" t="str">
            <v>Hub</v>
          </cell>
          <cell r="K488" t="str">
            <v>PT. Aulia Multi Sarana</v>
          </cell>
          <cell r="M488" t="str">
            <v>PT. Elang Paksinusa</v>
          </cell>
        </row>
        <row r="489">
          <cell r="D489" t="str">
            <v>Tanjung Saleh</v>
          </cell>
          <cell r="E489" t="str">
            <v>Kubu Raya</v>
          </cell>
          <cell r="F489" t="str">
            <v>Sungai Kakap</v>
          </cell>
          <cell r="G489" t="str">
            <v>Kalimantan Barat</v>
          </cell>
          <cell r="H489" t="str">
            <v>Kalimantan</v>
          </cell>
          <cell r="I489" t="str">
            <v>Penyangga</v>
          </cell>
          <cell r="K489" t="str">
            <v>PT. Aulia Multi Sarana</v>
          </cell>
          <cell r="M489" t="str">
            <v>PT. Elang Paksinusa</v>
          </cell>
        </row>
        <row r="490">
          <cell r="D490" t="str">
            <v>Sungai Undang</v>
          </cell>
          <cell r="E490" t="str">
            <v>Seruyan</v>
          </cell>
          <cell r="F490" t="str">
            <v>Seruyan Hilir</v>
          </cell>
          <cell r="G490" t="str">
            <v>Kalimantan Tengah</v>
          </cell>
          <cell r="H490" t="str">
            <v>Kalimantan</v>
          </cell>
          <cell r="I490" t="str">
            <v>Penyangga (+cs)</v>
          </cell>
          <cell r="K490" t="str">
            <v>PT. Nusa Indah Permai</v>
          </cell>
          <cell r="M490" t="str">
            <v>PT. Nusa Indah Permai</v>
          </cell>
        </row>
        <row r="491">
          <cell r="D491" t="str">
            <v>Sungai Bakau</v>
          </cell>
          <cell r="E491" t="str">
            <v>Seruyan</v>
          </cell>
          <cell r="F491" t="str">
            <v>Seruyan Hilir Timur</v>
          </cell>
          <cell r="G491" t="str">
            <v>Kalimantan Tengah</v>
          </cell>
          <cell r="H491" t="str">
            <v>Kalimantan</v>
          </cell>
          <cell r="I491" t="str">
            <v>Penyangga</v>
          </cell>
          <cell r="K491" t="str">
            <v>PT. Nusa Indah Permai</v>
          </cell>
          <cell r="M491" t="str">
            <v>PT. Nusa Indah Permai</v>
          </cell>
        </row>
        <row r="492">
          <cell r="D492" t="str">
            <v>Benan</v>
          </cell>
          <cell r="E492" t="str">
            <v>Lingga</v>
          </cell>
          <cell r="F492" t="str">
            <v>Katang Bidare</v>
          </cell>
          <cell r="G492" t="str">
            <v>Kepulauan Riau</v>
          </cell>
          <cell r="H492" t="str">
            <v>Sumatera</v>
          </cell>
          <cell r="I492" t="str">
            <v>Penyangga (+cs)</v>
          </cell>
          <cell r="K492" t="str">
            <v>Dinamika Bangun Mandiri</v>
          </cell>
          <cell r="M492" t="str">
            <v>PT. Ibnu Munsyir Dwi Guna</v>
          </cell>
        </row>
        <row r="493">
          <cell r="D493" t="str">
            <v>Mensanak</v>
          </cell>
          <cell r="E493" t="str">
            <v>Lingga</v>
          </cell>
          <cell r="F493" t="str">
            <v>Katang Bidare</v>
          </cell>
          <cell r="G493" t="str">
            <v>Kepulauan Riau</v>
          </cell>
          <cell r="H493" t="str">
            <v>Sumatera</v>
          </cell>
          <cell r="I493" t="str">
            <v>Penyangga (+cs)</v>
          </cell>
          <cell r="K493" t="str">
            <v>Dinamika Bangun Mandiri</v>
          </cell>
          <cell r="M493" t="str">
            <v>PT. Ibnu Munsyir Dwi Guna</v>
          </cell>
        </row>
        <row r="494">
          <cell r="D494" t="str">
            <v>Tanjung Kelit</v>
          </cell>
          <cell r="E494" t="str">
            <v>Lingga</v>
          </cell>
          <cell r="F494" t="str">
            <v>Bakung Serumpun</v>
          </cell>
          <cell r="G494" t="str">
            <v>Kepulauan Riau</v>
          </cell>
          <cell r="H494" t="str">
            <v>Sumatera</v>
          </cell>
          <cell r="I494" t="str">
            <v>Hub</v>
          </cell>
          <cell r="K494" t="str">
            <v>PT. Afifah Jaya Perkasa</v>
          </cell>
          <cell r="M494" t="str">
            <v>PT. Ibnu Munsyir Dwi Guna</v>
          </cell>
        </row>
        <row r="495">
          <cell r="D495" t="str">
            <v>Pancur</v>
          </cell>
          <cell r="E495" t="str">
            <v>Lingga</v>
          </cell>
          <cell r="F495" t="str">
            <v>Lingga Utara</v>
          </cell>
          <cell r="G495" t="str">
            <v>Kepulauan Riau</v>
          </cell>
          <cell r="H495" t="str">
            <v>Sumatera</v>
          </cell>
          <cell r="I495" t="str">
            <v>Penyangga</v>
          </cell>
          <cell r="K495" t="str">
            <v>PT. Afifah Jaya Perkasa</v>
          </cell>
          <cell r="M495" t="str">
            <v>PT. Ibnu Munsyir Dwi Guna</v>
          </cell>
        </row>
        <row r="496">
          <cell r="D496" t="str">
            <v>Sekanah</v>
          </cell>
          <cell r="E496" t="str">
            <v>Lingga</v>
          </cell>
          <cell r="F496" t="str">
            <v>Lingga Utara</v>
          </cell>
          <cell r="G496" t="str">
            <v>Kepulauan Riau</v>
          </cell>
          <cell r="H496" t="str">
            <v>Sumatera</v>
          </cell>
          <cell r="I496" t="str">
            <v>Penyangga</v>
          </cell>
          <cell r="K496" t="str">
            <v>PT. Afifah Jaya Perkasa</v>
          </cell>
          <cell r="M496" t="str">
            <v>PT. Ibnu Munsyir Dwi Guna</v>
          </cell>
        </row>
        <row r="497">
          <cell r="D497" t="str">
            <v>Penaah</v>
          </cell>
          <cell r="E497" t="str">
            <v>Lingga</v>
          </cell>
          <cell r="F497" t="str">
            <v>Senayang</v>
          </cell>
          <cell r="G497" t="str">
            <v>Kepulauan Riau</v>
          </cell>
          <cell r="H497" t="str">
            <v>Sumatera</v>
          </cell>
          <cell r="I497" t="str">
            <v>Penyangga</v>
          </cell>
          <cell r="K497" t="str">
            <v>PT. Afifah Jaya Perkasa</v>
          </cell>
          <cell r="M497" t="str">
            <v>PT. Ibnu Munsyir Dwi Guna</v>
          </cell>
        </row>
        <row r="498">
          <cell r="D498" t="str">
            <v>Pulau Kerayaan</v>
          </cell>
          <cell r="E498" t="str">
            <v>Kotabaru</v>
          </cell>
          <cell r="F498" t="str">
            <v>Pulau Laut Kepulauan</v>
          </cell>
          <cell r="G498" t="str">
            <v>Kalimantan Selatan</v>
          </cell>
          <cell r="H498" t="str">
            <v>Kalimantan</v>
          </cell>
          <cell r="I498" t="str">
            <v>Penyangga</v>
          </cell>
          <cell r="K498" t="str">
            <v>PT. Beringin Jaya Perkasa (Kotabaru)</v>
          </cell>
          <cell r="M498" t="str">
            <v>PT. Beringin Jaya Perkasa (Kotabaru)</v>
          </cell>
        </row>
        <row r="499">
          <cell r="D499" t="str">
            <v>Tanjung Lalak Selatan</v>
          </cell>
          <cell r="E499" t="str">
            <v>Kotabaru</v>
          </cell>
          <cell r="F499" t="str">
            <v>Pulau Laut Kepulauan</v>
          </cell>
          <cell r="G499" t="str">
            <v>Kalimantan Selatan</v>
          </cell>
          <cell r="H499" t="str">
            <v>Kalimantan</v>
          </cell>
          <cell r="I499" t="str">
            <v>Hub</v>
          </cell>
          <cell r="K499" t="str">
            <v>PT. Beringin Jaya Perkasa (Kotabaru)</v>
          </cell>
          <cell r="M499" t="str">
            <v>PT. Beringin Jaya Perkasa (Kotabaru)</v>
          </cell>
        </row>
        <row r="500">
          <cell r="D500" t="str">
            <v>Tanjung Seloka</v>
          </cell>
          <cell r="E500" t="str">
            <v>Kotabaru</v>
          </cell>
          <cell r="F500" t="str">
            <v>Pulau Laut Selatan</v>
          </cell>
          <cell r="G500" t="str">
            <v>Kalimantan Selatan</v>
          </cell>
          <cell r="H500" t="str">
            <v>Kalimantan</v>
          </cell>
          <cell r="I500" t="str">
            <v>Penyangga</v>
          </cell>
          <cell r="K500" t="str">
            <v>PT. Beringin Jaya Perkasa (Kotabaru)</v>
          </cell>
          <cell r="M500" t="str">
            <v>PT. Beringin Jaya Perkasa (Kotabaru)</v>
          </cell>
        </row>
        <row r="501">
          <cell r="D501" t="str">
            <v>Sungai Bakau</v>
          </cell>
          <cell r="E501" t="str">
            <v>Kotawaringin Barat</v>
          </cell>
          <cell r="F501" t="str">
            <v>Kumai</v>
          </cell>
          <cell r="G501" t="str">
            <v>Kalimantan Tengah</v>
          </cell>
          <cell r="H501" t="str">
            <v>Kalimantan</v>
          </cell>
          <cell r="I501" t="str">
            <v>Penyangga</v>
          </cell>
          <cell r="K501" t="str">
            <v>PT. Bisma Era Wijaya</v>
          </cell>
          <cell r="M501" t="str">
            <v>PT. Nusa Indah Permai</v>
          </cell>
        </row>
        <row r="502">
          <cell r="D502" t="str">
            <v>Sungai Cabang Barat</v>
          </cell>
          <cell r="E502" t="str">
            <v>Sukamara</v>
          </cell>
          <cell r="F502" t="str">
            <v>Pantai Lunci</v>
          </cell>
          <cell r="G502" t="str">
            <v>Kalimantan Tengah</v>
          </cell>
          <cell r="H502" t="str">
            <v>Kalimantan</v>
          </cell>
          <cell r="I502" t="str">
            <v>Penyangga</v>
          </cell>
          <cell r="K502" t="str">
            <v>PT. Bisma Era Wijaya</v>
          </cell>
          <cell r="M502" t="str">
            <v>PT. Bangun Mataram Jaya (Menengah)</v>
          </cell>
        </row>
        <row r="503">
          <cell r="D503" t="str">
            <v>Sungai Damar</v>
          </cell>
          <cell r="E503" t="str">
            <v>Sukamara</v>
          </cell>
          <cell r="F503" t="str">
            <v>Pantai Lunci</v>
          </cell>
          <cell r="G503" t="str">
            <v>Kalimantan Tengah</v>
          </cell>
          <cell r="H503" t="str">
            <v>Kalimantan</v>
          </cell>
          <cell r="I503" t="str">
            <v>Hub</v>
          </cell>
          <cell r="K503" t="str">
            <v>PT. Bisma Era Wijaya</v>
          </cell>
          <cell r="M503" t="str">
            <v>PT. Bangun Mataram Jaya (Menengah)</v>
          </cell>
        </row>
        <row r="504">
          <cell r="D504" t="str">
            <v>Pantai</v>
          </cell>
          <cell r="E504" t="str">
            <v>Kotabaru</v>
          </cell>
          <cell r="F504" t="str">
            <v>Kelumpang Selatan</v>
          </cell>
          <cell r="G504" t="str">
            <v>Kalimantan Selatan</v>
          </cell>
          <cell r="H504" t="str">
            <v>Kalimantan</v>
          </cell>
          <cell r="I504" t="str">
            <v>Penyangga (+cs)</v>
          </cell>
          <cell r="K504" t="str">
            <v>PT. Beringin Jaya Perkasa (Kotabaru)</v>
          </cell>
          <cell r="M504" t="str">
            <v>CV. Bumi Keerom Perkasa</v>
          </cell>
        </row>
        <row r="505">
          <cell r="D505" t="str">
            <v>Tanjung Samalantakan</v>
          </cell>
          <cell r="E505" t="str">
            <v>Kotabaru</v>
          </cell>
          <cell r="F505" t="str">
            <v>Pamukan Selatan</v>
          </cell>
          <cell r="G505" t="str">
            <v>Kalimantan Selatan</v>
          </cell>
          <cell r="H505" t="str">
            <v>Kalimantan</v>
          </cell>
          <cell r="I505" t="str">
            <v>Hub</v>
          </cell>
          <cell r="K505" t="str">
            <v>PT. Beringin Jaya Perkasa (Kotabaru)</v>
          </cell>
          <cell r="M505" t="str">
            <v>CV. Bumi Keerom Perkasa</v>
          </cell>
        </row>
        <row r="506">
          <cell r="D506" t="str">
            <v>Teluk Kabung Selatan</v>
          </cell>
          <cell r="E506" t="str">
            <v>Kota Padang</v>
          </cell>
          <cell r="F506" t="str">
            <v>Bungus Teluk Kabung</v>
          </cell>
          <cell r="G506" t="str">
            <v>Sumatera Barat</v>
          </cell>
          <cell r="H506" t="str">
            <v>Sumatera</v>
          </cell>
          <cell r="I506" t="str">
            <v>Hub</v>
          </cell>
          <cell r="K506" t="str">
            <v>PT. Wijaya Karya Bangunan Gedung</v>
          </cell>
          <cell r="M506" t="str">
            <v>PT. Wijaya Karya Bangunan Gedung</v>
          </cell>
        </row>
        <row r="507">
          <cell r="D507" t="str">
            <v>Sungai Pinang</v>
          </cell>
          <cell r="E507" t="str">
            <v>Pesisir Selatan</v>
          </cell>
          <cell r="F507" t="str">
            <v>Koto Xi Tarusan</v>
          </cell>
          <cell r="G507" t="str">
            <v>Sumatera Barat</v>
          </cell>
          <cell r="H507" t="str">
            <v>Sumatera</v>
          </cell>
          <cell r="I507" t="str">
            <v>Penyangga</v>
          </cell>
          <cell r="K507" t="str">
            <v>PT. Wijaya Karya Bangunan Gedung</v>
          </cell>
          <cell r="M507" t="str">
            <v>PT. Wijaya Karya Bangunan Gedung</v>
          </cell>
        </row>
        <row r="508">
          <cell r="D508" t="str">
            <v>Tetandara</v>
          </cell>
          <cell r="E508" t="str">
            <v>Ende</v>
          </cell>
          <cell r="F508" t="str">
            <v>Ende Selatan</v>
          </cell>
          <cell r="G508" t="str">
            <v>Nusa Tenggara Timur</v>
          </cell>
          <cell r="H508" t="str">
            <v>Bali Nusa Tenggara</v>
          </cell>
          <cell r="I508" t="str">
            <v>Penyangga (+cs)</v>
          </cell>
          <cell r="K508" t="str">
            <v>PT. Demix Jaya Utama</v>
          </cell>
          <cell r="M508" t="str">
            <v>CV. Jawa Mai</v>
          </cell>
        </row>
        <row r="509">
          <cell r="D509" t="str">
            <v>Rorurangga</v>
          </cell>
          <cell r="E509" t="str">
            <v>Ende</v>
          </cell>
          <cell r="F509" t="str">
            <v>Pulau Ende</v>
          </cell>
          <cell r="G509" t="str">
            <v>Nusa Tenggara Timur</v>
          </cell>
          <cell r="H509" t="str">
            <v>Bali Nusa Tenggara</v>
          </cell>
          <cell r="I509" t="str">
            <v>Penyangga</v>
          </cell>
          <cell r="K509" t="str">
            <v>PT. Demix Jaya Utama</v>
          </cell>
          <cell r="M509" t="str">
            <v>CV. Jawa Mai</v>
          </cell>
        </row>
        <row r="510">
          <cell r="D510" t="str">
            <v>Tiku Selatan</v>
          </cell>
          <cell r="E510" t="str">
            <v>Agam</v>
          </cell>
          <cell r="F510" t="str">
            <v>Tanjung Mutiara</v>
          </cell>
          <cell r="G510" t="str">
            <v>Sumatera Barat</v>
          </cell>
          <cell r="H510" t="str">
            <v>Sumatera</v>
          </cell>
          <cell r="I510" t="str">
            <v>Hub</v>
          </cell>
          <cell r="K510" t="str">
            <v>PT. Catur Pilar Cakrawala</v>
          </cell>
          <cell r="M510" t="str">
            <v>PT. Segi Tiga Tambora</v>
          </cell>
        </row>
        <row r="511">
          <cell r="D511" t="str">
            <v>Marunggi</v>
          </cell>
          <cell r="E511" t="str">
            <v>Kota Pariaman</v>
          </cell>
          <cell r="F511" t="str">
            <v>Pariaman Selatan</v>
          </cell>
          <cell r="G511" t="str">
            <v>Sumatera Barat</v>
          </cell>
          <cell r="H511" t="str">
            <v>Sumatera</v>
          </cell>
          <cell r="I511" t="str">
            <v>Penyangga</v>
          </cell>
          <cell r="K511" t="str">
            <v>PT. Catur Pilar Cakrawala</v>
          </cell>
          <cell r="M511" t="str">
            <v>PT. Segi Tiga Tambora</v>
          </cell>
        </row>
        <row r="512">
          <cell r="D512" t="str">
            <v>Ampalu</v>
          </cell>
          <cell r="E512" t="str">
            <v>Kota Pariaman</v>
          </cell>
          <cell r="F512" t="str">
            <v>Pariaman Utara</v>
          </cell>
          <cell r="G512" t="str">
            <v>Sumatera Barat</v>
          </cell>
          <cell r="H512" t="str">
            <v>Sumatera</v>
          </cell>
          <cell r="I512" t="str">
            <v>Penyangga</v>
          </cell>
          <cell r="K512" t="str">
            <v>PT. Putra Bumi Khatulistiwa</v>
          </cell>
          <cell r="M512" t="str">
            <v>PT. Segi Tiga Tambora</v>
          </cell>
        </row>
        <row r="513">
          <cell r="D513" t="str">
            <v>Koto Tinggi Kuranji Hilir</v>
          </cell>
          <cell r="E513" t="str">
            <v>Padang Pariaman</v>
          </cell>
          <cell r="F513" t="str">
            <v>Sungai Limau</v>
          </cell>
          <cell r="G513" t="str">
            <v>Sumatera Barat</v>
          </cell>
          <cell r="H513" t="str">
            <v>Sumatera</v>
          </cell>
          <cell r="I513" t="str">
            <v>Penyangga</v>
          </cell>
          <cell r="K513" t="str">
            <v>PT. Satria Bumi Sukawati</v>
          </cell>
          <cell r="M513" t="str">
            <v>PT. Satria Bumi Sukawati</v>
          </cell>
        </row>
        <row r="514">
          <cell r="D514" t="str">
            <v>Tanah Merah</v>
          </cell>
          <cell r="E514" t="str">
            <v>Kepulauan Meranti</v>
          </cell>
          <cell r="F514" t="str">
            <v>Rangsang Pesisir</v>
          </cell>
          <cell r="G514" t="str">
            <v>Riau</v>
          </cell>
          <cell r="H514" t="str">
            <v>Sumatera</v>
          </cell>
          <cell r="I514" t="str">
            <v>Penyangga (+cs)</v>
          </cell>
          <cell r="K514" t="str">
            <v>PT. Putra Meranti</v>
          </cell>
          <cell r="M514">
            <v>0</v>
          </cell>
        </row>
        <row r="515">
          <cell r="D515" t="str">
            <v>Nanga Embaloh</v>
          </cell>
          <cell r="E515" t="str">
            <v>Kapuas Hulu</v>
          </cell>
          <cell r="F515" t="str">
            <v>Embaloh Hilir</v>
          </cell>
          <cell r="G515" t="str">
            <v>Kalimantan Barat</v>
          </cell>
          <cell r="H515" t="str">
            <v>Kalimantan</v>
          </cell>
          <cell r="I515" t="str">
            <v>Penyangga</v>
          </cell>
          <cell r="K515" t="str">
            <v>PT. Abadi Jasa Tama</v>
          </cell>
          <cell r="M515" t="str">
            <v>PT. Abadi Jasa Tama (Menengah)</v>
          </cell>
        </row>
        <row r="516">
          <cell r="D516" t="str">
            <v>Nanga Leboyan</v>
          </cell>
          <cell r="E516" t="str">
            <v>Kapuas Hulu</v>
          </cell>
          <cell r="F516" t="str">
            <v>Selimbau</v>
          </cell>
          <cell r="G516" t="str">
            <v>Kalimantan Barat</v>
          </cell>
          <cell r="H516" t="str">
            <v>Kalimantan</v>
          </cell>
          <cell r="I516" t="str">
            <v>Penyangga</v>
          </cell>
          <cell r="K516" t="str">
            <v>PT. Abadi Jasa Tama</v>
          </cell>
          <cell r="M516" t="str">
            <v>PT. Abadi Jasa Tama (Menengah)</v>
          </cell>
        </row>
        <row r="517">
          <cell r="D517" t="str">
            <v>Nibung</v>
          </cell>
          <cell r="E517" t="str">
            <v>Kapuas Hulu</v>
          </cell>
          <cell r="F517" t="str">
            <v>Selimbau</v>
          </cell>
          <cell r="G517" t="str">
            <v>Kalimantan Barat</v>
          </cell>
          <cell r="H517" t="str">
            <v>Kalimantan</v>
          </cell>
          <cell r="I517" t="str">
            <v>Penyangga (+cs)</v>
          </cell>
          <cell r="K517" t="str">
            <v>PT. Abadi Jasa Tama</v>
          </cell>
          <cell r="M517" t="str">
            <v>PT. Abadi Jasa Tama (Menengah)</v>
          </cell>
        </row>
        <row r="518">
          <cell r="D518" t="str">
            <v>Babokerong</v>
          </cell>
          <cell r="E518" t="str">
            <v>Lembata</v>
          </cell>
          <cell r="F518" t="str">
            <v>Naga Wutung</v>
          </cell>
          <cell r="G518" t="str">
            <v>Nusa Tenggara Timur</v>
          </cell>
          <cell r="H518" t="str">
            <v>Bali Nusa Tenggara</v>
          </cell>
          <cell r="I518" t="str">
            <v>Penyangga (+cs)</v>
          </cell>
          <cell r="K518" t="str">
            <v>PT. Trisana Sakti Contractor</v>
          </cell>
          <cell r="M518" t="str">
            <v>PT. Trisama Sakti Contractor</v>
          </cell>
        </row>
        <row r="519">
          <cell r="D519" t="str">
            <v>Lewoleba Tengah</v>
          </cell>
          <cell r="E519" t="str">
            <v>Lembata</v>
          </cell>
          <cell r="F519" t="str">
            <v>Nubatukan</v>
          </cell>
          <cell r="G519" t="str">
            <v>Nusa Tenggara Timur</v>
          </cell>
          <cell r="H519" t="str">
            <v>Bali Nusa Tenggara</v>
          </cell>
          <cell r="I519" t="str">
            <v>Penyangga</v>
          </cell>
          <cell r="K519" t="str">
            <v>PT. Trisana Sakti Contractor</v>
          </cell>
          <cell r="M519" t="str">
            <v>PT. Trisama Sakti Contractor</v>
          </cell>
        </row>
        <row r="520">
          <cell r="D520" t="str">
            <v>Wailolong</v>
          </cell>
          <cell r="E520" t="str">
            <v>Lembata</v>
          </cell>
          <cell r="F520" t="str">
            <v>Omesuri</v>
          </cell>
          <cell r="G520" t="str">
            <v>Nusa Tenggara Timur</v>
          </cell>
          <cell r="H520" t="str">
            <v>Bali Nusa Tenggara</v>
          </cell>
          <cell r="I520" t="str">
            <v>Hub</v>
          </cell>
          <cell r="K520" t="str">
            <v>PT. Trisana Sakti Contractor</v>
          </cell>
          <cell r="M520" t="str">
            <v>PT. Trisama Sakti Contractor</v>
          </cell>
        </row>
        <row r="521">
          <cell r="D521" t="str">
            <v>Pantai Harapan</v>
          </cell>
          <cell r="E521" t="str">
            <v>Lembata</v>
          </cell>
          <cell r="F521" t="str">
            <v>Wulandoni</v>
          </cell>
          <cell r="G521" t="str">
            <v>Nusa Tenggara Timur</v>
          </cell>
          <cell r="H521" t="str">
            <v>Bali Nusa Tenggara</v>
          </cell>
          <cell r="I521" t="str">
            <v>Penyangga</v>
          </cell>
          <cell r="K521" t="str">
            <v>PT. Trisana Sakti Contractor</v>
          </cell>
          <cell r="M521" t="str">
            <v>PT. Trisama Sakti Contractor</v>
          </cell>
        </row>
        <row r="522">
          <cell r="D522" t="str">
            <v>Waka</v>
          </cell>
          <cell r="E522" t="str">
            <v>Ende</v>
          </cell>
          <cell r="F522" t="str">
            <v>Wewaria</v>
          </cell>
          <cell r="G522" t="str">
            <v>Nusa Tenggara Timur</v>
          </cell>
          <cell r="H522" t="str">
            <v>Bali Nusa Tenggara</v>
          </cell>
          <cell r="I522" t="str">
            <v>Penyangga</v>
          </cell>
          <cell r="M522" t="str">
            <v>CV. Jawa Mai</v>
          </cell>
        </row>
        <row r="523">
          <cell r="D523" t="str">
            <v>Umatoos</v>
          </cell>
          <cell r="E523" t="str">
            <v>Malaka Barat</v>
          </cell>
          <cell r="F523" t="str">
            <v>Malaka</v>
          </cell>
          <cell r="G523" t="str">
            <v>Nusa Tenggara Timur</v>
          </cell>
          <cell r="H523" t="str">
            <v>Penyangga</v>
          </cell>
          <cell r="L523" t="str">
            <v>Nusa Tenggara Timur</v>
          </cell>
          <cell r="M523" t="str">
            <v>PT. AMI Kamena Jaya</v>
          </cell>
        </row>
        <row r="524">
          <cell r="D524" t="str">
            <v>Perumaan</v>
          </cell>
          <cell r="E524" t="str">
            <v>Alok Timur</v>
          </cell>
          <cell r="F524" t="str">
            <v>Sikka</v>
          </cell>
          <cell r="G524" t="str">
            <v>Nusa Tenggara Timur</v>
          </cell>
          <cell r="H524" t="str">
            <v>Penyangga (+cs)</v>
          </cell>
          <cell r="L524" t="str">
            <v>Nusa Tenggara Timur</v>
          </cell>
          <cell r="M524" t="str">
            <v>PT. Arum Daya Sentausa</v>
          </cell>
        </row>
        <row r="525">
          <cell r="D525" t="str">
            <v>Lowolabo</v>
          </cell>
          <cell r="E525" t="str">
            <v>Paga</v>
          </cell>
          <cell r="F525" t="str">
            <v>Sikka</v>
          </cell>
          <cell r="G525" t="str">
            <v>Nusa Tenggara Timur</v>
          </cell>
          <cell r="H525" t="str">
            <v>Penyangga</v>
          </cell>
          <cell r="L525" t="str">
            <v>Nusa Tenggara Timur</v>
          </cell>
          <cell r="M525" t="str">
            <v>PT. Arum Daya Sentausa</v>
          </cell>
        </row>
        <row r="526">
          <cell r="D526" t="str">
            <v>Golo Mori</v>
          </cell>
          <cell r="E526" t="str">
            <v>Komodo</v>
          </cell>
          <cell r="F526" t="str">
            <v>Manggarai Barat</v>
          </cell>
          <cell r="G526" t="str">
            <v>Nusa Tenggara Timur</v>
          </cell>
          <cell r="H526" t="str">
            <v>Penyangga</v>
          </cell>
          <cell r="L526" t="str">
            <v>Nusa Tenggara Timur</v>
          </cell>
          <cell r="M526" t="str">
            <v>CV. Putra Sabar Utama Perkasa</v>
          </cell>
        </row>
        <row r="527">
          <cell r="D527" t="str">
            <v>Nanga Lili</v>
          </cell>
          <cell r="E527" t="str">
            <v>Lembor Selatan</v>
          </cell>
          <cell r="F527" t="str">
            <v>Manggarai Barat</v>
          </cell>
          <cell r="G527" t="str">
            <v>Nusa Tenggara Timur</v>
          </cell>
          <cell r="H527" t="str">
            <v>Penyangga</v>
          </cell>
          <cell r="L527" t="str">
            <v>Nusa Tenggara Timur</v>
          </cell>
          <cell r="M527" t="str">
            <v>CV. Putra Sabar Utama Perkasa</v>
          </cell>
        </row>
        <row r="528">
          <cell r="D528" t="str">
            <v>Karanggondang</v>
          </cell>
          <cell r="E528" t="str">
            <v>Mlonggo</v>
          </cell>
          <cell r="F528" t="str">
            <v>Jepara</v>
          </cell>
          <cell r="G528" t="str">
            <v>Jawa Tengah</v>
          </cell>
          <cell r="H528" t="str">
            <v>Penyangga</v>
          </cell>
          <cell r="L528" t="str">
            <v>Jawa Tengah</v>
          </cell>
          <cell r="M528" t="str">
            <v>PT. Adi Bima Utama</v>
          </cell>
        </row>
        <row r="529">
          <cell r="D529" t="str">
            <v>Ujungwatu</v>
          </cell>
          <cell r="E529" t="str">
            <v>Donorojo</v>
          </cell>
          <cell r="F529" t="str">
            <v>Jepara</v>
          </cell>
          <cell r="G529" t="str">
            <v>Jawa Tengah</v>
          </cell>
          <cell r="H529" t="str">
            <v>Penyangga</v>
          </cell>
          <cell r="L529" t="str">
            <v>Jawa Tengah</v>
          </cell>
          <cell r="M529" t="str">
            <v>PT. Adi Bima Utama</v>
          </cell>
        </row>
        <row r="530">
          <cell r="D530" t="str">
            <v>Kedungmutih</v>
          </cell>
          <cell r="E530" t="str">
            <v>Wedung</v>
          </cell>
          <cell r="F530" t="str">
            <v>Demak</v>
          </cell>
          <cell r="G530" t="str">
            <v>Jawa Tengah</v>
          </cell>
          <cell r="H530" t="str">
            <v>Penyangga (+cs)</v>
          </cell>
          <cell r="L530" t="str">
            <v>Jawa Tengah</v>
          </cell>
          <cell r="M530" t="str">
            <v>CV. Sinar Mulya</v>
          </cell>
        </row>
        <row r="531">
          <cell r="D531" t="str">
            <v>Sambiroto</v>
          </cell>
          <cell r="E531" t="str">
            <v>Tayu</v>
          </cell>
          <cell r="F531" t="str">
            <v>Pati</v>
          </cell>
          <cell r="G531" t="str">
            <v>Jawa Tengah</v>
          </cell>
          <cell r="H531" t="str">
            <v>Penyangga</v>
          </cell>
          <cell r="L531" t="str">
            <v>Jawa Tengah</v>
          </cell>
          <cell r="M531" t="str">
            <v>PT. Insan Pesona (Besar)</v>
          </cell>
        </row>
        <row r="532">
          <cell r="D532" t="str">
            <v>Banjarmasin</v>
          </cell>
          <cell r="E532" t="str">
            <v>Carita</v>
          </cell>
          <cell r="F532" t="str">
            <v>Pandeglang</v>
          </cell>
          <cell r="G532" t="str">
            <v>Banten</v>
          </cell>
          <cell r="H532" t="str">
            <v>Penyangga</v>
          </cell>
          <cell r="L532" t="str">
            <v>Banten</v>
          </cell>
          <cell r="M532" t="str">
            <v>CV. Masa Barokah</v>
          </cell>
        </row>
        <row r="533">
          <cell r="D533" t="str">
            <v>Panjunan</v>
          </cell>
          <cell r="E533" t="str">
            <v>Lemahwungkuk</v>
          </cell>
          <cell r="F533" t="str">
            <v>Kota Cirebon</v>
          </cell>
          <cell r="G533" t="str">
            <v>Jawa Barat</v>
          </cell>
          <cell r="H533" t="str">
            <v>Hub</v>
          </cell>
          <cell r="L533" t="str">
            <v>Jawa Barat</v>
          </cell>
          <cell r="M533" t="str">
            <v>CV. Mekar Jaya</v>
          </cell>
        </row>
        <row r="534">
          <cell r="D534" t="str">
            <v>Gerongan</v>
          </cell>
          <cell r="E534" t="str">
            <v>Kraton</v>
          </cell>
          <cell r="F534" t="str">
            <v>Pasuruan</v>
          </cell>
          <cell r="G534" t="str">
            <v>Jawa Timur</v>
          </cell>
          <cell r="H534" t="str">
            <v>Penyangga</v>
          </cell>
          <cell r="L534" t="str">
            <v>Jawa Timur</v>
          </cell>
          <cell r="M534" t="str">
            <v>PT. Mandalika Indah Pratama</v>
          </cell>
        </row>
        <row r="535">
          <cell r="D535" t="str">
            <v>Mlaten</v>
          </cell>
          <cell r="E535" t="str">
            <v>Nguling</v>
          </cell>
          <cell r="F535" t="str">
            <v>Pasuruan</v>
          </cell>
          <cell r="G535" t="str">
            <v>Jawa Timur</v>
          </cell>
          <cell r="H535" t="str">
            <v>Penyangga</v>
          </cell>
          <cell r="L535" t="str">
            <v>Jawa Timur</v>
          </cell>
          <cell r="M535" t="str">
            <v>CV. Sanjaya Makmur</v>
          </cell>
        </row>
        <row r="536">
          <cell r="D536" t="str">
            <v>Tengket</v>
          </cell>
          <cell r="E536" t="str">
            <v>Arosbaya</v>
          </cell>
          <cell r="F536" t="str">
            <v>Bangkalan</v>
          </cell>
          <cell r="G536" t="str">
            <v>Jawa Timur</v>
          </cell>
          <cell r="H536" t="str">
            <v>Hub</v>
          </cell>
          <cell r="L536" t="str">
            <v>Jawa Timur</v>
          </cell>
          <cell r="M536" t="str">
            <v>PT. Elang Mas Berdikari</v>
          </cell>
        </row>
        <row r="537">
          <cell r="D537" t="str">
            <v>Papuyu Iii Sei. Pudak</v>
          </cell>
          <cell r="E537" t="str">
            <v>Kahayan Kuala</v>
          </cell>
          <cell r="F537" t="str">
            <v>Pulang Pisau</v>
          </cell>
          <cell r="G537" t="str">
            <v>Kalimantan Tengah</v>
          </cell>
          <cell r="H537" t="str">
            <v>Hub</v>
          </cell>
          <cell r="L537" t="str">
            <v>Kalimantan Tengah</v>
          </cell>
          <cell r="M537" t="str">
            <v>CV. Assety Graha Jaya (Kecil)</v>
          </cell>
        </row>
        <row r="538">
          <cell r="D538" t="str">
            <v>Papuyu I Sei. Pasanan</v>
          </cell>
          <cell r="E538" t="str">
            <v>Kahayan Kuala</v>
          </cell>
          <cell r="F538" t="str">
            <v>Pulang Pisau</v>
          </cell>
          <cell r="G538" t="str">
            <v>Kalimantan Tengah</v>
          </cell>
          <cell r="H538" t="str">
            <v>Penyangga</v>
          </cell>
          <cell r="L538" t="str">
            <v>Kalimantan Tengah</v>
          </cell>
          <cell r="M538" t="str">
            <v>CV. Assety Graha Jaya (Kecil)</v>
          </cell>
        </row>
        <row r="539">
          <cell r="D539" t="str">
            <v>Pulau Lemukutan</v>
          </cell>
          <cell r="E539" t="str">
            <v>Sungai Raya Kepulauan</v>
          </cell>
          <cell r="F539" t="str">
            <v>Bengkayang</v>
          </cell>
          <cell r="G539" t="str">
            <v>Kalimantan Barat</v>
          </cell>
          <cell r="H539" t="str">
            <v>Penyangga</v>
          </cell>
          <cell r="L539" t="str">
            <v>Kalimantan Barat</v>
          </cell>
          <cell r="M539" t="str">
            <v>CV. Davindo Putra Perkasa</v>
          </cell>
        </row>
        <row r="540">
          <cell r="D540" t="str">
            <v>Tasik Malaya</v>
          </cell>
          <cell r="E540" t="str">
            <v>Batu Ampar</v>
          </cell>
          <cell r="F540" t="str">
            <v>Kubu Raya</v>
          </cell>
          <cell r="G540" t="str">
            <v>Kalimantan Barat</v>
          </cell>
          <cell r="H540" t="str">
            <v>Penyangga</v>
          </cell>
          <cell r="L540" t="str">
            <v>Kalimantan Barat</v>
          </cell>
          <cell r="M540" t="str">
            <v>PT. Mina Transindo Totabuan</v>
          </cell>
        </row>
        <row r="541">
          <cell r="D541" t="str">
            <v>Pagatan Hilir</v>
          </cell>
          <cell r="E541" t="str">
            <v>Katingan Kuala</v>
          </cell>
          <cell r="F541" t="str">
            <v>Katingan</v>
          </cell>
          <cell r="G541" t="str">
            <v>Kalimantan Tengah</v>
          </cell>
          <cell r="H541" t="str">
            <v>Hub</v>
          </cell>
          <cell r="L541" t="str">
            <v>Kalimantan Tengah</v>
          </cell>
          <cell r="M541" t="str">
            <v>PT. Borneo Mitra Strategis</v>
          </cell>
        </row>
        <row r="542">
          <cell r="D542" t="str">
            <v>Telukbatang Utara</v>
          </cell>
          <cell r="E542" t="str">
            <v>Teluk Batang</v>
          </cell>
          <cell r="F542" t="str">
            <v>Kayong Utara</v>
          </cell>
          <cell r="G542" t="str">
            <v>Kalimantan Barat</v>
          </cell>
          <cell r="H542" t="str">
            <v>Penyangga</v>
          </cell>
          <cell r="L542" t="str">
            <v>Kalimantan Barat</v>
          </cell>
          <cell r="M542" t="str">
            <v>CV. Davindo Putra Perkasa</v>
          </cell>
        </row>
        <row r="543">
          <cell r="D543" t="str">
            <v>Sungaidua Laut</v>
          </cell>
          <cell r="E543" t="str">
            <v>Sungai Loban</v>
          </cell>
          <cell r="F543" t="str">
            <v>Tanah Bumbu</v>
          </cell>
          <cell r="G543" t="str">
            <v>Kalimantan Selatan</v>
          </cell>
          <cell r="H543" t="str">
            <v>Penyangga</v>
          </cell>
          <cell r="L543" t="str">
            <v>Kalimantan Selatan</v>
          </cell>
          <cell r="M543" t="str">
            <v>PT. Cita Prasada Konstruksi</v>
          </cell>
        </row>
        <row r="544">
          <cell r="D544" t="str">
            <v>Sentebang</v>
          </cell>
          <cell r="E544" t="str">
            <v>Jawai</v>
          </cell>
          <cell r="F544" t="str">
            <v>Sambas</v>
          </cell>
          <cell r="G544" t="str">
            <v>Kalimantan Barat</v>
          </cell>
          <cell r="H544" t="str">
            <v>Penyangga</v>
          </cell>
          <cell r="L544" t="str">
            <v>Kalimantan Barat</v>
          </cell>
          <cell r="M544" t="str">
            <v>PT. Bhakti Tama Persada (Kecil)</v>
          </cell>
        </row>
        <row r="545">
          <cell r="D545" t="str">
            <v>Kotajin Utara</v>
          </cell>
          <cell r="E545" t="str">
            <v>Atinggola</v>
          </cell>
          <cell r="F545" t="str">
            <v>Gorontalo Utara</v>
          </cell>
          <cell r="G545" t="str">
            <v>Gorontalo</v>
          </cell>
          <cell r="H545" t="str">
            <v>Penyangga</v>
          </cell>
          <cell r="L545" t="str">
            <v>Gorontalo</v>
          </cell>
          <cell r="M545" t="str">
            <v>PT. Tata Sejatera Indonesia (Menengah)</v>
          </cell>
        </row>
        <row r="546">
          <cell r="D546" t="str">
            <v>Dumolodo</v>
          </cell>
          <cell r="E546" t="str">
            <v>Gentuma Raya</v>
          </cell>
          <cell r="F546" t="str">
            <v>Gorontalo Utara</v>
          </cell>
          <cell r="G546" t="str">
            <v>Gorontalo</v>
          </cell>
          <cell r="H546" t="str">
            <v>Penyangga</v>
          </cell>
          <cell r="L546" t="str">
            <v>Gorontalo</v>
          </cell>
          <cell r="M546" t="str">
            <v>PT. Tata Sejatera Indonesia (Menengah)</v>
          </cell>
        </row>
        <row r="547">
          <cell r="D547" t="str">
            <v>Bulu Cindea</v>
          </cell>
          <cell r="E547" t="str">
            <v>Bungoro</v>
          </cell>
          <cell r="F547" t="str">
            <v>Pangkajene dan Kepulauan</v>
          </cell>
          <cell r="G547" t="str">
            <v>Sulawesi Selatan</v>
          </cell>
          <cell r="H547" t="str">
            <v>Penyangga</v>
          </cell>
          <cell r="L547" t="str">
            <v>Sulawesi Selatan</v>
          </cell>
          <cell r="M547" t="str">
            <v>PT. Bunaken Inti Nusantara</v>
          </cell>
        </row>
        <row r="548">
          <cell r="D548" t="str">
            <v>Ponelo</v>
          </cell>
          <cell r="E548" t="str">
            <v>Ponelo Kepulauan</v>
          </cell>
          <cell r="F548" t="str">
            <v>Gorontalo Utara</v>
          </cell>
          <cell r="G548" t="str">
            <v>Gorontalo</v>
          </cell>
          <cell r="H548" t="str">
            <v>Hub</v>
          </cell>
          <cell r="L548" t="str">
            <v>Gorontalo</v>
          </cell>
          <cell r="M548" t="str">
            <v>CV. Syeren Indah</v>
          </cell>
        </row>
        <row r="549">
          <cell r="D549" t="str">
            <v>Dudepo</v>
          </cell>
          <cell r="E549" t="str">
            <v>Anggrek</v>
          </cell>
          <cell r="F549" t="str">
            <v>Gorontalo Utara</v>
          </cell>
          <cell r="G549" t="str">
            <v>Gorontalo</v>
          </cell>
          <cell r="H549" t="str">
            <v>Penyangga</v>
          </cell>
          <cell r="L549" t="str">
            <v>Gorontalo</v>
          </cell>
          <cell r="M549" t="str">
            <v>CV. Syeren Indah</v>
          </cell>
        </row>
        <row r="550">
          <cell r="D550" t="str">
            <v>Garapia</v>
          </cell>
          <cell r="E550" t="str">
            <v>Monano</v>
          </cell>
          <cell r="F550" t="str">
            <v>Gorontalo Utara</v>
          </cell>
          <cell r="G550" t="str">
            <v>Gorontalo</v>
          </cell>
          <cell r="H550" t="str">
            <v>Penyangga</v>
          </cell>
          <cell r="L550" t="str">
            <v>Gorontalo</v>
          </cell>
          <cell r="M550" t="str">
            <v>CV. Syeren Indah</v>
          </cell>
        </row>
        <row r="551">
          <cell r="D551" t="str">
            <v>Tolinggula Pantai</v>
          </cell>
          <cell r="E551" t="str">
            <v>Tolinggula</v>
          </cell>
          <cell r="F551" t="str">
            <v>Gorontalo Utara</v>
          </cell>
          <cell r="G551" t="str">
            <v>Gorontalo</v>
          </cell>
          <cell r="H551" t="str">
            <v>Hub</v>
          </cell>
          <cell r="L551" t="str">
            <v>Gorontalo</v>
          </cell>
          <cell r="M551" t="str">
            <v>CV. THERESIA PUTRI PERMATA</v>
          </cell>
        </row>
        <row r="552">
          <cell r="D552" t="str">
            <v>Hutakalo</v>
          </cell>
          <cell r="E552" t="str">
            <v>Sumalata</v>
          </cell>
          <cell r="F552" t="str">
            <v>Gorontalo Utara</v>
          </cell>
          <cell r="G552" t="str">
            <v>Gorontalo</v>
          </cell>
          <cell r="H552" t="str">
            <v>Penyangga</v>
          </cell>
          <cell r="L552" t="str">
            <v>Gorontalo</v>
          </cell>
          <cell r="M552" t="str">
            <v>CV. THERESIA PUTRI PERMATA</v>
          </cell>
        </row>
        <row r="553">
          <cell r="D553" t="str">
            <v>Dudewulo</v>
          </cell>
          <cell r="E553" t="str">
            <v>Popayato Barat</v>
          </cell>
          <cell r="F553" t="str">
            <v>Pohuwato</v>
          </cell>
          <cell r="G553" t="str">
            <v>Gorontalo</v>
          </cell>
          <cell r="H553" t="str">
            <v>Penyangga</v>
          </cell>
          <cell r="L553" t="str">
            <v>Gorontalo</v>
          </cell>
          <cell r="M553" t="str">
            <v>CV. Khayra Berkah Konstruksindo</v>
          </cell>
        </row>
        <row r="554">
          <cell r="D554" t="str">
            <v>Milangodaa</v>
          </cell>
          <cell r="E554" t="str">
            <v>Popayato Timur</v>
          </cell>
          <cell r="F554" t="str">
            <v>Pohuwato</v>
          </cell>
          <cell r="G554" t="str">
            <v>Gorontalo</v>
          </cell>
          <cell r="H554" t="str">
            <v>Penyangga</v>
          </cell>
          <cell r="L554" t="str">
            <v>Gorontalo</v>
          </cell>
          <cell r="M554" t="str">
            <v>CV. Khayra Berkah Konstruksindo</v>
          </cell>
        </row>
        <row r="555">
          <cell r="D555" t="str">
            <v>Lemito</v>
          </cell>
          <cell r="E555" t="str">
            <v>Lemito</v>
          </cell>
          <cell r="F555" t="str">
            <v>Pohuwato</v>
          </cell>
          <cell r="G555" t="str">
            <v>Gorontalo</v>
          </cell>
          <cell r="H555" t="str">
            <v>Penyangga (+cs)</v>
          </cell>
          <cell r="L555" t="str">
            <v>Gorontalo</v>
          </cell>
          <cell r="M555" t="str">
            <v>PT. Professional Construction Indonesia (Kecil)</v>
          </cell>
        </row>
        <row r="556">
          <cell r="D556" t="str">
            <v>Air Gelubi</v>
          </cell>
          <cell r="E556" t="str">
            <v>Bintan Pesisir</v>
          </cell>
          <cell r="F556" t="str">
            <v>Bintan</v>
          </cell>
          <cell r="G556" t="str">
            <v>Kepulauan Riau</v>
          </cell>
          <cell r="H556" t="str">
            <v>Hub</v>
          </cell>
          <cell r="L556" t="str">
            <v>Kepulauan Riau</v>
          </cell>
          <cell r="M556" t="str">
            <v>PT. Selaras Karya Bersama</v>
          </cell>
        </row>
        <row r="557">
          <cell r="D557" t="str">
            <v>Malang Rapat</v>
          </cell>
          <cell r="E557" t="str">
            <v>Gunung Kijang</v>
          </cell>
          <cell r="F557" t="str">
            <v>Bintan</v>
          </cell>
          <cell r="G557" t="str">
            <v>Kepulauan Riau</v>
          </cell>
          <cell r="H557" t="str">
            <v>Penyangga</v>
          </cell>
          <cell r="L557" t="str">
            <v>Kepulauan Riau</v>
          </cell>
          <cell r="M557" t="str">
            <v>PT. Selaras Karya Bersama</v>
          </cell>
        </row>
        <row r="558">
          <cell r="D558" t="str">
            <v>Mapur</v>
          </cell>
          <cell r="E558" t="str">
            <v>Riau Silip</v>
          </cell>
          <cell r="F558" t="str">
            <v>Bangka</v>
          </cell>
          <cell r="G558" t="str">
            <v>Kepulauan Bangka Belitung</v>
          </cell>
          <cell r="H558" t="str">
            <v>Penyangga</v>
          </cell>
          <cell r="L558" t="str">
            <v>Kepulauan Bangka Belitung</v>
          </cell>
          <cell r="M558" t="str">
            <v>PT. Indo Jaya Negara Abadi</v>
          </cell>
        </row>
        <row r="559">
          <cell r="D559" t="str">
            <v>Numbing</v>
          </cell>
          <cell r="E559" t="str">
            <v>Bintan Pesisir</v>
          </cell>
          <cell r="F559" t="str">
            <v>Bintan</v>
          </cell>
          <cell r="G559" t="str">
            <v>Kepulauan Riau</v>
          </cell>
          <cell r="H559" t="str">
            <v>Penyangga</v>
          </cell>
          <cell r="L559" t="str">
            <v>Kepulauan Riau</v>
          </cell>
          <cell r="M559" t="str">
            <v>PT. Selaras Karya Bersama</v>
          </cell>
        </row>
        <row r="560">
          <cell r="D560" t="str">
            <v>Teluk Bakau</v>
          </cell>
          <cell r="E560" t="str">
            <v>Gunung Kijang</v>
          </cell>
          <cell r="F560" t="str">
            <v>Bintan</v>
          </cell>
          <cell r="G560" t="str">
            <v>Kepulauan Riau</v>
          </cell>
          <cell r="H560" t="str">
            <v>Penyangga</v>
          </cell>
          <cell r="L560" t="str">
            <v>Kepulauan Riau</v>
          </cell>
          <cell r="M560" t="str">
            <v>PT. Selaras Karya Bersama</v>
          </cell>
        </row>
        <row r="561">
          <cell r="D561" t="str">
            <v>Berakit</v>
          </cell>
          <cell r="E561" t="str">
            <v>Teluk Sebong</v>
          </cell>
          <cell r="F561" t="str">
            <v>Bintan</v>
          </cell>
          <cell r="G561" t="str">
            <v>Kepulauan Riau</v>
          </cell>
          <cell r="H561" t="str">
            <v>Penyangga</v>
          </cell>
          <cell r="L561" t="str">
            <v>Kepulauan Riau</v>
          </cell>
          <cell r="M561" t="str">
            <v>PT. Selaras Karya Bersama</v>
          </cell>
        </row>
        <row r="562">
          <cell r="D562" t="str">
            <v>Mepar</v>
          </cell>
          <cell r="E562" t="str">
            <v>Lingga</v>
          </cell>
          <cell r="F562" t="str">
            <v>Lingga</v>
          </cell>
          <cell r="G562" t="str">
            <v>Kepulauan Riau</v>
          </cell>
          <cell r="H562" t="str">
            <v>Penyangga</v>
          </cell>
          <cell r="L562" t="str">
            <v>Kepulauan Riau</v>
          </cell>
          <cell r="M562" t="str">
            <v>Dinamika Bangun Mandiri</v>
          </cell>
        </row>
        <row r="563">
          <cell r="D563" t="str">
            <v>Batu Belubang</v>
          </cell>
          <cell r="E563" t="str">
            <v>Pangkalan Baru</v>
          </cell>
          <cell r="F563" t="str">
            <v>Bangka Tengah</v>
          </cell>
          <cell r="G563" t="str">
            <v>Kepulauan Bangka Belitung</v>
          </cell>
          <cell r="H563" t="str">
            <v>Penyangga</v>
          </cell>
          <cell r="L563" t="str">
            <v>Kepulauan Bangka Belitung</v>
          </cell>
          <cell r="M563" t="str">
            <v>PT. Indo Jaya Negara Abadi</v>
          </cell>
        </row>
        <row r="564">
          <cell r="D564" t="str">
            <v>Rebo</v>
          </cell>
          <cell r="E564" t="str">
            <v>Sungailiat</v>
          </cell>
          <cell r="F564" t="str">
            <v>Bangka</v>
          </cell>
          <cell r="G564" t="str">
            <v>Kepulauan Bangka Belitung</v>
          </cell>
          <cell r="H564" t="str">
            <v>Penyangga</v>
          </cell>
          <cell r="L564" t="str">
            <v>Kepulauan Bangka Belitung</v>
          </cell>
          <cell r="M564" t="str">
            <v>PT. Indo Jaya Negara Abadi</v>
          </cell>
        </row>
        <row r="565">
          <cell r="D565" t="str">
            <v>Mapur</v>
          </cell>
          <cell r="E565" t="str">
            <v>Bintan Pesisir</v>
          </cell>
          <cell r="F565" t="str">
            <v>Bintan</v>
          </cell>
          <cell r="G565" t="str">
            <v>Kepulauan Riau</v>
          </cell>
          <cell r="H565" t="str">
            <v>Penyangga</v>
          </cell>
          <cell r="L565" t="str">
            <v>Kepulauan Riau</v>
          </cell>
          <cell r="M565" t="str">
            <v>PT. Indo Jaya Negara Abadi</v>
          </cell>
        </row>
        <row r="566">
          <cell r="D566" t="str">
            <v>Kuala Maras</v>
          </cell>
          <cell r="E566" t="str">
            <v>Jemaja Timur</v>
          </cell>
          <cell r="F566" t="str">
            <v>Kepulauan Anambas</v>
          </cell>
          <cell r="G566" t="str">
            <v>Kepulauan Riau</v>
          </cell>
          <cell r="H566" t="str">
            <v>Hub</v>
          </cell>
          <cell r="L566" t="str">
            <v>Kepulauan Riau</v>
          </cell>
          <cell r="M566">
            <v>0</v>
          </cell>
        </row>
        <row r="567">
          <cell r="D567" t="str">
            <v>Putik</v>
          </cell>
          <cell r="E567" t="str">
            <v>Palmatak</v>
          </cell>
          <cell r="F567" t="str">
            <v>Kepulauan Anambas</v>
          </cell>
          <cell r="G567" t="str">
            <v>Kepulauan Riau</v>
          </cell>
          <cell r="H567" t="str">
            <v>Penyangga</v>
          </cell>
          <cell r="L567" t="str">
            <v>Kepulauan Riau</v>
          </cell>
          <cell r="M567">
            <v>0</v>
          </cell>
        </row>
        <row r="568">
          <cell r="D568" t="str">
            <v>Mampok</v>
          </cell>
          <cell r="E568" t="str">
            <v>Jemaja</v>
          </cell>
          <cell r="F568" t="str">
            <v>Kepulauan Anambas</v>
          </cell>
          <cell r="G568" t="str">
            <v>Kepulauan Riau</v>
          </cell>
          <cell r="H568" t="str">
            <v>Penyangga</v>
          </cell>
          <cell r="L568" t="str">
            <v>Kepulauan Riau</v>
          </cell>
          <cell r="M568">
            <v>0</v>
          </cell>
        </row>
        <row r="569">
          <cell r="D569" t="str">
            <v>Air Bini</v>
          </cell>
          <cell r="E569" t="str">
            <v>Siantan Selatan</v>
          </cell>
          <cell r="F569" t="str">
            <v>Kepulauan Anambas</v>
          </cell>
          <cell r="G569" t="str">
            <v>Kepulauan Riau</v>
          </cell>
          <cell r="H569" t="str">
            <v>Penyangga</v>
          </cell>
          <cell r="L569" t="str">
            <v>Kepulauan Riau</v>
          </cell>
          <cell r="M569">
            <v>0</v>
          </cell>
        </row>
        <row r="570">
          <cell r="D570" t="str">
            <v>Piasan</v>
          </cell>
          <cell r="E570" t="str">
            <v>Siantan Utara</v>
          </cell>
          <cell r="F570" t="str">
            <v>Kepulauan Anambas</v>
          </cell>
          <cell r="G570" t="str">
            <v>Kepulauan Riau</v>
          </cell>
          <cell r="H570" t="str">
            <v>Penyangga</v>
          </cell>
          <cell r="L570" t="str">
            <v>Kepulauan Riau</v>
          </cell>
          <cell r="M570">
            <v>0</v>
          </cell>
        </row>
        <row r="571">
          <cell r="D571" t="str">
            <v>Labuhan Bazau</v>
          </cell>
          <cell r="E571" t="str">
            <v>Pulau-Pulau Batu Timur</v>
          </cell>
          <cell r="F571" t="str">
            <v>Nias Selatan</v>
          </cell>
          <cell r="G571" t="str">
            <v>Sumatera Utara</v>
          </cell>
          <cell r="H571" t="str">
            <v>Penyangga</v>
          </cell>
          <cell r="L571" t="str">
            <v>Sumatera Utara</v>
          </cell>
          <cell r="M571" t="str">
            <v>PT. Bukit Zaitun (Menengah)</v>
          </cell>
        </row>
        <row r="572">
          <cell r="D572" t="str">
            <v>Sasak</v>
          </cell>
          <cell r="E572" t="str">
            <v>Sasak Ranah Pasisie</v>
          </cell>
          <cell r="F572" t="str">
            <v>Pasaman Barat</v>
          </cell>
          <cell r="G572" t="str">
            <v>Sumatera Barat</v>
          </cell>
          <cell r="H572" t="str">
            <v>Penyangga</v>
          </cell>
          <cell r="L572" t="str">
            <v>Sumatera Barat</v>
          </cell>
          <cell r="M572" t="str">
            <v>CV. Diego Contractor (Kecil)</v>
          </cell>
        </row>
        <row r="573">
          <cell r="D573" t="str">
            <v>Balam</v>
          </cell>
          <cell r="E573" t="str">
            <v>Pesisir Utara</v>
          </cell>
          <cell r="F573" t="str">
            <v>Pesisir Barat</v>
          </cell>
          <cell r="G573" t="str">
            <v>Lampung</v>
          </cell>
          <cell r="H573" t="str">
            <v>Penyangga</v>
          </cell>
          <cell r="L573" t="str">
            <v>Lampung</v>
          </cell>
          <cell r="M573" t="str">
            <v>CV. Kerinci Jayo</v>
          </cell>
        </row>
        <row r="574">
          <cell r="D574" t="str">
            <v>Muntai</v>
          </cell>
          <cell r="E574" t="str">
            <v>Bantan</v>
          </cell>
          <cell r="F574" t="str">
            <v>Bengkalis</v>
          </cell>
          <cell r="G574" t="str">
            <v>Riau</v>
          </cell>
          <cell r="H574" t="str">
            <v>Penyangga</v>
          </cell>
          <cell r="L574" t="str">
            <v>Riau</v>
          </cell>
          <cell r="M574" t="str">
            <v>CV. Sonta Abadi</v>
          </cell>
        </row>
        <row r="575">
          <cell r="D575" t="str">
            <v>Tebing Tinggi Okura</v>
          </cell>
          <cell r="E575" t="str">
            <v>Rumbai Timur</v>
          </cell>
          <cell r="F575" t="str">
            <v>Kota Pekanbaru</v>
          </cell>
          <cell r="G575" t="str">
            <v>Riau</v>
          </cell>
          <cell r="H575" t="str">
            <v>Penyangga</v>
          </cell>
          <cell r="L575" t="str">
            <v>Riau</v>
          </cell>
          <cell r="M575" t="str">
            <v>PT. Putra Meranti</v>
          </cell>
        </row>
        <row r="576">
          <cell r="D576" t="str">
            <v>Teluk Batil</v>
          </cell>
          <cell r="E576" t="str">
            <v>Sungai Apit</v>
          </cell>
          <cell r="F576" t="str">
            <v>Siak</v>
          </cell>
          <cell r="G576" t="str">
            <v>Riau</v>
          </cell>
          <cell r="H576" t="str">
            <v>Penyangga</v>
          </cell>
          <cell r="L576" t="str">
            <v>Riau</v>
          </cell>
          <cell r="M576" t="str">
            <v>PT. Putra Meranti</v>
          </cell>
        </row>
        <row r="577">
          <cell r="D577" t="str">
            <v>Deluk</v>
          </cell>
          <cell r="E577" t="str">
            <v>Bantan</v>
          </cell>
          <cell r="F577" t="str">
            <v>Bengkalis</v>
          </cell>
          <cell r="G577" t="str">
            <v>Riau</v>
          </cell>
          <cell r="H577" t="str">
            <v>Penyangga</v>
          </cell>
          <cell r="L577" t="str">
            <v>Riau</v>
          </cell>
          <cell r="M577" t="str">
            <v>CV. Sonta Abadi</v>
          </cell>
        </row>
        <row r="578">
          <cell r="D578" t="str">
            <v>Meskom</v>
          </cell>
          <cell r="E578" t="str">
            <v>Bengkalis</v>
          </cell>
          <cell r="F578" t="str">
            <v>Bengkalis</v>
          </cell>
          <cell r="G578" t="str">
            <v>Riau</v>
          </cell>
          <cell r="H578" t="str">
            <v>Penyangga</v>
          </cell>
          <cell r="L578" t="str">
            <v>Riau</v>
          </cell>
          <cell r="M578" t="str">
            <v>CV. Sonta Abadi</v>
          </cell>
        </row>
        <row r="579">
          <cell r="D579" t="str">
            <v>Sei Jawi-Jawi</v>
          </cell>
          <cell r="E579" t="str">
            <v>Sei Kepayang Barat</v>
          </cell>
          <cell r="F579" t="str">
            <v>Asahan</v>
          </cell>
          <cell r="G579" t="str">
            <v>Sumatera Utara</v>
          </cell>
          <cell r="H579" t="str">
            <v>Penyangga</v>
          </cell>
          <cell r="L579" t="str">
            <v>Sumatera Utara</v>
          </cell>
          <cell r="M579" t="str">
            <v>CV. Mahanaim</v>
          </cell>
        </row>
        <row r="580">
          <cell r="D580" t="str">
            <v>Sedanau</v>
          </cell>
          <cell r="E580" t="str">
            <v>Bunguran Barat</v>
          </cell>
          <cell r="F580" t="str">
            <v>Natuna</v>
          </cell>
          <cell r="G580" t="str">
            <v>Kepulauan Riau</v>
          </cell>
          <cell r="H580" t="str">
            <v>Hub</v>
          </cell>
          <cell r="L580" t="str">
            <v>Kepulauan Riau</v>
          </cell>
          <cell r="M580" t="str">
            <v>PT. Bengkel Kreatif Utama (Menengah)</v>
          </cell>
        </row>
        <row r="581">
          <cell r="D581" t="str">
            <v>Batu Belanak</v>
          </cell>
          <cell r="E581" t="str">
            <v>Suak Midai</v>
          </cell>
          <cell r="F581" t="str">
            <v>Natuna</v>
          </cell>
          <cell r="G581" t="str">
            <v>Kepulauan Riau</v>
          </cell>
          <cell r="H581" t="str">
            <v>Penyangga</v>
          </cell>
          <cell r="L581" t="str">
            <v>Kepulauan Riau</v>
          </cell>
          <cell r="M581" t="str">
            <v>PT. Duta Bangun Husaeni</v>
          </cell>
        </row>
        <row r="582">
          <cell r="D582" t="str">
            <v>Sabang Mawang</v>
          </cell>
          <cell r="E582" t="str">
            <v>Pulau Tiga</v>
          </cell>
          <cell r="F582" t="str">
            <v>Natuna</v>
          </cell>
          <cell r="G582" t="str">
            <v>Kepulauan Riau</v>
          </cell>
          <cell r="H582" t="str">
            <v>Penyangga</v>
          </cell>
          <cell r="L582" t="str">
            <v>Kepulauan Riau</v>
          </cell>
          <cell r="M582" t="str">
            <v>PT. Bengkel Kreatif Utama (Menengah)</v>
          </cell>
        </row>
        <row r="583">
          <cell r="D583" t="str">
            <v>Sededap</v>
          </cell>
          <cell r="E583" t="str">
            <v>Pulau Tiga</v>
          </cell>
          <cell r="F583" t="str">
            <v>Natuna</v>
          </cell>
          <cell r="G583" t="str">
            <v>Kepulauan Riau</v>
          </cell>
          <cell r="H583" t="str">
            <v>Penyangga</v>
          </cell>
          <cell r="L583" t="str">
            <v>Kepulauan Riau</v>
          </cell>
          <cell r="M583" t="str">
            <v>PT. Bengkel Kreatif Utama (Menengah)</v>
          </cell>
        </row>
        <row r="584">
          <cell r="D584" t="str">
            <v>Selading</v>
          </cell>
          <cell r="E584" t="str">
            <v>Pulau Tiga Barat</v>
          </cell>
          <cell r="F584" t="str">
            <v>Natuna</v>
          </cell>
          <cell r="G584" t="str">
            <v>Kepulauan Riau</v>
          </cell>
          <cell r="H584" t="str">
            <v>Penyangga</v>
          </cell>
          <cell r="L584" t="str">
            <v>Kepulauan Riau</v>
          </cell>
          <cell r="M584" t="str">
            <v>PT. Duta Bangun Husaeni</v>
          </cell>
        </row>
        <row r="585">
          <cell r="D585" t="str">
            <v>Busung</v>
          </cell>
          <cell r="E585" t="str">
            <v>Seri Kuala Lobam</v>
          </cell>
          <cell r="F585" t="str">
            <v>Bintan</v>
          </cell>
          <cell r="G585" t="str">
            <v>Kepulauan Riau</v>
          </cell>
          <cell r="H585" t="str">
            <v>Penyangga</v>
          </cell>
          <cell r="L585" t="str">
            <v>Kepulauan Riau</v>
          </cell>
          <cell r="M585" t="str">
            <v>CV. Pulau Tenggel</v>
          </cell>
        </row>
        <row r="586">
          <cell r="D586" t="str">
            <v>Kuala Sempang</v>
          </cell>
          <cell r="E586" t="str">
            <v>Seri Kuala Lobam</v>
          </cell>
          <cell r="F586" t="str">
            <v>Bintan</v>
          </cell>
          <cell r="G586" t="str">
            <v>Kepulauan Riau</v>
          </cell>
          <cell r="H586" t="str">
            <v>Penyangga</v>
          </cell>
          <cell r="L586" t="str">
            <v>Kepulauan Riau</v>
          </cell>
          <cell r="M586" t="str">
            <v>CV. Pulau Tenggel</v>
          </cell>
        </row>
        <row r="587">
          <cell r="D587" t="str">
            <v>Kampung Bugis</v>
          </cell>
          <cell r="E587" t="str">
            <v>Tanjung Pinang Kota</v>
          </cell>
          <cell r="F587" t="str">
            <v>Kota Tanjung Pinang</v>
          </cell>
          <cell r="G587" t="str">
            <v>Kepulauan Riau</v>
          </cell>
          <cell r="H587" t="str">
            <v>Penyangga</v>
          </cell>
          <cell r="L587" t="str">
            <v>Kepulauan Riau</v>
          </cell>
          <cell r="M587" t="str">
            <v>PT. Ibnu Munsyir Dwi Guna</v>
          </cell>
        </row>
        <row r="588">
          <cell r="D588" t="str">
            <v>Sungaibuluh</v>
          </cell>
          <cell r="E588" t="str">
            <v>Kuala Indragiri</v>
          </cell>
          <cell r="F588" t="str">
            <v>Indragiri Hilir</v>
          </cell>
          <cell r="G588" t="str">
            <v>Riau</v>
          </cell>
          <cell r="H588" t="str">
            <v>Hub</v>
          </cell>
          <cell r="L588" t="str">
            <v>Riau</v>
          </cell>
          <cell r="M588" t="str">
            <v>PT. Multi Gapura Pembangunan Semesta</v>
          </cell>
        </row>
        <row r="589">
          <cell r="D589" t="str">
            <v>Panglima Raja</v>
          </cell>
          <cell r="E589" t="str">
            <v>Concong</v>
          </cell>
          <cell r="F589" t="str">
            <v>Indragiri Hilir</v>
          </cell>
          <cell r="G589" t="str">
            <v>Riau</v>
          </cell>
          <cell r="H589" t="str">
            <v>Penyangga</v>
          </cell>
          <cell r="L589" t="str">
            <v>Riau</v>
          </cell>
          <cell r="M589" t="str">
            <v>PT. Sadatai Jaya Tama</v>
          </cell>
        </row>
        <row r="590">
          <cell r="D590" t="str">
            <v>Bekawan</v>
          </cell>
          <cell r="E590" t="str">
            <v>Mandah</v>
          </cell>
          <cell r="F590" t="str">
            <v>Indragiri Hilir</v>
          </cell>
          <cell r="G590" t="str">
            <v>Riau</v>
          </cell>
          <cell r="H590" t="str">
            <v>Penyangga</v>
          </cell>
          <cell r="L590" t="str">
            <v>Riau</v>
          </cell>
          <cell r="M590" t="str">
            <v>PT. Multi Gapura Pembangunan Semesta</v>
          </cell>
        </row>
        <row r="591">
          <cell r="D591" t="str">
            <v>Kuala Patah Parang</v>
          </cell>
          <cell r="E591" t="str">
            <v>Sungai Batang</v>
          </cell>
          <cell r="F591" t="str">
            <v>Indragiri Hilir</v>
          </cell>
          <cell r="G591" t="str">
            <v>Riau</v>
          </cell>
          <cell r="H591" t="str">
            <v>Penyangga (+cs)</v>
          </cell>
          <cell r="L591" t="str">
            <v>Riau</v>
          </cell>
          <cell r="M591" t="str">
            <v>PT. Sadatai Jaya Tama</v>
          </cell>
        </row>
        <row r="592">
          <cell r="D592" t="str">
            <v>Simpang Tiga Jaya</v>
          </cell>
          <cell r="E592" t="str">
            <v>Tulung Selapan</v>
          </cell>
          <cell r="F592" t="str">
            <v>Ogan Komering Ilir</v>
          </cell>
          <cell r="G592" t="str">
            <v>Sumatera Selatan</v>
          </cell>
          <cell r="H592" t="str">
            <v>Penyangga</v>
          </cell>
          <cell r="L592" t="str">
            <v>Sumatera Selatan</v>
          </cell>
          <cell r="M592" t="str">
            <v>CV. Syeren Indah (Kecil)</v>
          </cell>
        </row>
        <row r="593">
          <cell r="D593" t="str">
            <v>Mayang</v>
          </cell>
          <cell r="E593" t="str">
            <v>Kelapa Kampit</v>
          </cell>
          <cell r="F593" t="str">
            <v>Belitung Timur</v>
          </cell>
          <cell r="G593" t="str">
            <v>Kepulauan Bangka Belitung</v>
          </cell>
          <cell r="H593" t="str">
            <v>Penyangga</v>
          </cell>
          <cell r="L593" t="str">
            <v>Kepulauan Bangka Belitung</v>
          </cell>
          <cell r="M593" t="str">
            <v>CV. Ardis</v>
          </cell>
        </row>
        <row r="594">
          <cell r="D594" t="str">
            <v>Baru</v>
          </cell>
          <cell r="E594" t="str">
            <v>Manggar</v>
          </cell>
          <cell r="F594" t="str">
            <v>Belitung Timur</v>
          </cell>
          <cell r="G594" t="str">
            <v>Kepulauan Bangka Belitung</v>
          </cell>
          <cell r="H594" t="str">
            <v>Penyangga</v>
          </cell>
          <cell r="L594" t="str">
            <v>Kepulauan Bangka Belitung</v>
          </cell>
          <cell r="M594" t="str">
            <v>CV. Ardis</v>
          </cell>
        </row>
        <row r="595">
          <cell r="D595" t="str">
            <v>Sungai Sibur</v>
          </cell>
          <cell r="E595" t="str">
            <v>Sungai Menang</v>
          </cell>
          <cell r="F595" t="str">
            <v>Ogan Komering Ilir</v>
          </cell>
          <cell r="G595" t="str">
            <v>Sumatera Selatan</v>
          </cell>
          <cell r="H595" t="str">
            <v>Hub</v>
          </cell>
          <cell r="L595" t="str">
            <v>Sumatera Selatan</v>
          </cell>
          <cell r="M595" t="str">
            <v>PT. Karang Baru Pratama</v>
          </cell>
        </row>
        <row r="596">
          <cell r="D596" t="str">
            <v>Tanjungrusa</v>
          </cell>
          <cell r="E596" t="str">
            <v>Membalong</v>
          </cell>
          <cell r="F596" t="str">
            <v>Belitung</v>
          </cell>
          <cell r="G596" t="str">
            <v>Kepulauan Bangka Belitung</v>
          </cell>
          <cell r="H596" t="str">
            <v>Hub</v>
          </cell>
          <cell r="L596" t="str">
            <v>Kepulauan Bangka Belitung</v>
          </cell>
          <cell r="M596" t="str">
            <v>PT. Maharani Citra Persada Indonesia</v>
          </cell>
        </row>
        <row r="597">
          <cell r="D597" t="str">
            <v>Pulau Seliu</v>
          </cell>
          <cell r="E597" t="str">
            <v>Membalong</v>
          </cell>
          <cell r="F597" t="str">
            <v>Belitung</v>
          </cell>
          <cell r="G597" t="str">
            <v>Kepulauan Bangka Belitung</v>
          </cell>
          <cell r="H597" t="str">
            <v>Penyangga</v>
          </cell>
          <cell r="L597" t="str">
            <v>Kepulauan Bangka Belitung</v>
          </cell>
          <cell r="M597" t="str">
            <v>PT. Maharani Citra Persada Indonesia</v>
          </cell>
        </row>
        <row r="598">
          <cell r="D598" t="str">
            <v>Karang Brak</v>
          </cell>
          <cell r="E598" t="str">
            <v>Pematang Sawa</v>
          </cell>
          <cell r="F598" t="str">
            <v>Tanggamus</v>
          </cell>
          <cell r="G598" t="str">
            <v>Lampung</v>
          </cell>
          <cell r="H598" t="str">
            <v>Penyangga</v>
          </cell>
          <cell r="L598" t="str">
            <v>Lampung</v>
          </cell>
          <cell r="M598" t="str">
            <v>PT. Yuniarto Sejahtera Abadi</v>
          </cell>
        </row>
        <row r="599">
          <cell r="D599" t="str">
            <v>Teluk Limau</v>
          </cell>
          <cell r="E599" t="str">
            <v>Parittiga</v>
          </cell>
          <cell r="F599" t="str">
            <v>Bangka Barat</v>
          </cell>
          <cell r="G599" t="str">
            <v>Kepulauan Bangka Belitung</v>
          </cell>
          <cell r="H599" t="str">
            <v>Hub</v>
          </cell>
          <cell r="L599" t="str">
            <v>Kepulauan Bangka Belitung</v>
          </cell>
          <cell r="M599" t="str">
            <v>PT. Sahabat Group Nusantara Mandiri</v>
          </cell>
        </row>
        <row r="600">
          <cell r="D600" t="str">
            <v>Rambat</v>
          </cell>
          <cell r="E600" t="str">
            <v>Simpang Teritip</v>
          </cell>
          <cell r="F600" t="str">
            <v>Bangka Barat</v>
          </cell>
          <cell r="G600" t="str">
            <v>Kepulauan Bangka Belitung</v>
          </cell>
          <cell r="H600" t="str">
            <v>Penyangga</v>
          </cell>
          <cell r="L600" t="str">
            <v>Kepulauan Bangka Belitung</v>
          </cell>
          <cell r="M600" t="str">
            <v>PT. Laksana Aneka Sarana</v>
          </cell>
        </row>
        <row r="601">
          <cell r="D601" t="str">
            <v>Tanjung Niur</v>
          </cell>
          <cell r="E601" t="str">
            <v>Tempilang</v>
          </cell>
          <cell r="F601" t="str">
            <v>Bangka Barat</v>
          </cell>
          <cell r="G601" t="str">
            <v>Kepulauan Bangka Belitung</v>
          </cell>
          <cell r="H601" t="str">
            <v>Penyangga</v>
          </cell>
          <cell r="L601" t="str">
            <v>Kepulauan Bangka Belitung</v>
          </cell>
          <cell r="M601" t="str">
            <v>PT. Laksana Aneka Sarana</v>
          </cell>
        </row>
        <row r="602">
          <cell r="D602" t="str">
            <v>Telukpulai</v>
          </cell>
          <cell r="E602" t="str">
            <v>Pasir Limau Kapas</v>
          </cell>
          <cell r="F602" t="str">
            <v>Rokan Hilir</v>
          </cell>
          <cell r="G602" t="str">
            <v>Riau</v>
          </cell>
          <cell r="H602" t="str">
            <v>Hub</v>
          </cell>
          <cell r="L602" t="str">
            <v>Riau</v>
          </cell>
          <cell r="M602" t="str">
            <v>PT. Ganesha Jaya</v>
          </cell>
        </row>
        <row r="603">
          <cell r="D603" t="str">
            <v>Panipahan Darat</v>
          </cell>
          <cell r="E603" t="str">
            <v>Pasir Limau Kapas</v>
          </cell>
          <cell r="F603" t="str">
            <v>Rokan Hilir</v>
          </cell>
          <cell r="G603" t="str">
            <v>Riau</v>
          </cell>
          <cell r="H603" t="str">
            <v>Penyangga</v>
          </cell>
          <cell r="L603" t="str">
            <v>Riau</v>
          </cell>
          <cell r="M603" t="str">
            <v>PT. Ganesha Jaya</v>
          </cell>
        </row>
        <row r="604">
          <cell r="D604" t="str">
            <v>Sinaboi</v>
          </cell>
          <cell r="E604" t="str">
            <v>Sinaboi</v>
          </cell>
          <cell r="F604" t="str">
            <v>Rokan Hilir</v>
          </cell>
          <cell r="G604" t="str">
            <v>Riau</v>
          </cell>
          <cell r="H604" t="str">
            <v>Penyangga</v>
          </cell>
          <cell r="L604" t="str">
            <v>Riau</v>
          </cell>
          <cell r="M604" t="str">
            <v>PT. Ganesha Jaya</v>
          </cell>
        </row>
        <row r="605">
          <cell r="D605" t="str">
            <v>Pilubang</v>
          </cell>
          <cell r="E605" t="str">
            <v>Sungai Limau</v>
          </cell>
          <cell r="F605" t="str">
            <v>Padang Pariaman</v>
          </cell>
          <cell r="G605" t="str">
            <v>Sumatera Barat</v>
          </cell>
          <cell r="H605" t="str">
            <v>Penyangga</v>
          </cell>
          <cell r="L605" t="str">
            <v>Sumatera Barat</v>
          </cell>
          <cell r="M605" t="str">
            <v>PT. Segi Tiga Tambora</v>
          </cell>
        </row>
        <row r="606">
          <cell r="D606" t="str">
            <v>Tanjung Sangkar</v>
          </cell>
          <cell r="E606" t="str">
            <v>Lepar</v>
          </cell>
          <cell r="F606" t="str">
            <v>Bangka Selatan</v>
          </cell>
          <cell r="G606" t="str">
            <v>Kepulauan Bangka Belitung</v>
          </cell>
          <cell r="H606" t="str">
            <v>Penyangga</v>
          </cell>
          <cell r="L606" t="str">
            <v>Kepulauan Bangka Belitung</v>
          </cell>
          <cell r="M606" t="str">
            <v>PT. Laksana Aneka Sarana</v>
          </cell>
        </row>
        <row r="607">
          <cell r="D607" t="str">
            <v>Celagen</v>
          </cell>
          <cell r="E607" t="str">
            <v>Kepulauan Pongok</v>
          </cell>
          <cell r="F607" t="str">
            <v>Bangka Selatan</v>
          </cell>
          <cell r="G607" t="str">
            <v>Kepulauan Bangka Belitung</v>
          </cell>
          <cell r="H607" t="str">
            <v>Penyangga</v>
          </cell>
          <cell r="L607" t="str">
            <v>Kepulauan Bangka Belitung</v>
          </cell>
          <cell r="M607" t="str">
            <v>PT. Laksana Aneka Sarana</v>
          </cell>
        </row>
        <row r="608">
          <cell r="D608" t="str">
            <v>Sadai</v>
          </cell>
          <cell r="E608" t="str">
            <v>Tukak Sadai</v>
          </cell>
          <cell r="F608" t="str">
            <v>Bangka Selatan</v>
          </cell>
          <cell r="G608" t="str">
            <v>Kepulauan Bangka Belitung</v>
          </cell>
          <cell r="H608" t="str">
            <v>Penyangga</v>
          </cell>
          <cell r="L608" t="str">
            <v>Kepulauan Bangka Belitung</v>
          </cell>
          <cell r="M608" t="str">
            <v>PT. Laksana Aneka Sarana</v>
          </cell>
        </row>
        <row r="609">
          <cell r="D609" t="str">
            <v>Tanjung Ketapang</v>
          </cell>
          <cell r="E609" t="str">
            <v>Toboali</v>
          </cell>
          <cell r="F609" t="str">
            <v>Bangka Selatan</v>
          </cell>
          <cell r="G609" t="str">
            <v>Kepulauan Bangka Belitung</v>
          </cell>
          <cell r="H609" t="str">
            <v>Penyangga</v>
          </cell>
          <cell r="L609" t="str">
            <v>Kepulauan Bangka Belitung</v>
          </cell>
          <cell r="M609" t="str">
            <v>PT. Laksana Aneka Sarana</v>
          </cell>
        </row>
        <row r="610">
          <cell r="D610" t="str">
            <v>Tungkal Ii</v>
          </cell>
          <cell r="E610" t="str">
            <v>Tungkal Ilir</v>
          </cell>
          <cell r="F610" t="str">
            <v>Tanjung Jabung Barat</v>
          </cell>
          <cell r="G610" t="str">
            <v>Jambi</v>
          </cell>
          <cell r="H610" t="str">
            <v>Hub</v>
          </cell>
          <cell r="L610" t="str">
            <v>Jambi</v>
          </cell>
          <cell r="M610" t="str">
            <v>PT. Indonesia Kerja Nyata</v>
          </cell>
        </row>
        <row r="611">
          <cell r="D611" t="str">
            <v>Centai</v>
          </cell>
          <cell r="E611" t="str">
            <v>Pulaumerbau</v>
          </cell>
          <cell r="F611" t="str">
            <v>Kepulauan Meranti</v>
          </cell>
          <cell r="G611" t="str">
            <v>Riau</v>
          </cell>
          <cell r="H611" t="str">
            <v>Penyangga</v>
          </cell>
          <cell r="L611" t="str">
            <v>Riau</v>
          </cell>
          <cell r="M611" t="str">
            <v>PT. Putra Meranti</v>
          </cell>
        </row>
        <row r="612">
          <cell r="D612" t="str">
            <v>Mekar Sari</v>
          </cell>
          <cell r="E612" t="str">
            <v>Merbau</v>
          </cell>
          <cell r="F612" t="str">
            <v>Kepulauan Meranti</v>
          </cell>
          <cell r="G612" t="str">
            <v>Riau</v>
          </cell>
          <cell r="H612" t="str">
            <v>Penyangga</v>
          </cell>
          <cell r="L612" t="str">
            <v>Riau</v>
          </cell>
          <cell r="M612" t="str">
            <v>PT. Putra Meranti</v>
          </cell>
        </row>
        <row r="613">
          <cell r="D613" t="str">
            <v>Teluk</v>
          </cell>
          <cell r="E613" t="str">
            <v>Kuala Kampar</v>
          </cell>
          <cell r="F613" t="str">
            <v>Pelalawan</v>
          </cell>
          <cell r="G613" t="str">
            <v>Riau</v>
          </cell>
          <cell r="H613" t="str">
            <v>Penyangga</v>
          </cell>
          <cell r="L613" t="str">
            <v>Riau</v>
          </cell>
          <cell r="M613" t="str">
            <v>PT. Putra Meranti</v>
          </cell>
        </row>
        <row r="614">
          <cell r="D614" t="str">
            <v>Penyengat</v>
          </cell>
          <cell r="E614" t="str">
            <v>Sungai Apit</v>
          </cell>
          <cell r="F614" t="str">
            <v>Siak</v>
          </cell>
          <cell r="G614" t="str">
            <v>Riau</v>
          </cell>
          <cell r="H614" t="str">
            <v>Penyangga</v>
          </cell>
          <cell r="L614" t="str">
            <v>Riau</v>
          </cell>
          <cell r="M614">
            <v>0</v>
          </cell>
        </row>
        <row r="615">
          <cell r="D615" t="str">
            <v>Alasdowo</v>
          </cell>
          <cell r="E615" t="str">
            <v>Dukuhseti</v>
          </cell>
          <cell r="F615" t="str">
            <v>Pati</v>
          </cell>
          <cell r="G615" t="str">
            <v>Jawa Tengah</v>
          </cell>
          <cell r="H615" t="str">
            <v>Penyangga</v>
          </cell>
          <cell r="L615" t="str">
            <v>Jawa Tengah</v>
          </cell>
          <cell r="M615" t="str">
            <v>CV. Bumi Jaya Berkah Abadi</v>
          </cell>
        </row>
        <row r="616">
          <cell r="D616" t="str">
            <v>Puncel</v>
          </cell>
          <cell r="E616" t="str">
            <v>Dukuhseti</v>
          </cell>
          <cell r="F616" t="str">
            <v>Pati</v>
          </cell>
          <cell r="G616" t="str">
            <v>Jawa Tengah</v>
          </cell>
          <cell r="H616" t="str">
            <v>Penyangga</v>
          </cell>
          <cell r="L616" t="str">
            <v>Jawa Tengah</v>
          </cell>
          <cell r="M616" t="str">
            <v>CV. Astama Mas</v>
          </cell>
        </row>
        <row r="617">
          <cell r="D617" t="str">
            <v>Dororejo</v>
          </cell>
          <cell r="E617" t="str">
            <v>Tayu</v>
          </cell>
          <cell r="F617" t="str">
            <v>Pati</v>
          </cell>
          <cell r="G617" t="str">
            <v>Jawa Tengah</v>
          </cell>
          <cell r="H617" t="str">
            <v>Penyangga</v>
          </cell>
          <cell r="L617" t="str">
            <v>Jawa Tengah</v>
          </cell>
          <cell r="M617" t="str">
            <v>CV. Bumi Jaya Berkah Abadi</v>
          </cell>
        </row>
        <row r="618">
          <cell r="D618" t="str">
            <v>Margomulyo</v>
          </cell>
          <cell r="E618" t="str">
            <v>Tayu</v>
          </cell>
          <cell r="F618" t="str">
            <v>Pati</v>
          </cell>
          <cell r="G618" t="str">
            <v>Jawa Tengah</v>
          </cell>
          <cell r="H618" t="str">
            <v>Penyangga</v>
          </cell>
          <cell r="L618" t="str">
            <v>Jawa Tengah</v>
          </cell>
          <cell r="M618" t="str">
            <v>CV. Bumi Jaya Berkah Abadi</v>
          </cell>
        </row>
        <row r="619">
          <cell r="D619" t="str">
            <v>Jengglungharjo</v>
          </cell>
          <cell r="E619" t="str">
            <v>Tanggunggunung</v>
          </cell>
          <cell r="F619" t="str">
            <v>Tulungagung</v>
          </cell>
          <cell r="G619" t="str">
            <v>Jawa Timur</v>
          </cell>
          <cell r="H619" t="str">
            <v>Penyangga</v>
          </cell>
          <cell r="L619" t="str">
            <v>Jawa Timur</v>
          </cell>
          <cell r="M619" t="str">
            <v>CV. Wapike Bali</v>
          </cell>
        </row>
        <row r="620">
          <cell r="D620" t="str">
            <v>Balok</v>
          </cell>
          <cell r="E620" t="str">
            <v>Kendal</v>
          </cell>
          <cell r="F620" t="str">
            <v>Kendal</v>
          </cell>
          <cell r="G620" t="str">
            <v>Jawa Tengah</v>
          </cell>
          <cell r="H620" t="str">
            <v>Penyangga</v>
          </cell>
          <cell r="L620" t="str">
            <v>Jawa Tengah</v>
          </cell>
          <cell r="M620" t="str">
            <v>CV. Sinar Mulya</v>
          </cell>
        </row>
        <row r="621">
          <cell r="D621" t="str">
            <v>Tamberu</v>
          </cell>
          <cell r="E621" t="str">
            <v>Batumarmar</v>
          </cell>
          <cell r="F621" t="str">
            <v>Pamekasan</v>
          </cell>
          <cell r="G621" t="str">
            <v>Jawa Timur</v>
          </cell>
          <cell r="H621" t="str">
            <v>Penyangga</v>
          </cell>
          <cell r="L621" t="str">
            <v>Jawa Timur</v>
          </cell>
          <cell r="M621" t="str">
            <v>PT. Elang Mas Berdikari</v>
          </cell>
        </row>
        <row r="622">
          <cell r="D622" t="str">
            <v>Sotabar</v>
          </cell>
          <cell r="E622" t="str">
            <v>Pasean</v>
          </cell>
          <cell r="F622" t="str">
            <v>Pamekasan</v>
          </cell>
          <cell r="G622" t="str">
            <v>Jawa Timur</v>
          </cell>
          <cell r="H622" t="str">
            <v>Penyangga</v>
          </cell>
          <cell r="L622" t="str">
            <v>Jawa Timur</v>
          </cell>
          <cell r="M622" t="str">
            <v>PT. Elang Mas Berdikari</v>
          </cell>
        </row>
        <row r="623">
          <cell r="D623" t="str">
            <v>Bira Tengah</v>
          </cell>
          <cell r="E623" t="str">
            <v>Sokobanah</v>
          </cell>
          <cell r="F623" t="str">
            <v>Sampang</v>
          </cell>
          <cell r="G623" t="str">
            <v>Jawa Timur</v>
          </cell>
          <cell r="H623" t="str">
            <v>Penyangga</v>
          </cell>
          <cell r="L623" t="str">
            <v>Jawa Timur</v>
          </cell>
          <cell r="M623" t="str">
            <v>CV. Kometro Mega Solusi</v>
          </cell>
        </row>
        <row r="624">
          <cell r="D624" t="str">
            <v>Ambunten Tengah</v>
          </cell>
          <cell r="E624" t="str">
            <v>Ambunten</v>
          </cell>
          <cell r="F624" t="str">
            <v>Sumenep</v>
          </cell>
          <cell r="G624" t="str">
            <v>Jawa Timur</v>
          </cell>
          <cell r="H624" t="str">
            <v>Penyangga</v>
          </cell>
          <cell r="L624" t="str">
            <v>Jawa Timur</v>
          </cell>
          <cell r="M624" t="str">
            <v>CV. Nur Buana</v>
          </cell>
        </row>
        <row r="625">
          <cell r="D625" t="str">
            <v>Gedugan</v>
          </cell>
          <cell r="E625" t="str">
            <v>Giliginting</v>
          </cell>
          <cell r="F625" t="str">
            <v>Sumenep</v>
          </cell>
          <cell r="G625" t="str">
            <v>Jawa Timur</v>
          </cell>
          <cell r="H625" t="str">
            <v>Penyangga</v>
          </cell>
          <cell r="L625" t="str">
            <v>Jawa Timur</v>
          </cell>
          <cell r="M625" t="str">
            <v>CV. Nabiha Perkasa</v>
          </cell>
        </row>
        <row r="626">
          <cell r="D626" t="str">
            <v>Kramian</v>
          </cell>
          <cell r="E626" t="str">
            <v>Masalembu</v>
          </cell>
          <cell r="F626" t="str">
            <v>Sumenep</v>
          </cell>
          <cell r="G626" t="str">
            <v>Jawa Timur</v>
          </cell>
          <cell r="H626" t="str">
            <v>Penyangga</v>
          </cell>
          <cell r="L626" t="str">
            <v>Jawa Timur</v>
          </cell>
          <cell r="M626" t="str">
            <v>CV. Kometro Mega Solusi</v>
          </cell>
        </row>
        <row r="627">
          <cell r="D627" t="str">
            <v>Bancamara</v>
          </cell>
          <cell r="E627" t="str">
            <v>Dungkek</v>
          </cell>
          <cell r="F627" t="str">
            <v>Sumenep</v>
          </cell>
          <cell r="G627" t="str">
            <v>Jawa Timur</v>
          </cell>
          <cell r="H627" t="str">
            <v>Penyangga (+cs)</v>
          </cell>
          <cell r="L627" t="str">
            <v>Jawa Timur</v>
          </cell>
          <cell r="M627" t="str">
            <v>CV. Nur Buana</v>
          </cell>
        </row>
        <row r="628">
          <cell r="D628" t="str">
            <v>Dekatagung</v>
          </cell>
          <cell r="E628" t="str">
            <v>Sangkapura</v>
          </cell>
          <cell r="F628" t="str">
            <v>Gresik</v>
          </cell>
          <cell r="G628" t="str">
            <v>Jawa Timur</v>
          </cell>
          <cell r="H628" t="str">
            <v>Hub</v>
          </cell>
          <cell r="L628" t="str">
            <v>Jawa Timur</v>
          </cell>
          <cell r="M628" t="str">
            <v>CV. Berkah Karya Makmur Sentosa</v>
          </cell>
        </row>
        <row r="629">
          <cell r="D629" t="str">
            <v>Sidogedungbatu</v>
          </cell>
          <cell r="E629" t="str">
            <v>Sangkapura</v>
          </cell>
          <cell r="F629" t="str">
            <v>Gresik</v>
          </cell>
          <cell r="G629" t="str">
            <v>Jawa Timur</v>
          </cell>
          <cell r="H629" t="str">
            <v>Penyangga</v>
          </cell>
          <cell r="L629" t="str">
            <v>Jawa Timur</v>
          </cell>
          <cell r="M629" t="str">
            <v>CV. Sinar Surya</v>
          </cell>
        </row>
        <row r="630">
          <cell r="D630" t="str">
            <v>Kemantren</v>
          </cell>
          <cell r="E630" t="str">
            <v>Paciran</v>
          </cell>
          <cell r="F630" t="str">
            <v>Lamongan</v>
          </cell>
          <cell r="G630" t="str">
            <v>Jawa Timur</v>
          </cell>
          <cell r="H630" t="str">
            <v>Hub</v>
          </cell>
          <cell r="L630" t="str">
            <v>Jawa Timur</v>
          </cell>
          <cell r="M630" t="str">
            <v>CV. Sapta Manunggal Lestari</v>
          </cell>
        </row>
        <row r="631">
          <cell r="D631" t="str">
            <v>Brondong</v>
          </cell>
          <cell r="E631" t="str">
            <v>Brondong</v>
          </cell>
          <cell r="F631" t="str">
            <v>Lamongan</v>
          </cell>
          <cell r="G631" t="str">
            <v>Jawa Timur</v>
          </cell>
          <cell r="H631" t="str">
            <v>Penyangga</v>
          </cell>
          <cell r="L631" t="str">
            <v>Jawa Timur</v>
          </cell>
          <cell r="M631" t="e">
            <v>#N/A</v>
          </cell>
        </row>
        <row r="632">
          <cell r="D632" t="str">
            <v>Dalegan</v>
          </cell>
          <cell r="E632" t="str">
            <v>Panceng</v>
          </cell>
          <cell r="F632" t="str">
            <v>Gresik</v>
          </cell>
          <cell r="G632" t="str">
            <v>Jawa Timur</v>
          </cell>
          <cell r="H632" t="str">
            <v>Penyangga</v>
          </cell>
          <cell r="L632" t="str">
            <v>Jawa Timur</v>
          </cell>
          <cell r="M632" t="str">
            <v>PT. Sang Karya</v>
          </cell>
        </row>
        <row r="633">
          <cell r="D633" t="str">
            <v>Kandangsemangkon</v>
          </cell>
          <cell r="E633" t="str">
            <v>Paciran</v>
          </cell>
          <cell r="F633" t="str">
            <v>Lamongan</v>
          </cell>
          <cell r="G633" t="str">
            <v>Jawa Timur</v>
          </cell>
          <cell r="H633" t="str">
            <v>Penyangga</v>
          </cell>
          <cell r="L633" t="str">
            <v>Jawa Timur</v>
          </cell>
          <cell r="M633" t="str">
            <v>CV. Sapta Manunggal Lestari</v>
          </cell>
        </row>
        <row r="634">
          <cell r="D634" t="str">
            <v>Kranji</v>
          </cell>
          <cell r="E634" t="str">
            <v>Paciran</v>
          </cell>
          <cell r="F634" t="str">
            <v>Lamongan</v>
          </cell>
          <cell r="G634" t="str">
            <v>Jawa Timur</v>
          </cell>
          <cell r="H634" t="str">
            <v>Penyangga</v>
          </cell>
          <cell r="L634" t="str">
            <v>Jawa Timur</v>
          </cell>
          <cell r="M634" t="str">
            <v>CV. Sapta Manunggal Lestari</v>
          </cell>
        </row>
        <row r="635">
          <cell r="D635" t="str">
            <v>Warulor</v>
          </cell>
          <cell r="E635" t="str">
            <v>Paciran</v>
          </cell>
          <cell r="F635" t="str">
            <v>Lamongan</v>
          </cell>
          <cell r="G635" t="str">
            <v>Jawa Timur</v>
          </cell>
          <cell r="H635" t="str">
            <v>Penyangga</v>
          </cell>
          <cell r="L635" t="str">
            <v>Jawa Timur</v>
          </cell>
          <cell r="M635" t="str">
            <v>CV. Bumi Jaya Berkah Abadi</v>
          </cell>
        </row>
        <row r="636">
          <cell r="D636" t="str">
            <v>Campurejo</v>
          </cell>
          <cell r="E636" t="str">
            <v>Panceng</v>
          </cell>
          <cell r="F636" t="str">
            <v>Gresik</v>
          </cell>
          <cell r="G636" t="str">
            <v>Jawa Timur</v>
          </cell>
          <cell r="H636" t="str">
            <v>Penyangga (+cs)</v>
          </cell>
          <cell r="L636" t="str">
            <v>Jawa Timur</v>
          </cell>
          <cell r="M636" t="str">
            <v>PT. Kaisar Putra Perkasa</v>
          </cell>
        </row>
        <row r="637">
          <cell r="D637" t="str">
            <v>Karangrejo</v>
          </cell>
          <cell r="E637" t="str">
            <v>Banyuwangi</v>
          </cell>
          <cell r="F637" t="str">
            <v>Banyuwangi</v>
          </cell>
          <cell r="G637" t="str">
            <v>Jawa Timur</v>
          </cell>
          <cell r="H637" t="str">
            <v>Penyangga</v>
          </cell>
          <cell r="L637" t="str">
            <v>Jawa Timur</v>
          </cell>
          <cell r="M637" t="str">
            <v>CV. EMWE Perkasa</v>
          </cell>
        </row>
        <row r="638">
          <cell r="D638" t="str">
            <v>Margagiri</v>
          </cell>
          <cell r="E638" t="str">
            <v>Bojonegara</v>
          </cell>
          <cell r="F638" t="str">
            <v>Serang</v>
          </cell>
          <cell r="G638" t="str">
            <v>Banten</v>
          </cell>
          <cell r="H638" t="str">
            <v>Penyangga</v>
          </cell>
          <cell r="L638" t="str">
            <v>Banten</v>
          </cell>
          <cell r="M638" t="str">
            <v>CV. Masa Barokah</v>
          </cell>
        </row>
        <row r="639">
          <cell r="D639" t="str">
            <v>Pecangaan</v>
          </cell>
          <cell r="E639" t="str">
            <v>Batangan</v>
          </cell>
          <cell r="F639" t="str">
            <v>Pati</v>
          </cell>
          <cell r="G639" t="str">
            <v>Jawa Tengah</v>
          </cell>
          <cell r="H639" t="str">
            <v>Penyangga</v>
          </cell>
          <cell r="L639" t="str">
            <v>Jawa Tengah</v>
          </cell>
          <cell r="M639" t="str">
            <v>CV. Bumi Jaya Berkah Abadi</v>
          </cell>
        </row>
        <row r="640">
          <cell r="D640" t="str">
            <v>Gajahkumpul</v>
          </cell>
          <cell r="E640" t="str">
            <v>Batangan</v>
          </cell>
          <cell r="F640" t="str">
            <v>Pati</v>
          </cell>
          <cell r="G640" t="str">
            <v>Jawa Tengah</v>
          </cell>
          <cell r="H640" t="str">
            <v>Penyangga</v>
          </cell>
          <cell r="L640" t="str">
            <v>Jawa Tengah</v>
          </cell>
          <cell r="M640" t="str">
            <v>CV. Bumi Jaya Berkah Abadi</v>
          </cell>
        </row>
        <row r="641">
          <cell r="D641" t="str">
            <v>Bajomulyo</v>
          </cell>
          <cell r="E641" t="str">
            <v>Juwana</v>
          </cell>
          <cell r="F641" t="str">
            <v>Pati</v>
          </cell>
          <cell r="G641" t="str">
            <v>Jawa Tengah</v>
          </cell>
          <cell r="H641" t="str">
            <v>Penyangga</v>
          </cell>
          <cell r="L641" t="str">
            <v>Jawa Tengah</v>
          </cell>
          <cell r="M641" t="str">
            <v>CV. Bumi Jaya Berkah Abadi</v>
          </cell>
        </row>
        <row r="642">
          <cell r="D642" t="str">
            <v>Kupang</v>
          </cell>
          <cell r="E642" t="str">
            <v>Jabon</v>
          </cell>
          <cell r="F642" t="str">
            <v>Sidoarjo</v>
          </cell>
          <cell r="G642" t="str">
            <v>Jawa Timur</v>
          </cell>
          <cell r="H642" t="str">
            <v>Penyangga</v>
          </cell>
          <cell r="L642" t="str">
            <v>Jawa Timur</v>
          </cell>
          <cell r="M642" t="str">
            <v>CV. Wapike Bali</v>
          </cell>
        </row>
        <row r="643">
          <cell r="D643" t="str">
            <v>Kalirejo</v>
          </cell>
          <cell r="E643" t="str">
            <v>Kraton</v>
          </cell>
          <cell r="F643" t="str">
            <v>Pasuruan</v>
          </cell>
          <cell r="G643" t="str">
            <v>Jawa Timur</v>
          </cell>
          <cell r="H643" t="str">
            <v>Hub</v>
          </cell>
          <cell r="L643" t="str">
            <v>Jawa Timur</v>
          </cell>
          <cell r="M643" t="str">
            <v>CV. Wapike Bali</v>
          </cell>
        </row>
        <row r="644">
          <cell r="D644" t="str">
            <v>Ngemplakrejo</v>
          </cell>
          <cell r="E644" t="str">
            <v>Panggungrejo</v>
          </cell>
          <cell r="F644" t="str">
            <v>Kota Pasuruan</v>
          </cell>
          <cell r="G644" t="str">
            <v>Jawa Timur</v>
          </cell>
          <cell r="H644" t="str">
            <v>Penyangga</v>
          </cell>
          <cell r="L644" t="str">
            <v>Jawa Timur</v>
          </cell>
          <cell r="M644" t="str">
            <v>PT. Gemilang Anugerah Pratama</v>
          </cell>
        </row>
        <row r="645">
          <cell r="D645" t="str">
            <v>Gili Ketapang</v>
          </cell>
          <cell r="E645" t="str">
            <v>Sumberasih</v>
          </cell>
          <cell r="F645" t="str">
            <v>Probolinggo</v>
          </cell>
          <cell r="G645" t="str">
            <v>Jawa Timur</v>
          </cell>
          <cell r="H645" t="str">
            <v>Penyangga</v>
          </cell>
          <cell r="L645" t="str">
            <v>Jawa Timur</v>
          </cell>
          <cell r="M645" t="str">
            <v>CV. Wapike Bali</v>
          </cell>
        </row>
        <row r="646">
          <cell r="D646" t="str">
            <v>Sidoasri</v>
          </cell>
          <cell r="E646" t="str">
            <v>Sumbermanjing Wetan</v>
          </cell>
          <cell r="F646" t="str">
            <v>Malang</v>
          </cell>
          <cell r="G646" t="str">
            <v>Jawa Timur</v>
          </cell>
          <cell r="H646" t="str">
            <v>Penyangga</v>
          </cell>
          <cell r="L646" t="str">
            <v>Jawa Timur</v>
          </cell>
          <cell r="M646" t="str">
            <v>CV. Astana Mas</v>
          </cell>
        </row>
        <row r="647">
          <cell r="D647" t="str">
            <v>Tambakrejo</v>
          </cell>
          <cell r="E647" t="str">
            <v>Sumbermanjing Wetan</v>
          </cell>
          <cell r="F647" t="str">
            <v>Malang</v>
          </cell>
          <cell r="G647" t="str">
            <v>Jawa Timur</v>
          </cell>
          <cell r="H647" t="str">
            <v>Penyangga</v>
          </cell>
          <cell r="L647" t="str">
            <v>Jawa Timur</v>
          </cell>
          <cell r="M647" t="str">
            <v>CV. Astana Mas</v>
          </cell>
        </row>
        <row r="648">
          <cell r="D648" t="str">
            <v>Bojongsana</v>
          </cell>
          <cell r="E648" t="str">
            <v>Suradadi</v>
          </cell>
          <cell r="F648" t="str">
            <v>Tegal</v>
          </cell>
          <cell r="G648" t="str">
            <v>Jawa Tengah</v>
          </cell>
          <cell r="H648" t="str">
            <v>Penyangga</v>
          </cell>
          <cell r="L648" t="str">
            <v>Jawa Tengah</v>
          </cell>
          <cell r="M648" t="str">
            <v>PT. Indo Jaya Negara Abadi</v>
          </cell>
        </row>
        <row r="649">
          <cell r="D649" t="str">
            <v>Klampis Barat</v>
          </cell>
          <cell r="E649" t="str">
            <v>Klampis</v>
          </cell>
          <cell r="F649" t="str">
            <v>Bangkalan</v>
          </cell>
          <cell r="G649" t="str">
            <v>Jawa Timur</v>
          </cell>
          <cell r="H649" t="str">
            <v>Penyangga</v>
          </cell>
          <cell r="L649" t="str">
            <v>Jawa Timur</v>
          </cell>
          <cell r="M649" t="str">
            <v>PT. Elang Mas Berdikari</v>
          </cell>
        </row>
        <row r="650">
          <cell r="D650" t="str">
            <v>Klampis Timur</v>
          </cell>
          <cell r="E650" t="str">
            <v>Klampis</v>
          </cell>
          <cell r="F650" t="str">
            <v>Bangkalan</v>
          </cell>
          <cell r="G650" t="str">
            <v>Jawa Timur</v>
          </cell>
          <cell r="H650" t="str">
            <v>Penyangga</v>
          </cell>
          <cell r="L650" t="str">
            <v>Jawa Timur</v>
          </cell>
          <cell r="M650" t="str">
            <v>PT. Elang Mas Berdikari</v>
          </cell>
        </row>
        <row r="651">
          <cell r="D651" t="str">
            <v>Jatra Timur</v>
          </cell>
          <cell r="E651" t="str">
            <v>Banyuates</v>
          </cell>
          <cell r="F651" t="str">
            <v>Sampang</v>
          </cell>
          <cell r="G651" t="str">
            <v>Jawa Timur</v>
          </cell>
          <cell r="H651" t="str">
            <v>Penyangga</v>
          </cell>
          <cell r="L651" t="str">
            <v>Jawa Timur</v>
          </cell>
          <cell r="M651" t="str">
            <v>PT. Puji Rahmad (Besar)</v>
          </cell>
        </row>
        <row r="652">
          <cell r="D652" t="str">
            <v>P. Mandangin</v>
          </cell>
          <cell r="E652" t="str">
            <v>Sampang</v>
          </cell>
          <cell r="F652" t="str">
            <v>Sampang</v>
          </cell>
          <cell r="G652" t="str">
            <v>Jawa Timur</v>
          </cell>
          <cell r="H652" t="str">
            <v>Penyangga (+cs)</v>
          </cell>
          <cell r="L652" t="str">
            <v>Jawa Timur</v>
          </cell>
          <cell r="M652">
            <v>0</v>
          </cell>
        </row>
        <row r="653">
          <cell r="D653" t="str">
            <v>Malambe</v>
          </cell>
          <cell r="E653" t="str">
            <v>Ponelo Kepulauan</v>
          </cell>
          <cell r="F653" t="str">
            <v>Gorontalo Utara</v>
          </cell>
          <cell r="G653" t="str">
            <v>Gorontalo</v>
          </cell>
          <cell r="H653" t="str">
            <v>Penyangga</v>
          </cell>
          <cell r="L653" t="str">
            <v>Gorontalo</v>
          </cell>
          <cell r="M653" t="str">
            <v>PT. Nenci Citra Pratama Cabang Gorontalo</v>
          </cell>
        </row>
        <row r="654">
          <cell r="D654" t="str">
            <v>Ilodulunga</v>
          </cell>
          <cell r="E654" t="str">
            <v>Anggrek</v>
          </cell>
          <cell r="F654" t="str">
            <v>Gorontalo Utara</v>
          </cell>
          <cell r="G654" t="str">
            <v>Gorontalo</v>
          </cell>
          <cell r="H654" t="str">
            <v>Penyangga</v>
          </cell>
          <cell r="L654" t="str">
            <v>Gorontalo</v>
          </cell>
          <cell r="M654" t="str">
            <v>PT. Nenci Citra Pratama Cabang Gorontalo</v>
          </cell>
        </row>
        <row r="655">
          <cell r="D655" t="str">
            <v>Balauring</v>
          </cell>
          <cell r="E655" t="str">
            <v>Omesuri</v>
          </cell>
          <cell r="F655" t="str">
            <v>Lembata</v>
          </cell>
          <cell r="G655" t="str">
            <v>Nusa Tenggara Timur</v>
          </cell>
          <cell r="H655" t="str">
            <v>Penyangga</v>
          </cell>
          <cell r="L655" t="str">
            <v>Nusa Tenggara Timur</v>
          </cell>
          <cell r="M655" t="str">
            <v>PT. Trisama Sakti Contractor</v>
          </cell>
        </row>
        <row r="656">
          <cell r="D656" t="str">
            <v>Buko</v>
          </cell>
          <cell r="E656" t="str">
            <v>Wedung</v>
          </cell>
          <cell r="F656" t="str">
            <v>Demak</v>
          </cell>
          <cell r="G656" t="str">
            <v>Jawa Tengah</v>
          </cell>
          <cell r="H656" t="str">
            <v>Penyangga</v>
          </cell>
          <cell r="L656" t="str">
            <v>Jawa Tengah</v>
          </cell>
          <cell r="M656" t="str">
            <v>PT. Insan Pesona (Besar)</v>
          </cell>
        </row>
        <row r="657">
          <cell r="D657" t="str">
            <v>Pangkalan Banteng</v>
          </cell>
          <cell r="E657" t="str">
            <v>Pangkalan Banteng</v>
          </cell>
          <cell r="F657" t="str">
            <v>Kotawaringin Barat</v>
          </cell>
          <cell r="G657" t="str">
            <v>Kalimantan Tengah</v>
          </cell>
          <cell r="H657" t="str">
            <v>Penyangga</v>
          </cell>
          <cell r="L657" t="str">
            <v>Kalimantan Tengah</v>
          </cell>
          <cell r="M657" t="str">
            <v>CV. Assety Graha Jaya (Kecil)</v>
          </cell>
        </row>
        <row r="658">
          <cell r="D658" t="str">
            <v>Sabuai</v>
          </cell>
          <cell r="E658" t="str">
            <v>Kumai</v>
          </cell>
          <cell r="F658" t="str">
            <v>Kotawaringin Barat</v>
          </cell>
          <cell r="G658" t="str">
            <v>Kalimantan Tengah</v>
          </cell>
          <cell r="H658" t="str">
            <v>Penyangga</v>
          </cell>
          <cell r="L658" t="str">
            <v>Kalimantan Tengah</v>
          </cell>
          <cell r="M658" t="str">
            <v>CV. Assety Graha Jaya (Kecil)</v>
          </cell>
        </row>
        <row r="659">
          <cell r="D659" t="str">
            <v>Tapolangu</v>
          </cell>
          <cell r="E659" t="str">
            <v>Lebatukan</v>
          </cell>
          <cell r="F659" t="str">
            <v>Lembata</v>
          </cell>
          <cell r="G659" t="str">
            <v>Nusa Tenggara Timur</v>
          </cell>
          <cell r="H659" t="str">
            <v>Penyangga</v>
          </cell>
          <cell r="L659" t="str">
            <v>Nusa Tenggara Timur</v>
          </cell>
          <cell r="M659" t="str">
            <v>PT. Trisama Sakti Contractor</v>
          </cell>
        </row>
        <row r="660">
          <cell r="D660" t="str">
            <v>Lewolaga</v>
          </cell>
          <cell r="E660" t="str">
            <v>Titehena</v>
          </cell>
          <cell r="F660" t="str">
            <v>Flores Timur</v>
          </cell>
          <cell r="G660" t="str">
            <v>Nusa Tenggara Timur</v>
          </cell>
          <cell r="H660" t="str">
            <v>Penyangga</v>
          </cell>
          <cell r="L660" t="str">
            <v>Nusa Tenggara Timur</v>
          </cell>
          <cell r="M660" t="str">
            <v>PT. Arum Daya Sentausa</v>
          </cell>
        </row>
        <row r="661">
          <cell r="D661" t="str">
            <v>Sagu</v>
          </cell>
          <cell r="E661" t="str">
            <v>Adonara</v>
          </cell>
          <cell r="F661" t="str">
            <v>Flores Timur</v>
          </cell>
          <cell r="G661" t="str">
            <v>Nusa Tenggara Timur</v>
          </cell>
          <cell r="H661" t="str">
            <v>Penyangga</v>
          </cell>
          <cell r="L661" t="str">
            <v>Nusa Tenggara Timur</v>
          </cell>
          <cell r="M661" t="str">
            <v>CV. Jasa Mandiri Bersama</v>
          </cell>
        </row>
        <row r="662">
          <cell r="D662" t="str">
            <v>Waiwuring</v>
          </cell>
          <cell r="E662" t="str">
            <v>Witihama</v>
          </cell>
          <cell r="F662" t="str">
            <v>Flores Timur</v>
          </cell>
          <cell r="G662" t="str">
            <v>Nusa Tenggara Timur</v>
          </cell>
          <cell r="H662" t="str">
            <v>Penyangga</v>
          </cell>
          <cell r="L662" t="str">
            <v>Nusa Tenggara Timur</v>
          </cell>
          <cell r="M662" t="str">
            <v>CV. Jasa Mandiri Bersama</v>
          </cell>
        </row>
        <row r="663">
          <cell r="D663" t="str">
            <v>Deme Ii</v>
          </cell>
          <cell r="E663" t="str">
            <v>Sumalata Timur</v>
          </cell>
          <cell r="F663" t="str">
            <v>Gorontalo utara</v>
          </cell>
          <cell r="G663" t="str">
            <v>Gorontalo</v>
          </cell>
          <cell r="H663" t="str">
            <v>Penyangga</v>
          </cell>
          <cell r="L663" t="str">
            <v>Gorontalo</v>
          </cell>
          <cell r="M663" t="str">
            <v>PT. Professional Construction Indoensia (Kecil)**</v>
          </cell>
        </row>
        <row r="664">
          <cell r="D664" t="str">
            <v>Sunur</v>
          </cell>
          <cell r="E664" t="str">
            <v>Rambang Kuang</v>
          </cell>
          <cell r="F664" t="str">
            <v>Ogan Ilir</v>
          </cell>
          <cell r="G664" t="str">
            <v>Sumatera Selatan</v>
          </cell>
          <cell r="H664" t="str">
            <v>Penyangga</v>
          </cell>
          <cell r="L664" t="str">
            <v>Sumatera Selatan</v>
          </cell>
          <cell r="M664" t="str">
            <v>PT. Karang Baru Pratama</v>
          </cell>
        </row>
        <row r="665">
          <cell r="D665" t="str">
            <v>Muara Kelingi</v>
          </cell>
          <cell r="E665" t="str">
            <v>Muara Kelingi</v>
          </cell>
          <cell r="F665" t="str">
            <v>Musi Rawas</v>
          </cell>
          <cell r="G665" t="str">
            <v>Sumatera Selatan</v>
          </cell>
          <cell r="H665" t="str">
            <v>Penyangga</v>
          </cell>
          <cell r="L665" t="str">
            <v>Sumatera Selatan</v>
          </cell>
          <cell r="M665" t="str">
            <v>PT. Nanda Sungai Melintang (Kecil)</v>
          </cell>
        </row>
        <row r="666">
          <cell r="D666" t="str">
            <v>Pasar Pino</v>
          </cell>
          <cell r="E666" t="str">
            <v>Pino Raya</v>
          </cell>
          <cell r="F666" t="str">
            <v>Bengkulu Selatan</v>
          </cell>
          <cell r="G666" t="str">
            <v>Bengkulu</v>
          </cell>
          <cell r="H666" t="str">
            <v>Penyangga</v>
          </cell>
          <cell r="L666" t="str">
            <v>Bengkulu</v>
          </cell>
          <cell r="M666" t="str">
            <v>PT. Aruna Karya Bangunindo</v>
          </cell>
        </row>
        <row r="667">
          <cell r="D667" t="str">
            <v>Pasar Bawah</v>
          </cell>
          <cell r="E667" t="str">
            <v>Pasar Manna</v>
          </cell>
          <cell r="F667" t="str">
            <v>Bengkulu Selatan</v>
          </cell>
          <cell r="G667" t="str">
            <v>Bengkulu</v>
          </cell>
          <cell r="H667" t="str">
            <v>Penyangga</v>
          </cell>
          <cell r="L667" t="str">
            <v>Bengkulu</v>
          </cell>
          <cell r="M667" t="str">
            <v>PT. Aruna Karya Bangunindo</v>
          </cell>
        </row>
        <row r="668">
          <cell r="D668" t="str">
            <v>Semulut</v>
          </cell>
          <cell r="E668" t="str">
            <v>Parittiga</v>
          </cell>
          <cell r="F668" t="str">
            <v>Bangka Barat</v>
          </cell>
          <cell r="G668" t="str">
            <v>Kepulauan Bangka Belitung</v>
          </cell>
          <cell r="H668" t="str">
            <v>Penyangga</v>
          </cell>
          <cell r="L668" t="str">
            <v>Kepulauan Bangka Belitung</v>
          </cell>
          <cell r="M668" t="str">
            <v>PT. Wimala Nusantara Jaya</v>
          </cell>
        </row>
        <row r="669">
          <cell r="D669" t="str">
            <v>Muara Rengas</v>
          </cell>
          <cell r="E669" t="str">
            <v>Muara Lakitan</v>
          </cell>
          <cell r="F669" t="str">
            <v>Musi Rawas</v>
          </cell>
          <cell r="G669" t="str">
            <v>Sumatera Selatan</v>
          </cell>
          <cell r="H669" t="str">
            <v>Penyangga</v>
          </cell>
          <cell r="L669" t="str">
            <v>Sumatera Selatan</v>
          </cell>
          <cell r="M669" t="str">
            <v>PT. Nanda Sungai Melintang (Kecil)</v>
          </cell>
        </row>
        <row r="670">
          <cell r="D670" t="str">
            <v>Batang Tumu</v>
          </cell>
          <cell r="E670" t="str">
            <v>Mandah</v>
          </cell>
          <cell r="F670" t="str">
            <v>Indragiri Hilir</v>
          </cell>
          <cell r="G670" t="str">
            <v>Riau</v>
          </cell>
          <cell r="H670" t="str">
            <v>Penyangga</v>
          </cell>
          <cell r="L670" t="str">
            <v>Riau</v>
          </cell>
          <cell r="M670" t="str">
            <v>PT. Multi Gapura Pembangunan Semesta</v>
          </cell>
        </row>
        <row r="671">
          <cell r="D671" t="str">
            <v>Temoyong</v>
          </cell>
          <cell r="E671" t="str">
            <v>Bulang</v>
          </cell>
          <cell r="F671" t="str">
            <v>Kota Batam</v>
          </cell>
          <cell r="G671" t="str">
            <v>Kepulauan Riau</v>
          </cell>
          <cell r="H671" t="str">
            <v>Penyangga</v>
          </cell>
          <cell r="L671" t="str">
            <v>Kepulauan Riau</v>
          </cell>
          <cell r="M671" t="str">
            <v>PT. Ibnu Munsyir Dwi Guna</v>
          </cell>
        </row>
        <row r="672">
          <cell r="D672" t="str">
            <v>Teluk Uma</v>
          </cell>
          <cell r="E672" t="str">
            <v>Tebing</v>
          </cell>
          <cell r="F672" t="str">
            <v>Karimun</v>
          </cell>
          <cell r="G672" t="str">
            <v>Kepulauan Riau</v>
          </cell>
          <cell r="H672" t="str">
            <v>Penyangga</v>
          </cell>
          <cell r="L672" t="str">
            <v>Kepulauan Riau</v>
          </cell>
          <cell r="M672" t="str">
            <v>PT. Ibnu Munsyir Dwi Guna</v>
          </cell>
        </row>
        <row r="673">
          <cell r="D673" t="str">
            <v>Batu Limau</v>
          </cell>
          <cell r="E673" t="str">
            <v>Ungar</v>
          </cell>
          <cell r="F673" t="str">
            <v>Karimun</v>
          </cell>
          <cell r="G673" t="str">
            <v>Kepulauan Riau</v>
          </cell>
          <cell r="H673" t="str">
            <v>Penyangga</v>
          </cell>
          <cell r="L673" t="str">
            <v>Kepulauan Riau</v>
          </cell>
          <cell r="M673" t="str">
            <v>PT. Ibnu Munsyir Dwi Guna</v>
          </cell>
        </row>
        <row r="674">
          <cell r="D674" t="str">
            <v>Telaga Tujuh</v>
          </cell>
          <cell r="E674" t="str">
            <v>Durai</v>
          </cell>
          <cell r="F674" t="str">
            <v>Karimun</v>
          </cell>
          <cell r="G674" t="str">
            <v>Kepulauan Riau</v>
          </cell>
          <cell r="H674" t="str">
            <v>Penyangga (+cs)</v>
          </cell>
          <cell r="L674" t="str">
            <v>Kepulauan Riau</v>
          </cell>
          <cell r="M674" t="str">
            <v>PT. Ibnu Munsyir Dwi Guna</v>
          </cell>
        </row>
        <row r="675">
          <cell r="D675" t="str">
            <v>Semembang</v>
          </cell>
          <cell r="E675" t="str">
            <v>Durai</v>
          </cell>
          <cell r="F675" t="str">
            <v>Karimun</v>
          </cell>
          <cell r="G675" t="str">
            <v>Kepulauan Riau</v>
          </cell>
          <cell r="H675" t="str">
            <v>Penyangga</v>
          </cell>
          <cell r="L675" t="str">
            <v>Kepulauan Riau</v>
          </cell>
          <cell r="M675" t="str">
            <v>PT. Ibnu Munsyir Dwi Guna</v>
          </cell>
        </row>
        <row r="676">
          <cell r="D676" t="str">
            <v>Mekar Jaya</v>
          </cell>
          <cell r="E676" t="str">
            <v>Bunguran Barat</v>
          </cell>
          <cell r="F676" t="str">
            <v>Natuna</v>
          </cell>
          <cell r="G676" t="str">
            <v>Kepulauan Riau</v>
          </cell>
          <cell r="H676" t="str">
            <v>Penyangga</v>
          </cell>
          <cell r="L676" t="str">
            <v>Kepulauan Riau</v>
          </cell>
          <cell r="M676" t="str">
            <v>PT. Bengkel Kreatif Utama (Menengah)</v>
          </cell>
        </row>
        <row r="677">
          <cell r="D677" t="str">
            <v>Tajur Biru</v>
          </cell>
          <cell r="E677" t="str">
            <v>Temiang Pesisir</v>
          </cell>
          <cell r="F677" t="str">
            <v>Lingga</v>
          </cell>
          <cell r="G677" t="str">
            <v>Kepulauan Riau</v>
          </cell>
          <cell r="H677" t="str">
            <v>Hub</v>
          </cell>
          <cell r="L677" t="str">
            <v>Kepulauan Riau</v>
          </cell>
          <cell r="M677">
            <v>0</v>
          </cell>
        </row>
        <row r="678">
          <cell r="D678" t="str">
            <v>Posek</v>
          </cell>
          <cell r="E678" t="str">
            <v>Kepulauan Posek</v>
          </cell>
          <cell r="F678" t="str">
            <v>Lingga</v>
          </cell>
          <cell r="G678" t="str">
            <v>Kepulauan Riau</v>
          </cell>
          <cell r="H678" t="str">
            <v>Hub</v>
          </cell>
          <cell r="L678" t="str">
            <v>Kepulauan Riau</v>
          </cell>
          <cell r="M678" t="str">
            <v>Dinamika Bangun Mandiri</v>
          </cell>
        </row>
        <row r="679">
          <cell r="D679" t="str">
            <v>Sidorejo</v>
          </cell>
          <cell r="E679" t="str">
            <v>Gringsing</v>
          </cell>
          <cell r="F679" t="str">
            <v>Batang</v>
          </cell>
          <cell r="G679" t="str">
            <v>Jawa Tengah</v>
          </cell>
          <cell r="H679" t="str">
            <v>Penyangga</v>
          </cell>
          <cell r="L679" t="str">
            <v>Jawa Tengah</v>
          </cell>
          <cell r="M679" t="str">
            <v>CV. Bumi Jaya Berkah Abadi</v>
          </cell>
        </row>
        <row r="680">
          <cell r="D680" t="str">
            <v>Serdang</v>
          </cell>
          <cell r="E680" t="str">
            <v>Toboali</v>
          </cell>
          <cell r="F680" t="str">
            <v>Bangka Selatan</v>
          </cell>
          <cell r="G680" t="str">
            <v>Kepulauan Bangka Belitung</v>
          </cell>
          <cell r="H680" t="str">
            <v>Penyangga</v>
          </cell>
          <cell r="L680" t="str">
            <v>Kepulauan Bangka Belitung</v>
          </cell>
          <cell r="M680" t="str">
            <v>PT. Laksana Aneka Sarana</v>
          </cell>
        </row>
        <row r="681">
          <cell r="D681" t="str">
            <v>Kepoh</v>
          </cell>
          <cell r="E681" t="str">
            <v>Toboali</v>
          </cell>
          <cell r="F681" t="str">
            <v>Bangka Selatan</v>
          </cell>
          <cell r="G681" t="str">
            <v>Kepulauan Bangka Belitung</v>
          </cell>
          <cell r="H681" t="str">
            <v>Penyangga</v>
          </cell>
          <cell r="L681" t="str">
            <v>Kepulauan Bangka Belitung</v>
          </cell>
          <cell r="M681" t="str">
            <v>PT. Laksana Aneka Sarana</v>
          </cell>
        </row>
        <row r="682">
          <cell r="D682" t="str">
            <v>Kurau</v>
          </cell>
          <cell r="E682" t="str">
            <v>Koba</v>
          </cell>
          <cell r="F682" t="str">
            <v>Bangka Tengah</v>
          </cell>
          <cell r="G682" t="str">
            <v>Kepulauan Bangka Belitung</v>
          </cell>
          <cell r="H682" t="str">
            <v>Hub</v>
          </cell>
          <cell r="L682" t="str">
            <v>Kepulauan Bangka Belitung</v>
          </cell>
          <cell r="M682" t="str">
            <v>PT. Indo Jaya Negara Abadi</v>
          </cell>
        </row>
        <row r="683">
          <cell r="D683" t="str">
            <v>Aewoe</v>
          </cell>
          <cell r="E683" t="str">
            <v>Mauponggo</v>
          </cell>
          <cell r="F683" t="str">
            <v>Nagekeo</v>
          </cell>
          <cell r="G683" t="str">
            <v>Nusa Tenggara Timur</v>
          </cell>
          <cell r="H683" t="str">
            <v>Penyangga</v>
          </cell>
          <cell r="L683" t="str">
            <v>Nusa Tenggara Timur</v>
          </cell>
          <cell r="M683" t="str">
            <v>CV. Infinite Konstruksi/ PT. Krisindo Sukses Sejahtera</v>
          </cell>
        </row>
        <row r="684">
          <cell r="D684" t="str">
            <v>Bulupayung</v>
          </cell>
          <cell r="E684" t="str">
            <v>Patimuan</v>
          </cell>
          <cell r="F684" t="str">
            <v>Cilacap</v>
          </cell>
          <cell r="G684" t="str">
            <v>Jawa Tengah</v>
          </cell>
          <cell r="H684" t="str">
            <v>Penyangga</v>
          </cell>
          <cell r="L684" t="str">
            <v>Jawa Tengah</v>
          </cell>
          <cell r="M684" t="str">
            <v>CV. Alkomber Karya</v>
          </cell>
        </row>
        <row r="685">
          <cell r="D685" t="str">
            <v>Torosiaje</v>
          </cell>
          <cell r="E685" t="str">
            <v>Popayato</v>
          </cell>
          <cell r="F685" t="str">
            <v>Pohuwato</v>
          </cell>
          <cell r="G685" t="str">
            <v>Gorontalo</v>
          </cell>
          <cell r="H685" t="str">
            <v>Penyangga</v>
          </cell>
          <cell r="L685" t="str">
            <v>Gorontalo</v>
          </cell>
          <cell r="M685" t="str">
            <v>CV. Dharma Bakti (Kecil)</v>
          </cell>
        </row>
        <row r="686">
          <cell r="D686" t="str">
            <v>Siofa Banua</v>
          </cell>
          <cell r="E686" t="str">
            <v>Tuhemberua</v>
          </cell>
          <cell r="F686" t="str">
            <v>Nias Utara</v>
          </cell>
          <cell r="G686" t="str">
            <v>Sumatera Utara</v>
          </cell>
          <cell r="H686" t="str">
            <v>Penyangga</v>
          </cell>
          <cell r="L686" t="str">
            <v>Sumatera Utara</v>
          </cell>
          <cell r="M686" t="str">
            <v>CV. Ridho Pratama (Kecil)</v>
          </cell>
        </row>
        <row r="687">
          <cell r="D687" t="str">
            <v>Molosipat</v>
          </cell>
          <cell r="E687" t="str">
            <v>Popayato Barat</v>
          </cell>
          <cell r="F687" t="str">
            <v>Pohuwato</v>
          </cell>
          <cell r="G687" t="str">
            <v>Gorontalo</v>
          </cell>
          <cell r="H687" t="str">
            <v>Penyangga</v>
          </cell>
          <cell r="L687" t="str">
            <v>Gorontalo</v>
          </cell>
          <cell r="M687" t="str">
            <v>CV. Koperu Sejahtera</v>
          </cell>
        </row>
        <row r="688">
          <cell r="D688" t="str">
            <v>Bulili</v>
          </cell>
          <cell r="E688" t="str">
            <v>Duhiadaa</v>
          </cell>
          <cell r="F688" t="str">
            <v>Pohuwato</v>
          </cell>
          <cell r="G688" t="str">
            <v>Gorontalo</v>
          </cell>
          <cell r="H688" t="str">
            <v>Penyangga</v>
          </cell>
          <cell r="L688" t="str">
            <v>Gorontalo</v>
          </cell>
          <cell r="M688" t="str">
            <v>CV. Almaliku</v>
          </cell>
        </row>
        <row r="689">
          <cell r="D689" t="str">
            <v>Taula'a</v>
          </cell>
          <cell r="E689" t="str">
            <v>Bilato</v>
          </cell>
          <cell r="F689" t="str">
            <v>Gorontalo</v>
          </cell>
          <cell r="G689" t="str">
            <v>Gorontalo</v>
          </cell>
          <cell r="H689" t="str">
            <v>Penyangga</v>
          </cell>
          <cell r="L689" t="str">
            <v>Gorontalo</v>
          </cell>
          <cell r="M689" t="str">
            <v>PT. Professional Construction Indoensia (Kecil)**</v>
          </cell>
        </row>
        <row r="690">
          <cell r="D690" t="str">
            <v>Muarareja</v>
          </cell>
          <cell r="E690" t="str">
            <v>Tegal Barat</v>
          </cell>
          <cell r="F690" t="str">
            <v>Kota Tegal</v>
          </cell>
          <cell r="G690" t="str">
            <v>Jawa Tengah</v>
          </cell>
          <cell r="H690" t="str">
            <v>Penyangga</v>
          </cell>
          <cell r="L690" t="str">
            <v>Jawa Tengah</v>
          </cell>
          <cell r="M690" t="str">
            <v>CV. Putera Fahlevi</v>
          </cell>
        </row>
        <row r="691">
          <cell r="D691" t="str">
            <v>Oesapa Barat</v>
          </cell>
          <cell r="E691" t="str">
            <v>Kelapa Lima</v>
          </cell>
          <cell r="F691" t="str">
            <v>Kota Kupang</v>
          </cell>
          <cell r="G691" t="str">
            <v>Nusa Tenggara Timur</v>
          </cell>
          <cell r="H691" t="str">
            <v>Penyangga</v>
          </cell>
          <cell r="L691" t="str">
            <v>Nusa Tenggara Timur</v>
          </cell>
          <cell r="M691" t="str">
            <v>PT. Pandan Arum</v>
          </cell>
        </row>
        <row r="692">
          <cell r="D692" t="str">
            <v>Wonokertokulon</v>
          </cell>
          <cell r="E692" t="str">
            <v>Wonokerto</v>
          </cell>
          <cell r="F692" t="str">
            <v>Pekalongan</v>
          </cell>
          <cell r="G692" t="str">
            <v>Jawa Tengah</v>
          </cell>
          <cell r="H692" t="str">
            <v>Penyangga</v>
          </cell>
          <cell r="L692" t="str">
            <v>Jawa Tengah</v>
          </cell>
          <cell r="M692" t="str">
            <v>PT. Mekar Mulia Contractor (Menengah)</v>
          </cell>
        </row>
        <row r="693">
          <cell r="D693" t="str">
            <v>Bintet</v>
          </cell>
          <cell r="E693" t="str">
            <v>Belinyu</v>
          </cell>
          <cell r="F693" t="str">
            <v>Bangka</v>
          </cell>
          <cell r="G693" t="str">
            <v>Kepulauan Bangka Belitung</v>
          </cell>
          <cell r="H693" t="str">
            <v>Penyangga</v>
          </cell>
          <cell r="L693" t="str">
            <v>Kepulauan Bangka Belitung</v>
          </cell>
          <cell r="M693" t="str">
            <v>CV. Marina Visi Tama</v>
          </cell>
        </row>
        <row r="694">
          <cell r="D694" t="str">
            <v>Bawozihono</v>
          </cell>
          <cell r="E694" t="str">
            <v>Lahusa</v>
          </cell>
          <cell r="F694" t="str">
            <v>Nias Selatan</v>
          </cell>
          <cell r="G694" t="str">
            <v>Sumatera Utara</v>
          </cell>
          <cell r="H694" t="str">
            <v>Penyangga</v>
          </cell>
          <cell r="L694" t="str">
            <v>Sumatera Utara</v>
          </cell>
          <cell r="M694" t="str">
            <v>PT. Bukit Zaitun (Menengah)</v>
          </cell>
        </row>
        <row r="695">
          <cell r="D695" t="str">
            <v>Kuala Alam</v>
          </cell>
          <cell r="E695" t="str">
            <v>Bengkalis</v>
          </cell>
          <cell r="F695" t="str">
            <v>Bengkalis</v>
          </cell>
          <cell r="G695" t="str">
            <v>Riau</v>
          </cell>
          <cell r="H695" t="str">
            <v>Penyangga</v>
          </cell>
          <cell r="L695" t="str">
            <v>Riau</v>
          </cell>
          <cell r="M695" t="str">
            <v>CV. Sonta Abadi</v>
          </cell>
        </row>
        <row r="696">
          <cell r="D696" t="str">
            <v>Pasir Panjang</v>
          </cell>
          <cell r="E696" t="str">
            <v>Kota Lama</v>
          </cell>
          <cell r="F696" t="str">
            <v>Kota Kupang</v>
          </cell>
          <cell r="G696" t="str">
            <v>Nusa Tenggara Timur</v>
          </cell>
          <cell r="H696" t="str">
            <v>Penyangga</v>
          </cell>
          <cell r="L696" t="str">
            <v>Nusa Tenggara Timur</v>
          </cell>
          <cell r="M696" t="str">
            <v>PT. Aditya Musdalifah</v>
          </cell>
        </row>
        <row r="697">
          <cell r="D697" t="str">
            <v>Nunbaun Delha</v>
          </cell>
          <cell r="E697" t="str">
            <v>Alak</v>
          </cell>
          <cell r="F697" t="str">
            <v>Kota Kupang</v>
          </cell>
          <cell r="G697" t="str">
            <v>Nusa Tenggara Timur</v>
          </cell>
          <cell r="H697" t="str">
            <v>Penyangga</v>
          </cell>
          <cell r="L697" t="str">
            <v>Nusa Tenggara Timur</v>
          </cell>
          <cell r="M697" t="str">
            <v>PT. Aditya Musdalifah</v>
          </cell>
        </row>
        <row r="698">
          <cell r="D698" t="str">
            <v>Tuamese</v>
          </cell>
          <cell r="E698" t="str">
            <v>Biboki Anleu</v>
          </cell>
          <cell r="F698" t="str">
            <v>Timor Tengah Utara</v>
          </cell>
          <cell r="G698" t="str">
            <v>Nusa Tenggara Timur</v>
          </cell>
          <cell r="H698" t="str">
            <v>Penyangga</v>
          </cell>
          <cell r="L698" t="str">
            <v>Nusa Tenggara Timur</v>
          </cell>
          <cell r="M698" t="str">
            <v>PT. Mega Karya Sentralindo (Kecil/Menengah)</v>
          </cell>
        </row>
        <row r="699">
          <cell r="D699" t="str">
            <v>Aia Bangih</v>
          </cell>
          <cell r="E699" t="str">
            <v>Sungai Beremas</v>
          </cell>
          <cell r="F699" t="str">
            <v>Pasaman Barat</v>
          </cell>
          <cell r="G699" t="str">
            <v>Sumatera Barat</v>
          </cell>
          <cell r="H699" t="str">
            <v>Penyangga</v>
          </cell>
          <cell r="L699" t="str">
            <v>Sumatera Barat</v>
          </cell>
          <cell r="M699" t="str">
            <v>CV. Diego Contractor (Kecil)</v>
          </cell>
        </row>
        <row r="700">
          <cell r="D700" t="str">
            <v>Tanjung Limau</v>
          </cell>
          <cell r="E700" t="str">
            <v>Muara Badak</v>
          </cell>
          <cell r="F700" t="str">
            <v>Kutai Kartanegara</v>
          </cell>
          <cell r="G700" t="str">
            <v>Kalimantan Timur</v>
          </cell>
          <cell r="H700" t="str">
            <v>Penyangga</v>
          </cell>
          <cell r="L700" t="str">
            <v>Kalimantan Timur</v>
          </cell>
          <cell r="M700" t="str">
            <v>PT. Anugerah Borneo Indonesia (Kecil-Menengah)</v>
          </cell>
        </row>
        <row r="701">
          <cell r="D701" t="str">
            <v>Kersik</v>
          </cell>
          <cell r="E701" t="str">
            <v>Marang Kayu</v>
          </cell>
          <cell r="F701" t="str">
            <v>Kutai Kartanegara</v>
          </cell>
          <cell r="G701" t="str">
            <v>Kalimantan Timur</v>
          </cell>
          <cell r="H701" t="str">
            <v>Penyangga</v>
          </cell>
          <cell r="L701" t="str">
            <v>Kalimantan Timur</v>
          </cell>
          <cell r="M701" t="str">
            <v>PT. Anugerah Borneo Indonesia (Kecil-Menengah)</v>
          </cell>
        </row>
        <row r="702">
          <cell r="D702" t="str">
            <v>Ratulodong</v>
          </cell>
          <cell r="E702" t="str">
            <v>Tanjung Bunga</v>
          </cell>
          <cell r="F702" t="str">
            <v>Flores Timur</v>
          </cell>
          <cell r="G702" t="str">
            <v>Nusa Tenggara Timur</v>
          </cell>
          <cell r="H702" t="str">
            <v>Penyangga</v>
          </cell>
          <cell r="L702" t="str">
            <v>Nusa Tenggara Timur</v>
          </cell>
          <cell r="M702" t="str">
            <v>PT. Arum Daya Sentausa</v>
          </cell>
        </row>
        <row r="703">
          <cell r="D703" t="str">
            <v>Panipahan</v>
          </cell>
          <cell r="E703" t="str">
            <v>Pasir Limau Kapas</v>
          </cell>
          <cell r="F703" t="str">
            <v>Rokan Hilir</v>
          </cell>
          <cell r="G703" t="str">
            <v>Riau</v>
          </cell>
          <cell r="H703" t="str">
            <v>Penyangga</v>
          </cell>
          <cell r="L703" t="str">
            <v>Riau</v>
          </cell>
          <cell r="M703" t="str">
            <v>PT. Ganesha Jaya</v>
          </cell>
        </row>
        <row r="704">
          <cell r="D704" t="str">
            <v>Saliguma</v>
          </cell>
          <cell r="E704" t="str">
            <v>Siberut Tengah</v>
          </cell>
          <cell r="F704" t="str">
            <v>Kepulauan Mentawai</v>
          </cell>
          <cell r="G704" t="str">
            <v>Sumatera Barat</v>
          </cell>
          <cell r="H704" t="str">
            <v>Hub</v>
          </cell>
          <cell r="L704" t="str">
            <v>Sumatera Barat</v>
          </cell>
          <cell r="M704" t="str">
            <v>PT. Gunung Landoli Jaya (Kecil-Menengah)</v>
          </cell>
        </row>
        <row r="705">
          <cell r="D705" t="str">
            <v>Muara Sikabaluan</v>
          </cell>
          <cell r="E705" t="str">
            <v>Siberut Utara</v>
          </cell>
          <cell r="F705" t="str">
            <v>Kepulauan Mentawai</v>
          </cell>
          <cell r="G705" t="str">
            <v>Sumatera Barat</v>
          </cell>
          <cell r="H705" t="str">
            <v>Penyangga</v>
          </cell>
          <cell r="L705" t="str">
            <v>Sumatera Barat</v>
          </cell>
          <cell r="M705" t="str">
            <v>PT. Gunung Landoli Jaya (Kecil-Menengah)</v>
          </cell>
        </row>
        <row r="706">
          <cell r="D706" t="str">
            <v>Samboja Kuala</v>
          </cell>
          <cell r="E706" t="str">
            <v>Samboja</v>
          </cell>
          <cell r="F706" t="str">
            <v>Kutai Kartanegara</v>
          </cell>
          <cell r="G706" t="str">
            <v>Kalimantan Timur</v>
          </cell>
          <cell r="H706" t="str">
            <v>Hub</v>
          </cell>
          <cell r="L706" t="str">
            <v>Kalimantan Timur</v>
          </cell>
          <cell r="M706" t="str">
            <v>CV. Alam Semesta Mendukung</v>
          </cell>
        </row>
        <row r="707">
          <cell r="D707" t="str">
            <v>Semayang</v>
          </cell>
          <cell r="E707" t="str">
            <v>Kenohan</v>
          </cell>
          <cell r="F707" t="str">
            <v>Kutai Kartanegara</v>
          </cell>
          <cell r="G707" t="str">
            <v>Kalimantan Timur</v>
          </cell>
          <cell r="H707" t="str">
            <v>Hub</v>
          </cell>
          <cell r="L707" t="str">
            <v>Kalimantan Timur</v>
          </cell>
          <cell r="M707" t="str">
            <v>PT. Gokma Parulian Perkasa (Kecil)</v>
          </cell>
        </row>
        <row r="708">
          <cell r="D708" t="str">
            <v>Bozihona</v>
          </cell>
          <cell r="E708" t="str">
            <v>Idanogawo</v>
          </cell>
          <cell r="F708" t="str">
            <v>Nias</v>
          </cell>
          <cell r="G708" t="str">
            <v>Sumatera Utara</v>
          </cell>
          <cell r="H708" t="str">
            <v>Penyangga</v>
          </cell>
          <cell r="L708" t="str">
            <v>Sumatera Utara</v>
          </cell>
          <cell r="M708" t="str">
            <v>CV. Pribumi Abdi (Kecil)</v>
          </cell>
        </row>
        <row r="709">
          <cell r="D709" t="str">
            <v>Jantur Selatan</v>
          </cell>
          <cell r="E709" t="str">
            <v>Muara Muntai</v>
          </cell>
          <cell r="F709" t="str">
            <v>Kutai Kartanegara</v>
          </cell>
          <cell r="G709" t="str">
            <v>Kalimantan Timur</v>
          </cell>
          <cell r="H709" t="str">
            <v>Penyangga (+cs)</v>
          </cell>
          <cell r="L709" t="str">
            <v>Kalimantan Timur</v>
          </cell>
          <cell r="M709" t="str">
            <v>PT. Gokma Parulian Perkasa (Kecil)</v>
          </cell>
        </row>
        <row r="710">
          <cell r="D710" t="str">
            <v>Handil Terusan</v>
          </cell>
          <cell r="E710" t="str">
            <v>Anggana</v>
          </cell>
          <cell r="F710" t="str">
            <v>Kutai Kartanegara</v>
          </cell>
          <cell r="G710" t="str">
            <v>Kalimantan Timur</v>
          </cell>
          <cell r="H710" t="str">
            <v>Penyangga</v>
          </cell>
          <cell r="L710" t="str">
            <v>Kalimantan Timur</v>
          </cell>
          <cell r="M710" t="str">
            <v>CV. Alam Semesta Mendukung</v>
          </cell>
        </row>
        <row r="711">
          <cell r="D711" t="str">
            <v>Pagatan Besar</v>
          </cell>
          <cell r="E711" t="str">
            <v>Takisung</v>
          </cell>
          <cell r="F711" t="str">
            <v>Tanah Laut</v>
          </cell>
          <cell r="G711" t="str">
            <v>Kalimantan Selatan</v>
          </cell>
          <cell r="H711" t="str">
            <v>Penyangga</v>
          </cell>
          <cell r="L711" t="str">
            <v>Kalimantan Selatan</v>
          </cell>
          <cell r="M711" t="str">
            <v>CV. Dwi Cipta Wijaya</v>
          </cell>
        </row>
        <row r="712">
          <cell r="D712" t="str">
            <v>Sepempang</v>
          </cell>
          <cell r="E712" t="str">
            <v>Bunguran Timur</v>
          </cell>
          <cell r="F712" t="str">
            <v>Natuna</v>
          </cell>
          <cell r="G712" t="str">
            <v>Kepulauan Riau</v>
          </cell>
          <cell r="H712" t="str">
            <v>Penyangga</v>
          </cell>
          <cell r="L712" t="str">
            <v>Kepulauan Riau</v>
          </cell>
          <cell r="M712" t="str">
            <v>PT. Kelman Infra Perkasa</v>
          </cell>
        </row>
        <row r="713">
          <cell r="D713" t="str">
            <v>Wasampela</v>
          </cell>
          <cell r="E713" t="str">
            <v>Wabula</v>
          </cell>
          <cell r="F713" t="str">
            <v>Buton</v>
          </cell>
          <cell r="G713" t="str">
            <v>Sulawesi Tenggara</v>
          </cell>
          <cell r="H713" t="str">
            <v>Penyangga</v>
          </cell>
          <cell r="L713" t="str">
            <v>Sulawesi Tenggara</v>
          </cell>
          <cell r="M713" t="str">
            <v>CV. Syafiqah Sabil Abadi</v>
          </cell>
        </row>
        <row r="714">
          <cell r="D714" t="str">
            <v>Batakan</v>
          </cell>
          <cell r="E714" t="str">
            <v>Panyipatan</v>
          </cell>
          <cell r="F714" t="str">
            <v>Tanah Laut</v>
          </cell>
          <cell r="G714" t="str">
            <v>Kalimantan Selatan</v>
          </cell>
          <cell r="H714" t="str">
            <v>Penyangga</v>
          </cell>
          <cell r="L714" t="str">
            <v>Kalimantan Selatan</v>
          </cell>
          <cell r="M714" t="str">
            <v>CV. Dwi Cipta Wijaya</v>
          </cell>
        </row>
        <row r="715">
          <cell r="D715" t="str">
            <v>Lamanggau</v>
          </cell>
          <cell r="E715" t="str">
            <v>Tomia</v>
          </cell>
          <cell r="F715" t="str">
            <v>Wakatobi</v>
          </cell>
          <cell r="G715" t="str">
            <v>Sulawesi Tenggara</v>
          </cell>
          <cell r="H715" t="str">
            <v>Penyangga</v>
          </cell>
          <cell r="L715" t="str">
            <v>Sulawesi Tenggara</v>
          </cell>
          <cell r="M715" t="str">
            <v>PT. Intan Jaya Koneksi Cabang Baubau</v>
          </cell>
        </row>
        <row r="716">
          <cell r="D716" t="str">
            <v>Pulau Padaelo</v>
          </cell>
          <cell r="E716" t="str">
            <v>Pulau Sembilan</v>
          </cell>
          <cell r="F716" t="str">
            <v>Sinjai</v>
          </cell>
          <cell r="G716" t="str">
            <v>Sulawesi Selatan</v>
          </cell>
          <cell r="H716" t="str">
            <v>Penyangga</v>
          </cell>
          <cell r="L716" t="str">
            <v>Sulawesi Selatan</v>
          </cell>
          <cell r="M716" t="str">
            <v>PT. Kamefeda Wijaya Indonesia</v>
          </cell>
        </row>
        <row r="717">
          <cell r="D717" t="str">
            <v>Secanggang</v>
          </cell>
          <cell r="E717" t="str">
            <v>Secanggang</v>
          </cell>
          <cell r="F717" t="str">
            <v>Langkat</v>
          </cell>
          <cell r="G717" t="str">
            <v>Sumatera Utara</v>
          </cell>
          <cell r="H717" t="str">
            <v>Penyangga</v>
          </cell>
          <cell r="L717" t="str">
            <v>Sumatera Utara</v>
          </cell>
          <cell r="M717" t="str">
            <v>PT Multi Gapura Pembangunan Semesta</v>
          </cell>
        </row>
        <row r="718">
          <cell r="D718" t="str">
            <v>Sungai Pancang</v>
          </cell>
          <cell r="E718" t="str">
            <v>Sebatik Utara</v>
          </cell>
          <cell r="F718" t="str">
            <v>Nunukan</v>
          </cell>
          <cell r="G718" t="str">
            <v>Kalimantan Utara</v>
          </cell>
          <cell r="H718" t="str">
            <v>Penyangga</v>
          </cell>
          <cell r="L718" t="str">
            <v>Kalimantan Utara</v>
          </cell>
          <cell r="M718" t="str">
            <v>CV. Fortis Prima Konstruksi (Kecil)</v>
          </cell>
        </row>
        <row r="719">
          <cell r="D719" t="str">
            <v>Ujung Genteng</v>
          </cell>
          <cell r="F719" t="str">
            <v>Sukabumi</v>
          </cell>
          <cell r="G719" t="str">
            <v>Jawa Barat</v>
          </cell>
          <cell r="H719" t="str">
            <v>Hub</v>
          </cell>
          <cell r="M719" t="e">
            <v>#N/A</v>
          </cell>
        </row>
        <row r="720">
          <cell r="D720" t="str">
            <v>Sungai Cuka</v>
          </cell>
          <cell r="F720" t="str">
            <v>Tanah Bumbu</v>
          </cell>
          <cell r="G720" t="str">
            <v>Kalimantan Selatan</v>
          </cell>
          <cell r="H720" t="str">
            <v>Penyangga</v>
          </cell>
          <cell r="M720" t="str">
            <v>PT. Cita Prasada Konstruksi</v>
          </cell>
        </row>
        <row r="721">
          <cell r="D721" t="str">
            <v>Alue Naga</v>
          </cell>
          <cell r="F721" t="str">
            <v>Kota Banda Aceh</v>
          </cell>
          <cell r="G721" t="str">
            <v>Aceh</v>
          </cell>
          <cell r="H721" t="str">
            <v>Hub</v>
          </cell>
          <cell r="M721" t="e">
            <v>#N/A</v>
          </cell>
        </row>
        <row r="722">
          <cell r="D722" t="str">
            <v>Layeun</v>
          </cell>
          <cell r="F722" t="str">
            <v>Aceh Besar</v>
          </cell>
          <cell r="G722" t="str">
            <v>Aceh</v>
          </cell>
          <cell r="H722" t="str">
            <v>Penyangga</v>
          </cell>
          <cell r="M722" t="e">
            <v>#N/A</v>
          </cell>
        </row>
        <row r="723">
          <cell r="D723" t="str">
            <v>Ujong Muloh</v>
          </cell>
          <cell r="F723" t="str">
            <v>Aceh Jaya</v>
          </cell>
          <cell r="G723" t="str">
            <v>Aceh</v>
          </cell>
          <cell r="H723" t="str">
            <v>Penyangga</v>
          </cell>
          <cell r="M723" t="e">
            <v>#N/A</v>
          </cell>
        </row>
        <row r="724">
          <cell r="D724" t="str">
            <v>Gampong Kuala</v>
          </cell>
          <cell r="F724" t="str">
            <v>Aceh Timur</v>
          </cell>
          <cell r="G724" t="str">
            <v>Aceh</v>
          </cell>
          <cell r="H724" t="str">
            <v>Penyangga</v>
          </cell>
          <cell r="M724" t="e">
            <v>#N/A</v>
          </cell>
        </row>
        <row r="725">
          <cell r="D725" t="str">
            <v>Paya Dua</v>
          </cell>
          <cell r="F725" t="str">
            <v>Aceh Timur</v>
          </cell>
          <cell r="G725" t="str">
            <v>Aceh</v>
          </cell>
          <cell r="H725" t="str">
            <v>Penyangga</v>
          </cell>
          <cell r="M725" t="e">
            <v>#N/A</v>
          </cell>
        </row>
        <row r="726">
          <cell r="D726" t="str">
            <v>Kuala Pusung Kapal</v>
          </cell>
          <cell r="F726" t="str">
            <v>Aceh Tamiang</v>
          </cell>
          <cell r="G726" t="str">
            <v>Aceh</v>
          </cell>
          <cell r="H726" t="str">
            <v>Penyangga</v>
          </cell>
          <cell r="M726" t="e">
            <v>#N/A</v>
          </cell>
        </row>
        <row r="727">
          <cell r="D727" t="str">
            <v>Kuala Langsa</v>
          </cell>
          <cell r="F727" t="str">
            <v>Kota Langsa</v>
          </cell>
          <cell r="G727" t="str">
            <v>Aceh</v>
          </cell>
          <cell r="H727" t="str">
            <v>Penyangga</v>
          </cell>
          <cell r="M727" t="e">
            <v>#N/A</v>
          </cell>
        </row>
        <row r="728">
          <cell r="D728" t="str">
            <v>Geulumpang Sulu Timu</v>
          </cell>
          <cell r="F728" t="str">
            <v>Aceh Utara</v>
          </cell>
          <cell r="G728" t="str">
            <v>Aceh</v>
          </cell>
          <cell r="H728" t="str">
            <v>Penyangga</v>
          </cell>
          <cell r="M728" t="e">
            <v>#N/A</v>
          </cell>
        </row>
        <row r="729">
          <cell r="D729" t="str">
            <v>Lapang Barat</v>
          </cell>
          <cell r="F729" t="str">
            <v>Bireuen</v>
          </cell>
          <cell r="G729" t="str">
            <v>Aceh</v>
          </cell>
          <cell r="H729" t="str">
            <v>Penyangga</v>
          </cell>
          <cell r="M729" t="e">
            <v>#N/A</v>
          </cell>
        </row>
        <row r="730">
          <cell r="D730" t="str">
            <v>Kuala Cerape</v>
          </cell>
          <cell r="F730" t="str">
            <v>Bireuen</v>
          </cell>
          <cell r="G730" t="str">
            <v>Aceh</v>
          </cell>
          <cell r="H730" t="str">
            <v>Penyangga</v>
          </cell>
          <cell r="M730" t="e">
            <v>#N/A</v>
          </cell>
        </row>
        <row r="731">
          <cell r="D731" t="str">
            <v>Lancang</v>
          </cell>
          <cell r="F731" t="str">
            <v>Bireuen</v>
          </cell>
          <cell r="G731" t="str">
            <v>Aceh</v>
          </cell>
          <cell r="H731" t="str">
            <v>Penyangga</v>
          </cell>
          <cell r="M731" t="e">
            <v>#N/A</v>
          </cell>
        </row>
        <row r="732">
          <cell r="D732" t="str">
            <v>Ulee Rubek Timu</v>
          </cell>
          <cell r="F732" t="str">
            <v>Aceh Utara</v>
          </cell>
          <cell r="G732" t="str">
            <v>Aceh</v>
          </cell>
          <cell r="H732" t="str">
            <v>Penyangga</v>
          </cell>
          <cell r="M732" t="e">
            <v>#N/A</v>
          </cell>
        </row>
        <row r="733">
          <cell r="D733" t="str">
            <v>Ulee Rubek Barat</v>
          </cell>
          <cell r="F733" t="str">
            <v>Aceh Utara</v>
          </cell>
          <cell r="G733" t="str">
            <v>Aceh</v>
          </cell>
          <cell r="H733" t="str">
            <v>Penyangga</v>
          </cell>
          <cell r="M733" t="e">
            <v>#N/A</v>
          </cell>
        </row>
        <row r="734">
          <cell r="D734" t="str">
            <v>Matang Puntong</v>
          </cell>
          <cell r="F734" t="str">
            <v>Aceh Utara</v>
          </cell>
          <cell r="G734" t="str">
            <v>Aceh</v>
          </cell>
          <cell r="H734" t="str">
            <v>Penyangga</v>
          </cell>
          <cell r="M734" t="e">
            <v>#N/A</v>
          </cell>
        </row>
        <row r="735">
          <cell r="D735" t="str">
            <v>Kuala Cangkoy</v>
          </cell>
          <cell r="F735" t="str">
            <v>Aceh Utara</v>
          </cell>
          <cell r="G735" t="str">
            <v>Aceh</v>
          </cell>
          <cell r="H735" t="str">
            <v>Penyangga</v>
          </cell>
          <cell r="M735" t="e">
            <v>#N/A</v>
          </cell>
        </row>
        <row r="736">
          <cell r="D736" t="str">
            <v>Ujong Blang</v>
          </cell>
          <cell r="F736" t="str">
            <v>Kota Lhokseumawe</v>
          </cell>
          <cell r="G736" t="str">
            <v>Aceh</v>
          </cell>
          <cell r="H736" t="str">
            <v>Penyangga</v>
          </cell>
          <cell r="M736" t="e">
            <v>#N/A</v>
          </cell>
        </row>
        <row r="737">
          <cell r="D737" t="str">
            <v>Langi</v>
          </cell>
          <cell r="F737" t="str">
            <v>Simeulue</v>
          </cell>
          <cell r="G737" t="str">
            <v>Aceh</v>
          </cell>
          <cell r="H737" t="str">
            <v>Hub</v>
          </cell>
          <cell r="M737" t="e">
            <v>#N/A</v>
          </cell>
        </row>
        <row r="738">
          <cell r="D738" t="str">
            <v>Nasreuhe</v>
          </cell>
          <cell r="F738" t="str">
            <v>Simeulue</v>
          </cell>
          <cell r="G738" t="str">
            <v>Aceh</v>
          </cell>
          <cell r="H738" t="str">
            <v>Penyangga</v>
          </cell>
          <cell r="M738" t="e">
            <v>#N/A</v>
          </cell>
        </row>
        <row r="739">
          <cell r="D739" t="str">
            <v>Kampung Aie</v>
          </cell>
          <cell r="F739" t="str">
            <v>Simeulue</v>
          </cell>
          <cell r="G739" t="str">
            <v>Aceh</v>
          </cell>
          <cell r="H739" t="str">
            <v>Penyangga</v>
          </cell>
          <cell r="M739" t="e">
            <v>#N/A</v>
          </cell>
        </row>
        <row r="740">
          <cell r="D740" t="str">
            <v>Sawang Indah</v>
          </cell>
          <cell r="F740" t="str">
            <v>Aceh Selatan</v>
          </cell>
          <cell r="G740" t="str">
            <v>Aceh</v>
          </cell>
          <cell r="H740" t="str">
            <v>Penyangga</v>
          </cell>
          <cell r="M740" t="e">
            <v>#N/A</v>
          </cell>
        </row>
        <row r="741">
          <cell r="D741" t="str">
            <v>Labuhan Tarok II</v>
          </cell>
          <cell r="F741" t="str">
            <v>Aceh Selatan</v>
          </cell>
          <cell r="G741" t="str">
            <v>Aceh</v>
          </cell>
          <cell r="H741" t="str">
            <v>Penyangga</v>
          </cell>
          <cell r="M741" t="e">
            <v>#N/A</v>
          </cell>
        </row>
        <row r="742">
          <cell r="D742" t="str">
            <v>Ujung Tanah</v>
          </cell>
          <cell r="F742" t="str">
            <v>Aceh Barat Daya</v>
          </cell>
          <cell r="G742" t="str">
            <v>Aceh</v>
          </cell>
          <cell r="H742" t="str">
            <v>Penyangga</v>
          </cell>
          <cell r="M742" t="e">
            <v>#N/A</v>
          </cell>
        </row>
        <row r="743">
          <cell r="D743" t="str">
            <v>Padang Baru</v>
          </cell>
          <cell r="F743" t="str">
            <v>Aceh Barat Daya</v>
          </cell>
          <cell r="G743" t="str">
            <v>Aceh</v>
          </cell>
          <cell r="H743" t="str">
            <v>Penyangga</v>
          </cell>
          <cell r="M743" t="e">
            <v>#N/A</v>
          </cell>
        </row>
        <row r="744">
          <cell r="D744" t="str">
            <v>Lugu Sebahak</v>
          </cell>
          <cell r="F744" t="str">
            <v>Simeulue</v>
          </cell>
          <cell r="G744" t="str">
            <v>Aceh</v>
          </cell>
          <cell r="H744" t="str">
            <v>Hub</v>
          </cell>
          <cell r="M744" t="e">
            <v>#N/A</v>
          </cell>
        </row>
        <row r="745">
          <cell r="D745" t="str">
            <v>Muara Aman</v>
          </cell>
          <cell r="F745" t="str">
            <v>Simeulue</v>
          </cell>
          <cell r="G745" t="str">
            <v>Aceh</v>
          </cell>
          <cell r="H745" t="str">
            <v>Penyangga</v>
          </cell>
          <cell r="M745" t="e">
            <v>#N/A</v>
          </cell>
        </row>
        <row r="746">
          <cell r="D746" t="str">
            <v>Padang Seurahet</v>
          </cell>
          <cell r="F746" t="str">
            <v>Aceh Barat</v>
          </cell>
          <cell r="G746" t="str">
            <v>Aceh</v>
          </cell>
          <cell r="H746" t="str">
            <v>Hub</v>
          </cell>
          <cell r="M746" t="e">
            <v>#N/A</v>
          </cell>
        </row>
        <row r="747">
          <cell r="D747" t="str">
            <v>Suak Seumaseh</v>
          </cell>
          <cell r="F747" t="str">
            <v>Aceh Barat</v>
          </cell>
          <cell r="G747" t="str">
            <v>Aceh</v>
          </cell>
          <cell r="H747" t="str">
            <v>Penyangga</v>
          </cell>
          <cell r="M747" t="e">
            <v>#N/A</v>
          </cell>
        </row>
        <row r="748">
          <cell r="D748" t="str">
            <v>Kuala Tadu</v>
          </cell>
          <cell r="F748" t="str">
            <v>Nagan Raya</v>
          </cell>
          <cell r="G748" t="str">
            <v>Aceh</v>
          </cell>
          <cell r="H748" t="str">
            <v>Penyangga</v>
          </cell>
          <cell r="M748" t="e">
            <v>#N/A</v>
          </cell>
        </row>
        <row r="749">
          <cell r="D749" t="str">
            <v>Panton Makmur</v>
          </cell>
          <cell r="F749" t="str">
            <v>Aceh Jaya</v>
          </cell>
          <cell r="G749" t="str">
            <v>Aceh</v>
          </cell>
          <cell r="H749" t="str">
            <v>Penyangga</v>
          </cell>
          <cell r="M749" t="e">
            <v>#N/A</v>
          </cell>
        </row>
        <row r="750">
          <cell r="D750" t="str">
            <v>Jaboi</v>
          </cell>
          <cell r="F750" t="str">
            <v>Kota Sabang</v>
          </cell>
          <cell r="G750" t="str">
            <v>Aceh</v>
          </cell>
          <cell r="H750" t="str">
            <v>Penyangga</v>
          </cell>
          <cell r="M750" t="e">
            <v>#N/A</v>
          </cell>
        </row>
        <row r="751">
          <cell r="D751" t="str">
            <v>Keunekai</v>
          </cell>
          <cell r="F751" t="str">
            <v>Kota Sabang</v>
          </cell>
          <cell r="G751" t="str">
            <v>Aceh</v>
          </cell>
          <cell r="H751" t="str">
            <v>Penyangga</v>
          </cell>
          <cell r="M751" t="e">
            <v>#N/A</v>
          </cell>
        </row>
        <row r="752">
          <cell r="D752" t="str">
            <v>Batee Shok</v>
          </cell>
          <cell r="F752" t="str">
            <v>Kota Sabang</v>
          </cell>
          <cell r="G752" t="str">
            <v>Aceh</v>
          </cell>
          <cell r="H752" t="str">
            <v>Penyangga</v>
          </cell>
          <cell r="M752" t="e">
            <v>#N/A</v>
          </cell>
        </row>
        <row r="753">
          <cell r="D753" t="str">
            <v>Latiung</v>
          </cell>
          <cell r="F753" t="str">
            <v>Simeulue</v>
          </cell>
          <cell r="G753" t="str">
            <v>Aceh</v>
          </cell>
          <cell r="H753" t="str">
            <v>Penyangga</v>
          </cell>
          <cell r="M753" t="e">
            <v>#N/A</v>
          </cell>
        </row>
        <row r="754">
          <cell r="D754" t="str">
            <v>Kahad</v>
          </cell>
          <cell r="F754" t="str">
            <v>Simeulue</v>
          </cell>
          <cell r="G754" t="str">
            <v>Aceh</v>
          </cell>
          <cell r="H754" t="str">
            <v>Penyangga</v>
          </cell>
          <cell r="M754" t="e">
            <v>#N/A</v>
          </cell>
        </row>
        <row r="755">
          <cell r="D755" t="str">
            <v>Tanjong Krueng</v>
          </cell>
          <cell r="F755" t="str">
            <v>Pidie</v>
          </cell>
          <cell r="G755" t="str">
            <v>Aceh</v>
          </cell>
          <cell r="H755" t="str">
            <v>Hub</v>
          </cell>
          <cell r="M755" t="e">
            <v>#N/A</v>
          </cell>
        </row>
        <row r="756">
          <cell r="D756" t="str">
            <v>Meunasah Jurong</v>
          </cell>
          <cell r="F756" t="str">
            <v>Pidie Jaya</v>
          </cell>
          <cell r="G756" t="str">
            <v>Aceh</v>
          </cell>
          <cell r="H756" t="str">
            <v>Penyangga</v>
          </cell>
          <cell r="M756" t="e">
            <v>#N/A</v>
          </cell>
        </row>
        <row r="757">
          <cell r="D757" t="str">
            <v>Leungah</v>
          </cell>
          <cell r="F757" t="str">
            <v>Aceh Besar</v>
          </cell>
          <cell r="G757" t="str">
            <v>Aceh</v>
          </cell>
          <cell r="H757" t="str">
            <v>Penyangga</v>
          </cell>
          <cell r="M757" t="e">
            <v>#N/A</v>
          </cell>
        </row>
        <row r="758">
          <cell r="D758" t="str">
            <v>Kuala Pidie</v>
          </cell>
          <cell r="F758" t="str">
            <v>Pidie</v>
          </cell>
          <cell r="G758" t="str">
            <v>Aceh</v>
          </cell>
          <cell r="H758" t="str">
            <v>Penyangga</v>
          </cell>
          <cell r="M758" t="e">
            <v>#N/A</v>
          </cell>
        </row>
        <row r="759">
          <cell r="D759" t="str">
            <v>Keurisi Meunasah Beurembang</v>
          </cell>
          <cell r="F759" t="str">
            <v>Pidie Jaya</v>
          </cell>
          <cell r="G759" t="str">
            <v>Aceh</v>
          </cell>
          <cell r="H759" t="str">
            <v>Penyangga</v>
          </cell>
          <cell r="M759" t="e">
            <v>#N/A</v>
          </cell>
        </row>
        <row r="760">
          <cell r="D760" t="str">
            <v>Pasi Beurandeh</v>
          </cell>
          <cell r="F760" t="str">
            <v>Pidie</v>
          </cell>
          <cell r="G760" t="str">
            <v>Aceh</v>
          </cell>
          <cell r="H760" t="str">
            <v>Penyangga</v>
          </cell>
          <cell r="M760" t="e">
            <v>#N/A</v>
          </cell>
        </row>
        <row r="761">
          <cell r="D761" t="str">
            <v>Jeumeurang</v>
          </cell>
          <cell r="F761" t="str">
            <v>Pidie</v>
          </cell>
          <cell r="G761" t="str">
            <v>Aceh</v>
          </cell>
          <cell r="H761" t="str">
            <v>Penyangga</v>
          </cell>
          <cell r="M761" t="e">
            <v>#N/A</v>
          </cell>
        </row>
        <row r="762">
          <cell r="D762" t="str">
            <v>Teluk Nibung</v>
          </cell>
          <cell r="F762" t="str">
            <v>Aceh Singkil</v>
          </cell>
          <cell r="G762" t="str">
            <v>Aceh</v>
          </cell>
          <cell r="H762" t="str">
            <v>Hub</v>
          </cell>
          <cell r="M762" t="e">
            <v>#N/A</v>
          </cell>
        </row>
        <row r="763">
          <cell r="D763" t="str">
            <v>Ujong Pulo Rayeuk</v>
          </cell>
          <cell r="F763" t="str">
            <v>Aceh Selatan</v>
          </cell>
          <cell r="G763" t="str">
            <v>Aceh</v>
          </cell>
          <cell r="H763" t="str">
            <v>Penyangga</v>
          </cell>
          <cell r="M763" t="e">
            <v>#N/A</v>
          </cell>
        </row>
        <row r="764">
          <cell r="D764" t="str">
            <v>Darul Ikhsan</v>
          </cell>
          <cell r="F764" t="str">
            <v>Aceh Selatan</v>
          </cell>
          <cell r="G764" t="str">
            <v>Aceh</v>
          </cell>
          <cell r="H764" t="str">
            <v>Penyangga</v>
          </cell>
          <cell r="M764" t="e">
            <v>#N/A</v>
          </cell>
        </row>
        <row r="765">
          <cell r="D765" t="str">
            <v>Matang Pasi</v>
          </cell>
          <cell r="F765" t="str">
            <v>Bireuen</v>
          </cell>
          <cell r="G765" t="str">
            <v>Aceh</v>
          </cell>
          <cell r="H765" t="str">
            <v>Penyangga</v>
          </cell>
          <cell r="M765" t="e">
            <v>#N/A</v>
          </cell>
        </row>
        <row r="766">
          <cell r="D766" t="str">
            <v>Sambay</v>
          </cell>
          <cell r="F766" t="str">
            <v>Simeulue</v>
          </cell>
          <cell r="G766" t="str">
            <v>Aceh</v>
          </cell>
          <cell r="H766" t="str">
            <v>Penyangga</v>
          </cell>
          <cell r="M766" t="e">
            <v>#N/A</v>
          </cell>
        </row>
        <row r="767">
          <cell r="D767" t="str">
            <v>Sigulai</v>
          </cell>
          <cell r="F767" t="str">
            <v>Simeulue</v>
          </cell>
          <cell r="G767" t="str">
            <v>Aceh</v>
          </cell>
          <cell r="H767" t="str">
            <v>Penyangga</v>
          </cell>
          <cell r="M767" t="e">
            <v>#N/A</v>
          </cell>
        </row>
        <row r="768">
          <cell r="D768" t="str">
            <v>Kareung</v>
          </cell>
          <cell r="F768" t="str">
            <v>Aceh Besar</v>
          </cell>
          <cell r="G768" t="str">
            <v>Aceh</v>
          </cell>
          <cell r="H768" t="str">
            <v>Penyangga</v>
          </cell>
          <cell r="M768" t="e">
            <v>#N/A</v>
          </cell>
        </row>
        <row r="769">
          <cell r="D769" t="str">
            <v>Gampong Aceh</v>
          </cell>
          <cell r="F769" t="str">
            <v>Aceh Timur</v>
          </cell>
          <cell r="G769" t="str">
            <v>Aceh</v>
          </cell>
          <cell r="H769" t="str">
            <v>Penyangga</v>
          </cell>
          <cell r="M769" t="e">
            <v>#N/A</v>
          </cell>
        </row>
        <row r="770">
          <cell r="D770" t="str">
            <v>Tanjung Pasir</v>
          </cell>
          <cell r="F770" t="str">
            <v>Indragiri Hilir</v>
          </cell>
          <cell r="G770" t="str">
            <v>Riau</v>
          </cell>
          <cell r="H770" t="str">
            <v>Penyangga</v>
          </cell>
          <cell r="M770" t="str">
            <v>CV. Hanovan Natama</v>
          </cell>
        </row>
        <row r="771">
          <cell r="D771" t="str">
            <v>Amaiteng Mulia</v>
          </cell>
          <cell r="F771" t="str">
            <v>Simeulue</v>
          </cell>
          <cell r="G771" t="str">
            <v>Aceh</v>
          </cell>
          <cell r="H771" t="str">
            <v>Penyangga</v>
          </cell>
          <cell r="M771" t="e">
            <v>#N/A</v>
          </cell>
        </row>
        <row r="772">
          <cell r="D772" t="str">
            <v>Gle Jong</v>
          </cell>
          <cell r="F772" t="str">
            <v>Aceh Jaya</v>
          </cell>
          <cell r="G772" t="str">
            <v>Aceh</v>
          </cell>
          <cell r="H772" t="str">
            <v>Penyangga</v>
          </cell>
          <cell r="M772" t="e">
            <v>#N/A</v>
          </cell>
        </row>
        <row r="773">
          <cell r="D773" t="str">
            <v>Kedawung</v>
          </cell>
          <cell r="F773" t="str">
            <v>Batang</v>
          </cell>
          <cell r="G773" t="str">
            <v>Jawa Tengah</v>
          </cell>
          <cell r="H773" t="str">
            <v>Penyangga</v>
          </cell>
          <cell r="M773" t="str">
            <v>PT. Mekar Mulia Contractor</v>
          </cell>
        </row>
        <row r="774">
          <cell r="D774" t="str">
            <v>Karimunting</v>
          </cell>
          <cell r="F774" t="str">
            <v>Bengkayang</v>
          </cell>
          <cell r="G774" t="str">
            <v>Kalimantan Barat</v>
          </cell>
          <cell r="H774" t="str">
            <v>Penyangga</v>
          </cell>
          <cell r="M774" t="str">
            <v>CV. Davindo Putra Perkasa</v>
          </cell>
        </row>
        <row r="775">
          <cell r="D775" t="str">
            <v>Prapag Lor</v>
          </cell>
          <cell r="F775" t="str">
            <v>Brebes</v>
          </cell>
          <cell r="G775" t="str">
            <v>Jawa Tengah</v>
          </cell>
          <cell r="H775" t="str">
            <v>Penyangga</v>
          </cell>
          <cell r="M775" t="str">
            <v>PT. Harkat Digdaya Konstruksi</v>
          </cell>
        </row>
        <row r="776">
          <cell r="D776" t="str">
            <v>Kluwut</v>
          </cell>
          <cell r="F776" t="str">
            <v>Brebes</v>
          </cell>
          <cell r="G776" t="str">
            <v>Jawa Tengah</v>
          </cell>
          <cell r="H776" t="str">
            <v>Penyangga</v>
          </cell>
          <cell r="M776" t="str">
            <v>PT. Harkat Digdaya Konstruksi</v>
          </cell>
        </row>
        <row r="777">
          <cell r="D777" t="str">
            <v>Grinting</v>
          </cell>
          <cell r="F777" t="str">
            <v>Brebes</v>
          </cell>
          <cell r="G777" t="str">
            <v>Jawa Tengah</v>
          </cell>
          <cell r="H777" t="str">
            <v>Penyangga</v>
          </cell>
          <cell r="M777" t="str">
            <v>PT. Karya Sejahtera Konstruksi</v>
          </cell>
        </row>
        <row r="778">
          <cell r="D778" t="str">
            <v>Pengaradan</v>
          </cell>
          <cell r="F778" t="str">
            <v>Brebes</v>
          </cell>
          <cell r="G778" t="str">
            <v>Jawa Tengah</v>
          </cell>
          <cell r="H778" t="str">
            <v>Penyangga</v>
          </cell>
          <cell r="M778" t="str">
            <v>CV. Alkomber Karya</v>
          </cell>
        </row>
        <row r="779">
          <cell r="D779" t="str">
            <v>Krakahan</v>
          </cell>
          <cell r="F779" t="str">
            <v>Brebes</v>
          </cell>
          <cell r="G779" t="str">
            <v>Jawa Tengah</v>
          </cell>
          <cell r="H779" t="str">
            <v>Penyangga</v>
          </cell>
          <cell r="M779" t="str">
            <v>CV. Alkomber Karya</v>
          </cell>
        </row>
        <row r="780">
          <cell r="D780" t="str">
            <v>Luluo</v>
          </cell>
          <cell r="F780" t="str">
            <v>Gorontalo</v>
          </cell>
          <cell r="G780" t="str">
            <v>Gorontalo</v>
          </cell>
          <cell r="H780" t="str">
            <v>Penyangga</v>
          </cell>
          <cell r="M780" t="str">
            <v>CV. Dharma Bakti (Kecil)</v>
          </cell>
        </row>
        <row r="781">
          <cell r="D781" t="str">
            <v>Tablolong</v>
          </cell>
          <cell r="F781" t="str">
            <v>Kupang</v>
          </cell>
          <cell r="G781" t="str">
            <v>Nusa Tenggara Timur</v>
          </cell>
          <cell r="H781" t="str">
            <v>Penyangga</v>
          </cell>
          <cell r="M781" t="str">
            <v>PT. Aditya Musdalifah</v>
          </cell>
        </row>
        <row r="782">
          <cell r="D782" t="str">
            <v>Kayang</v>
          </cell>
          <cell r="F782" t="str">
            <v>Alor</v>
          </cell>
          <cell r="G782" t="str">
            <v>Nusa Tenggara Timur</v>
          </cell>
          <cell r="H782" t="str">
            <v>Penyangga</v>
          </cell>
          <cell r="M782" t="str">
            <v>PT. Rute Lintas Indonesia</v>
          </cell>
        </row>
        <row r="783">
          <cell r="D783" t="str">
            <v>Toang</v>
          </cell>
          <cell r="F783" t="str">
            <v>Alor</v>
          </cell>
          <cell r="G783" t="str">
            <v>Nusa Tenggara Timur</v>
          </cell>
          <cell r="H783" t="str">
            <v>Penyangga</v>
          </cell>
          <cell r="M783" t="str">
            <v>PT. Rute Lintas Indonesia</v>
          </cell>
        </row>
        <row r="784">
          <cell r="D784" t="str">
            <v>Tereweng</v>
          </cell>
          <cell r="F784" t="str">
            <v>Alor</v>
          </cell>
          <cell r="G784" t="str">
            <v>Nusa Tenggara Timur</v>
          </cell>
          <cell r="H784" t="str">
            <v>Penyangga</v>
          </cell>
          <cell r="M784" t="str">
            <v>PT. Rute Lintas Indonesia</v>
          </cell>
        </row>
        <row r="785">
          <cell r="D785" t="str">
            <v>Alor Kecil</v>
          </cell>
          <cell r="F785" t="str">
            <v>Alor</v>
          </cell>
          <cell r="G785" t="str">
            <v>Nusa Tenggara Timur</v>
          </cell>
          <cell r="H785" t="str">
            <v>Penyangga</v>
          </cell>
          <cell r="M785" t="e">
            <v>#N/A</v>
          </cell>
        </row>
        <row r="786">
          <cell r="D786" t="str">
            <v>Silawan</v>
          </cell>
          <cell r="F786" t="str">
            <v>Belu</v>
          </cell>
          <cell r="G786" t="str">
            <v>Nusa Tenggara Timur</v>
          </cell>
          <cell r="H786" t="str">
            <v>Penyangga</v>
          </cell>
          <cell r="M786" t="str">
            <v>CV. Jasa Mandiri Bersama (Kecil)</v>
          </cell>
        </row>
        <row r="787">
          <cell r="D787" t="str">
            <v>Rua</v>
          </cell>
          <cell r="F787" t="str">
            <v>Sumba Barat</v>
          </cell>
          <cell r="G787" t="str">
            <v>Nusa Tenggara Timur</v>
          </cell>
          <cell r="H787" t="str">
            <v>Penyangga</v>
          </cell>
          <cell r="M787" t="e">
            <v>#N/A</v>
          </cell>
        </row>
        <row r="788">
          <cell r="D788" t="str">
            <v>Tanjung Pandan</v>
          </cell>
          <cell r="F788" t="str">
            <v>Kaur</v>
          </cell>
          <cell r="G788" t="str">
            <v>Bengkulu</v>
          </cell>
          <cell r="H788" t="str">
            <v>Penyangga</v>
          </cell>
          <cell r="M788" t="str">
            <v>CV. Kerinci Jayo</v>
          </cell>
        </row>
        <row r="789">
          <cell r="D789" t="str">
            <v>Batukaras</v>
          </cell>
          <cell r="F789" t="str">
            <v>Pangandaran</v>
          </cell>
          <cell r="G789" t="str">
            <v>Jawa Barat</v>
          </cell>
          <cell r="H789" t="str">
            <v>Penyangga</v>
          </cell>
          <cell r="M789" t="str">
            <v>CV. Rifqi Anugrah</v>
          </cell>
        </row>
        <row r="790">
          <cell r="D790" t="str">
            <v>Sungai Badak</v>
          </cell>
          <cell r="F790" t="str">
            <v>Mesuji</v>
          </cell>
          <cell r="G790" t="str">
            <v>Lampung</v>
          </cell>
          <cell r="H790" t="str">
            <v>Penyangga</v>
          </cell>
          <cell r="M790" t="str">
            <v>PT. Rajawali Citra Konstruksi INC (Kecil)</v>
          </cell>
        </row>
        <row r="791">
          <cell r="D791" t="str">
            <v>Lembar Selatan</v>
          </cell>
          <cell r="F791" t="str">
            <v>Lombok Barat</v>
          </cell>
          <cell r="G791" t="str">
            <v>Nusa Tenggara Barat</v>
          </cell>
          <cell r="H791" t="str">
            <v>Penyangga</v>
          </cell>
          <cell r="M791" t="str">
            <v>PT. Berkah Mitra Engineering</v>
          </cell>
        </row>
        <row r="792">
          <cell r="D792" t="str">
            <v>Labuhan Haji</v>
          </cell>
          <cell r="F792" t="str">
            <v>Lombok Timur</v>
          </cell>
          <cell r="G792" t="str">
            <v>Nusa Tenggara Barat</v>
          </cell>
          <cell r="H792" t="str">
            <v>Penyangga</v>
          </cell>
          <cell r="M792" t="e">
            <v>#N/A</v>
          </cell>
        </row>
        <row r="793">
          <cell r="D793" t="str">
            <v>Montop</v>
          </cell>
          <cell r="F793" t="str">
            <v>Banggai Kepulauan</v>
          </cell>
          <cell r="G793" t="str">
            <v>Sulawesi Tengah</v>
          </cell>
          <cell r="H793" t="str">
            <v>Penyangga</v>
          </cell>
          <cell r="M793" t="str">
            <v>CV. Putra Mahkota Adiyaksa</v>
          </cell>
        </row>
        <row r="794">
          <cell r="D794" t="str">
            <v>Tambakmulyo</v>
          </cell>
          <cell r="F794" t="str">
            <v>Kebumen</v>
          </cell>
          <cell r="G794" t="str">
            <v>Jawa Tengah</v>
          </cell>
          <cell r="H794" t="str">
            <v>Penyangga</v>
          </cell>
          <cell r="M794" t="str">
            <v>PT. AMI Kamena Jaya</v>
          </cell>
        </row>
        <row r="795">
          <cell r="D795" t="str">
            <v>Batu Berlian</v>
          </cell>
          <cell r="F795" t="str">
            <v>Natuna</v>
          </cell>
          <cell r="G795" t="str">
            <v>Kepulauan Riau</v>
          </cell>
          <cell r="H795" t="str">
            <v>Penyangga</v>
          </cell>
          <cell r="M795" t="str">
            <v>PT. Mitra Karya Adipersada</v>
          </cell>
        </row>
        <row r="796">
          <cell r="D796" t="str">
            <v>Subi</v>
          </cell>
          <cell r="F796" t="str">
            <v>Natuna</v>
          </cell>
          <cell r="G796" t="str">
            <v>Kepulauan Riau</v>
          </cell>
          <cell r="H796" t="str">
            <v>Penyangga</v>
          </cell>
          <cell r="M796" t="str">
            <v>PT. Mitra Karya Adipersada</v>
          </cell>
        </row>
        <row r="797">
          <cell r="D797" t="str">
            <v>Meliah</v>
          </cell>
          <cell r="F797" t="str">
            <v>Natuna</v>
          </cell>
          <cell r="G797" t="str">
            <v>Kepulauan Riau</v>
          </cell>
          <cell r="H797" t="str">
            <v>Penyangga</v>
          </cell>
          <cell r="M797" t="str">
            <v>PT. Mitra Karya Adipersada</v>
          </cell>
        </row>
        <row r="798">
          <cell r="D798" t="str">
            <v>Tanjung Setelung</v>
          </cell>
          <cell r="F798" t="str">
            <v>Natuna</v>
          </cell>
          <cell r="G798" t="str">
            <v>Kepulauan Riau</v>
          </cell>
          <cell r="H798" t="str">
            <v>Penyangga</v>
          </cell>
          <cell r="M798" t="str">
            <v>PT. Kelman Infra Perkasa</v>
          </cell>
        </row>
        <row r="799">
          <cell r="D799" t="str">
            <v>Serasan</v>
          </cell>
          <cell r="F799" t="str">
            <v>Natuna</v>
          </cell>
          <cell r="G799" t="str">
            <v>Kepulauan Riau</v>
          </cell>
          <cell r="H799" t="str">
            <v>Penyangga</v>
          </cell>
          <cell r="M799" t="str">
            <v>PT. Kelman Infra Perkasa</v>
          </cell>
        </row>
        <row r="800">
          <cell r="D800" t="str">
            <v>Air Ringau</v>
          </cell>
          <cell r="F800" t="str">
            <v>Natuna</v>
          </cell>
          <cell r="G800" t="str">
            <v>Kepulauan Riau</v>
          </cell>
          <cell r="H800" t="str">
            <v>Penyangga</v>
          </cell>
          <cell r="M800" t="str">
            <v>PT. Kelman Infra Perkasa</v>
          </cell>
        </row>
        <row r="801">
          <cell r="D801" t="str">
            <v>Muara Jawa</v>
          </cell>
          <cell r="F801" t="str">
            <v>Kutai Kartanegara</v>
          </cell>
          <cell r="G801" t="str">
            <v>Kalimantan Timur</v>
          </cell>
          <cell r="H801" t="str">
            <v>Penyangga</v>
          </cell>
          <cell r="M801" t="str">
            <v>CV. Alam Semesta Mendukung</v>
          </cell>
        </row>
        <row r="802">
          <cell r="D802" t="str">
            <v>Buniasih</v>
          </cell>
          <cell r="F802" t="str">
            <v>Sukabumi</v>
          </cell>
          <cell r="G802" t="str">
            <v>Jawa Barat</v>
          </cell>
          <cell r="H802" t="str">
            <v>Penyangga</v>
          </cell>
          <cell r="M802" t="str">
            <v>PT. AMI Kamena Jaya</v>
          </cell>
        </row>
        <row r="803">
          <cell r="D803" t="str">
            <v>Katiagan</v>
          </cell>
          <cell r="F803" t="str">
            <v>Pasaman Barat</v>
          </cell>
          <cell r="G803" t="str">
            <v>Sumatera Barat</v>
          </cell>
          <cell r="H803" t="str">
            <v>Penyangga</v>
          </cell>
          <cell r="M803" t="str">
            <v>CV. Diego Contractor (Kecil)</v>
          </cell>
        </row>
        <row r="804">
          <cell r="D804" t="str">
            <v>Bagan Arya</v>
          </cell>
          <cell r="F804" t="str">
            <v>Batu Bara</v>
          </cell>
          <cell r="G804" t="str">
            <v>Sumatera Utara</v>
          </cell>
          <cell r="H804" t="str">
            <v>Penyangga</v>
          </cell>
          <cell r="M804" t="str">
            <v>PT. Berkah Timur Mandiri</v>
          </cell>
        </row>
        <row r="805">
          <cell r="D805" t="str">
            <v>Matobe</v>
          </cell>
          <cell r="F805" t="str">
            <v>Kepulauan Mentawai</v>
          </cell>
          <cell r="G805" t="str">
            <v>Sumatera Barat</v>
          </cell>
          <cell r="H805" t="str">
            <v>Penyangga</v>
          </cell>
          <cell r="M805" t="str">
            <v>PT. Putra Global Enterprice</v>
          </cell>
        </row>
        <row r="806">
          <cell r="D806" t="str">
            <v>Sei Sembilang</v>
          </cell>
          <cell r="F806" t="str">
            <v>Asahan</v>
          </cell>
          <cell r="G806" t="str">
            <v>Sumatera Utara</v>
          </cell>
          <cell r="H806" t="str">
            <v>Penyangga</v>
          </cell>
          <cell r="M806" t="str">
            <v>PT. Berkah Timur Mandiri</v>
          </cell>
        </row>
        <row r="807">
          <cell r="D807" t="str">
            <v>Sikakap</v>
          </cell>
          <cell r="F807" t="str">
            <v>Kepulauan Mentawai</v>
          </cell>
          <cell r="G807" t="str">
            <v>Sumatera Barat</v>
          </cell>
          <cell r="H807" t="str">
            <v>Penyangga</v>
          </cell>
          <cell r="M807" t="str">
            <v>PT. Putra Global Enterprice</v>
          </cell>
        </row>
        <row r="808">
          <cell r="D808" t="str">
            <v>Kelambir</v>
          </cell>
          <cell r="F808" t="str">
            <v>Deli Serdang</v>
          </cell>
          <cell r="G808" t="str">
            <v>Sumatera Utara</v>
          </cell>
          <cell r="H808" t="str">
            <v>Penyangga</v>
          </cell>
          <cell r="M808" t="str">
            <v>PT Multi Gapura Pembangunan Semesta</v>
          </cell>
        </row>
        <row r="809">
          <cell r="D809" t="str">
            <v>Manggopoh Palak Gadang Ulakan</v>
          </cell>
          <cell r="F809" t="str">
            <v>Padang Pariaman</v>
          </cell>
          <cell r="G809" t="str">
            <v>Sumatera Barat</v>
          </cell>
          <cell r="H809" t="str">
            <v>Penyangga</v>
          </cell>
          <cell r="M809" t="str">
            <v>PT. Fasasi Karya MandIri</v>
          </cell>
        </row>
        <row r="810">
          <cell r="D810" t="str">
            <v>Gasan Gadang</v>
          </cell>
          <cell r="F810" t="str">
            <v>Padang Pariaman</v>
          </cell>
          <cell r="G810" t="str">
            <v>Sumatera Barat</v>
          </cell>
          <cell r="H810" t="str">
            <v>Penyangga</v>
          </cell>
          <cell r="M810" t="str">
            <v>PT. Fasasi Karya MandIri</v>
          </cell>
        </row>
        <row r="811">
          <cell r="D811" t="str">
            <v>Siwalu Banua</v>
          </cell>
          <cell r="F811" t="str">
            <v>Nias Selatan</v>
          </cell>
          <cell r="G811" t="str">
            <v>Sumatera Utara</v>
          </cell>
          <cell r="H811" t="str">
            <v>Penyangga</v>
          </cell>
          <cell r="M811" t="str">
            <v>CV. Putra Selatan</v>
          </cell>
        </row>
        <row r="812">
          <cell r="D812" t="str">
            <v>Sigapokna</v>
          </cell>
          <cell r="F812" t="str">
            <v>Kepulauan Mentawai</v>
          </cell>
          <cell r="G812" t="str">
            <v>Sumatera Barat</v>
          </cell>
          <cell r="H812" t="str">
            <v>Penyangga</v>
          </cell>
          <cell r="M812" t="str">
            <v>PT. Putra Global Enterprice</v>
          </cell>
        </row>
        <row r="813">
          <cell r="D813" t="str">
            <v>Purus</v>
          </cell>
          <cell r="F813" t="str">
            <v>Kota Padang</v>
          </cell>
          <cell r="G813" t="str">
            <v>Sumatera Barat</v>
          </cell>
          <cell r="H813" t="str">
            <v>Penyangga</v>
          </cell>
          <cell r="M813" t="str">
            <v>PT. Fasasi Karya MandIri</v>
          </cell>
        </row>
        <row r="814">
          <cell r="D814" t="str">
            <v>Faekhuna'A</v>
          </cell>
          <cell r="F814" t="str">
            <v>Nias Utara</v>
          </cell>
          <cell r="G814" t="str">
            <v>Sumatera Utara</v>
          </cell>
          <cell r="H814" t="str">
            <v>Penyangga</v>
          </cell>
          <cell r="M814" t="str">
            <v>CV. Athmar Pratama</v>
          </cell>
        </row>
        <row r="815">
          <cell r="D815" t="str">
            <v>Mandeh</v>
          </cell>
          <cell r="F815" t="str">
            <v>Pesisir Selatan</v>
          </cell>
          <cell r="G815" t="str">
            <v>Sumatera Barat</v>
          </cell>
          <cell r="H815" t="str">
            <v>Penyangga</v>
          </cell>
          <cell r="M815" t="str">
            <v>PT. TRENGGINAS TIRTA JAYA ABADI</v>
          </cell>
        </row>
        <row r="816">
          <cell r="D816" t="str">
            <v>Ampang Pulai</v>
          </cell>
          <cell r="F816" t="str">
            <v>Pesisir Selatan</v>
          </cell>
          <cell r="G816" t="str">
            <v>Sumatera Barat</v>
          </cell>
          <cell r="H816" t="str">
            <v>Penyangga</v>
          </cell>
          <cell r="M816" t="str">
            <v>PT. TRENGGINAS TIRTA JAYA ABADI</v>
          </cell>
        </row>
        <row r="817">
          <cell r="D817" t="str">
            <v>Koto Nan Duo Iv Koto Hilie</v>
          </cell>
          <cell r="F817" t="str">
            <v>Pesisir Selatan</v>
          </cell>
          <cell r="G817" t="str">
            <v>Sumatera Barat</v>
          </cell>
          <cell r="H817" t="str">
            <v>Penyangga</v>
          </cell>
          <cell r="M817" t="str">
            <v>PT. TRENGGINAS TIRTA JAYA ABADI</v>
          </cell>
        </row>
        <row r="818">
          <cell r="D818" t="str">
            <v>Lakitan</v>
          </cell>
          <cell r="F818" t="str">
            <v>Pesisir Selatan</v>
          </cell>
          <cell r="G818" t="str">
            <v>Sumatera Barat</v>
          </cell>
          <cell r="H818" t="str">
            <v>Penyangga</v>
          </cell>
          <cell r="M818" t="str">
            <v>CV. Lestari Gigih Jagadraya (Kecil)</v>
          </cell>
        </row>
        <row r="819">
          <cell r="D819" t="str">
            <v>Nyiur Melambai Pelangai</v>
          </cell>
          <cell r="F819" t="str">
            <v>Pesisir Selatan</v>
          </cell>
          <cell r="G819" t="str">
            <v>Sumatera Barat</v>
          </cell>
          <cell r="H819" t="str">
            <v>Penyangga</v>
          </cell>
          <cell r="M819" t="str">
            <v>CV. Lestari Gigih Jagadraya (Kecil)</v>
          </cell>
        </row>
        <row r="820">
          <cell r="D820" t="str">
            <v>Belibak</v>
          </cell>
          <cell r="F820" t="str">
            <v>Kepulauan Anambas</v>
          </cell>
          <cell r="G820" t="str">
            <v>Kepulauan Riau</v>
          </cell>
          <cell r="H820" t="str">
            <v>Penyangga</v>
          </cell>
          <cell r="M820">
            <v>0</v>
          </cell>
        </row>
        <row r="821">
          <cell r="D821" t="str">
            <v>Piabung</v>
          </cell>
          <cell r="F821" t="str">
            <v>Kepulauan Anambas</v>
          </cell>
          <cell r="G821" t="str">
            <v>Kepulauan Riau</v>
          </cell>
          <cell r="H821" t="str">
            <v>Penyangga</v>
          </cell>
          <cell r="M821">
            <v>0</v>
          </cell>
        </row>
        <row r="822">
          <cell r="D822" t="str">
            <v>Pesisir Timur</v>
          </cell>
          <cell r="F822" t="str">
            <v>Kepulauan Anambas</v>
          </cell>
          <cell r="G822" t="str">
            <v>Kepulauan Riau</v>
          </cell>
          <cell r="H822" t="str">
            <v>Penyangga</v>
          </cell>
          <cell r="M822">
            <v>0</v>
          </cell>
        </row>
        <row r="823">
          <cell r="D823" t="str">
            <v>Rewak</v>
          </cell>
          <cell r="F823" t="str">
            <v>Kepulauan Anambas</v>
          </cell>
          <cell r="G823" t="str">
            <v>Kepulauan Riau</v>
          </cell>
          <cell r="H823" t="str">
            <v>Penyangga</v>
          </cell>
          <cell r="M823">
            <v>0</v>
          </cell>
        </row>
        <row r="824">
          <cell r="D824" t="str">
            <v>Genting Pulur</v>
          </cell>
          <cell r="F824" t="str">
            <v>Kepulauan Anambas</v>
          </cell>
          <cell r="G824" t="str">
            <v>Kepulauan Riau</v>
          </cell>
          <cell r="H824" t="str">
            <v>Penyangga</v>
          </cell>
          <cell r="M824">
            <v>0</v>
          </cell>
        </row>
        <row r="825">
          <cell r="D825" t="str">
            <v>Pulau Medang</v>
          </cell>
          <cell r="F825" t="str">
            <v>Lingga</v>
          </cell>
          <cell r="G825" t="str">
            <v>Kepulauan Riau</v>
          </cell>
          <cell r="H825" t="str">
            <v>Penyangga</v>
          </cell>
          <cell r="M825" t="str">
            <v>PT. RAJAWALI SAKTI PRIMA</v>
          </cell>
        </row>
        <row r="826">
          <cell r="D826" t="str">
            <v>Mengkait</v>
          </cell>
          <cell r="F826" t="str">
            <v>Kepulauan Anambas</v>
          </cell>
          <cell r="G826" t="str">
            <v>Kepulauan Riau</v>
          </cell>
          <cell r="H826" t="str">
            <v>Penyangga</v>
          </cell>
          <cell r="M826">
            <v>0</v>
          </cell>
        </row>
        <row r="827">
          <cell r="D827" t="str">
            <v>Munjan</v>
          </cell>
          <cell r="F827" t="str">
            <v>Kepulauan Anambas</v>
          </cell>
          <cell r="G827" t="str">
            <v>Kepulauan Riau</v>
          </cell>
          <cell r="H827" t="str">
            <v>Penyangga</v>
          </cell>
          <cell r="M827">
            <v>0</v>
          </cell>
        </row>
        <row r="828">
          <cell r="D828" t="str">
            <v>Busung Panjang</v>
          </cell>
          <cell r="F828" t="str">
            <v>Lingga</v>
          </cell>
          <cell r="G828" t="str">
            <v>Kepulauan Riau</v>
          </cell>
          <cell r="H828" t="str">
            <v>Penyangga</v>
          </cell>
          <cell r="M828" t="str">
            <v>Dinamika Bangun Mandiri</v>
          </cell>
        </row>
        <row r="829">
          <cell r="D829" t="str">
            <v>Sri Tanjung</v>
          </cell>
          <cell r="F829" t="str">
            <v>Kepulauan Anambas</v>
          </cell>
          <cell r="G829" t="str">
            <v>Kepulauan Riau</v>
          </cell>
          <cell r="H829" t="str">
            <v>Penyangga</v>
          </cell>
          <cell r="M829">
            <v>0</v>
          </cell>
        </row>
        <row r="830">
          <cell r="D830" t="str">
            <v>Nyamuk</v>
          </cell>
          <cell r="F830" t="str">
            <v>Kepulauan Anambas</v>
          </cell>
          <cell r="G830" t="str">
            <v>Kepulauan Riau</v>
          </cell>
          <cell r="H830" t="str">
            <v>Penyangga</v>
          </cell>
          <cell r="M830">
            <v>0</v>
          </cell>
        </row>
        <row r="831">
          <cell r="D831" t="str">
            <v>Tebang</v>
          </cell>
          <cell r="F831" t="str">
            <v>Kepulauan Anambas</v>
          </cell>
          <cell r="G831" t="str">
            <v>Kepulauan Riau</v>
          </cell>
          <cell r="H831" t="str">
            <v>Penyangga</v>
          </cell>
          <cell r="M831" t="str">
            <v>PT. Bengkel Kreatif Utama (Menengah)</v>
          </cell>
        </row>
        <row r="832">
          <cell r="D832" t="str">
            <v>Pulau Terung</v>
          </cell>
          <cell r="F832" t="str">
            <v>Kota Batam</v>
          </cell>
          <cell r="G832" t="str">
            <v>Kepulauan Riau</v>
          </cell>
          <cell r="H832" t="str">
            <v>Penyangga (+cs)</v>
          </cell>
          <cell r="M832" t="str">
            <v>PT. Ibnu Munsyir Dwi Guna</v>
          </cell>
        </row>
        <row r="833">
          <cell r="D833" t="str">
            <v>Galang Baru</v>
          </cell>
          <cell r="F833" t="str">
            <v>Kota Batam</v>
          </cell>
          <cell r="G833" t="str">
            <v>Kepulauan Riau</v>
          </cell>
          <cell r="H833" t="str">
            <v>Hub</v>
          </cell>
          <cell r="M833" t="str">
            <v>PT. Ibnu Munsyir Dwi Guna</v>
          </cell>
        </row>
        <row r="834">
          <cell r="D834" t="str">
            <v>Air Sena</v>
          </cell>
          <cell r="F834" t="str">
            <v>Kepulauan Anambas</v>
          </cell>
          <cell r="G834" t="str">
            <v>Kepulauan Riau</v>
          </cell>
          <cell r="H834" t="str">
            <v>Penyangga</v>
          </cell>
          <cell r="M834" t="str">
            <v>PT. Bengkel Kreatif Utama (Menengah)</v>
          </cell>
        </row>
        <row r="835">
          <cell r="D835" t="str">
            <v>Air Asuk</v>
          </cell>
          <cell r="F835" t="str">
            <v>Kepulauan Anambas</v>
          </cell>
          <cell r="G835" t="str">
            <v>Kepulauan Riau</v>
          </cell>
          <cell r="H835" t="str">
            <v>Penyangga</v>
          </cell>
          <cell r="M835" t="str">
            <v>PT. Bengkel Kreatif Utama (Menengah)</v>
          </cell>
        </row>
        <row r="836">
          <cell r="D836" t="str">
            <v>Telaga Kecil</v>
          </cell>
          <cell r="F836" t="str">
            <v>Kepulauan Anambas</v>
          </cell>
          <cell r="G836" t="str">
            <v>Kepulauan Riau</v>
          </cell>
          <cell r="H836" t="str">
            <v>Penyangga</v>
          </cell>
          <cell r="M836" t="str">
            <v>PT. Bengkel Kreatif Utama (Menengah)</v>
          </cell>
        </row>
        <row r="837">
          <cell r="D837" t="str">
            <v>Pulau Bukit</v>
          </cell>
          <cell r="F837" t="str">
            <v>Lingga</v>
          </cell>
          <cell r="G837" t="str">
            <v>Kepulauan Riau</v>
          </cell>
          <cell r="H837" t="str">
            <v>Penyangga</v>
          </cell>
          <cell r="M837" t="str">
            <v>PT. Bengkel Kreatif Utama (Menengah)</v>
          </cell>
        </row>
        <row r="838">
          <cell r="D838" t="str">
            <v>Keramut</v>
          </cell>
          <cell r="F838" t="str">
            <v>Kepulauan Anambas</v>
          </cell>
          <cell r="G838" t="str">
            <v>Kepulauan Riau</v>
          </cell>
          <cell r="H838" t="str">
            <v>Penyangga</v>
          </cell>
          <cell r="M838" t="str">
            <v>PT. Bengkel Kreatif Utama (Menengah)</v>
          </cell>
        </row>
        <row r="839">
          <cell r="D839" t="str">
            <v>Cempa</v>
          </cell>
          <cell r="F839" t="str">
            <v>Lingga</v>
          </cell>
          <cell r="G839" t="str">
            <v>Kepulauan Riau</v>
          </cell>
          <cell r="H839" t="str">
            <v>Penyangga</v>
          </cell>
          <cell r="M839" t="str">
            <v>PT. Bengkel Kreatif Utama (Menengah)</v>
          </cell>
        </row>
        <row r="840">
          <cell r="D840" t="str">
            <v>Pulau Duyung</v>
          </cell>
          <cell r="F840" t="str">
            <v>Lingga</v>
          </cell>
          <cell r="G840" t="str">
            <v>Kepulauan Riau</v>
          </cell>
          <cell r="H840" t="str">
            <v>Penyangga</v>
          </cell>
          <cell r="M840" t="str">
            <v>PT. Bengkel Kreatif Utama (Menengah)</v>
          </cell>
        </row>
        <row r="841">
          <cell r="D841" t="str">
            <v>Pongkar</v>
          </cell>
          <cell r="F841" t="str">
            <v>Karimun</v>
          </cell>
          <cell r="G841" t="str">
            <v>Kepulauan Riau</v>
          </cell>
          <cell r="H841" t="str">
            <v>Penyangga</v>
          </cell>
          <cell r="M841" t="str">
            <v>PT. Ibnu Munsyir Dwi Guna</v>
          </cell>
        </row>
        <row r="842">
          <cell r="D842" t="str">
            <v>Belaras</v>
          </cell>
          <cell r="F842" t="str">
            <v>Indragiri Hilir</v>
          </cell>
          <cell r="G842" t="str">
            <v>Riau</v>
          </cell>
          <cell r="H842" t="str">
            <v>Penyangga</v>
          </cell>
          <cell r="M842" t="str">
            <v>CV. Hanovan Natama</v>
          </cell>
        </row>
        <row r="843">
          <cell r="D843" t="str">
            <v>Gemuruh</v>
          </cell>
          <cell r="F843" t="str">
            <v>Karimun</v>
          </cell>
          <cell r="G843" t="str">
            <v>Kepulauan Riau</v>
          </cell>
          <cell r="H843" t="str">
            <v>Penyangga</v>
          </cell>
          <cell r="M843" t="str">
            <v>PT. Ibnu Munsyir Dwi Guna</v>
          </cell>
        </row>
        <row r="844">
          <cell r="D844" t="str">
            <v>Tanjung Kilang</v>
          </cell>
          <cell r="F844" t="str">
            <v>Karimun</v>
          </cell>
          <cell r="G844" t="str">
            <v>Kepulauan Riau</v>
          </cell>
          <cell r="H844" t="str">
            <v>Penyangga</v>
          </cell>
          <cell r="M844" t="str">
            <v>PT. Ibnu Munsyir Dwi Guna</v>
          </cell>
        </row>
        <row r="845">
          <cell r="D845" t="str">
            <v>Tulang</v>
          </cell>
          <cell r="F845" t="str">
            <v>Karimun</v>
          </cell>
          <cell r="G845" t="str">
            <v>Kepulauan Riau</v>
          </cell>
          <cell r="H845" t="str">
            <v>Penyangga</v>
          </cell>
          <cell r="M845" t="str">
            <v>PT. Ibnu Munsyir Dwi Guna</v>
          </cell>
        </row>
        <row r="846">
          <cell r="D846" t="str">
            <v>Ambulu</v>
          </cell>
          <cell r="F846" t="str">
            <v>Cirebon</v>
          </cell>
          <cell r="G846" t="str">
            <v>Jawa Barat</v>
          </cell>
          <cell r="H846" t="str">
            <v>Penyangga</v>
          </cell>
          <cell r="M846" t="str">
            <v>CV. Mirsel</v>
          </cell>
        </row>
        <row r="847">
          <cell r="D847" t="str">
            <v>Bagan Hulu</v>
          </cell>
          <cell r="F847" t="str">
            <v>Rokan Hilir</v>
          </cell>
          <cell r="G847" t="str">
            <v>Riau</v>
          </cell>
          <cell r="H847" t="str">
            <v>Penyangga (+cs)</v>
          </cell>
          <cell r="M847" t="str">
            <v>PT. Ganesha Jaya</v>
          </cell>
        </row>
        <row r="848">
          <cell r="D848" t="str">
            <v>Kolo</v>
          </cell>
          <cell r="F848" t="str">
            <v>Kota Bima</v>
          </cell>
          <cell r="G848" t="str">
            <v>Nusa Tenggara Barat</v>
          </cell>
          <cell r="H848" t="str">
            <v>Penyangga (+cs)</v>
          </cell>
          <cell r="M848" t="e">
            <v>#N/A</v>
          </cell>
        </row>
        <row r="849">
          <cell r="D849" t="str">
            <v>Tanjungkarang</v>
          </cell>
          <cell r="F849" t="str">
            <v>Nunukan</v>
          </cell>
          <cell r="G849" t="str">
            <v>Kalimantan Utara</v>
          </cell>
          <cell r="H849" t="str">
            <v>Penyangga</v>
          </cell>
          <cell r="M849" t="e">
            <v>#N/A</v>
          </cell>
        </row>
        <row r="850">
          <cell r="D850" t="str">
            <v>Mansapa</v>
          </cell>
          <cell r="F850" t="str">
            <v>Nunukan</v>
          </cell>
          <cell r="G850" t="str">
            <v>Kalimantan Utara</v>
          </cell>
          <cell r="H850" t="str">
            <v>Penyangga</v>
          </cell>
          <cell r="M850" t="e">
            <v>#N/A</v>
          </cell>
        </row>
        <row r="851">
          <cell r="D851" t="str">
            <v>Nunukan Utara</v>
          </cell>
          <cell r="F851" t="str">
            <v>Nunukan</v>
          </cell>
          <cell r="G851" t="str">
            <v>Kalimantan Utara</v>
          </cell>
          <cell r="H851" t="str">
            <v>Hub</v>
          </cell>
          <cell r="M851" t="str">
            <v>CV SILVANA BANGUN PERSADA</v>
          </cell>
        </row>
        <row r="852">
          <cell r="D852" t="str">
            <v>Liagu</v>
          </cell>
          <cell r="F852" t="str">
            <v>Bulungan</v>
          </cell>
          <cell r="G852" t="str">
            <v>Kalimantan Utara</v>
          </cell>
          <cell r="H852" t="str">
            <v>Penyangga</v>
          </cell>
          <cell r="M852" t="str">
            <v>PT. SInar Cempaka Raya</v>
          </cell>
        </row>
        <row r="853">
          <cell r="D853" t="str">
            <v>Juata Laut</v>
          </cell>
          <cell r="F853" t="str">
            <v>Kota Tarakan</v>
          </cell>
          <cell r="G853" t="str">
            <v>Kalimantan Utara</v>
          </cell>
          <cell r="H853" t="str">
            <v>Penyangga</v>
          </cell>
          <cell r="M853" t="str">
            <v>CV. Ria Berkah Abadi</v>
          </cell>
        </row>
        <row r="854">
          <cell r="D854" t="str">
            <v>Karangwangi</v>
          </cell>
          <cell r="F854" t="str">
            <v>Cianjur</v>
          </cell>
          <cell r="G854" t="str">
            <v>Jawa Barat</v>
          </cell>
          <cell r="H854" t="str">
            <v>Penyangga</v>
          </cell>
          <cell r="M854" t="str">
            <v>CV. Graha Jaya Mandiri</v>
          </cell>
        </row>
        <row r="855">
          <cell r="D855" t="str">
            <v>Tanjung Buka</v>
          </cell>
          <cell r="F855" t="str">
            <v>Bulungan</v>
          </cell>
          <cell r="G855" t="str">
            <v>Kalimantan Utara</v>
          </cell>
          <cell r="H855" t="str">
            <v>Penyangga</v>
          </cell>
          <cell r="M855" t="str">
            <v>CV TAKA IMBAYUD MEMBANGUN</v>
          </cell>
        </row>
        <row r="856">
          <cell r="D856" t="str">
            <v>Antutan</v>
          </cell>
          <cell r="F856" t="str">
            <v>Bulungan</v>
          </cell>
          <cell r="G856" t="str">
            <v>Kalimantan Utara</v>
          </cell>
          <cell r="H856" t="str">
            <v>Penyangga</v>
          </cell>
          <cell r="M856" t="str">
            <v>CV. Debika Tarakan</v>
          </cell>
        </row>
        <row r="857">
          <cell r="D857" t="str">
            <v>Pimping</v>
          </cell>
          <cell r="F857" t="str">
            <v>Bulungan</v>
          </cell>
          <cell r="G857" t="str">
            <v>Kalimantan Utara</v>
          </cell>
          <cell r="H857" t="str">
            <v>Penyangga</v>
          </cell>
          <cell r="M857" t="str">
            <v>CV. Arya Guna Perkasa</v>
          </cell>
        </row>
        <row r="858">
          <cell r="D858" t="str">
            <v>Koto Jaya</v>
          </cell>
          <cell r="F858" t="str">
            <v>Mukomuko</v>
          </cell>
          <cell r="G858" t="str">
            <v>Bengkulu</v>
          </cell>
          <cell r="H858" t="str">
            <v>Penyangga</v>
          </cell>
          <cell r="M858" t="str">
            <v>PT. Aruna Karya Bangunindo</v>
          </cell>
        </row>
        <row r="859">
          <cell r="D859" t="str">
            <v>Kedungsegog</v>
          </cell>
          <cell r="F859" t="str">
            <v>Batang</v>
          </cell>
          <cell r="G859" t="str">
            <v>Jawa Tengah</v>
          </cell>
          <cell r="H859" t="str">
            <v>Penyangga</v>
          </cell>
          <cell r="M859" t="str">
            <v>CV. Bumi Jaya Berkah Abadi</v>
          </cell>
        </row>
        <row r="860">
          <cell r="D860" t="str">
            <v>Ardi Mulyo</v>
          </cell>
          <cell r="F860" t="str">
            <v>Bulungan</v>
          </cell>
          <cell r="G860" t="str">
            <v>Kalimantan Utara</v>
          </cell>
          <cell r="H860" t="str">
            <v>Penyangga</v>
          </cell>
          <cell r="M860" t="str">
            <v>PT. Bintang Borneo</v>
          </cell>
        </row>
        <row r="861">
          <cell r="D861" t="str">
            <v>Sukalela</v>
          </cell>
          <cell r="F861" t="str">
            <v>Gresik</v>
          </cell>
          <cell r="G861" t="str">
            <v>Jawa Timur</v>
          </cell>
          <cell r="H861" t="str">
            <v>Penyangga</v>
          </cell>
          <cell r="M861" t="str">
            <v>PT. Sang Karya</v>
          </cell>
        </row>
        <row r="862">
          <cell r="D862" t="str">
            <v>Sawapudo</v>
          </cell>
          <cell r="F862" t="str">
            <v>Konawe</v>
          </cell>
          <cell r="G862" t="str">
            <v>Sulawesi Tenggara</v>
          </cell>
          <cell r="H862" t="str">
            <v>Penyangga</v>
          </cell>
          <cell r="M862" t="str">
            <v>CV. Jaya Mandiri Bangunindo</v>
          </cell>
        </row>
        <row r="863">
          <cell r="D863" t="str">
            <v>Soropia</v>
          </cell>
          <cell r="F863" t="str">
            <v>Konawe</v>
          </cell>
          <cell r="G863" t="str">
            <v>Sulawesi Tenggara</v>
          </cell>
          <cell r="H863" t="str">
            <v>Penyangga</v>
          </cell>
          <cell r="M863" t="str">
            <v>CV. Jaya Mandiri Bangunindo</v>
          </cell>
        </row>
        <row r="864">
          <cell r="D864" t="str">
            <v>Holimombo Jaya</v>
          </cell>
          <cell r="F864" t="str">
            <v>Buton</v>
          </cell>
          <cell r="G864" t="str">
            <v>Sulawesi Tenggara</v>
          </cell>
          <cell r="H864" t="str">
            <v>Hub</v>
          </cell>
          <cell r="M864">
            <v>0</v>
          </cell>
        </row>
        <row r="865">
          <cell r="D865" t="str">
            <v>Kumbewaha</v>
          </cell>
          <cell r="F865" t="str">
            <v>Buton</v>
          </cell>
          <cell r="G865" t="str">
            <v>Sulawesi Tenggara</v>
          </cell>
          <cell r="H865" t="str">
            <v>Penyangga</v>
          </cell>
          <cell r="M865" t="str">
            <v>CV. Fikri Pratama</v>
          </cell>
        </row>
        <row r="866">
          <cell r="D866" t="str">
            <v>Banabungi</v>
          </cell>
          <cell r="F866" t="str">
            <v>Buton Selatan</v>
          </cell>
          <cell r="G866" t="str">
            <v>Sulawesi Tenggara</v>
          </cell>
          <cell r="H866" t="str">
            <v>Penyangga</v>
          </cell>
          <cell r="M866" t="str">
            <v>PT. Anvemy Mulia Abadi (Kecil)</v>
          </cell>
        </row>
        <row r="867">
          <cell r="D867" t="str">
            <v>Mantigola Makmur</v>
          </cell>
          <cell r="F867" t="str">
            <v>Wakatobi</v>
          </cell>
          <cell r="G867" t="str">
            <v>Sulawesi Tenggara</v>
          </cell>
          <cell r="H867" t="str">
            <v>Penyangga</v>
          </cell>
          <cell r="M867" t="str">
            <v>Simfoni Event Organizer (Kecil)</v>
          </cell>
        </row>
        <row r="868">
          <cell r="D868" t="str">
            <v>Ollo Selatan</v>
          </cell>
          <cell r="F868" t="str">
            <v>Wakatobi</v>
          </cell>
          <cell r="G868" t="str">
            <v>Sulawesi Tenggara</v>
          </cell>
          <cell r="H868" t="str">
            <v>Penyangga</v>
          </cell>
          <cell r="M868" t="str">
            <v>CV. Jaya Mandiri Bangunindo</v>
          </cell>
        </row>
        <row r="869">
          <cell r="D869" t="str">
            <v>Taipabu</v>
          </cell>
          <cell r="F869" t="str">
            <v>Wakatobi</v>
          </cell>
          <cell r="G869" t="str">
            <v>Sulawesi Tenggara</v>
          </cell>
          <cell r="H869" t="str">
            <v>Penyangga</v>
          </cell>
          <cell r="M869" t="str">
            <v>CV. Jaya Mandiri Bangunindo</v>
          </cell>
        </row>
        <row r="870">
          <cell r="D870" t="str">
            <v>Senggarang</v>
          </cell>
          <cell r="F870" t="str">
            <v>Kota Tanjung Pinang</v>
          </cell>
          <cell r="G870" t="str">
            <v>Kepulauan Riau</v>
          </cell>
          <cell r="H870" t="str">
            <v>Penyangga</v>
          </cell>
          <cell r="M870" t="str">
            <v>PT. Ibnu Munsyir Dwi Guna</v>
          </cell>
        </row>
        <row r="871">
          <cell r="D871" t="str">
            <v>Penarah</v>
          </cell>
          <cell r="F871" t="str">
            <v>Karimun</v>
          </cell>
          <cell r="G871" t="str">
            <v>Kepulauan Riau</v>
          </cell>
          <cell r="H871" t="str">
            <v>Penyangga</v>
          </cell>
          <cell r="M871" t="str">
            <v>PT. Ibnu Munsyir Dwi Guna</v>
          </cell>
        </row>
        <row r="872">
          <cell r="D872" t="str">
            <v>Batu Belah</v>
          </cell>
          <cell r="F872" t="str">
            <v>Kepulauan Anambas</v>
          </cell>
          <cell r="G872" t="str">
            <v>Kepulauan Riau</v>
          </cell>
          <cell r="H872" t="str">
            <v>Penyangga</v>
          </cell>
          <cell r="M872" t="str">
            <v>PT. Bengkel Kreatif Utama (Menengah)</v>
          </cell>
        </row>
        <row r="873">
          <cell r="D873" t="str">
            <v>Karas</v>
          </cell>
          <cell r="F873" t="str">
            <v>Batam</v>
          </cell>
          <cell r="G873" t="str">
            <v>Kepulauan Riau</v>
          </cell>
          <cell r="H873" t="str">
            <v>Penyangga</v>
          </cell>
          <cell r="M873" t="str">
            <v>Mucoindo</v>
          </cell>
        </row>
        <row r="874">
          <cell r="D874" t="str">
            <v>Pangkil</v>
          </cell>
          <cell r="F874" t="str">
            <v>Bintan</v>
          </cell>
          <cell r="G874" t="str">
            <v>Kepulauan Riau</v>
          </cell>
          <cell r="H874" t="str">
            <v>Penyangga</v>
          </cell>
          <cell r="M874" t="str">
            <v>CV. Pulau Tenggel</v>
          </cell>
        </row>
        <row r="875">
          <cell r="D875" t="str">
            <v>Telaga</v>
          </cell>
          <cell r="F875" t="str">
            <v>Kepulauan Anambas</v>
          </cell>
          <cell r="G875" t="str">
            <v>Kepulauan Riau</v>
          </cell>
          <cell r="H875" t="str">
            <v>Penyangga</v>
          </cell>
          <cell r="M875" t="str">
            <v>PT. Bengkel Kreatif Utama (Menengah)</v>
          </cell>
        </row>
        <row r="876">
          <cell r="D876" t="str">
            <v>Dendun</v>
          </cell>
          <cell r="F876" t="str">
            <v>Bintan</v>
          </cell>
          <cell r="G876" t="str">
            <v>Kepulauan Riau</v>
          </cell>
          <cell r="H876" t="str">
            <v>Penyangga</v>
          </cell>
          <cell r="M876" t="str">
            <v>CV. Pulau Tenggel</v>
          </cell>
        </row>
        <row r="877">
          <cell r="D877" t="str">
            <v>Pangalasiang</v>
          </cell>
          <cell r="F877" t="str">
            <v>Donggala</v>
          </cell>
          <cell r="G877" t="str">
            <v>Sulawesi Tengah</v>
          </cell>
          <cell r="H877" t="str">
            <v>Penyangga</v>
          </cell>
          <cell r="M877" t="str">
            <v>CV. Triga Cipta Abadi</v>
          </cell>
        </row>
        <row r="878">
          <cell r="D878" t="str">
            <v>Wasampela</v>
          </cell>
          <cell r="F878" t="str">
            <v>Buton</v>
          </cell>
          <cell r="G878" t="str">
            <v>Sulawesi Tenggara</v>
          </cell>
          <cell r="L878" t="str">
            <v>PT. Nenci Citra Pratama Cab Buton Tengah</v>
          </cell>
        </row>
        <row r="879">
          <cell r="D879" t="str">
            <v>Carita</v>
          </cell>
          <cell r="F879" t="str">
            <v>Pandeglang</v>
          </cell>
          <cell r="G879" t="str">
            <v>Banten</v>
          </cell>
          <cell r="H879" t="str">
            <v>Penyangga</v>
          </cell>
          <cell r="M879" t="str">
            <v>PT. Gumilang Maju Selaras (Kecil)</v>
          </cell>
        </row>
        <row r="880">
          <cell r="D880" t="str">
            <v>Kertamukti</v>
          </cell>
          <cell r="F880" t="str">
            <v>Pangandaran</v>
          </cell>
          <cell r="G880" t="str">
            <v>Jawa Barat</v>
          </cell>
          <cell r="H880" t="str">
            <v>Penyangga</v>
          </cell>
          <cell r="M880" t="str">
            <v>PT. Amber Hasya</v>
          </cell>
        </row>
        <row r="881">
          <cell r="D881" t="str">
            <v>Englas</v>
          </cell>
          <cell r="F881" t="str">
            <v>Seram Bagian Timur</v>
          </cell>
          <cell r="G881" t="str">
            <v>Maluku</v>
          </cell>
          <cell r="H881" t="str">
            <v>Penyangga</v>
          </cell>
          <cell r="M881">
            <v>0</v>
          </cell>
        </row>
        <row r="882">
          <cell r="D882" t="str">
            <v>Aki Jaya</v>
          </cell>
          <cell r="F882" t="str">
            <v>Seram Bagian Timur</v>
          </cell>
          <cell r="G882" t="str">
            <v>Maluku</v>
          </cell>
          <cell r="H882" t="str">
            <v>Penyangga</v>
          </cell>
          <cell r="M882">
            <v>0</v>
          </cell>
        </row>
        <row r="883">
          <cell r="D883" t="str">
            <v>Bula</v>
          </cell>
          <cell r="F883" t="str">
            <v>Seram Bagian Timur</v>
          </cell>
          <cell r="G883" t="str">
            <v>Maluku</v>
          </cell>
          <cell r="H883" t="str">
            <v>Penyangga</v>
          </cell>
          <cell r="M883">
            <v>0</v>
          </cell>
        </row>
        <row r="884">
          <cell r="D884" t="str">
            <v>Amarsekaru</v>
          </cell>
          <cell r="F884" t="str">
            <v>Seram Bagian Timur</v>
          </cell>
          <cell r="G884" t="str">
            <v>Maluku</v>
          </cell>
          <cell r="H884" t="str">
            <v>Hub</v>
          </cell>
          <cell r="M884">
            <v>0</v>
          </cell>
        </row>
        <row r="885">
          <cell r="D885" t="str">
            <v>Lahema</v>
          </cell>
          <cell r="F885" t="str">
            <v>Seram Bagian Timur</v>
          </cell>
          <cell r="G885" t="str">
            <v>Maluku</v>
          </cell>
          <cell r="H885" t="str">
            <v>Penyangga</v>
          </cell>
          <cell r="M885">
            <v>0</v>
          </cell>
        </row>
        <row r="886">
          <cell r="D886" t="str">
            <v>Amarlaut</v>
          </cell>
          <cell r="F886" t="str">
            <v>Seram Bagian Timur</v>
          </cell>
          <cell r="G886" t="str">
            <v>Maluku</v>
          </cell>
          <cell r="H886" t="str">
            <v>Penyangga</v>
          </cell>
          <cell r="M886">
            <v>0</v>
          </cell>
        </row>
        <row r="887">
          <cell r="D887" t="str">
            <v>Kilbutak</v>
          </cell>
          <cell r="F887" t="str">
            <v>Seram Bagian Timur</v>
          </cell>
          <cell r="G887" t="str">
            <v>Maluku</v>
          </cell>
          <cell r="H887" t="str">
            <v>Penyangga</v>
          </cell>
          <cell r="M887">
            <v>0</v>
          </cell>
        </row>
        <row r="888">
          <cell r="D888" t="str">
            <v>Kulugowa</v>
          </cell>
          <cell r="F888" t="str">
            <v>Seram Bagian Timur</v>
          </cell>
          <cell r="G888" t="str">
            <v>Maluku</v>
          </cell>
          <cell r="H888" t="str">
            <v>Penyangga</v>
          </cell>
          <cell r="M888">
            <v>0</v>
          </cell>
        </row>
        <row r="889">
          <cell r="D889" t="str">
            <v>Karlokin</v>
          </cell>
          <cell r="F889" t="str">
            <v>Seram Bagian Timur</v>
          </cell>
          <cell r="G889" t="str">
            <v>Maluku</v>
          </cell>
          <cell r="H889" t="str">
            <v>Penyangga (+cs)</v>
          </cell>
          <cell r="M889">
            <v>0</v>
          </cell>
        </row>
        <row r="890">
          <cell r="D890" t="str">
            <v>Arma</v>
          </cell>
          <cell r="F890" t="str">
            <v>Kepulauan Tanimbar</v>
          </cell>
          <cell r="G890" t="str">
            <v>Maluku</v>
          </cell>
          <cell r="H890" t="str">
            <v>Hub</v>
          </cell>
          <cell r="M890">
            <v>0</v>
          </cell>
        </row>
        <row r="891">
          <cell r="D891" t="str">
            <v>Lelingluan</v>
          </cell>
          <cell r="F891" t="str">
            <v>Kepulauan Tanimbar</v>
          </cell>
          <cell r="G891" t="str">
            <v>Maluku</v>
          </cell>
          <cell r="H891" t="str">
            <v>Penyangga</v>
          </cell>
          <cell r="M891">
            <v>0</v>
          </cell>
        </row>
        <row r="892">
          <cell r="D892" t="str">
            <v>Meyano Das</v>
          </cell>
          <cell r="F892" t="str">
            <v>Kepulauan Tanimbar</v>
          </cell>
          <cell r="G892" t="str">
            <v>Maluku</v>
          </cell>
          <cell r="H892" t="str">
            <v>Penyangga</v>
          </cell>
          <cell r="M892">
            <v>0</v>
          </cell>
        </row>
        <row r="893">
          <cell r="D893" t="str">
            <v>Ritabel</v>
          </cell>
          <cell r="F893" t="str">
            <v>Kepulauan Tanimbar</v>
          </cell>
          <cell r="G893" t="str">
            <v>Maluku</v>
          </cell>
          <cell r="H893" t="str">
            <v>Penyangga</v>
          </cell>
          <cell r="M893">
            <v>0</v>
          </cell>
        </row>
        <row r="894">
          <cell r="D894" t="str">
            <v>Bibinoi</v>
          </cell>
          <cell r="F894" t="str">
            <v>Halmahera Selatan</v>
          </cell>
          <cell r="G894" t="str">
            <v>Maluku Utara</v>
          </cell>
          <cell r="H894" t="str">
            <v>Penyangga</v>
          </cell>
          <cell r="M894">
            <v>0</v>
          </cell>
        </row>
        <row r="895">
          <cell r="D895" t="str">
            <v>Indari</v>
          </cell>
          <cell r="F895" t="str">
            <v>Halmahera Selatan</v>
          </cell>
          <cell r="G895" t="str">
            <v>Maluku Utara</v>
          </cell>
          <cell r="H895" t="str">
            <v>Penyangga</v>
          </cell>
          <cell r="M895">
            <v>0</v>
          </cell>
        </row>
        <row r="896">
          <cell r="D896" t="str">
            <v>Laluin</v>
          </cell>
          <cell r="F896" t="str">
            <v>Halmahera Selatan</v>
          </cell>
          <cell r="G896" t="str">
            <v>Maluku Utara</v>
          </cell>
          <cell r="H896" t="str">
            <v>Penyangga</v>
          </cell>
          <cell r="M896">
            <v>0</v>
          </cell>
        </row>
        <row r="897">
          <cell r="D897" t="str">
            <v>Matuting</v>
          </cell>
          <cell r="F897" t="str">
            <v>Halmahera Selatan</v>
          </cell>
          <cell r="G897" t="str">
            <v>Maluku Utara</v>
          </cell>
          <cell r="H897" t="str">
            <v>Penyangga</v>
          </cell>
          <cell r="M897">
            <v>0</v>
          </cell>
        </row>
        <row r="898">
          <cell r="D898" t="str">
            <v>Kabau Pantai</v>
          </cell>
          <cell r="F898" t="str">
            <v>Kepulauan Sula</v>
          </cell>
          <cell r="G898" t="str">
            <v>Maluku Utara</v>
          </cell>
          <cell r="H898" t="str">
            <v>Penyangga</v>
          </cell>
          <cell r="M898">
            <v>0</v>
          </cell>
        </row>
        <row r="899">
          <cell r="D899" t="str">
            <v>Lelyaba</v>
          </cell>
          <cell r="F899" t="str">
            <v>Kepulauan Sula</v>
          </cell>
          <cell r="G899" t="str">
            <v>Maluku Utara</v>
          </cell>
          <cell r="H899" t="str">
            <v>Penyangga</v>
          </cell>
          <cell r="M899">
            <v>0</v>
          </cell>
        </row>
        <row r="900">
          <cell r="D900" t="str">
            <v>Waiboga</v>
          </cell>
          <cell r="F900" t="str">
            <v>Kepulauan Sula</v>
          </cell>
          <cell r="G900" t="str">
            <v>Maluku Utara</v>
          </cell>
          <cell r="H900" t="str">
            <v>Penyangga</v>
          </cell>
          <cell r="M900">
            <v>0</v>
          </cell>
        </row>
        <row r="901">
          <cell r="D901" t="str">
            <v>Geser</v>
          </cell>
          <cell r="F901" t="str">
            <v>Seram Bagian Timur</v>
          </cell>
          <cell r="G901" t="str">
            <v>Maluku</v>
          </cell>
          <cell r="H901" t="str">
            <v>Hub</v>
          </cell>
          <cell r="M901">
            <v>0</v>
          </cell>
        </row>
        <row r="902">
          <cell r="D902" t="str">
            <v>Kwamor Kecil Mata Wawa</v>
          </cell>
          <cell r="F902" t="str">
            <v>Seram Bagian Timur</v>
          </cell>
          <cell r="G902" t="str">
            <v>Maluku</v>
          </cell>
          <cell r="H902" t="str">
            <v>Penyangga</v>
          </cell>
          <cell r="M902">
            <v>0</v>
          </cell>
        </row>
        <row r="903">
          <cell r="D903" t="str">
            <v>Kellu</v>
          </cell>
          <cell r="F903" t="str">
            <v>Seram Bagian Timur</v>
          </cell>
          <cell r="G903" t="str">
            <v>Maluku</v>
          </cell>
          <cell r="H903" t="str">
            <v>Penyangga</v>
          </cell>
          <cell r="M903">
            <v>0</v>
          </cell>
        </row>
        <row r="904">
          <cell r="D904" t="str">
            <v>Kilfura</v>
          </cell>
          <cell r="F904" t="str">
            <v>Seram Bagian Timur</v>
          </cell>
          <cell r="G904" t="str">
            <v>Maluku</v>
          </cell>
          <cell r="H904" t="str">
            <v>Penyangga</v>
          </cell>
          <cell r="M904">
            <v>0</v>
          </cell>
        </row>
        <row r="905">
          <cell r="D905" t="str">
            <v>Kilwaru</v>
          </cell>
          <cell r="F905" t="str">
            <v>Seram Bagian Timur</v>
          </cell>
          <cell r="G905" t="str">
            <v>Maluku</v>
          </cell>
          <cell r="H905" t="str">
            <v>Penyangga</v>
          </cell>
          <cell r="M905">
            <v>0</v>
          </cell>
        </row>
        <row r="906">
          <cell r="D906" t="str">
            <v>Iha</v>
          </cell>
          <cell r="F906" t="str">
            <v>Seram Bagian Barat</v>
          </cell>
          <cell r="G906" t="str">
            <v>Maluku</v>
          </cell>
          <cell r="H906" t="str">
            <v>Hub</v>
          </cell>
          <cell r="M906">
            <v>0</v>
          </cell>
        </row>
        <row r="907">
          <cell r="D907" t="str">
            <v>Asilulu</v>
          </cell>
          <cell r="F907" t="str">
            <v>Maluku Tengah</v>
          </cell>
          <cell r="G907" t="str">
            <v>Maluku</v>
          </cell>
          <cell r="H907" t="str">
            <v>Penyangga</v>
          </cell>
          <cell r="M907">
            <v>0</v>
          </cell>
        </row>
        <row r="908">
          <cell r="D908" t="str">
            <v>Kaibobo</v>
          </cell>
          <cell r="F908" t="str">
            <v>Seram Bagian Barat</v>
          </cell>
          <cell r="G908" t="str">
            <v>Maluku</v>
          </cell>
          <cell r="H908" t="str">
            <v>Penyangga</v>
          </cell>
          <cell r="M908">
            <v>0</v>
          </cell>
        </row>
        <row r="909">
          <cell r="D909" t="str">
            <v>Kamatubun</v>
          </cell>
          <cell r="F909" t="str">
            <v>Kepulauan Tanimbar</v>
          </cell>
          <cell r="G909" t="str">
            <v>Maluku</v>
          </cell>
          <cell r="H909" t="str">
            <v>Hub</v>
          </cell>
          <cell r="M909">
            <v>0</v>
          </cell>
        </row>
        <row r="910">
          <cell r="D910" t="str">
            <v>Latdalam</v>
          </cell>
          <cell r="F910" t="str">
            <v>Kepulauan Tanimbar</v>
          </cell>
          <cell r="G910" t="str">
            <v>Maluku</v>
          </cell>
          <cell r="H910" t="str">
            <v>Penyangga</v>
          </cell>
          <cell r="M910">
            <v>0</v>
          </cell>
        </row>
        <row r="911">
          <cell r="D911" t="str">
            <v>Matakus</v>
          </cell>
          <cell r="F911" t="str">
            <v>Kepulauan Tanimbar</v>
          </cell>
          <cell r="G911" t="str">
            <v>Maluku</v>
          </cell>
          <cell r="H911" t="str">
            <v>Penyangga</v>
          </cell>
          <cell r="M911">
            <v>0</v>
          </cell>
        </row>
        <row r="912">
          <cell r="D912" t="str">
            <v>Kusu Lofra</v>
          </cell>
          <cell r="F912" t="str">
            <v>Halmahera Utara</v>
          </cell>
          <cell r="G912" t="str">
            <v>Maluku Utara</v>
          </cell>
          <cell r="H912" t="str">
            <v>Hub</v>
          </cell>
          <cell r="M912">
            <v>0</v>
          </cell>
        </row>
        <row r="913">
          <cell r="D913" t="str">
            <v>Saramaake</v>
          </cell>
          <cell r="F913" t="str">
            <v>Halmahera Timur</v>
          </cell>
          <cell r="G913" t="str">
            <v>Maluku Utara</v>
          </cell>
          <cell r="H913" t="str">
            <v>Penyangga</v>
          </cell>
          <cell r="M913">
            <v>0</v>
          </cell>
        </row>
        <row r="914">
          <cell r="D914" t="str">
            <v>Bobale</v>
          </cell>
          <cell r="F914" t="str">
            <v>Halmahera Utara</v>
          </cell>
          <cell r="G914" t="str">
            <v>Maluku Utara</v>
          </cell>
          <cell r="H914" t="str">
            <v>Penyangga</v>
          </cell>
          <cell r="M914">
            <v>0</v>
          </cell>
        </row>
        <row r="915">
          <cell r="D915" t="str">
            <v>Subaim</v>
          </cell>
          <cell r="F915" t="str">
            <v>Halmahera Timur</v>
          </cell>
          <cell r="G915" t="str">
            <v>Maluku Utara</v>
          </cell>
          <cell r="H915" t="str">
            <v>Penyangga</v>
          </cell>
          <cell r="M915">
            <v>0</v>
          </cell>
        </row>
        <row r="916">
          <cell r="D916" t="str">
            <v>Sare</v>
          </cell>
          <cell r="F916" t="str">
            <v>Maluku Tenggara</v>
          </cell>
          <cell r="G916" t="str">
            <v>Maluku</v>
          </cell>
          <cell r="H916" t="str">
            <v>Penyangga</v>
          </cell>
          <cell r="M916" t="str">
            <v>PT. Sapta Manuggal Karya (Menengah)</v>
          </cell>
        </row>
        <row r="917">
          <cell r="D917" t="str">
            <v>Dudunwahan</v>
          </cell>
          <cell r="F917" t="str">
            <v>Maluku Tenggara</v>
          </cell>
          <cell r="G917" t="str">
            <v>Maluku</v>
          </cell>
          <cell r="H917" t="str">
            <v>Penyangga</v>
          </cell>
          <cell r="M917" t="str">
            <v>PT. Sapta Manuggal Karya (Menengah)</v>
          </cell>
        </row>
        <row r="918">
          <cell r="D918" t="str">
            <v>Dullah Laut</v>
          </cell>
          <cell r="F918" t="str">
            <v>Kota Tual</v>
          </cell>
          <cell r="G918" t="str">
            <v>Maluku</v>
          </cell>
          <cell r="H918" t="str">
            <v>Penyangga</v>
          </cell>
          <cell r="M918">
            <v>0</v>
          </cell>
        </row>
        <row r="919">
          <cell r="D919" t="str">
            <v>Tam Ngurhir</v>
          </cell>
          <cell r="F919" t="str">
            <v>Kota Tual</v>
          </cell>
          <cell r="G919" t="str">
            <v>Maluku</v>
          </cell>
          <cell r="H919" t="str">
            <v>Penyangga (+cs)</v>
          </cell>
          <cell r="M919">
            <v>0</v>
          </cell>
        </row>
        <row r="920">
          <cell r="D920" t="str">
            <v>Leleoto</v>
          </cell>
          <cell r="F920" t="str">
            <v>Halmahera Utara</v>
          </cell>
          <cell r="G920" t="str">
            <v>Maluku Utara</v>
          </cell>
          <cell r="H920" t="str">
            <v>Penyangga</v>
          </cell>
          <cell r="M920">
            <v>0</v>
          </cell>
        </row>
        <row r="921">
          <cell r="D921" t="str">
            <v>Tolonuo</v>
          </cell>
          <cell r="F921" t="str">
            <v>Halmahera Utara</v>
          </cell>
          <cell r="G921" t="str">
            <v>Maluku Utara</v>
          </cell>
          <cell r="H921" t="str">
            <v>Penyangga</v>
          </cell>
          <cell r="M921">
            <v>0</v>
          </cell>
        </row>
        <row r="922">
          <cell r="D922" t="str">
            <v>Limbo</v>
          </cell>
          <cell r="F922" t="str">
            <v>Pulau Taliabu</v>
          </cell>
          <cell r="G922" t="str">
            <v>Maluku Utara</v>
          </cell>
          <cell r="H922" t="str">
            <v>Hub</v>
          </cell>
          <cell r="M922">
            <v>0</v>
          </cell>
        </row>
        <row r="923">
          <cell r="D923" t="str">
            <v>Galebo</v>
          </cell>
          <cell r="F923" t="str">
            <v>Pulau Taliabu</v>
          </cell>
          <cell r="G923" t="str">
            <v>Maluku Utara</v>
          </cell>
          <cell r="H923" t="str">
            <v>Penyangga</v>
          </cell>
          <cell r="M923">
            <v>0</v>
          </cell>
        </row>
        <row r="924">
          <cell r="D924" t="str">
            <v>Jorjoga</v>
          </cell>
          <cell r="F924" t="str">
            <v>Pulau Taliabu</v>
          </cell>
          <cell r="G924" t="str">
            <v>Maluku Utara</v>
          </cell>
          <cell r="H924" t="str">
            <v>Penyangga</v>
          </cell>
          <cell r="M924">
            <v>0</v>
          </cell>
        </row>
        <row r="925">
          <cell r="D925" t="str">
            <v>Kasango</v>
          </cell>
          <cell r="F925" t="str">
            <v>Pulau Taliabu</v>
          </cell>
          <cell r="G925" t="str">
            <v>Maluku Utara</v>
          </cell>
          <cell r="H925" t="str">
            <v>Penyangga</v>
          </cell>
          <cell r="M925">
            <v>0</v>
          </cell>
        </row>
        <row r="926">
          <cell r="D926" t="str">
            <v>Nunu</v>
          </cell>
          <cell r="F926" t="str">
            <v>Pulau Taliabu</v>
          </cell>
          <cell r="G926" t="str">
            <v>Maluku Utara</v>
          </cell>
          <cell r="H926" t="str">
            <v>Penyangga</v>
          </cell>
          <cell r="M926">
            <v>0</v>
          </cell>
        </row>
        <row r="927">
          <cell r="D927" t="str">
            <v>Wayo</v>
          </cell>
          <cell r="F927" t="str">
            <v>Pulau Taliabu</v>
          </cell>
          <cell r="G927" t="str">
            <v>Maluku Utara</v>
          </cell>
          <cell r="H927" t="str">
            <v>Penyangga</v>
          </cell>
          <cell r="M927">
            <v>0</v>
          </cell>
        </row>
        <row r="928">
          <cell r="D928" t="str">
            <v>Samang</v>
          </cell>
          <cell r="F928" t="str">
            <v>Kepulauan Aru</v>
          </cell>
          <cell r="G928" t="str">
            <v>Maluku</v>
          </cell>
          <cell r="H928" t="str">
            <v>Penyangga</v>
          </cell>
          <cell r="M928">
            <v>0</v>
          </cell>
        </row>
        <row r="929">
          <cell r="D929" t="str">
            <v>Mano</v>
          </cell>
          <cell r="F929" t="str">
            <v>Halmahera Selatan</v>
          </cell>
          <cell r="G929" t="str">
            <v>Maluku Utara</v>
          </cell>
          <cell r="H929" t="str">
            <v>Penyangga</v>
          </cell>
          <cell r="M929">
            <v>0</v>
          </cell>
        </row>
        <row r="930">
          <cell r="D930" t="str">
            <v>Tomalou</v>
          </cell>
          <cell r="F930" t="str">
            <v>Kota Tidore Kepulauan</v>
          </cell>
          <cell r="G930" t="str">
            <v>Maluku Utara</v>
          </cell>
          <cell r="H930" t="str">
            <v>Penyangga</v>
          </cell>
          <cell r="M930">
            <v>0</v>
          </cell>
        </row>
        <row r="931">
          <cell r="D931" t="str">
            <v>Malaku</v>
          </cell>
          <cell r="F931" t="str">
            <v>Maluku Tengah</v>
          </cell>
          <cell r="G931" t="str">
            <v>Maluku</v>
          </cell>
          <cell r="H931" t="str">
            <v>Hub</v>
          </cell>
          <cell r="M931">
            <v>0</v>
          </cell>
        </row>
        <row r="932">
          <cell r="D932" t="str">
            <v>Labuan</v>
          </cell>
          <cell r="F932" t="str">
            <v>Maluku Tengah</v>
          </cell>
          <cell r="G932" t="str">
            <v>Maluku</v>
          </cell>
          <cell r="H932" t="str">
            <v>Penyangga</v>
          </cell>
          <cell r="M932">
            <v>0</v>
          </cell>
        </row>
        <row r="933">
          <cell r="D933" t="str">
            <v>Besi</v>
          </cell>
          <cell r="F933" t="str">
            <v>Maluku Tengah</v>
          </cell>
          <cell r="G933" t="str">
            <v>Maluku</v>
          </cell>
          <cell r="H933" t="str">
            <v>Penyangga</v>
          </cell>
          <cell r="M933">
            <v>0</v>
          </cell>
        </row>
        <row r="934">
          <cell r="D934" t="str">
            <v>Olong</v>
          </cell>
          <cell r="F934" t="str">
            <v>Maluku Tengah</v>
          </cell>
          <cell r="G934" t="str">
            <v>Maluku</v>
          </cell>
          <cell r="H934" t="str">
            <v>Penyangga</v>
          </cell>
          <cell r="M934">
            <v>0</v>
          </cell>
        </row>
        <row r="935">
          <cell r="D935" t="str">
            <v>Nalbessy</v>
          </cell>
          <cell r="F935" t="str">
            <v>Buru Selatan</v>
          </cell>
          <cell r="G935" t="str">
            <v>Maluku</v>
          </cell>
          <cell r="H935" t="str">
            <v>Penyangga</v>
          </cell>
          <cell r="M935">
            <v>0</v>
          </cell>
        </row>
        <row r="936">
          <cell r="D936" t="str">
            <v>Masawoy</v>
          </cell>
          <cell r="F936" t="str">
            <v>Buru Selatan</v>
          </cell>
          <cell r="G936" t="str">
            <v>Maluku</v>
          </cell>
          <cell r="H936" t="str">
            <v>Penyangga</v>
          </cell>
          <cell r="M936">
            <v>0</v>
          </cell>
        </row>
        <row r="937">
          <cell r="D937" t="str">
            <v>Negeri Lima</v>
          </cell>
          <cell r="F937" t="str">
            <v>Maluku Tengah</v>
          </cell>
          <cell r="G937" t="str">
            <v>Maluku</v>
          </cell>
          <cell r="H937" t="str">
            <v>Hub</v>
          </cell>
          <cell r="M937">
            <v>0</v>
          </cell>
        </row>
        <row r="938">
          <cell r="D938" t="str">
            <v>Hitulama</v>
          </cell>
          <cell r="F938" t="str">
            <v>Maluku Tengah</v>
          </cell>
          <cell r="G938" t="str">
            <v>Maluku</v>
          </cell>
          <cell r="H938" t="str">
            <v>Penyangga</v>
          </cell>
          <cell r="M938">
            <v>0</v>
          </cell>
        </row>
        <row r="939">
          <cell r="D939" t="str">
            <v>Nolloth</v>
          </cell>
          <cell r="F939" t="str">
            <v>Maluku Tengah</v>
          </cell>
          <cell r="G939" t="str">
            <v>Maluku</v>
          </cell>
          <cell r="H939" t="str">
            <v>Hub</v>
          </cell>
          <cell r="M939">
            <v>0</v>
          </cell>
        </row>
        <row r="940">
          <cell r="D940" t="str">
            <v>Kulur</v>
          </cell>
          <cell r="F940" t="str">
            <v>Maluku Tengah</v>
          </cell>
          <cell r="G940" t="str">
            <v>Maluku</v>
          </cell>
          <cell r="H940" t="str">
            <v>Penyangga</v>
          </cell>
          <cell r="M940">
            <v>0</v>
          </cell>
        </row>
        <row r="941">
          <cell r="D941" t="str">
            <v>Pelauw</v>
          </cell>
          <cell r="F941" t="str">
            <v>Maluku Tengah</v>
          </cell>
          <cell r="G941" t="str">
            <v>Maluku</v>
          </cell>
          <cell r="H941" t="str">
            <v>Penyangga</v>
          </cell>
          <cell r="M941">
            <v>0</v>
          </cell>
        </row>
        <row r="942">
          <cell r="D942" t="str">
            <v>Yainuelo</v>
          </cell>
          <cell r="F942" t="str">
            <v>Maluku Tengah</v>
          </cell>
          <cell r="G942" t="str">
            <v>Maluku</v>
          </cell>
          <cell r="H942" t="str">
            <v>Penyangga</v>
          </cell>
          <cell r="M942">
            <v>0</v>
          </cell>
        </row>
        <row r="943">
          <cell r="D943" t="str">
            <v>Nuwewang</v>
          </cell>
          <cell r="F943" t="str">
            <v>Maluku Barat Daya</v>
          </cell>
          <cell r="G943" t="str">
            <v>Maluku</v>
          </cell>
          <cell r="H943" t="str">
            <v>Hub</v>
          </cell>
          <cell r="M943">
            <v>0</v>
          </cell>
        </row>
        <row r="944">
          <cell r="D944" t="str">
            <v>Klis</v>
          </cell>
          <cell r="F944" t="str">
            <v>Maluku Barat Daya</v>
          </cell>
          <cell r="G944" t="str">
            <v>Maluku</v>
          </cell>
          <cell r="H944" t="str">
            <v>Penyangga</v>
          </cell>
          <cell r="M944">
            <v>0</v>
          </cell>
        </row>
        <row r="945">
          <cell r="D945" t="str">
            <v>Rutong</v>
          </cell>
          <cell r="F945" t="str">
            <v>Kota Ambon</v>
          </cell>
          <cell r="G945" t="str">
            <v>Maluku</v>
          </cell>
          <cell r="H945" t="str">
            <v>Penyangga</v>
          </cell>
          <cell r="M945">
            <v>0</v>
          </cell>
        </row>
        <row r="946">
          <cell r="D946" t="str">
            <v>Urimessing</v>
          </cell>
          <cell r="F946" t="str">
            <v>Kota Ambon</v>
          </cell>
          <cell r="G946" t="str">
            <v>Maluku</v>
          </cell>
          <cell r="H946" t="str">
            <v>Penyangga</v>
          </cell>
          <cell r="M946">
            <v>0</v>
          </cell>
        </row>
        <row r="947">
          <cell r="D947" t="str">
            <v>Latuhalat</v>
          </cell>
          <cell r="F947" t="str">
            <v>Kota Ambon</v>
          </cell>
          <cell r="G947" t="str">
            <v>Maluku</v>
          </cell>
          <cell r="H947" t="str">
            <v>Penyangga</v>
          </cell>
          <cell r="M947">
            <v>0</v>
          </cell>
        </row>
        <row r="948">
          <cell r="D948" t="str">
            <v>Laha</v>
          </cell>
          <cell r="F948" t="str">
            <v>Kota Ambon</v>
          </cell>
          <cell r="G948" t="str">
            <v>Maluku</v>
          </cell>
          <cell r="H948" t="str">
            <v>Penyangga (+cs)</v>
          </cell>
          <cell r="M948">
            <v>0</v>
          </cell>
        </row>
        <row r="949">
          <cell r="D949" t="str">
            <v>Dowora</v>
          </cell>
          <cell r="F949" t="str">
            <v>Halmahera Selatan</v>
          </cell>
          <cell r="G949" t="str">
            <v>Maluku Utara</v>
          </cell>
          <cell r="H949" t="str">
            <v>Penyangga</v>
          </cell>
          <cell r="M949">
            <v>0</v>
          </cell>
        </row>
        <row r="950">
          <cell r="D950" t="str">
            <v>Gonone</v>
          </cell>
          <cell r="F950" t="str">
            <v>Halmahera Selatan</v>
          </cell>
          <cell r="G950" t="str">
            <v>Maluku Utara</v>
          </cell>
          <cell r="H950" t="str">
            <v>Penyangga</v>
          </cell>
          <cell r="M950">
            <v>0</v>
          </cell>
        </row>
        <row r="951">
          <cell r="D951" t="str">
            <v>Kakupang</v>
          </cell>
          <cell r="F951" t="str">
            <v>Halmahera Selatan</v>
          </cell>
          <cell r="G951" t="str">
            <v>Maluku Utara</v>
          </cell>
          <cell r="H951" t="str">
            <v>Penyangga</v>
          </cell>
          <cell r="M951">
            <v>0</v>
          </cell>
        </row>
        <row r="952">
          <cell r="D952" t="str">
            <v>Pulau Gala</v>
          </cell>
          <cell r="F952" t="str">
            <v>Halmahera Selatan</v>
          </cell>
          <cell r="G952" t="str">
            <v>Maluku Utara</v>
          </cell>
          <cell r="H952" t="str">
            <v>Penyangga</v>
          </cell>
          <cell r="M952">
            <v>0</v>
          </cell>
        </row>
        <row r="953">
          <cell r="D953" t="str">
            <v>Lele</v>
          </cell>
          <cell r="F953" t="str">
            <v>Halmahera Selatan</v>
          </cell>
          <cell r="G953" t="str">
            <v>Maluku Utara</v>
          </cell>
          <cell r="H953" t="str">
            <v>Penyangga</v>
          </cell>
          <cell r="M953">
            <v>0</v>
          </cell>
        </row>
        <row r="954">
          <cell r="D954" t="str">
            <v>Sakam</v>
          </cell>
          <cell r="F954" t="str">
            <v>Halmahera Tengah</v>
          </cell>
          <cell r="G954" t="str">
            <v>Maluku Utara</v>
          </cell>
          <cell r="H954" t="str">
            <v>Hub</v>
          </cell>
          <cell r="M954">
            <v>0</v>
          </cell>
        </row>
        <row r="955">
          <cell r="D955" t="str">
            <v>Bilifitu</v>
          </cell>
          <cell r="F955" t="str">
            <v>Halmahera Tengah</v>
          </cell>
          <cell r="G955" t="str">
            <v>Maluku Utara</v>
          </cell>
          <cell r="H955" t="str">
            <v>Penyangga</v>
          </cell>
          <cell r="M955">
            <v>0</v>
          </cell>
        </row>
        <row r="956">
          <cell r="D956" t="str">
            <v>Messa</v>
          </cell>
          <cell r="F956" t="str">
            <v>Halmahera Tengah</v>
          </cell>
          <cell r="G956" t="str">
            <v>Maluku Utara</v>
          </cell>
          <cell r="H956" t="str">
            <v>Penyangga</v>
          </cell>
          <cell r="M956">
            <v>0</v>
          </cell>
        </row>
        <row r="957">
          <cell r="D957" t="str">
            <v>Sil</v>
          </cell>
          <cell r="F957" t="str">
            <v>Halmahera Timur</v>
          </cell>
          <cell r="G957" t="str">
            <v>Maluku Utara</v>
          </cell>
          <cell r="H957" t="str">
            <v>Penyangga</v>
          </cell>
          <cell r="M957">
            <v>0</v>
          </cell>
        </row>
        <row r="958">
          <cell r="D958" t="str">
            <v>Gorua</v>
          </cell>
          <cell r="F958" t="str">
            <v>Pulau Morotai</v>
          </cell>
          <cell r="G958" t="str">
            <v>Maluku Utara</v>
          </cell>
          <cell r="H958" t="str">
            <v>Penyangga</v>
          </cell>
          <cell r="M958">
            <v>0</v>
          </cell>
        </row>
        <row r="959">
          <cell r="D959" t="str">
            <v>Loleo Jaya</v>
          </cell>
          <cell r="F959" t="str">
            <v>Pulau Morotai</v>
          </cell>
          <cell r="G959" t="str">
            <v>Maluku Utara</v>
          </cell>
          <cell r="H959" t="str">
            <v>Penyangga</v>
          </cell>
          <cell r="M959">
            <v>0</v>
          </cell>
        </row>
        <row r="960">
          <cell r="D960" t="str">
            <v>Maba</v>
          </cell>
          <cell r="F960" t="str">
            <v>Pulau Morotai</v>
          </cell>
          <cell r="G960" t="str">
            <v>Maluku Utara</v>
          </cell>
          <cell r="H960" t="str">
            <v>Penyangga</v>
          </cell>
          <cell r="M960">
            <v>0</v>
          </cell>
        </row>
        <row r="961">
          <cell r="D961" t="str">
            <v>Pangeo</v>
          </cell>
          <cell r="F961" t="str">
            <v>Pulau Morotai</v>
          </cell>
          <cell r="G961" t="str">
            <v>Maluku Utara</v>
          </cell>
          <cell r="H961" t="str">
            <v>Penyangga</v>
          </cell>
          <cell r="M961">
            <v>0</v>
          </cell>
        </row>
        <row r="962">
          <cell r="D962" t="str">
            <v>Titigogoli</v>
          </cell>
          <cell r="F962" t="str">
            <v>Pulau Morotai</v>
          </cell>
          <cell r="G962" t="str">
            <v>Maluku Utara</v>
          </cell>
          <cell r="H962" t="str">
            <v>Penyangga</v>
          </cell>
          <cell r="M962">
            <v>0</v>
          </cell>
        </row>
        <row r="963">
          <cell r="D963" t="str">
            <v>Sukaraja</v>
          </cell>
          <cell r="F963" t="str">
            <v>Seram Bagian Barat</v>
          </cell>
          <cell r="G963" t="str">
            <v>Maluku</v>
          </cell>
          <cell r="H963" t="str">
            <v>Penyangga</v>
          </cell>
          <cell r="M963">
            <v>0</v>
          </cell>
        </row>
        <row r="964">
          <cell r="D964" t="str">
            <v>Kasieh</v>
          </cell>
          <cell r="F964" t="str">
            <v>Seram Bagian Barat</v>
          </cell>
          <cell r="G964" t="str">
            <v>Maluku</v>
          </cell>
          <cell r="H964" t="str">
            <v>Penyangga</v>
          </cell>
          <cell r="M964">
            <v>0</v>
          </cell>
        </row>
        <row r="965">
          <cell r="D965" t="str">
            <v>Kawa</v>
          </cell>
          <cell r="F965" t="str">
            <v>Seram Bagian Barat</v>
          </cell>
          <cell r="G965" t="str">
            <v>Maluku</v>
          </cell>
          <cell r="H965" t="str">
            <v>Penyangga</v>
          </cell>
          <cell r="M965">
            <v>0</v>
          </cell>
        </row>
        <row r="966">
          <cell r="D966" t="str">
            <v>Daruba</v>
          </cell>
          <cell r="F966" t="str">
            <v>Pulau Morotai</v>
          </cell>
          <cell r="G966" t="str">
            <v>Maluku Utara</v>
          </cell>
          <cell r="H966" t="str">
            <v>Penyangga</v>
          </cell>
          <cell r="M966">
            <v>0</v>
          </cell>
        </row>
        <row r="967">
          <cell r="D967" t="str">
            <v>Juanga</v>
          </cell>
          <cell r="F967" t="str">
            <v>Pulau Morotai</v>
          </cell>
          <cell r="G967" t="str">
            <v>Maluku Utara</v>
          </cell>
          <cell r="H967" t="str">
            <v>Penyangga</v>
          </cell>
          <cell r="M967">
            <v>0</v>
          </cell>
        </row>
        <row r="968">
          <cell r="D968" t="str">
            <v>Mandiri</v>
          </cell>
          <cell r="F968" t="str">
            <v>Pulau Morotai</v>
          </cell>
          <cell r="G968" t="str">
            <v>Maluku Utara</v>
          </cell>
          <cell r="H968" t="str">
            <v>Penyangga</v>
          </cell>
          <cell r="M968">
            <v>0</v>
          </cell>
        </row>
        <row r="969">
          <cell r="D969" t="str">
            <v>Posi-Posi</v>
          </cell>
          <cell r="F969" t="str">
            <v>Pulau Morotai</v>
          </cell>
          <cell r="G969" t="str">
            <v>Maluku Utara</v>
          </cell>
          <cell r="H969" t="str">
            <v>Penyangga</v>
          </cell>
          <cell r="M969">
            <v>0</v>
          </cell>
        </row>
        <row r="970">
          <cell r="D970" t="str">
            <v>Tiley</v>
          </cell>
          <cell r="F970" t="str">
            <v>Pulau Morotai</v>
          </cell>
          <cell r="G970" t="str">
            <v>Maluku Utara</v>
          </cell>
          <cell r="H970" t="str">
            <v>Penyangga</v>
          </cell>
          <cell r="M970">
            <v>0</v>
          </cell>
        </row>
        <row r="971">
          <cell r="D971" t="str">
            <v>Wayabula</v>
          </cell>
          <cell r="F971" t="str">
            <v>Pulau Morotai</v>
          </cell>
          <cell r="G971" t="str">
            <v>Maluku Utara</v>
          </cell>
          <cell r="H971" t="str">
            <v>Penyangga</v>
          </cell>
          <cell r="M971">
            <v>0</v>
          </cell>
        </row>
        <row r="972">
          <cell r="D972" t="str">
            <v>Adaut</v>
          </cell>
          <cell r="F972" t="str">
            <v>Kepulauan Tanimbar</v>
          </cell>
          <cell r="G972" t="str">
            <v>Maluku</v>
          </cell>
          <cell r="H972" t="str">
            <v>Penyangga (+cs)</v>
          </cell>
          <cell r="M972">
            <v>0</v>
          </cell>
        </row>
        <row r="973">
          <cell r="D973" t="str">
            <v>Wabar</v>
          </cell>
          <cell r="F973" t="str">
            <v>Kepulauan Tanimbar</v>
          </cell>
          <cell r="G973" t="str">
            <v>Maluku</v>
          </cell>
          <cell r="H973" t="str">
            <v>Penyangga</v>
          </cell>
          <cell r="M973">
            <v>0</v>
          </cell>
        </row>
        <row r="974">
          <cell r="D974" t="str">
            <v>Teineman</v>
          </cell>
          <cell r="F974" t="str">
            <v>Kepulauan Tanimbar</v>
          </cell>
          <cell r="G974" t="str">
            <v>Maluku</v>
          </cell>
          <cell r="H974" t="str">
            <v>Penyangga</v>
          </cell>
          <cell r="M974">
            <v>0</v>
          </cell>
        </row>
        <row r="975">
          <cell r="D975" t="str">
            <v>Wamlana</v>
          </cell>
          <cell r="F975" t="str">
            <v>Buru</v>
          </cell>
          <cell r="G975" t="str">
            <v>Maluku</v>
          </cell>
          <cell r="H975" t="str">
            <v>Hub</v>
          </cell>
          <cell r="M975">
            <v>0</v>
          </cell>
        </row>
        <row r="976">
          <cell r="D976" t="str">
            <v>Seith</v>
          </cell>
          <cell r="F976" t="str">
            <v>Buru</v>
          </cell>
          <cell r="G976" t="str">
            <v>Maluku</v>
          </cell>
          <cell r="H976" t="str">
            <v>Penyangga</v>
          </cell>
          <cell r="M976">
            <v>0</v>
          </cell>
        </row>
        <row r="977">
          <cell r="D977" t="str">
            <v>Majiko Tongone</v>
          </cell>
          <cell r="F977" t="str">
            <v>Halmahera Timur</v>
          </cell>
          <cell r="G977" t="str">
            <v>Maluku Utara</v>
          </cell>
          <cell r="H977" t="str">
            <v>Penyangga</v>
          </cell>
          <cell r="M977">
            <v>0</v>
          </cell>
        </row>
        <row r="978">
          <cell r="D978" t="str">
            <v>Dama</v>
          </cell>
          <cell r="F978" t="str">
            <v>Halmahera Utara</v>
          </cell>
          <cell r="G978" t="str">
            <v>Maluku Utara</v>
          </cell>
          <cell r="H978" t="str">
            <v>Penyangga</v>
          </cell>
          <cell r="M978">
            <v>0</v>
          </cell>
        </row>
        <row r="979">
          <cell r="D979" t="str">
            <v>Patlean</v>
          </cell>
          <cell r="F979" t="str">
            <v>Halmahera Timur</v>
          </cell>
          <cell r="G979" t="str">
            <v>Maluku Utara</v>
          </cell>
          <cell r="H979" t="str">
            <v>Penyangga</v>
          </cell>
          <cell r="M979">
            <v>0</v>
          </cell>
        </row>
        <row r="980">
          <cell r="D980" t="str">
            <v>Tamangil Nuhuyanat</v>
          </cell>
          <cell r="F980" t="str">
            <v>Maluku Tenggara</v>
          </cell>
          <cell r="G980" t="str">
            <v>Maluku</v>
          </cell>
          <cell r="H980" t="str">
            <v>Penyangga</v>
          </cell>
          <cell r="M980" t="str">
            <v>PT. Sapta Manuggal Karya (Menengah)</v>
          </cell>
        </row>
        <row r="981">
          <cell r="D981" t="str">
            <v>Hoor Kristen</v>
          </cell>
          <cell r="F981" t="str">
            <v>Maluku Tenggara</v>
          </cell>
          <cell r="G981" t="str">
            <v>Maluku</v>
          </cell>
          <cell r="H981" t="str">
            <v>Penyangga</v>
          </cell>
          <cell r="M981" t="str">
            <v>PT. Sapta Manuggal Karya (Menengah)</v>
          </cell>
        </row>
        <row r="982">
          <cell r="D982" t="str">
            <v>Watuar</v>
          </cell>
          <cell r="F982" t="str">
            <v>Maluku Tenggara</v>
          </cell>
          <cell r="G982" t="str">
            <v>Maluku</v>
          </cell>
          <cell r="H982" t="str">
            <v>Penyangga</v>
          </cell>
          <cell r="M982" t="str">
            <v>PT. Sapta Manuggal Karya (Menengah)</v>
          </cell>
        </row>
        <row r="983">
          <cell r="D983" t="str">
            <v>Abreso</v>
          </cell>
          <cell r="F983" t="str">
            <v>Manokwari Selatan</v>
          </cell>
          <cell r="G983" t="str">
            <v>Papua Barat</v>
          </cell>
          <cell r="H983" t="str">
            <v>Hub</v>
          </cell>
          <cell r="M983" t="str">
            <v>TNI</v>
          </cell>
        </row>
        <row r="984">
          <cell r="D984" t="str">
            <v>Bintuni Timur</v>
          </cell>
          <cell r="F984" t="str">
            <v>Teluk Bintuni</v>
          </cell>
          <cell r="G984" t="str">
            <v>Papua Barat</v>
          </cell>
          <cell r="H984" t="str">
            <v>Hub</v>
          </cell>
          <cell r="M984" t="str">
            <v>TNI</v>
          </cell>
        </row>
        <row r="985">
          <cell r="D985" t="str">
            <v>Oransbari</v>
          </cell>
          <cell r="F985" t="str">
            <v>Manokwari Selatan</v>
          </cell>
          <cell r="G985" t="str">
            <v>Papua Barat</v>
          </cell>
          <cell r="H985" t="str">
            <v>Penyangga</v>
          </cell>
          <cell r="M985" t="str">
            <v>TNI</v>
          </cell>
        </row>
        <row r="986">
          <cell r="D986" t="str">
            <v>Sowi</v>
          </cell>
          <cell r="F986" t="str">
            <v>Manokwari</v>
          </cell>
          <cell r="G986" t="str">
            <v>Papua Barat</v>
          </cell>
          <cell r="H986" t="str">
            <v>Penyangga</v>
          </cell>
          <cell r="M986" t="str">
            <v>TNI</v>
          </cell>
        </row>
        <row r="987">
          <cell r="D987" t="str">
            <v>Yekwandi</v>
          </cell>
          <cell r="F987" t="str">
            <v>Manokwari Selatan</v>
          </cell>
          <cell r="G987" t="str">
            <v>Papua Barat</v>
          </cell>
          <cell r="H987" t="str">
            <v>Penyangga</v>
          </cell>
          <cell r="M987" t="str">
            <v>TNI</v>
          </cell>
        </row>
        <row r="988">
          <cell r="D988" t="str">
            <v>Awaki</v>
          </cell>
          <cell r="F988" t="str">
            <v>Supiori</v>
          </cell>
          <cell r="G988" t="str">
            <v>Papua</v>
          </cell>
          <cell r="H988" t="str">
            <v>Hub</v>
          </cell>
          <cell r="M988" t="str">
            <v>TNI</v>
          </cell>
        </row>
        <row r="989">
          <cell r="D989" t="str">
            <v>Duber</v>
          </cell>
          <cell r="F989" t="str">
            <v>Supiori</v>
          </cell>
          <cell r="G989" t="str">
            <v>Papua</v>
          </cell>
          <cell r="H989" t="str">
            <v>Penyangga</v>
          </cell>
          <cell r="M989" t="str">
            <v>TNI</v>
          </cell>
        </row>
        <row r="990">
          <cell r="D990" t="str">
            <v>Fanindi</v>
          </cell>
          <cell r="F990" t="str">
            <v>Supiori</v>
          </cell>
          <cell r="G990" t="str">
            <v>Papua</v>
          </cell>
          <cell r="H990" t="str">
            <v>Penyangga</v>
          </cell>
          <cell r="M990" t="str">
            <v>TNI</v>
          </cell>
        </row>
        <row r="991">
          <cell r="D991" t="str">
            <v>Insumbrei</v>
          </cell>
          <cell r="F991" t="str">
            <v>Supiori</v>
          </cell>
          <cell r="G991" t="str">
            <v>Papua</v>
          </cell>
          <cell r="H991" t="str">
            <v>Penyangga</v>
          </cell>
          <cell r="M991" t="str">
            <v>TNI</v>
          </cell>
        </row>
        <row r="992">
          <cell r="D992" t="str">
            <v>Odori</v>
          </cell>
          <cell r="F992" t="str">
            <v>Supiori</v>
          </cell>
          <cell r="G992" t="str">
            <v>Papua</v>
          </cell>
          <cell r="H992" t="str">
            <v>Penyangga</v>
          </cell>
          <cell r="M992" t="str">
            <v>TNI</v>
          </cell>
        </row>
        <row r="993">
          <cell r="D993" t="str">
            <v>Rayori</v>
          </cell>
          <cell r="F993" t="str">
            <v>Supiori</v>
          </cell>
          <cell r="G993" t="str">
            <v>Papua</v>
          </cell>
          <cell r="H993" t="str">
            <v>Penyangga</v>
          </cell>
          <cell r="M993" t="str">
            <v>TNI</v>
          </cell>
        </row>
        <row r="994">
          <cell r="D994" t="str">
            <v>Wombonda</v>
          </cell>
          <cell r="F994" t="str">
            <v>Supiori</v>
          </cell>
          <cell r="G994" t="str">
            <v>Papua</v>
          </cell>
          <cell r="H994" t="str">
            <v>Penyangga</v>
          </cell>
          <cell r="M994" t="str">
            <v>TNI</v>
          </cell>
        </row>
        <row r="995">
          <cell r="D995" t="str">
            <v>Barawai</v>
          </cell>
          <cell r="F995" t="str">
            <v>Kepulauan Yapen</v>
          </cell>
          <cell r="G995" t="str">
            <v>Papua</v>
          </cell>
          <cell r="H995" t="str">
            <v>Penyangga</v>
          </cell>
          <cell r="M995" t="str">
            <v>TNI</v>
          </cell>
        </row>
        <row r="996">
          <cell r="D996" t="str">
            <v>Warembori</v>
          </cell>
          <cell r="F996" t="str">
            <v>Mamberamo Raya</v>
          </cell>
          <cell r="G996" t="str">
            <v>Papua</v>
          </cell>
          <cell r="H996" t="str">
            <v>Hub</v>
          </cell>
          <cell r="M996" t="str">
            <v>TNI</v>
          </cell>
        </row>
        <row r="997">
          <cell r="D997" t="str">
            <v>Kaipuri</v>
          </cell>
          <cell r="F997" t="str">
            <v>Kepulauan Yapen</v>
          </cell>
          <cell r="G997" t="str">
            <v>Papua</v>
          </cell>
          <cell r="H997" t="str">
            <v>Penyangga</v>
          </cell>
          <cell r="M997" t="str">
            <v>TNI</v>
          </cell>
        </row>
        <row r="998">
          <cell r="D998" t="str">
            <v>Mnukwar</v>
          </cell>
          <cell r="F998" t="str">
            <v>Kepulauan Yapen</v>
          </cell>
          <cell r="G998" t="str">
            <v>Papua</v>
          </cell>
          <cell r="H998" t="str">
            <v>Penyangga</v>
          </cell>
          <cell r="M998" t="str">
            <v>TNI</v>
          </cell>
        </row>
        <row r="999">
          <cell r="D999" t="str">
            <v>Poiwai</v>
          </cell>
          <cell r="F999" t="str">
            <v>Mamberamo Raya</v>
          </cell>
          <cell r="G999" t="str">
            <v>Papua</v>
          </cell>
          <cell r="H999" t="str">
            <v>Penyangga</v>
          </cell>
          <cell r="M999" t="str">
            <v>TNI</v>
          </cell>
        </row>
        <row r="1000">
          <cell r="D1000" t="str">
            <v>Tamakuri</v>
          </cell>
          <cell r="F1000" t="str">
            <v>Mamberamo Raya</v>
          </cell>
          <cell r="G1000" t="str">
            <v>Papua</v>
          </cell>
          <cell r="H1000" t="str">
            <v>Penyangga</v>
          </cell>
          <cell r="M1000" t="str">
            <v>TNI</v>
          </cell>
        </row>
        <row r="1001">
          <cell r="D1001" t="str">
            <v>Andamata</v>
          </cell>
          <cell r="F1001" t="str">
            <v>Fak Fak</v>
          </cell>
          <cell r="G1001" t="str">
            <v>Papua Barat</v>
          </cell>
          <cell r="H1001" t="str">
            <v>Penyangga</v>
          </cell>
          <cell r="M1001" t="str">
            <v>TNI</v>
          </cell>
        </row>
        <row r="1002">
          <cell r="D1002" t="str">
            <v>Coa</v>
          </cell>
          <cell r="F1002" t="str">
            <v>Kaimana</v>
          </cell>
          <cell r="G1002" t="str">
            <v>Papua Barat</v>
          </cell>
          <cell r="H1002" t="str">
            <v>Hub</v>
          </cell>
          <cell r="M1002" t="str">
            <v>TNI</v>
          </cell>
        </row>
        <row r="1003">
          <cell r="D1003" t="str">
            <v>Danaweria</v>
          </cell>
          <cell r="F1003" t="str">
            <v>Fak Fak</v>
          </cell>
          <cell r="G1003" t="str">
            <v>Papua Barat</v>
          </cell>
          <cell r="H1003" t="str">
            <v>Hub</v>
          </cell>
          <cell r="M1003" t="str">
            <v>TNI</v>
          </cell>
        </row>
        <row r="1004">
          <cell r="D1004" t="str">
            <v>Bisa</v>
          </cell>
          <cell r="F1004" t="str">
            <v>Fak Fak</v>
          </cell>
          <cell r="G1004" t="str">
            <v>Papua Barat</v>
          </cell>
          <cell r="H1004" t="str">
            <v>Penyangga</v>
          </cell>
          <cell r="M1004" t="str">
            <v>TNI</v>
          </cell>
        </row>
        <row r="1005">
          <cell r="D1005" t="str">
            <v>Offie</v>
          </cell>
          <cell r="F1005" t="str">
            <v>Fak Fak</v>
          </cell>
          <cell r="G1005" t="str">
            <v>Papua Barat</v>
          </cell>
          <cell r="H1005" t="str">
            <v>Penyangga</v>
          </cell>
          <cell r="M1005" t="str">
            <v>TNI</v>
          </cell>
        </row>
        <row r="1006">
          <cell r="D1006" t="str">
            <v>Finyabor</v>
          </cell>
          <cell r="F1006" t="str">
            <v>Sarmi</v>
          </cell>
          <cell r="G1006" t="str">
            <v>Papua</v>
          </cell>
          <cell r="H1006" t="str">
            <v>Hub</v>
          </cell>
          <cell r="M1006" t="str">
            <v>TNI</v>
          </cell>
        </row>
        <row r="1007">
          <cell r="D1007" t="str">
            <v>Armopa</v>
          </cell>
          <cell r="F1007" t="str">
            <v>Sarmi</v>
          </cell>
          <cell r="G1007" t="str">
            <v>Papua</v>
          </cell>
          <cell r="H1007" t="str">
            <v>Penyangga</v>
          </cell>
          <cell r="M1007" t="str">
            <v>TNI</v>
          </cell>
        </row>
        <row r="1008">
          <cell r="D1008" t="str">
            <v>Bagaiserwar Dua</v>
          </cell>
          <cell r="F1008" t="str">
            <v>Sarmi</v>
          </cell>
          <cell r="G1008" t="str">
            <v>Papua</v>
          </cell>
          <cell r="H1008" t="str">
            <v>Penyangga</v>
          </cell>
          <cell r="M1008" t="str">
            <v>TNI</v>
          </cell>
        </row>
        <row r="1009">
          <cell r="D1009" t="str">
            <v>Betaf</v>
          </cell>
          <cell r="F1009" t="str">
            <v>Sarmi</v>
          </cell>
          <cell r="G1009" t="str">
            <v>Papua</v>
          </cell>
          <cell r="H1009" t="str">
            <v>Penyangga</v>
          </cell>
          <cell r="M1009" t="str">
            <v>TNI</v>
          </cell>
        </row>
        <row r="1010">
          <cell r="D1010" t="str">
            <v>Krim Podena</v>
          </cell>
          <cell r="F1010" t="str">
            <v>Sarmi</v>
          </cell>
          <cell r="G1010" t="str">
            <v>Papua</v>
          </cell>
          <cell r="H1010" t="str">
            <v>Penyangga</v>
          </cell>
          <cell r="M1010" t="str">
            <v>TNI</v>
          </cell>
        </row>
        <row r="1011">
          <cell r="D1011" t="str">
            <v>Tambrawar</v>
          </cell>
          <cell r="F1011" t="str">
            <v>Sarmi</v>
          </cell>
          <cell r="G1011" t="str">
            <v>Papua</v>
          </cell>
          <cell r="H1011" t="str">
            <v>Penyangga</v>
          </cell>
          <cell r="M1011" t="str">
            <v>TNI</v>
          </cell>
        </row>
        <row r="1012">
          <cell r="D1012" t="str">
            <v>Tarontha Srum</v>
          </cell>
          <cell r="F1012" t="str">
            <v>Sarmi</v>
          </cell>
          <cell r="G1012" t="str">
            <v>Papua</v>
          </cell>
          <cell r="H1012" t="str">
            <v>Penyangga</v>
          </cell>
          <cell r="M1012" t="str">
            <v>TNI</v>
          </cell>
        </row>
        <row r="1013">
          <cell r="D1013" t="str">
            <v>Bariwaro</v>
          </cell>
          <cell r="F1013" t="str">
            <v>Mamberamo Raya</v>
          </cell>
          <cell r="G1013" t="str">
            <v>Papua</v>
          </cell>
          <cell r="H1013" t="str">
            <v>Penyangga</v>
          </cell>
          <cell r="M1013" t="str">
            <v>TNI</v>
          </cell>
        </row>
        <row r="1014">
          <cell r="D1014" t="str">
            <v>Ghoyui</v>
          </cell>
          <cell r="F1014" t="str">
            <v>Waropen</v>
          </cell>
          <cell r="G1014" t="str">
            <v>Papua</v>
          </cell>
          <cell r="H1014" t="str">
            <v>Penyangga</v>
          </cell>
          <cell r="M1014" t="str">
            <v>TNI</v>
          </cell>
        </row>
        <row r="1015">
          <cell r="D1015" t="str">
            <v>Nadofoai</v>
          </cell>
          <cell r="F1015" t="str">
            <v>Mamberamo Raya</v>
          </cell>
          <cell r="G1015" t="str">
            <v>Papua</v>
          </cell>
          <cell r="H1015" t="str">
            <v>Penyangga</v>
          </cell>
          <cell r="M1015" t="str">
            <v>TNI</v>
          </cell>
        </row>
        <row r="1016">
          <cell r="D1016" t="str">
            <v>Nau</v>
          </cell>
          <cell r="F1016" t="str">
            <v>Waropen</v>
          </cell>
          <cell r="G1016" t="str">
            <v>Papua</v>
          </cell>
          <cell r="H1016" t="str">
            <v>Penyangga</v>
          </cell>
          <cell r="M1016" t="str">
            <v>TNI</v>
          </cell>
        </row>
        <row r="1017">
          <cell r="D1017" t="str">
            <v>Nonomi</v>
          </cell>
          <cell r="F1017" t="str">
            <v>Waropen</v>
          </cell>
          <cell r="G1017" t="str">
            <v>Papua</v>
          </cell>
          <cell r="H1017" t="str">
            <v>Penyangga</v>
          </cell>
          <cell r="M1017" t="str">
            <v>TNI</v>
          </cell>
        </row>
        <row r="1018">
          <cell r="D1018" t="str">
            <v>Ronarai</v>
          </cell>
          <cell r="F1018" t="str">
            <v>Waropen</v>
          </cell>
          <cell r="G1018" t="str">
            <v>Papua</v>
          </cell>
          <cell r="H1018" t="str">
            <v>Penyangga</v>
          </cell>
          <cell r="M1018" t="str">
            <v>TNI</v>
          </cell>
        </row>
        <row r="1019">
          <cell r="D1019" t="str">
            <v>Sarafambai</v>
          </cell>
          <cell r="F1019" t="str">
            <v>Waropen</v>
          </cell>
          <cell r="G1019" t="str">
            <v>Papua</v>
          </cell>
          <cell r="H1019" t="str">
            <v>Penyangga</v>
          </cell>
          <cell r="M1019" t="str">
            <v>TNI</v>
          </cell>
        </row>
        <row r="1020">
          <cell r="D1020" t="str">
            <v>Ureifaisei I/Sanggae</v>
          </cell>
          <cell r="F1020" t="str">
            <v>Waropen</v>
          </cell>
          <cell r="G1020" t="str">
            <v>Papua</v>
          </cell>
          <cell r="H1020" t="str">
            <v>Penyangga</v>
          </cell>
          <cell r="M1020" t="str">
            <v>TNI</v>
          </cell>
        </row>
        <row r="1021">
          <cell r="D1021" t="str">
            <v>Inowa</v>
          </cell>
          <cell r="F1021" t="str">
            <v>Kepulauan Yapen</v>
          </cell>
          <cell r="G1021" t="str">
            <v>Papua</v>
          </cell>
          <cell r="H1021" t="str">
            <v>Hub</v>
          </cell>
          <cell r="M1021" t="str">
            <v>TNI</v>
          </cell>
        </row>
        <row r="1022">
          <cell r="D1022" t="str">
            <v>Jaimaria</v>
          </cell>
          <cell r="F1022" t="str">
            <v>Kepulauan Yapen</v>
          </cell>
          <cell r="G1022" t="str">
            <v>Papua</v>
          </cell>
          <cell r="H1022" t="str">
            <v>Penyangga</v>
          </cell>
          <cell r="M1022" t="str">
            <v>TNI</v>
          </cell>
        </row>
        <row r="1023">
          <cell r="D1023" t="str">
            <v>Maniri</v>
          </cell>
          <cell r="F1023" t="str">
            <v>Kepulauan Yapen</v>
          </cell>
          <cell r="G1023" t="str">
            <v>Papua</v>
          </cell>
          <cell r="H1023" t="str">
            <v>Penyangga</v>
          </cell>
          <cell r="M1023" t="str">
            <v>TNI</v>
          </cell>
        </row>
        <row r="1024">
          <cell r="D1024" t="str">
            <v>Woiwani</v>
          </cell>
          <cell r="F1024" t="str">
            <v>Kepulauan Yapen</v>
          </cell>
          <cell r="G1024" t="str">
            <v>Papua</v>
          </cell>
          <cell r="H1024" t="str">
            <v>Penyangga</v>
          </cell>
          <cell r="M1024" t="str">
            <v>TNI</v>
          </cell>
        </row>
        <row r="1025">
          <cell r="D1025" t="str">
            <v>Bakasai</v>
          </cell>
          <cell r="F1025" t="str">
            <v>Asmat</v>
          </cell>
          <cell r="G1025" t="str">
            <v>Papua Selatan</v>
          </cell>
          <cell r="H1025" t="str">
            <v>Hub</v>
          </cell>
          <cell r="M1025" t="str">
            <v>TNI</v>
          </cell>
        </row>
        <row r="1026">
          <cell r="D1026" t="str">
            <v>Atapo</v>
          </cell>
          <cell r="F1026" t="str">
            <v>Mimika</v>
          </cell>
          <cell r="G1026" t="str">
            <v>Papua Tengah</v>
          </cell>
          <cell r="H1026" t="str">
            <v>Penyangga</v>
          </cell>
          <cell r="M1026" t="str">
            <v>TNI</v>
          </cell>
        </row>
        <row r="1027">
          <cell r="D1027" t="str">
            <v>Beriten</v>
          </cell>
          <cell r="F1027" t="str">
            <v>Asmat</v>
          </cell>
          <cell r="G1027" t="str">
            <v>Papua Selatan</v>
          </cell>
          <cell r="H1027" t="str">
            <v>Penyangga</v>
          </cell>
          <cell r="M1027" t="str">
            <v>TNI</v>
          </cell>
        </row>
        <row r="1028">
          <cell r="D1028" t="str">
            <v>Jufri</v>
          </cell>
          <cell r="F1028" t="str">
            <v>Asmat</v>
          </cell>
          <cell r="G1028" t="str">
            <v>Papua Selatan</v>
          </cell>
          <cell r="H1028" t="str">
            <v>Penyangga</v>
          </cell>
          <cell r="M1028" t="str">
            <v>TNI</v>
          </cell>
        </row>
        <row r="1029">
          <cell r="D1029" t="str">
            <v>Kayo Batu</v>
          </cell>
          <cell r="F1029" t="str">
            <v>Kota Jayapura</v>
          </cell>
          <cell r="G1029" t="str">
            <v>Papua</v>
          </cell>
          <cell r="H1029" t="str">
            <v>Hub</v>
          </cell>
          <cell r="M1029" t="str">
            <v>TNI</v>
          </cell>
        </row>
        <row r="1030">
          <cell r="D1030" t="str">
            <v>Doromena</v>
          </cell>
          <cell r="F1030" t="str">
            <v>Jayapura</v>
          </cell>
          <cell r="G1030" t="str">
            <v>Papua</v>
          </cell>
          <cell r="H1030" t="str">
            <v>Penyangga</v>
          </cell>
          <cell r="M1030" t="str">
            <v>TNI</v>
          </cell>
        </row>
        <row r="1031">
          <cell r="D1031" t="str">
            <v>Maruwai</v>
          </cell>
          <cell r="F1031" t="str">
            <v>Jayapura</v>
          </cell>
          <cell r="G1031" t="str">
            <v>Papua</v>
          </cell>
          <cell r="H1031" t="str">
            <v>Penyangga</v>
          </cell>
          <cell r="M1031" t="str">
            <v>TNI</v>
          </cell>
        </row>
        <row r="1032">
          <cell r="D1032" t="str">
            <v>Kiriyou</v>
          </cell>
          <cell r="F1032" t="str">
            <v>Kepulauan Yapen</v>
          </cell>
          <cell r="G1032" t="str">
            <v>Papua</v>
          </cell>
          <cell r="H1032" t="str">
            <v>Penyangga</v>
          </cell>
          <cell r="M1032" t="str">
            <v>TNI</v>
          </cell>
        </row>
        <row r="1033">
          <cell r="D1033" t="str">
            <v>Soromasen</v>
          </cell>
          <cell r="F1033" t="str">
            <v>Kepulauan Yapen</v>
          </cell>
          <cell r="G1033" t="str">
            <v>Papua</v>
          </cell>
          <cell r="H1033" t="str">
            <v>Hub</v>
          </cell>
          <cell r="M1033" t="str">
            <v>TNI</v>
          </cell>
        </row>
        <row r="1034">
          <cell r="D1034" t="str">
            <v>Kornasoren</v>
          </cell>
          <cell r="F1034" t="str">
            <v>Biak Numfor</v>
          </cell>
          <cell r="G1034" t="str">
            <v>Papua</v>
          </cell>
          <cell r="H1034" t="str">
            <v>Hub</v>
          </cell>
          <cell r="M1034" t="str">
            <v>TNI</v>
          </cell>
        </row>
        <row r="1035">
          <cell r="D1035" t="str">
            <v>Mandori</v>
          </cell>
          <cell r="F1035" t="str">
            <v>Biak Numfor</v>
          </cell>
          <cell r="G1035" t="str">
            <v>Papua</v>
          </cell>
          <cell r="H1035" t="str">
            <v>Penyangga</v>
          </cell>
          <cell r="M1035" t="str">
            <v>TNI</v>
          </cell>
        </row>
        <row r="1036">
          <cell r="D1036" t="str">
            <v>Pyefuri</v>
          </cell>
          <cell r="F1036" t="str">
            <v>Biak Numfor</v>
          </cell>
          <cell r="G1036" t="str">
            <v>Papua</v>
          </cell>
          <cell r="H1036" t="str">
            <v>Penyangga</v>
          </cell>
          <cell r="M1036" t="str">
            <v>TNI</v>
          </cell>
        </row>
        <row r="1037">
          <cell r="D1037" t="str">
            <v>Serbin</v>
          </cell>
          <cell r="F1037" t="str">
            <v>Biak Numfor</v>
          </cell>
          <cell r="G1037" t="str">
            <v>Papua</v>
          </cell>
          <cell r="H1037" t="str">
            <v>Penyangga</v>
          </cell>
          <cell r="M1037" t="str">
            <v>TNI</v>
          </cell>
        </row>
        <row r="1038">
          <cell r="D1038" t="str">
            <v>Bareraif</v>
          </cell>
          <cell r="F1038" t="str">
            <v>Kepulauan Yapen</v>
          </cell>
          <cell r="G1038" t="str">
            <v>Papua</v>
          </cell>
          <cell r="H1038" t="str">
            <v>Penyangga</v>
          </cell>
          <cell r="M1038" t="str">
            <v>TNI</v>
          </cell>
        </row>
        <row r="1039">
          <cell r="D1039" t="str">
            <v>Korombobi</v>
          </cell>
          <cell r="F1039" t="str">
            <v>Kepulauan Yapen</v>
          </cell>
          <cell r="G1039" t="str">
            <v>Papua</v>
          </cell>
          <cell r="H1039" t="str">
            <v>Penyangga</v>
          </cell>
          <cell r="M1039" t="str">
            <v>TNI</v>
          </cell>
        </row>
        <row r="1040">
          <cell r="D1040" t="str">
            <v>Ampimoi</v>
          </cell>
          <cell r="F1040" t="str">
            <v>Kepulauan Yapen</v>
          </cell>
          <cell r="G1040" t="str">
            <v>Papua</v>
          </cell>
          <cell r="H1040" t="str">
            <v>Penyangga</v>
          </cell>
          <cell r="M1040" t="str">
            <v>TNI</v>
          </cell>
        </row>
        <row r="1041">
          <cell r="D1041" t="str">
            <v>Marsram</v>
          </cell>
          <cell r="F1041" t="str">
            <v>Supiori</v>
          </cell>
          <cell r="G1041" t="str">
            <v>Papua</v>
          </cell>
          <cell r="H1041" t="str">
            <v>Hub</v>
          </cell>
          <cell r="M1041" t="str">
            <v>TNI</v>
          </cell>
        </row>
        <row r="1042">
          <cell r="D1042" t="str">
            <v>Ampunbukor</v>
          </cell>
          <cell r="F1042" t="str">
            <v>Biak Numfor</v>
          </cell>
          <cell r="G1042" t="str">
            <v>Papua</v>
          </cell>
          <cell r="H1042" t="str">
            <v>Penyangga</v>
          </cell>
          <cell r="M1042" t="str">
            <v>TNI</v>
          </cell>
        </row>
        <row r="1043">
          <cell r="D1043" t="str">
            <v>Douwbo</v>
          </cell>
          <cell r="F1043" t="str">
            <v>Supiori</v>
          </cell>
          <cell r="G1043" t="str">
            <v>Papua</v>
          </cell>
          <cell r="H1043" t="str">
            <v>Penyangga</v>
          </cell>
          <cell r="M1043" t="str">
            <v>TNI</v>
          </cell>
        </row>
        <row r="1044">
          <cell r="D1044" t="str">
            <v>Waryesi</v>
          </cell>
          <cell r="F1044" t="str">
            <v>Supiori</v>
          </cell>
          <cell r="G1044" t="str">
            <v>Papua</v>
          </cell>
          <cell r="H1044" t="str">
            <v>Penyangga</v>
          </cell>
          <cell r="M1044" t="str">
            <v>TNI</v>
          </cell>
        </row>
        <row r="1045">
          <cell r="D1045" t="str">
            <v>Yenbepioper</v>
          </cell>
          <cell r="F1045" t="str">
            <v>Biak Numfor</v>
          </cell>
          <cell r="G1045" t="str">
            <v>Papua</v>
          </cell>
          <cell r="H1045" t="str">
            <v>Penyangga</v>
          </cell>
          <cell r="M1045" t="str">
            <v>TNI</v>
          </cell>
        </row>
        <row r="1046">
          <cell r="D1046" t="str">
            <v>Ausem</v>
          </cell>
          <cell r="F1046" t="str">
            <v>Kepulauan Yapen</v>
          </cell>
          <cell r="G1046" t="str">
            <v>Papua</v>
          </cell>
          <cell r="H1046" t="str">
            <v>Penyangga</v>
          </cell>
          <cell r="M1046" t="str">
            <v>TNI</v>
          </cell>
        </row>
        <row r="1047">
          <cell r="D1047" t="str">
            <v>Miosnum</v>
          </cell>
          <cell r="F1047" t="str">
            <v>Kepulauan Yapen</v>
          </cell>
          <cell r="G1047" t="str">
            <v>Papua</v>
          </cell>
          <cell r="H1047" t="str">
            <v>Penyangga</v>
          </cell>
          <cell r="M1047" t="str">
            <v>TNI</v>
          </cell>
        </row>
        <row r="1048">
          <cell r="D1048" t="str">
            <v>Woinap</v>
          </cell>
          <cell r="F1048" t="str">
            <v>Kepulauan Yapen</v>
          </cell>
          <cell r="G1048" t="str">
            <v>Papua</v>
          </cell>
          <cell r="H1048" t="str">
            <v>Hub</v>
          </cell>
          <cell r="M1048" t="str">
            <v>TNI</v>
          </cell>
        </row>
        <row r="1049">
          <cell r="D1049" t="str">
            <v>Mnuswor</v>
          </cell>
          <cell r="F1049" t="str">
            <v>Biak Numfor</v>
          </cell>
          <cell r="G1049" t="str">
            <v>Papua</v>
          </cell>
          <cell r="H1049" t="str">
            <v>Hub</v>
          </cell>
          <cell r="M1049" t="str">
            <v>TNI</v>
          </cell>
        </row>
        <row r="1050">
          <cell r="D1050" t="str">
            <v>Bosnabraidi</v>
          </cell>
          <cell r="F1050" t="str">
            <v>Biak Numfor</v>
          </cell>
          <cell r="G1050" t="str">
            <v>Papua</v>
          </cell>
          <cell r="H1050" t="str">
            <v>Penyangga</v>
          </cell>
          <cell r="M1050" t="str">
            <v>TNI</v>
          </cell>
        </row>
        <row r="1051">
          <cell r="D1051" t="str">
            <v>Sawai</v>
          </cell>
          <cell r="F1051" t="str">
            <v>Biak Numfor</v>
          </cell>
          <cell r="G1051" t="str">
            <v>Papua</v>
          </cell>
          <cell r="H1051" t="str">
            <v>Penyangga</v>
          </cell>
          <cell r="M1051" t="str">
            <v>TNI</v>
          </cell>
        </row>
        <row r="1052">
          <cell r="D1052" t="str">
            <v>Yobdi</v>
          </cell>
          <cell r="F1052" t="str">
            <v>Biak Numfor</v>
          </cell>
          <cell r="G1052" t="str">
            <v>Papua</v>
          </cell>
          <cell r="H1052" t="str">
            <v>Penyangga</v>
          </cell>
          <cell r="M1052" t="str">
            <v>TNI</v>
          </cell>
        </row>
        <row r="1053">
          <cell r="D1053" t="str">
            <v>Munggui</v>
          </cell>
          <cell r="F1053" t="str">
            <v>Kepulauan Yapen</v>
          </cell>
          <cell r="G1053" t="str">
            <v>Papua</v>
          </cell>
          <cell r="H1053" t="str">
            <v>Penyangga</v>
          </cell>
          <cell r="M1053" t="str">
            <v>TNI</v>
          </cell>
        </row>
        <row r="1054">
          <cell r="D1054" t="str">
            <v>Nurawi</v>
          </cell>
          <cell r="F1054" t="str">
            <v>Kepulauan Yapen</v>
          </cell>
          <cell r="G1054" t="str">
            <v>Papua</v>
          </cell>
          <cell r="H1054" t="str">
            <v>Penyangga</v>
          </cell>
          <cell r="M1054" t="str">
            <v>TNI</v>
          </cell>
        </row>
        <row r="1055">
          <cell r="D1055" t="str">
            <v>Muris Kecil</v>
          </cell>
          <cell r="F1055" t="str">
            <v>Jayapura</v>
          </cell>
          <cell r="G1055" t="str">
            <v>Papua</v>
          </cell>
          <cell r="H1055" t="str">
            <v>Hub</v>
          </cell>
          <cell r="M1055" t="str">
            <v>TNI</v>
          </cell>
        </row>
        <row r="1056">
          <cell r="D1056" t="str">
            <v>Ambora</v>
          </cell>
          <cell r="F1056" t="str">
            <v>Jayapura</v>
          </cell>
          <cell r="G1056" t="str">
            <v>Papua</v>
          </cell>
          <cell r="H1056" t="str">
            <v>Penyangga</v>
          </cell>
          <cell r="M1056" t="str">
            <v>TNI</v>
          </cell>
        </row>
        <row r="1057">
          <cell r="D1057" t="str">
            <v>Kamdera</v>
          </cell>
          <cell r="F1057" t="str">
            <v>Jayapura</v>
          </cell>
          <cell r="G1057" t="str">
            <v>Papua</v>
          </cell>
          <cell r="H1057" t="str">
            <v>Penyangga</v>
          </cell>
          <cell r="M1057" t="str">
            <v>TNI</v>
          </cell>
        </row>
        <row r="1058">
          <cell r="D1058" t="str">
            <v>Kendate</v>
          </cell>
          <cell r="F1058" t="str">
            <v>Jayapura</v>
          </cell>
          <cell r="G1058" t="str">
            <v>Papua</v>
          </cell>
          <cell r="H1058" t="str">
            <v>Penyangga</v>
          </cell>
          <cell r="M1058" t="str">
            <v>TNI</v>
          </cell>
        </row>
        <row r="1059">
          <cell r="D1059" t="str">
            <v>Meukisi</v>
          </cell>
          <cell r="F1059" t="str">
            <v>Jayapura</v>
          </cell>
          <cell r="G1059" t="str">
            <v>Papua</v>
          </cell>
          <cell r="H1059" t="str">
            <v>Penyangga</v>
          </cell>
          <cell r="M1059" t="str">
            <v>TNI</v>
          </cell>
        </row>
        <row r="1060">
          <cell r="D1060" t="str">
            <v>Muaif</v>
          </cell>
          <cell r="F1060" t="str">
            <v>Jayapura</v>
          </cell>
          <cell r="G1060" t="str">
            <v>Papua</v>
          </cell>
          <cell r="H1060" t="str">
            <v>Penyangga</v>
          </cell>
          <cell r="M1060" t="str">
            <v>TNI</v>
          </cell>
        </row>
        <row r="1061">
          <cell r="D1061" t="str">
            <v>Yakore</v>
          </cell>
          <cell r="F1061" t="str">
            <v>Jayapura</v>
          </cell>
          <cell r="G1061" t="str">
            <v>Papua</v>
          </cell>
          <cell r="H1061" t="str">
            <v>Penyangga</v>
          </cell>
          <cell r="M1061" t="str">
            <v>TNI</v>
          </cell>
        </row>
        <row r="1062">
          <cell r="D1062" t="str">
            <v>Yougapsa</v>
          </cell>
          <cell r="F1062" t="str">
            <v>Jayapura</v>
          </cell>
          <cell r="G1062" t="str">
            <v>Papua</v>
          </cell>
          <cell r="H1062" t="str">
            <v>Penyangga</v>
          </cell>
          <cell r="M1062" t="str">
            <v>TNI</v>
          </cell>
        </row>
        <row r="1063">
          <cell r="D1063" t="str">
            <v>Rufei</v>
          </cell>
          <cell r="F1063" t="str">
            <v>Kota Sorong</v>
          </cell>
          <cell r="G1063" t="str">
            <v>Papua Barat Daya</v>
          </cell>
          <cell r="H1063" t="str">
            <v>Hub</v>
          </cell>
          <cell r="M1063" t="str">
            <v>TNI</v>
          </cell>
        </row>
        <row r="1064">
          <cell r="D1064" t="str">
            <v>Sau Uram</v>
          </cell>
          <cell r="F1064" t="str">
            <v>Tambrauw</v>
          </cell>
          <cell r="G1064" t="str">
            <v>Papua Barat Daya</v>
          </cell>
          <cell r="H1064" t="str">
            <v>Hub</v>
          </cell>
          <cell r="M1064" t="str">
            <v>TNI</v>
          </cell>
        </row>
        <row r="1065">
          <cell r="D1065" t="str">
            <v>Kumbe</v>
          </cell>
          <cell r="F1065" t="str">
            <v>Merauke</v>
          </cell>
          <cell r="G1065" t="str">
            <v>Papua Selatan</v>
          </cell>
          <cell r="H1065" t="str">
            <v>Hub</v>
          </cell>
          <cell r="M1065" t="str">
            <v>TNI</v>
          </cell>
        </row>
        <row r="1066">
          <cell r="D1066" t="str">
            <v>Domande</v>
          </cell>
          <cell r="F1066" t="str">
            <v>Merauke</v>
          </cell>
          <cell r="G1066" t="str">
            <v>Papua Selatan</v>
          </cell>
          <cell r="H1066" t="str">
            <v>Penyangga</v>
          </cell>
          <cell r="M1066" t="str">
            <v>TNI</v>
          </cell>
        </row>
        <row r="1067">
          <cell r="D1067" t="str">
            <v>Urumb</v>
          </cell>
          <cell r="F1067" t="str">
            <v>Merauke</v>
          </cell>
          <cell r="G1067" t="str">
            <v>Papua Selatan</v>
          </cell>
          <cell r="H1067" t="str">
            <v>Penyangga</v>
          </cell>
          <cell r="M1067" t="str">
            <v>TNI</v>
          </cell>
        </row>
        <row r="1068">
          <cell r="D1068" t="str">
            <v>Siriwini</v>
          </cell>
          <cell r="F1068" t="str">
            <v>Nabire</v>
          </cell>
          <cell r="G1068" t="str">
            <v>Papua Tengah</v>
          </cell>
          <cell r="H1068" t="str">
            <v>Hub</v>
          </cell>
          <cell r="M1068" t="str">
            <v>TNI</v>
          </cell>
        </row>
        <row r="1069">
          <cell r="D1069" t="str">
            <v>Wapoga</v>
          </cell>
          <cell r="F1069" t="str">
            <v>Waropen</v>
          </cell>
          <cell r="G1069" t="str">
            <v>Papua</v>
          </cell>
          <cell r="H1069" t="str">
            <v>Penyangga</v>
          </cell>
          <cell r="M1069" t="str">
            <v>TNI</v>
          </cell>
        </row>
        <row r="1070">
          <cell r="D1070" t="str">
            <v>Weinami</v>
          </cell>
          <cell r="F1070" t="str">
            <v>Nabire</v>
          </cell>
          <cell r="G1070" t="str">
            <v>Papua Tengah</v>
          </cell>
          <cell r="H1070" t="str">
            <v>Penyangga</v>
          </cell>
          <cell r="M1070" t="str">
            <v>TNI</v>
          </cell>
        </row>
        <row r="1071">
          <cell r="D1071" t="str">
            <v>Somiangga</v>
          </cell>
          <cell r="F1071" t="str">
            <v>Waropen</v>
          </cell>
          <cell r="G1071" t="str">
            <v>Papua</v>
          </cell>
          <cell r="H1071" t="str">
            <v>Penyangga</v>
          </cell>
          <cell r="M1071" t="str">
            <v>TNI</v>
          </cell>
        </row>
        <row r="1072">
          <cell r="D1072" t="str">
            <v>Sumuraman</v>
          </cell>
          <cell r="F1072" t="str">
            <v>Mappi</v>
          </cell>
          <cell r="G1072" t="str">
            <v>Papua Selatan</v>
          </cell>
          <cell r="H1072" t="str">
            <v>Hub</v>
          </cell>
          <cell r="M1072" t="str">
            <v>TNI</v>
          </cell>
        </row>
        <row r="1073">
          <cell r="D1073" t="str">
            <v>Mur</v>
          </cell>
          <cell r="F1073" t="str">
            <v>Mappi</v>
          </cell>
          <cell r="G1073" t="str">
            <v>Papua Selatan</v>
          </cell>
          <cell r="H1073" t="str">
            <v>Penyangga</v>
          </cell>
          <cell r="M1073" t="str">
            <v>TNI</v>
          </cell>
        </row>
        <row r="1074">
          <cell r="D1074" t="str">
            <v>Wagin</v>
          </cell>
          <cell r="F1074" t="str">
            <v>Mappi</v>
          </cell>
          <cell r="G1074" t="str">
            <v>Papua Selatan</v>
          </cell>
          <cell r="H1074" t="str">
            <v>Penyangga</v>
          </cell>
          <cell r="M1074" t="str">
            <v>TNI</v>
          </cell>
        </row>
        <row r="1075">
          <cell r="D1075" t="str">
            <v>Tanjung Barari</v>
          </cell>
          <cell r="F1075" t="str">
            <v>Biak Numfor</v>
          </cell>
          <cell r="G1075" t="str">
            <v>Papua</v>
          </cell>
          <cell r="H1075" t="str">
            <v>Hub</v>
          </cell>
          <cell r="M1075" t="str">
            <v>TNI</v>
          </cell>
        </row>
        <row r="1076">
          <cell r="D1076" t="str">
            <v>Umani</v>
          </cell>
          <cell r="F1076" t="str">
            <v>Kepulauan Yapen</v>
          </cell>
          <cell r="G1076" t="str">
            <v>Papua</v>
          </cell>
          <cell r="H1076" t="str">
            <v>Penyangga</v>
          </cell>
          <cell r="M1076" t="str">
            <v>TNI</v>
          </cell>
        </row>
        <row r="1077">
          <cell r="D1077" t="str">
            <v>Anggaduber</v>
          </cell>
          <cell r="F1077" t="str">
            <v>Biak Numfor</v>
          </cell>
          <cell r="G1077" t="str">
            <v>Papua</v>
          </cell>
          <cell r="H1077" t="str">
            <v>Penyangga</v>
          </cell>
          <cell r="M1077" t="str">
            <v>TNI</v>
          </cell>
        </row>
        <row r="1078">
          <cell r="D1078" t="str">
            <v>Animi</v>
          </cell>
          <cell r="F1078" t="str">
            <v>Biak Numfor</v>
          </cell>
          <cell r="G1078" t="str">
            <v>Papua</v>
          </cell>
          <cell r="H1078" t="str">
            <v>Penyangga</v>
          </cell>
          <cell r="M1078" t="str">
            <v>TNI</v>
          </cell>
        </row>
        <row r="1079">
          <cell r="D1079" t="str">
            <v>Toroa</v>
          </cell>
          <cell r="F1079" t="str">
            <v>Kepulauan Yapen</v>
          </cell>
          <cell r="G1079" t="str">
            <v>Papua</v>
          </cell>
          <cell r="H1079" t="str">
            <v>Penyangga</v>
          </cell>
          <cell r="M1079" t="str">
            <v>TNI</v>
          </cell>
        </row>
        <row r="1080">
          <cell r="D1080" t="str">
            <v>Adiwipi</v>
          </cell>
          <cell r="F1080" t="str">
            <v>Kepulauan Yapen</v>
          </cell>
          <cell r="G1080" t="str">
            <v>Papua</v>
          </cell>
          <cell r="H1080" t="str">
            <v>Penyangga</v>
          </cell>
          <cell r="M1080" t="str">
            <v>TNI</v>
          </cell>
        </row>
        <row r="1081">
          <cell r="D1081" t="str">
            <v>Wadapi</v>
          </cell>
          <cell r="F1081" t="str">
            <v>Kepulauan Yapen</v>
          </cell>
          <cell r="G1081" t="str">
            <v>Papua</v>
          </cell>
          <cell r="H1081" t="str">
            <v>Penyangga</v>
          </cell>
          <cell r="M1081" t="str">
            <v>TNI</v>
          </cell>
        </row>
        <row r="1082">
          <cell r="D1082" t="str">
            <v>Rambai</v>
          </cell>
          <cell r="F1082" t="str">
            <v>Kepulauan Yapen</v>
          </cell>
          <cell r="G1082" t="str">
            <v>Papua</v>
          </cell>
          <cell r="H1082" t="str">
            <v>Penyangga</v>
          </cell>
          <cell r="M1082" t="str">
            <v>TNI</v>
          </cell>
        </row>
        <row r="1083">
          <cell r="D1083" t="str">
            <v>Turu</v>
          </cell>
          <cell r="F1083" t="str">
            <v>Kepulauan Yapen</v>
          </cell>
          <cell r="G1083" t="str">
            <v>Papua</v>
          </cell>
          <cell r="H1083" t="str">
            <v>Hub</v>
          </cell>
          <cell r="M1083" t="str">
            <v>TNI</v>
          </cell>
        </row>
        <row r="1084">
          <cell r="D1084" t="str">
            <v>Ketu Api</v>
          </cell>
          <cell r="F1084" t="str">
            <v>Kepulauan Yapen</v>
          </cell>
          <cell r="G1084" t="str">
            <v>Papua</v>
          </cell>
          <cell r="H1084" t="str">
            <v>Penyangga</v>
          </cell>
          <cell r="M1084" t="str">
            <v>TNI</v>
          </cell>
        </row>
        <row r="1085">
          <cell r="D1085" t="str">
            <v>Maria Rotu</v>
          </cell>
          <cell r="F1085" t="str">
            <v>Kepulauan Yapen</v>
          </cell>
          <cell r="G1085" t="str">
            <v>Papua</v>
          </cell>
          <cell r="H1085" t="str">
            <v>Penyangga</v>
          </cell>
          <cell r="M1085" t="str">
            <v>TNI</v>
          </cell>
        </row>
        <row r="1086">
          <cell r="D1086" t="str">
            <v>Tatui</v>
          </cell>
          <cell r="F1086" t="str">
            <v>Kepulauan Yapen</v>
          </cell>
          <cell r="G1086" t="str">
            <v>Papua</v>
          </cell>
          <cell r="H1086" t="str">
            <v>Penyangga</v>
          </cell>
          <cell r="M1086" t="str">
            <v>TNI</v>
          </cell>
        </row>
        <row r="1087">
          <cell r="D1087" t="str">
            <v>Wamargege</v>
          </cell>
          <cell r="F1087" t="str">
            <v>Sorong Selatan</v>
          </cell>
          <cell r="G1087" t="str">
            <v>Papua Barat Daya</v>
          </cell>
          <cell r="H1087" t="str">
            <v>Hub</v>
          </cell>
          <cell r="M1087" t="str">
            <v>TNI</v>
          </cell>
        </row>
        <row r="1088">
          <cell r="D1088" t="str">
            <v>Wogekel</v>
          </cell>
          <cell r="F1088" t="str">
            <v>Merauke</v>
          </cell>
          <cell r="G1088" t="str">
            <v>Papua Selatan</v>
          </cell>
          <cell r="H1088" t="str">
            <v>Hub</v>
          </cell>
          <cell r="M1088" t="str">
            <v>TNI</v>
          </cell>
        </row>
        <row r="1089">
          <cell r="D1089" t="str">
            <v>Wanam</v>
          </cell>
          <cell r="F1089" t="str">
            <v>Merauke</v>
          </cell>
          <cell r="G1089" t="str">
            <v>Papua Selatan</v>
          </cell>
          <cell r="H1089" t="str">
            <v>Penyangga</v>
          </cell>
          <cell r="M1089" t="str">
            <v>TNI</v>
          </cell>
        </row>
        <row r="1090">
          <cell r="D1090" t="str">
            <v>Tandurusa</v>
          </cell>
          <cell r="F1090" t="str">
            <v>Kota Bitung</v>
          </cell>
          <cell r="G1090" t="str">
            <v>Sulawesi Utara</v>
          </cell>
          <cell r="H1090" t="str">
            <v>Penyangga</v>
          </cell>
          <cell r="M1090" t="e">
            <v>#N/A</v>
          </cell>
        </row>
        <row r="1091">
          <cell r="D1091" t="str">
            <v>Lirang</v>
          </cell>
          <cell r="F1091" t="str">
            <v>Kota Bitung</v>
          </cell>
          <cell r="G1091" t="str">
            <v>Sulawesi Utara</v>
          </cell>
          <cell r="H1091" t="str">
            <v>Penyangga</v>
          </cell>
          <cell r="M1091" t="e">
            <v>#N/A</v>
          </cell>
        </row>
        <row r="1092">
          <cell r="D1092" t="str">
            <v>Kema III</v>
          </cell>
          <cell r="F1092" t="str">
            <v>Minahasa Utara</v>
          </cell>
          <cell r="G1092" t="str">
            <v>Sulawesi Utara</v>
          </cell>
          <cell r="H1092" t="str">
            <v>Penyangga</v>
          </cell>
          <cell r="M1092" t="e">
            <v>#N/A</v>
          </cell>
        </row>
        <row r="1093">
          <cell r="D1093" t="str">
            <v>Bitunuris Selatan</v>
          </cell>
          <cell r="F1093" t="str">
            <v>Kepulauan Talaud</v>
          </cell>
          <cell r="G1093" t="str">
            <v>Sulawesi Utara</v>
          </cell>
          <cell r="H1093" t="str">
            <v>Hub</v>
          </cell>
          <cell r="M1093" t="e">
            <v>#N/A</v>
          </cell>
        </row>
        <row r="1094">
          <cell r="D1094" t="str">
            <v>Awit Selatan</v>
          </cell>
          <cell r="F1094" t="str">
            <v>Kepulauan Talaud</v>
          </cell>
          <cell r="G1094" t="str">
            <v>Sulawesi Utara</v>
          </cell>
          <cell r="H1094" t="str">
            <v>Penyangga</v>
          </cell>
          <cell r="M1094" t="e">
            <v>#N/A</v>
          </cell>
        </row>
        <row r="1095">
          <cell r="D1095" t="str">
            <v>Bowombaru</v>
          </cell>
          <cell r="F1095" t="str">
            <v>Kepulauan Talaud</v>
          </cell>
          <cell r="G1095" t="str">
            <v>Sulawesi Utara</v>
          </cell>
          <cell r="H1095" t="str">
            <v>Penyangga</v>
          </cell>
          <cell r="M1095" t="e">
            <v>#N/A</v>
          </cell>
        </row>
        <row r="1096">
          <cell r="D1096" t="str">
            <v>Pulau Miangas</v>
          </cell>
          <cell r="F1096" t="str">
            <v>Kepulauan Talaud</v>
          </cell>
          <cell r="G1096" t="str">
            <v>Sulawesi Utara</v>
          </cell>
          <cell r="H1096" t="str">
            <v>Penyangga (+cs)</v>
          </cell>
          <cell r="M1096" t="e">
            <v>#N/A</v>
          </cell>
        </row>
        <row r="1097">
          <cell r="D1097" t="str">
            <v>Bolangitang I</v>
          </cell>
          <cell r="F1097" t="str">
            <v>Bolaang Mongondow Utara</v>
          </cell>
          <cell r="G1097" t="str">
            <v>Sulawesi Utara</v>
          </cell>
          <cell r="H1097" t="str">
            <v>Hub</v>
          </cell>
          <cell r="M1097" t="e">
            <v>#N/A</v>
          </cell>
        </row>
        <row r="1098">
          <cell r="D1098" t="str">
            <v>Tanjung Sidupa</v>
          </cell>
          <cell r="F1098" t="str">
            <v>Bolaang Mongondow Utara</v>
          </cell>
          <cell r="G1098" t="str">
            <v>Sulawesi Utara</v>
          </cell>
          <cell r="H1098" t="str">
            <v>Penyangga</v>
          </cell>
          <cell r="M1098" t="e">
            <v>#N/A</v>
          </cell>
        </row>
        <row r="1099">
          <cell r="D1099" t="str">
            <v>Tambulang Pantai</v>
          </cell>
          <cell r="F1099" t="str">
            <v>Bolaang Mongondow Utara</v>
          </cell>
          <cell r="G1099" t="str">
            <v>Sulawesi Utara</v>
          </cell>
          <cell r="H1099" t="str">
            <v>Penyangga</v>
          </cell>
          <cell r="M1099" t="e">
            <v>#N/A</v>
          </cell>
        </row>
        <row r="1100">
          <cell r="D1100" t="str">
            <v>Bukit Tinggi</v>
          </cell>
          <cell r="F1100" t="str">
            <v>Minahasa</v>
          </cell>
          <cell r="G1100" t="str">
            <v>Sulawesi Utara</v>
          </cell>
          <cell r="H1100" t="str">
            <v>Hub</v>
          </cell>
          <cell r="M1100" t="e">
            <v>#N/A</v>
          </cell>
        </row>
        <row r="1101">
          <cell r="D1101" t="str">
            <v>Molompar Timur</v>
          </cell>
          <cell r="F1101" t="str">
            <v>Minahasa Tenggara</v>
          </cell>
          <cell r="G1101" t="str">
            <v>Sulawesi Utara</v>
          </cell>
          <cell r="H1101" t="str">
            <v>Penyangga</v>
          </cell>
          <cell r="M1101" t="e">
            <v>#N/A</v>
          </cell>
        </row>
        <row r="1102">
          <cell r="D1102" t="str">
            <v>Bentenan Satu</v>
          </cell>
          <cell r="F1102" t="str">
            <v>Minahasa Tenggara</v>
          </cell>
          <cell r="G1102" t="str">
            <v>Sulawesi Utara</v>
          </cell>
          <cell r="H1102" t="str">
            <v>Penyangga</v>
          </cell>
          <cell r="M1102" t="e">
            <v>#N/A</v>
          </cell>
        </row>
        <row r="1103">
          <cell r="D1103" t="str">
            <v>Minanga Tiga</v>
          </cell>
          <cell r="F1103" t="str">
            <v>Minahasa Tenggara</v>
          </cell>
          <cell r="G1103" t="str">
            <v>Sulawesi Utara</v>
          </cell>
          <cell r="H1103" t="str">
            <v>Penyangga</v>
          </cell>
          <cell r="M1103" t="e">
            <v>#N/A</v>
          </cell>
        </row>
        <row r="1104">
          <cell r="D1104" t="str">
            <v>Buyat Tengah</v>
          </cell>
          <cell r="F1104" t="str">
            <v>Bolaang Mongondow Timur</v>
          </cell>
          <cell r="G1104" t="str">
            <v>Sulawesi Utara</v>
          </cell>
          <cell r="H1104" t="str">
            <v>Penyangga</v>
          </cell>
          <cell r="M1104" t="e">
            <v>#N/A</v>
          </cell>
        </row>
        <row r="1105">
          <cell r="D1105" t="str">
            <v>Ratatotok Timur</v>
          </cell>
          <cell r="F1105" t="str">
            <v>Minahasa Tenggara</v>
          </cell>
          <cell r="G1105" t="str">
            <v>Sulawesi Utara</v>
          </cell>
          <cell r="H1105" t="str">
            <v>Penyangga</v>
          </cell>
          <cell r="M1105" t="e">
            <v>#N/A</v>
          </cell>
        </row>
        <row r="1106">
          <cell r="D1106" t="str">
            <v>Rumbia</v>
          </cell>
          <cell r="F1106" t="str">
            <v>Minahasa</v>
          </cell>
          <cell r="G1106" t="str">
            <v>Sulawesi Utara</v>
          </cell>
          <cell r="H1106" t="str">
            <v>Penyangga</v>
          </cell>
          <cell r="M1106" t="e">
            <v>#N/A</v>
          </cell>
        </row>
        <row r="1107">
          <cell r="D1107" t="str">
            <v>Inobonto Ii</v>
          </cell>
          <cell r="F1107" t="str">
            <v>Bolaang Mongondow</v>
          </cell>
          <cell r="G1107" t="str">
            <v>Sulawesi Utara</v>
          </cell>
          <cell r="H1107" t="str">
            <v>Penyangga</v>
          </cell>
          <cell r="M1107" t="e">
            <v>#N/A</v>
          </cell>
        </row>
        <row r="1108">
          <cell r="D1108" t="str">
            <v>Sauk</v>
          </cell>
          <cell r="F1108" t="str">
            <v>Bolaang Mongondow</v>
          </cell>
          <cell r="G1108" t="str">
            <v>Sulawesi Utara</v>
          </cell>
          <cell r="H1108" t="str">
            <v>Hub</v>
          </cell>
          <cell r="M1108" t="e">
            <v>#N/A</v>
          </cell>
        </row>
        <row r="1109">
          <cell r="D1109" t="str">
            <v>Matani Satu</v>
          </cell>
          <cell r="F1109" t="str">
            <v>Minahasa Selatan</v>
          </cell>
          <cell r="G1109" t="str">
            <v>Sulawesi Utara</v>
          </cell>
          <cell r="H1109" t="str">
            <v>Penyangga</v>
          </cell>
          <cell r="M1109" t="e">
            <v>#N/A</v>
          </cell>
        </row>
        <row r="1110">
          <cell r="D1110" t="str">
            <v>Ranomea</v>
          </cell>
          <cell r="F1110" t="str">
            <v>Minahasa Selatan</v>
          </cell>
          <cell r="G1110" t="str">
            <v>Sulawesi Utara</v>
          </cell>
          <cell r="H1110" t="str">
            <v>Penyangga</v>
          </cell>
          <cell r="M1110" t="e">
            <v>#N/A</v>
          </cell>
        </row>
        <row r="1111">
          <cell r="D1111" t="str">
            <v>Jiko</v>
          </cell>
          <cell r="F1111" t="str">
            <v>Bolaang Mongondow Timur</v>
          </cell>
          <cell r="G1111" t="str">
            <v>Sulawesi Utara</v>
          </cell>
          <cell r="H1111" t="str">
            <v>Hub</v>
          </cell>
          <cell r="M1111" t="e">
            <v>#N/A</v>
          </cell>
        </row>
        <row r="1112">
          <cell r="D1112" t="str">
            <v>Matabulu Timur</v>
          </cell>
          <cell r="F1112" t="str">
            <v>Bolaang Mongondow Timur</v>
          </cell>
          <cell r="G1112" t="str">
            <v>Sulawesi Utara</v>
          </cell>
          <cell r="H1112" t="str">
            <v>Penyangga</v>
          </cell>
          <cell r="M1112" t="e">
            <v>#N/A</v>
          </cell>
        </row>
        <row r="1113">
          <cell r="D1113" t="str">
            <v>Motongkad Selatan</v>
          </cell>
          <cell r="F1113" t="str">
            <v>Bolaang Mongondow Timur</v>
          </cell>
          <cell r="G1113" t="str">
            <v>Sulawesi Utara</v>
          </cell>
          <cell r="H1113" t="str">
            <v>Penyangga</v>
          </cell>
          <cell r="M1113" t="e">
            <v>#N/A</v>
          </cell>
        </row>
        <row r="1114">
          <cell r="D1114" t="str">
            <v>Iyok</v>
          </cell>
          <cell r="F1114" t="str">
            <v>Bolaang Mongondow Timur</v>
          </cell>
          <cell r="G1114" t="str">
            <v>Sulawesi Utara</v>
          </cell>
          <cell r="H1114" t="str">
            <v>Penyangga</v>
          </cell>
          <cell r="M1114" t="e">
            <v>#N/A</v>
          </cell>
        </row>
        <row r="1115">
          <cell r="D1115" t="str">
            <v>Loyow</v>
          </cell>
          <cell r="F1115" t="str">
            <v>Bolaang Mongondow Timur</v>
          </cell>
          <cell r="G1115" t="str">
            <v>Sulawesi Utara</v>
          </cell>
          <cell r="H1115" t="str">
            <v>Penyangga</v>
          </cell>
          <cell r="M1115" t="e">
            <v>#N/A</v>
          </cell>
        </row>
        <row r="1116">
          <cell r="D1116" t="str">
            <v>Modisi</v>
          </cell>
          <cell r="F1116" t="str">
            <v>Bolaang Mongondow Selatan</v>
          </cell>
          <cell r="G1116" t="str">
            <v>Sulawesi Utara</v>
          </cell>
          <cell r="H1116" t="str">
            <v>Penyangga</v>
          </cell>
          <cell r="M1116" t="e">
            <v>#N/A</v>
          </cell>
        </row>
        <row r="1117">
          <cell r="D1117" t="str">
            <v>Iligon</v>
          </cell>
          <cell r="F1117" t="str">
            <v>Bolaang Mongondow Selatan</v>
          </cell>
          <cell r="G1117" t="str">
            <v>Sulawesi Utara</v>
          </cell>
          <cell r="H1117" t="str">
            <v>Penyangga</v>
          </cell>
          <cell r="M1117" t="e">
            <v>#N/A</v>
          </cell>
        </row>
        <row r="1118">
          <cell r="D1118" t="str">
            <v>Deaga</v>
          </cell>
          <cell r="F1118" t="str">
            <v>Bolaang Mongondow Selatan</v>
          </cell>
          <cell r="G1118" t="str">
            <v>Sulawesi Utara</v>
          </cell>
          <cell r="H1118" t="str">
            <v>Penyangga</v>
          </cell>
          <cell r="M1118" t="e">
            <v>#N/A</v>
          </cell>
        </row>
        <row r="1119">
          <cell r="D1119" t="str">
            <v>Lamanggo</v>
          </cell>
          <cell r="F1119" t="str">
            <v>Kep. Siau Tagulandang Biaro</v>
          </cell>
          <cell r="G1119" t="str">
            <v>Sulawesi Utara</v>
          </cell>
          <cell r="H1119" t="str">
            <v>Hub</v>
          </cell>
          <cell r="M1119" t="e">
            <v>#N/A</v>
          </cell>
        </row>
        <row r="1120">
          <cell r="D1120" t="str">
            <v>Dalinsaheng</v>
          </cell>
          <cell r="F1120" t="str">
            <v>Kep. Siau Tagulandang Biaro</v>
          </cell>
          <cell r="G1120" t="str">
            <v>Sulawesi Utara</v>
          </cell>
          <cell r="H1120" t="str">
            <v>Penyangga</v>
          </cell>
          <cell r="M1120" t="e">
            <v>#N/A</v>
          </cell>
        </row>
        <row r="1121">
          <cell r="D1121" t="str">
            <v>Bandil</v>
          </cell>
          <cell r="F1121" t="str">
            <v>Kep. Siau Tagulandang Biaro</v>
          </cell>
          <cell r="G1121" t="str">
            <v>Sulawesi Utara</v>
          </cell>
          <cell r="H1121" t="str">
            <v>Penyangga</v>
          </cell>
          <cell r="M1121" t="e">
            <v>#N/A</v>
          </cell>
        </row>
        <row r="1122">
          <cell r="D1122" t="str">
            <v>Likupang Kampung Ambong</v>
          </cell>
          <cell r="F1122" t="str">
            <v>Minahasa Utara</v>
          </cell>
          <cell r="G1122" t="str">
            <v>Sulawesi Utara</v>
          </cell>
          <cell r="H1122" t="str">
            <v>Hub</v>
          </cell>
          <cell r="M1122" t="e">
            <v>#N/A</v>
          </cell>
        </row>
        <row r="1123">
          <cell r="D1123" t="str">
            <v>Gangga II</v>
          </cell>
          <cell r="F1123" t="str">
            <v>Minahasa Utara</v>
          </cell>
          <cell r="G1123" t="str">
            <v>Sulawesi Utara</v>
          </cell>
          <cell r="H1123" t="str">
            <v>Penyangga</v>
          </cell>
          <cell r="M1123" t="e">
            <v>#N/A</v>
          </cell>
        </row>
        <row r="1124">
          <cell r="D1124" t="str">
            <v>Bulutui</v>
          </cell>
          <cell r="F1124" t="str">
            <v>Minahasa Utara</v>
          </cell>
          <cell r="G1124" t="str">
            <v>Sulawesi Utara</v>
          </cell>
          <cell r="H1124" t="str">
            <v>Penyangga</v>
          </cell>
          <cell r="M1124" t="e">
            <v>#N/A</v>
          </cell>
        </row>
        <row r="1125">
          <cell r="D1125" t="str">
            <v>Kahuhu</v>
          </cell>
          <cell r="F1125" t="str">
            <v>Minahasa Utara</v>
          </cell>
          <cell r="G1125" t="str">
            <v>Sulawesi Utara</v>
          </cell>
          <cell r="H1125" t="str">
            <v>Penyangga</v>
          </cell>
          <cell r="M1125" t="e">
            <v>#N/A</v>
          </cell>
        </row>
        <row r="1126">
          <cell r="D1126" t="str">
            <v>Minaesa</v>
          </cell>
          <cell r="F1126" t="str">
            <v>Minahasa Utara</v>
          </cell>
          <cell r="G1126" t="str">
            <v>Sulawesi Utara</v>
          </cell>
          <cell r="H1126" t="str">
            <v>Penyangga</v>
          </cell>
          <cell r="M1126" t="e">
            <v>#N/A</v>
          </cell>
        </row>
        <row r="1127">
          <cell r="D1127" t="str">
            <v>Tabilaa</v>
          </cell>
          <cell r="F1127" t="str">
            <v>Bolaang Mongondow Selatan</v>
          </cell>
          <cell r="G1127" t="str">
            <v>Sulawesi Utara</v>
          </cell>
          <cell r="H1127" t="str">
            <v>Penyangga</v>
          </cell>
          <cell r="M1127" t="e">
            <v>#N/A</v>
          </cell>
        </row>
        <row r="1128">
          <cell r="D1128" t="str">
            <v>Pinolantungan</v>
          </cell>
          <cell r="F1128" t="str">
            <v>Bolaang Mongondow Selatan</v>
          </cell>
          <cell r="G1128" t="str">
            <v>Sulawesi Utara</v>
          </cell>
          <cell r="H1128" t="str">
            <v>Penyangga</v>
          </cell>
          <cell r="M1128" t="e">
            <v>#N/A</v>
          </cell>
        </row>
        <row r="1129">
          <cell r="D1129" t="str">
            <v>Botuliodu</v>
          </cell>
          <cell r="F1129" t="str">
            <v>Bolaang Mongondow Selatan</v>
          </cell>
          <cell r="G1129" t="str">
            <v>Sulawesi Utara</v>
          </cell>
          <cell r="H1129" t="str">
            <v>Penyangga</v>
          </cell>
          <cell r="M1129" t="e">
            <v>#N/A</v>
          </cell>
        </row>
        <row r="1130">
          <cell r="D1130" t="str">
            <v>Santiago</v>
          </cell>
          <cell r="F1130" t="str">
            <v>Kepulauan Sangihe</v>
          </cell>
          <cell r="G1130" t="str">
            <v>Sulawesi Utara</v>
          </cell>
          <cell r="H1130" t="str">
            <v>Hub</v>
          </cell>
          <cell r="M1130" t="e">
            <v>#N/A</v>
          </cell>
        </row>
        <row r="1131">
          <cell r="D1131" t="str">
            <v>Palahanaeng</v>
          </cell>
          <cell r="F1131" t="str">
            <v>Kepulauan Sangihe</v>
          </cell>
          <cell r="G1131" t="str">
            <v>Sulawesi Utara</v>
          </cell>
          <cell r="H1131" t="str">
            <v>Penyangga</v>
          </cell>
          <cell r="M1131" t="e">
            <v>#N/A</v>
          </cell>
        </row>
        <row r="1132">
          <cell r="D1132" t="str">
            <v>Naha I</v>
          </cell>
          <cell r="F1132" t="str">
            <v>Kepulauan Sangihe</v>
          </cell>
          <cell r="G1132" t="str">
            <v>Sulawesi Utara</v>
          </cell>
          <cell r="H1132" t="str">
            <v>Penyangga</v>
          </cell>
          <cell r="M1132" t="e">
            <v>#N/A</v>
          </cell>
        </row>
        <row r="1133">
          <cell r="D1133" t="str">
            <v>Ronggaiwa</v>
          </cell>
          <cell r="F1133" t="str">
            <v>Waropen</v>
          </cell>
          <cell r="G1133" t="str">
            <v>Papua</v>
          </cell>
          <cell r="H1133" t="str">
            <v>Penyangga</v>
          </cell>
          <cell r="M1133" t="str">
            <v>TNI</v>
          </cell>
        </row>
        <row r="1134">
          <cell r="D1134" t="str">
            <v>Mambui</v>
          </cell>
          <cell r="F1134" t="str">
            <v>Waropen</v>
          </cell>
          <cell r="G1134" t="str">
            <v>Papua</v>
          </cell>
          <cell r="H1134" t="str">
            <v>Penyangga</v>
          </cell>
          <cell r="M1134" t="str">
            <v>TNI</v>
          </cell>
        </row>
        <row r="1135">
          <cell r="D1135" t="str">
            <v>Iriati</v>
          </cell>
          <cell r="F1135" t="str">
            <v>Teluk Wondama</v>
          </cell>
          <cell r="G1135" t="str">
            <v>Papua Barat</v>
          </cell>
          <cell r="H1135" t="str">
            <v>Hub</v>
          </cell>
          <cell r="M1135" t="str">
            <v>TNI</v>
          </cell>
        </row>
        <row r="1136">
          <cell r="D1136" t="str">
            <v>Tarof</v>
          </cell>
          <cell r="F1136" t="str">
            <v>Sorong Selatan</v>
          </cell>
          <cell r="G1136" t="str">
            <v>Papua Barat Daya</v>
          </cell>
          <cell r="H1136" t="str">
            <v>Hub</v>
          </cell>
          <cell r="M1136" t="str">
            <v>TNI</v>
          </cell>
        </row>
        <row r="1137">
          <cell r="D1137" t="str">
            <v>Yenbepon</v>
          </cell>
          <cell r="F1137" t="str">
            <v>Biak Numfor</v>
          </cell>
          <cell r="G1137" t="str">
            <v>Papua</v>
          </cell>
          <cell r="H1137" t="str">
            <v>Hub</v>
          </cell>
          <cell r="M1137" t="str">
            <v>TNI</v>
          </cell>
        </row>
        <row r="1138">
          <cell r="D1138" t="str">
            <v>Ureifaisei Iii/ Paradoi</v>
          </cell>
          <cell r="F1138" t="str">
            <v>Waropen</v>
          </cell>
          <cell r="G1138" t="str">
            <v>Papua</v>
          </cell>
          <cell r="H1138" t="str">
            <v>Penyangga</v>
          </cell>
          <cell r="M1138" t="str">
            <v>TNI</v>
          </cell>
        </row>
        <row r="1139">
          <cell r="D1139" t="str">
            <v>Soor</v>
          </cell>
          <cell r="F1139" t="str">
            <v>Biak Numfor</v>
          </cell>
          <cell r="G1139" t="str">
            <v>Papua</v>
          </cell>
          <cell r="H1139" t="str">
            <v>Penyangga</v>
          </cell>
          <cell r="M1139" t="str">
            <v>TNI</v>
          </cell>
        </row>
        <row r="1140">
          <cell r="D1140" t="str">
            <v>Komboi</v>
          </cell>
          <cell r="F1140" t="str">
            <v>Biak Numfor</v>
          </cell>
          <cell r="G1140" t="str">
            <v>Papua</v>
          </cell>
          <cell r="H1140" t="str">
            <v>Penyangga</v>
          </cell>
          <cell r="M1140" t="str">
            <v>TNI</v>
          </cell>
        </row>
        <row r="1141">
          <cell r="D1141" t="str">
            <v>Dokis</v>
          </cell>
          <cell r="F1141" t="str">
            <v>Waropen</v>
          </cell>
          <cell r="G1141" t="str">
            <v>Papua</v>
          </cell>
          <cell r="H1141" t="str">
            <v>Penyangga</v>
          </cell>
          <cell r="M1141" t="str">
            <v>TNI</v>
          </cell>
        </row>
        <row r="1142">
          <cell r="D1142" t="str">
            <v>Kamarisano</v>
          </cell>
          <cell r="F1142" t="str">
            <v>Waropen</v>
          </cell>
          <cell r="G1142" t="str">
            <v>Papua</v>
          </cell>
          <cell r="H1142" t="str">
            <v>Penyangga</v>
          </cell>
          <cell r="M1142" t="str">
            <v>TNI</v>
          </cell>
        </row>
        <row r="1143">
          <cell r="D1143" t="str">
            <v>Entiyebo</v>
          </cell>
          <cell r="F1143" t="str">
            <v>Jayapura</v>
          </cell>
          <cell r="G1143" t="str">
            <v>Papua</v>
          </cell>
          <cell r="H1143" t="str">
            <v>Penyangga</v>
          </cell>
          <cell r="M1143" t="str">
            <v>TNI</v>
          </cell>
        </row>
        <row r="1144">
          <cell r="D1144" t="str">
            <v>Newa</v>
          </cell>
          <cell r="F1144" t="str">
            <v>Jayapura</v>
          </cell>
          <cell r="G1144" t="str">
            <v>Papua</v>
          </cell>
          <cell r="H1144" t="str">
            <v>Penyangga</v>
          </cell>
          <cell r="M1144" t="str">
            <v>TNI</v>
          </cell>
        </row>
        <row r="1145">
          <cell r="D1145" t="str">
            <v>Senamay</v>
          </cell>
          <cell r="F1145" t="str">
            <v>Jayapura</v>
          </cell>
          <cell r="G1145" t="str">
            <v>Papua</v>
          </cell>
          <cell r="H1145" t="str">
            <v>Penyangga</v>
          </cell>
          <cell r="M1145" t="str">
            <v>TNI</v>
          </cell>
        </row>
        <row r="1146">
          <cell r="D1146" t="str">
            <v>Endokisi</v>
          </cell>
          <cell r="F1146" t="str">
            <v>Jayapura</v>
          </cell>
          <cell r="G1146" t="str">
            <v>Papua</v>
          </cell>
          <cell r="H1146" t="str">
            <v>Penyangga</v>
          </cell>
          <cell r="M1146" t="str">
            <v>TNI</v>
          </cell>
        </row>
        <row r="1147">
          <cell r="D1147" t="str">
            <v>Yongsu Sapari</v>
          </cell>
          <cell r="F1147" t="str">
            <v>Jayapura</v>
          </cell>
          <cell r="G1147" t="str">
            <v>Papua</v>
          </cell>
          <cell r="H1147" t="str">
            <v>Penyangga</v>
          </cell>
          <cell r="M1147" t="str">
            <v>TNI</v>
          </cell>
        </row>
        <row r="1148">
          <cell r="D1148" t="str">
            <v>Mayaghaido</v>
          </cell>
          <cell r="F1148" t="str">
            <v>Waropen</v>
          </cell>
          <cell r="G1148" t="str">
            <v>Papua</v>
          </cell>
          <cell r="H1148" t="str">
            <v>Penyangga</v>
          </cell>
          <cell r="M1148" t="str">
            <v>TNI</v>
          </cell>
        </row>
        <row r="1149">
          <cell r="D1149" t="str">
            <v>Emauri</v>
          </cell>
          <cell r="F1149" t="str">
            <v>Waropen</v>
          </cell>
          <cell r="G1149" t="str">
            <v>Papua</v>
          </cell>
          <cell r="H1149" t="str">
            <v>Penyangga</v>
          </cell>
          <cell r="M1149" t="str">
            <v>TNI</v>
          </cell>
        </row>
        <row r="1150">
          <cell r="D1150" t="str">
            <v>Kasuweri</v>
          </cell>
          <cell r="F1150" t="str">
            <v>Sorong Selatan</v>
          </cell>
          <cell r="G1150" t="str">
            <v>Papua Barat Daya</v>
          </cell>
          <cell r="H1150" t="str">
            <v>Penyangga</v>
          </cell>
          <cell r="M1150" t="str">
            <v>TNI</v>
          </cell>
        </row>
        <row r="1151">
          <cell r="D1151" t="str">
            <v>Waren II</v>
          </cell>
          <cell r="F1151" t="str">
            <v>Waropen</v>
          </cell>
          <cell r="G1151" t="str">
            <v>Papua</v>
          </cell>
          <cell r="H1151" t="str">
            <v>Penyangga</v>
          </cell>
          <cell r="M1151" t="str">
            <v>TNI</v>
          </cell>
        </row>
        <row r="1152">
          <cell r="D1152" t="str">
            <v>Isogo</v>
          </cell>
          <cell r="F1152" t="str">
            <v>Sorong Selatan</v>
          </cell>
          <cell r="G1152" t="str">
            <v>Papua Barat Daya</v>
          </cell>
          <cell r="H1152" t="str">
            <v>Penyangga</v>
          </cell>
          <cell r="M1152" t="str">
            <v>TNI</v>
          </cell>
        </row>
        <row r="1153">
          <cell r="D1153" t="str">
            <v>Tambani</v>
          </cell>
          <cell r="F1153" t="str">
            <v>Sorong Selatan</v>
          </cell>
          <cell r="G1153" t="str">
            <v>Papua Barat Daya</v>
          </cell>
          <cell r="H1153" t="str">
            <v>Penyangga</v>
          </cell>
          <cell r="M1153" t="str">
            <v>TNI</v>
          </cell>
        </row>
        <row r="1154">
          <cell r="D1154" t="str">
            <v>Siri-siri</v>
          </cell>
          <cell r="F1154" t="str">
            <v>Sorong Selatan</v>
          </cell>
          <cell r="G1154" t="str">
            <v>Papua Barat Daya</v>
          </cell>
          <cell r="H1154" t="str">
            <v>Penyangga</v>
          </cell>
          <cell r="M1154" t="str">
            <v>TNI</v>
          </cell>
        </row>
        <row r="1155">
          <cell r="D1155" t="str">
            <v>Yarpate</v>
          </cell>
          <cell r="F1155" t="str">
            <v>Teluk Wondama</v>
          </cell>
          <cell r="G1155" t="str">
            <v>Papua Barat</v>
          </cell>
          <cell r="H1155" t="str">
            <v>Penyangga</v>
          </cell>
          <cell r="M1155" t="str">
            <v>TNI</v>
          </cell>
        </row>
        <row r="1156">
          <cell r="D1156" t="str">
            <v>Holmafen</v>
          </cell>
          <cell r="F1156" t="str">
            <v>Sarmi</v>
          </cell>
          <cell r="G1156" t="str">
            <v>Papua</v>
          </cell>
          <cell r="H1156" t="str">
            <v>Penyangga</v>
          </cell>
          <cell r="M1156" t="str">
            <v>TNI</v>
          </cell>
        </row>
        <row r="1157">
          <cell r="D1157" t="str">
            <v>Lembah Neidam</v>
          </cell>
          <cell r="F1157" t="str">
            <v>Sarmi</v>
          </cell>
          <cell r="G1157" t="str">
            <v>Papua</v>
          </cell>
          <cell r="H1157" t="str">
            <v>Penyangga</v>
          </cell>
          <cell r="M1157" t="str">
            <v>TNI</v>
          </cell>
        </row>
        <row r="1158">
          <cell r="D1158" t="str">
            <v>Dembek</v>
          </cell>
          <cell r="F1158" t="str">
            <v>Manokwari Selatan</v>
          </cell>
          <cell r="G1158" t="str">
            <v>Papua Barat</v>
          </cell>
          <cell r="H1158" t="str">
            <v>Penyangga</v>
          </cell>
          <cell r="M1158" t="str">
            <v>TNI</v>
          </cell>
        </row>
        <row r="1159">
          <cell r="D1159" t="str">
            <v>Muari</v>
          </cell>
          <cell r="F1159" t="str">
            <v>Manokwari Selatan</v>
          </cell>
          <cell r="G1159" t="str">
            <v>Papua Barat</v>
          </cell>
          <cell r="H1159" t="str">
            <v>Penyangga</v>
          </cell>
          <cell r="M1159" t="str">
            <v>TNI</v>
          </cell>
        </row>
        <row r="1160">
          <cell r="D1160" t="str">
            <v>Klaogin</v>
          </cell>
          <cell r="F1160" t="str">
            <v>Sorong Selatan</v>
          </cell>
          <cell r="G1160" t="str">
            <v>Papua Barat Daya</v>
          </cell>
          <cell r="H1160" t="str">
            <v>Penyangga</v>
          </cell>
          <cell r="M1160" t="str">
            <v>TNI</v>
          </cell>
        </row>
        <row r="1161">
          <cell r="D1161" t="str">
            <v>Manwor Indah</v>
          </cell>
          <cell r="F1161" t="str">
            <v>Biak Numfor</v>
          </cell>
          <cell r="G1161" t="str">
            <v>Papua</v>
          </cell>
          <cell r="H1161" t="str">
            <v>Penyangga</v>
          </cell>
          <cell r="M1161" t="str">
            <v>TNI</v>
          </cell>
        </row>
        <row r="1162">
          <cell r="D1162" t="str">
            <v>Saribi</v>
          </cell>
          <cell r="F1162" t="str">
            <v>Biak Numfor</v>
          </cell>
          <cell r="G1162" t="str">
            <v>Papua</v>
          </cell>
          <cell r="H1162" t="str">
            <v>Penyangga</v>
          </cell>
          <cell r="M1162" t="str">
            <v>TNI</v>
          </cell>
        </row>
        <row r="1163">
          <cell r="D1163" t="str">
            <v>Wansra</v>
          </cell>
          <cell r="F1163" t="str">
            <v>Biak Numfor</v>
          </cell>
          <cell r="G1163" t="str">
            <v>Papua</v>
          </cell>
          <cell r="H1163" t="str">
            <v>Penyangga</v>
          </cell>
          <cell r="M1163" t="str">
            <v>TNI</v>
          </cell>
        </row>
        <row r="1164">
          <cell r="D1164" t="str">
            <v>Sarwa</v>
          </cell>
          <cell r="F1164" t="str">
            <v>Biak Numfor</v>
          </cell>
          <cell r="G1164" t="str">
            <v>Papua</v>
          </cell>
          <cell r="H1164" t="str">
            <v>Penyangga</v>
          </cell>
          <cell r="M1164" t="str">
            <v>TNI</v>
          </cell>
        </row>
        <row r="1165">
          <cell r="D1165" t="str">
            <v>Korem</v>
          </cell>
          <cell r="F1165" t="str">
            <v>Biak Numfor</v>
          </cell>
          <cell r="G1165" t="str">
            <v>Papua</v>
          </cell>
          <cell r="H1165" t="str">
            <v>Penyangga</v>
          </cell>
          <cell r="M1165" t="str">
            <v>TNI</v>
          </cell>
        </row>
        <row r="1166">
          <cell r="D1166" t="str">
            <v>Ramdori</v>
          </cell>
          <cell r="F1166" t="str">
            <v>Biak Numfor</v>
          </cell>
          <cell r="G1166" t="str">
            <v>Papua</v>
          </cell>
          <cell r="H1166" t="str">
            <v>Penyangga</v>
          </cell>
          <cell r="M1166" t="str">
            <v>TNI</v>
          </cell>
        </row>
        <row r="1167">
          <cell r="D1167" t="str">
            <v>Yawerma</v>
          </cell>
          <cell r="F1167" t="str">
            <v>Supiori</v>
          </cell>
          <cell r="G1167" t="str">
            <v>Papua</v>
          </cell>
          <cell r="H1167" t="str">
            <v>Penyangga</v>
          </cell>
          <cell r="M1167" t="str">
            <v>TNI</v>
          </cell>
        </row>
        <row r="1168">
          <cell r="D1168" t="str">
            <v>Marur</v>
          </cell>
          <cell r="F1168" t="str">
            <v>Biak Numfor</v>
          </cell>
          <cell r="G1168" t="str">
            <v>Papua</v>
          </cell>
          <cell r="H1168" t="str">
            <v>Penyangga</v>
          </cell>
          <cell r="M1168" t="str">
            <v>TNI</v>
          </cell>
        </row>
        <row r="1169">
          <cell r="D1169" t="str">
            <v>Syurdori</v>
          </cell>
          <cell r="F1169" t="str">
            <v>Supiori</v>
          </cell>
          <cell r="G1169" t="str">
            <v>Papua</v>
          </cell>
          <cell r="H1169" t="str">
            <v>Penyangga</v>
          </cell>
          <cell r="M1169" t="str">
            <v>TNI</v>
          </cell>
        </row>
        <row r="1170">
          <cell r="D1170" t="str">
            <v>Kobari Jaya</v>
          </cell>
          <cell r="F1170" t="str">
            <v>Supiori</v>
          </cell>
          <cell r="G1170" t="str">
            <v>Papua</v>
          </cell>
          <cell r="H1170" t="str">
            <v>Penyangga</v>
          </cell>
          <cell r="M1170" t="str">
            <v>TNI</v>
          </cell>
        </row>
        <row r="1171">
          <cell r="D1171" t="str">
            <v>Warsa</v>
          </cell>
          <cell r="F1171" t="str">
            <v>Supiori</v>
          </cell>
          <cell r="G1171" t="str">
            <v>Papua</v>
          </cell>
          <cell r="H1171" t="str">
            <v>Penyangga</v>
          </cell>
          <cell r="M1171" t="str">
            <v>TNI</v>
          </cell>
        </row>
        <row r="1172">
          <cell r="D1172" t="str">
            <v>Puweri</v>
          </cell>
          <cell r="F1172" t="str">
            <v>Supiori</v>
          </cell>
          <cell r="G1172" t="str">
            <v>Papua</v>
          </cell>
          <cell r="H1172" t="str">
            <v>Hub</v>
          </cell>
          <cell r="M1172" t="str">
            <v>TNI</v>
          </cell>
        </row>
        <row r="1173">
          <cell r="D1173" t="str">
            <v>Waryei</v>
          </cell>
          <cell r="F1173" t="str">
            <v>Supiori</v>
          </cell>
          <cell r="G1173" t="str">
            <v>Papua</v>
          </cell>
          <cell r="H1173" t="str">
            <v>Penyangga</v>
          </cell>
          <cell r="M1173" t="str">
            <v>TNI</v>
          </cell>
        </row>
        <row r="1174">
          <cell r="D1174" t="str">
            <v>Wayori</v>
          </cell>
          <cell r="F1174" t="str">
            <v>Supiori</v>
          </cell>
          <cell r="G1174" t="str">
            <v>Papua</v>
          </cell>
          <cell r="H1174" t="str">
            <v>Penyangga</v>
          </cell>
          <cell r="M1174" t="str">
            <v>TNI</v>
          </cell>
        </row>
        <row r="1175">
          <cell r="D1175" t="str">
            <v>Warbor</v>
          </cell>
          <cell r="F1175" t="str">
            <v>Supiori</v>
          </cell>
          <cell r="G1175" t="str">
            <v>Papua</v>
          </cell>
          <cell r="H1175" t="str">
            <v>Penyangga</v>
          </cell>
          <cell r="M1175" t="str">
            <v>TNI</v>
          </cell>
        </row>
        <row r="1176">
          <cell r="D1176" t="str">
            <v>Koiryakam</v>
          </cell>
          <cell r="F1176" t="str">
            <v>Supiori</v>
          </cell>
          <cell r="G1176" t="str">
            <v>Papua</v>
          </cell>
          <cell r="H1176" t="str">
            <v>Penyangga</v>
          </cell>
          <cell r="M1176" t="str">
            <v>TNI</v>
          </cell>
        </row>
        <row r="1177">
          <cell r="D1177" t="str">
            <v>Amyas</v>
          </cell>
          <cell r="F1177" t="str">
            <v>Supiori</v>
          </cell>
          <cell r="G1177" t="str">
            <v>Papua</v>
          </cell>
          <cell r="H1177" t="str">
            <v>Penyangga</v>
          </cell>
          <cell r="M1177" t="str">
            <v>TNI</v>
          </cell>
        </row>
        <row r="1178">
          <cell r="D1178" t="str">
            <v>Kapitiau</v>
          </cell>
          <cell r="F1178" t="str">
            <v>Sarmi</v>
          </cell>
          <cell r="G1178" t="str">
            <v>Papua</v>
          </cell>
          <cell r="H1178" t="str">
            <v>Penyangga</v>
          </cell>
          <cell r="M1178" t="str">
            <v>TNI</v>
          </cell>
        </row>
        <row r="1179">
          <cell r="D1179" t="str">
            <v>Biawer</v>
          </cell>
          <cell r="F1179" t="str">
            <v>Biak Numfor</v>
          </cell>
          <cell r="G1179" t="str">
            <v>Papua</v>
          </cell>
          <cell r="H1179" t="str">
            <v>Penyangga</v>
          </cell>
          <cell r="M1179" t="str">
            <v>TNI</v>
          </cell>
        </row>
        <row r="1180">
          <cell r="D1180" t="str">
            <v>Yopmeos</v>
          </cell>
          <cell r="F1180" t="str">
            <v>Teluk Wondama</v>
          </cell>
          <cell r="G1180" t="str">
            <v>Papua Barat</v>
          </cell>
          <cell r="H1180" t="str">
            <v>Penyangga</v>
          </cell>
          <cell r="M1180" t="str">
            <v>TNI</v>
          </cell>
        </row>
        <row r="1181">
          <cell r="D1181" t="str">
            <v>Dotir</v>
          </cell>
          <cell r="F1181" t="str">
            <v>Teluk Wondama</v>
          </cell>
          <cell r="G1181" t="str">
            <v>Papua Barat</v>
          </cell>
          <cell r="H1181" t="str">
            <v>Penyangga</v>
          </cell>
          <cell r="M1181" t="str">
            <v>TNI</v>
          </cell>
        </row>
        <row r="1182">
          <cell r="D1182" t="str">
            <v>Windesi</v>
          </cell>
          <cell r="F1182" t="str">
            <v>Teluk Wondama</v>
          </cell>
          <cell r="G1182" t="str">
            <v>Papua Barat</v>
          </cell>
          <cell r="H1182" t="str">
            <v>Penyangga</v>
          </cell>
          <cell r="M1182" t="str">
            <v>TNI</v>
          </cell>
        </row>
        <row r="1183">
          <cell r="D1183" t="str">
            <v>Mena</v>
          </cell>
          <cell r="F1183" t="str">
            <v>Teluk Wondama</v>
          </cell>
          <cell r="G1183" t="str">
            <v>Papua Barat</v>
          </cell>
          <cell r="H1183" t="str">
            <v>Penyangga</v>
          </cell>
          <cell r="M1183" t="str">
            <v>TNI</v>
          </cell>
        </row>
        <row r="1184">
          <cell r="D1184" t="str">
            <v>Paradoi</v>
          </cell>
          <cell r="F1184" t="str">
            <v>Waropen</v>
          </cell>
          <cell r="G1184" t="str">
            <v>Papua</v>
          </cell>
          <cell r="H1184" t="str">
            <v>Penyangga</v>
          </cell>
          <cell r="M1184" t="str">
            <v>TNI</v>
          </cell>
        </row>
        <row r="1185">
          <cell r="D1185" t="str">
            <v>Nuspairo</v>
          </cell>
          <cell r="F1185" t="str">
            <v>Teluk Wondama</v>
          </cell>
          <cell r="G1185" t="str">
            <v>Papua Barat</v>
          </cell>
          <cell r="H1185" t="str">
            <v>Penyangga</v>
          </cell>
          <cell r="M1185" t="str">
            <v>TNI</v>
          </cell>
        </row>
        <row r="1186">
          <cell r="D1186" t="str">
            <v>Reyob</v>
          </cell>
          <cell r="F1186" t="str">
            <v>Teluk Wondama</v>
          </cell>
          <cell r="G1186" t="str">
            <v>Papua Barat</v>
          </cell>
          <cell r="H1186" t="str">
            <v>Penyangga</v>
          </cell>
          <cell r="M1186" t="str">
            <v>TNI</v>
          </cell>
        </row>
        <row r="1187">
          <cell r="D1187" t="str">
            <v>Kamaro</v>
          </cell>
          <cell r="F1187" t="str">
            <v>Sorong Selatan</v>
          </cell>
          <cell r="G1187" t="str">
            <v>Papua Barat Daya</v>
          </cell>
          <cell r="H1187" t="str">
            <v>Penyangga</v>
          </cell>
          <cell r="M1187" t="str">
            <v>TNI</v>
          </cell>
        </row>
        <row r="1188">
          <cell r="D1188" t="str">
            <v>Waroi</v>
          </cell>
          <cell r="F1188" t="str">
            <v>Biak Numfor</v>
          </cell>
          <cell r="G1188" t="str">
            <v>Papua</v>
          </cell>
          <cell r="H1188" t="str">
            <v>Penyangga</v>
          </cell>
          <cell r="M1188" t="str">
            <v>TNI</v>
          </cell>
        </row>
        <row r="1189">
          <cell r="D1189" t="str">
            <v>Kanaan</v>
          </cell>
          <cell r="F1189" t="str">
            <v>Biak Numfor</v>
          </cell>
          <cell r="G1189" t="str">
            <v>Papua</v>
          </cell>
          <cell r="H1189" t="str">
            <v>Penyangga</v>
          </cell>
          <cell r="M1189" t="str">
            <v>TNI</v>
          </cell>
        </row>
        <row r="1190">
          <cell r="D1190" t="str">
            <v>Insiri</v>
          </cell>
          <cell r="F1190" t="str">
            <v>Biak Numfor</v>
          </cell>
          <cell r="G1190" t="str">
            <v>Papua</v>
          </cell>
          <cell r="H1190" t="str">
            <v>Penyangga</v>
          </cell>
          <cell r="M1190" t="str">
            <v>TNI</v>
          </cell>
        </row>
        <row r="1191">
          <cell r="D1191" t="str">
            <v>Mamoribo</v>
          </cell>
          <cell r="F1191" t="str">
            <v>Biak Numfor</v>
          </cell>
          <cell r="G1191" t="str">
            <v>Papua</v>
          </cell>
          <cell r="H1191" t="str">
            <v>Penyangga</v>
          </cell>
          <cell r="M1191" t="str">
            <v>TNI</v>
          </cell>
        </row>
        <row r="1192">
          <cell r="D1192" t="str">
            <v>Rarsbari</v>
          </cell>
          <cell r="F1192" t="str">
            <v>Biak Numfor</v>
          </cell>
          <cell r="G1192" t="str">
            <v>Papua</v>
          </cell>
          <cell r="H1192" t="str">
            <v>Penyangga</v>
          </cell>
          <cell r="M1192" t="str">
            <v>TNI</v>
          </cell>
        </row>
        <row r="1193">
          <cell r="D1193" t="str">
            <v>Maryaidori</v>
          </cell>
          <cell r="F1193" t="str">
            <v>Supiori</v>
          </cell>
          <cell r="G1193" t="str">
            <v>Papua</v>
          </cell>
          <cell r="H1193" t="str">
            <v>Penyangga</v>
          </cell>
          <cell r="M1193" t="str">
            <v>TNI</v>
          </cell>
        </row>
        <row r="1194">
          <cell r="D1194" t="str">
            <v>Dawang</v>
          </cell>
          <cell r="F1194" t="str">
            <v>Seram Bagian Timur</v>
          </cell>
          <cell r="G1194" t="str">
            <v>Maluku</v>
          </cell>
          <cell r="H1194" t="str">
            <v>Penyangga</v>
          </cell>
          <cell r="M1194">
            <v>0</v>
          </cell>
        </row>
        <row r="1195">
          <cell r="D1195" t="str">
            <v>Ilili</v>
          </cell>
          <cell r="F1195" t="str">
            <v>Seram Bagian Timur</v>
          </cell>
          <cell r="G1195" t="str">
            <v>Maluku</v>
          </cell>
          <cell r="H1195" t="str">
            <v>Penyangga</v>
          </cell>
          <cell r="M1195">
            <v>0</v>
          </cell>
        </row>
        <row r="1196">
          <cell r="D1196" t="str">
            <v>Kurwara</v>
          </cell>
          <cell r="F1196" t="str">
            <v>Seram Bagian Timur</v>
          </cell>
          <cell r="G1196" t="str">
            <v>Maluku</v>
          </cell>
          <cell r="H1196" t="str">
            <v>Penyangga</v>
          </cell>
          <cell r="M1196">
            <v>0</v>
          </cell>
        </row>
        <row r="1197">
          <cell r="D1197" t="str">
            <v>Malbufa</v>
          </cell>
          <cell r="F1197" t="str">
            <v>Kepulauan Sula</v>
          </cell>
          <cell r="G1197" t="str">
            <v>Maluku Utara</v>
          </cell>
          <cell r="H1197" t="str">
            <v>Penyangga</v>
          </cell>
          <cell r="M1197">
            <v>0</v>
          </cell>
        </row>
        <row r="1198">
          <cell r="D1198" t="str">
            <v>Batuasa</v>
          </cell>
          <cell r="F1198" t="str">
            <v>Seram Bagian Timur</v>
          </cell>
          <cell r="G1198" t="str">
            <v>Maluku</v>
          </cell>
          <cell r="H1198" t="str">
            <v>Penyangga</v>
          </cell>
          <cell r="M1198">
            <v>0</v>
          </cell>
        </row>
        <row r="1199">
          <cell r="D1199" t="str">
            <v>Waesala</v>
          </cell>
          <cell r="F1199" t="str">
            <v>Seram Bagian Barat</v>
          </cell>
          <cell r="G1199" t="str">
            <v>Maluku</v>
          </cell>
          <cell r="H1199" t="str">
            <v>Penyangga</v>
          </cell>
          <cell r="M1199">
            <v>0</v>
          </cell>
        </row>
        <row r="1200">
          <cell r="D1200" t="str">
            <v>Makatian</v>
          </cell>
          <cell r="F1200" t="str">
            <v>Kepulauan Tanimbar</v>
          </cell>
          <cell r="G1200" t="str">
            <v>Maluku</v>
          </cell>
          <cell r="H1200" t="str">
            <v>Penyangga</v>
          </cell>
          <cell r="M1200">
            <v>0</v>
          </cell>
        </row>
        <row r="1201">
          <cell r="D1201" t="str">
            <v>Dullah</v>
          </cell>
          <cell r="F1201" t="str">
            <v>Kota Tual</v>
          </cell>
          <cell r="G1201" t="str">
            <v>Maluku</v>
          </cell>
          <cell r="H1201" t="str">
            <v>Penyangga</v>
          </cell>
          <cell r="M1201">
            <v>0</v>
          </cell>
        </row>
        <row r="1202">
          <cell r="D1202" t="str">
            <v>Tutunametal</v>
          </cell>
          <cell r="F1202" t="str">
            <v>Kepulauan Tanimbar</v>
          </cell>
          <cell r="G1202" t="str">
            <v>Maluku</v>
          </cell>
          <cell r="H1202" t="str">
            <v>Penyangga</v>
          </cell>
          <cell r="M1202">
            <v>0</v>
          </cell>
        </row>
        <row r="1203">
          <cell r="D1203" t="str">
            <v>Adodo Molu</v>
          </cell>
          <cell r="F1203" t="str">
            <v>Kepulauan Tanimbar</v>
          </cell>
          <cell r="G1203" t="str">
            <v>Maluku</v>
          </cell>
          <cell r="H1203" t="str">
            <v>Penyangga</v>
          </cell>
          <cell r="M1203">
            <v>0</v>
          </cell>
        </row>
        <row r="1204">
          <cell r="D1204" t="str">
            <v>Haya</v>
          </cell>
          <cell r="F1204" t="str">
            <v>Maluku Tengah</v>
          </cell>
          <cell r="G1204" t="str">
            <v>Maluku</v>
          </cell>
          <cell r="H1204" t="str">
            <v>Penyangga</v>
          </cell>
          <cell r="M1204">
            <v>0</v>
          </cell>
        </row>
        <row r="1205">
          <cell r="D1205" t="str">
            <v>Kabalukin</v>
          </cell>
          <cell r="F1205" t="str">
            <v>Kepulauan Aru</v>
          </cell>
          <cell r="G1205" t="str">
            <v>Maluku</v>
          </cell>
          <cell r="H1205" t="str">
            <v>Penyangga</v>
          </cell>
          <cell r="M1205">
            <v>0</v>
          </cell>
        </row>
        <row r="1206">
          <cell r="D1206" t="str">
            <v>Sila</v>
          </cell>
          <cell r="F1206" t="str">
            <v>Maluku Tengah</v>
          </cell>
          <cell r="G1206" t="str">
            <v>Maluku</v>
          </cell>
          <cell r="H1206" t="str">
            <v>Penyangga</v>
          </cell>
          <cell r="M1206">
            <v>0</v>
          </cell>
        </row>
        <row r="1207">
          <cell r="D1207" t="str">
            <v>Mira</v>
          </cell>
          <cell r="F1207" t="str">
            <v>Pulau Morotai</v>
          </cell>
          <cell r="G1207" t="str">
            <v>Maluku Utara</v>
          </cell>
          <cell r="H1207" t="str">
            <v>Penyangga</v>
          </cell>
          <cell r="M1207">
            <v>0</v>
          </cell>
        </row>
        <row r="1208">
          <cell r="D1208" t="str">
            <v>Koloray</v>
          </cell>
          <cell r="F1208" t="str">
            <v>Pulau Morotai</v>
          </cell>
          <cell r="G1208" t="str">
            <v>Maluku Utara</v>
          </cell>
          <cell r="H1208" t="str">
            <v>Penyangga</v>
          </cell>
          <cell r="M1208">
            <v>0</v>
          </cell>
        </row>
        <row r="1209">
          <cell r="D1209" t="str">
            <v>Panamboang</v>
          </cell>
          <cell r="F1209" t="str">
            <v>Halmahera Selatan</v>
          </cell>
          <cell r="G1209" t="str">
            <v>Maluku Utara</v>
          </cell>
          <cell r="H1209" t="str">
            <v>Penyangga</v>
          </cell>
          <cell r="M1209">
            <v>0</v>
          </cell>
        </row>
        <row r="1210">
          <cell r="D1210" t="str">
            <v>Talimau</v>
          </cell>
          <cell r="F1210" t="str">
            <v>Halmahera Selatan</v>
          </cell>
          <cell r="G1210" t="str">
            <v>Maluku Utara</v>
          </cell>
          <cell r="H1210" t="str">
            <v>Penyangga</v>
          </cell>
          <cell r="M1210">
            <v>0</v>
          </cell>
        </row>
        <row r="1211">
          <cell r="D1211" t="str">
            <v>Opiaref</v>
          </cell>
          <cell r="F1211" t="str">
            <v>Biak Numfor</v>
          </cell>
          <cell r="G1211" t="str">
            <v>Papua</v>
          </cell>
          <cell r="H1211" t="str">
            <v>Penyangga</v>
          </cell>
          <cell r="M1211" t="str">
            <v>TNI</v>
          </cell>
        </row>
        <row r="1212">
          <cell r="D1212" t="str">
            <v>Atuka</v>
          </cell>
          <cell r="F1212" t="str">
            <v>Mimika</v>
          </cell>
          <cell r="G1212" t="str">
            <v>Papua Tengah</v>
          </cell>
          <cell r="H1212" t="str">
            <v>Penyangga</v>
          </cell>
          <cell r="M1212" t="str">
            <v>TNI</v>
          </cell>
        </row>
        <row r="1213">
          <cell r="D1213" t="str">
            <v>Potowai Buru</v>
          </cell>
          <cell r="F1213" t="str">
            <v>Mimika</v>
          </cell>
          <cell r="G1213" t="str">
            <v>Papua Tengah</v>
          </cell>
          <cell r="H1213" t="str">
            <v>Penyangga</v>
          </cell>
          <cell r="M1213" t="e">
            <v>#N/A</v>
          </cell>
        </row>
        <row r="1214">
          <cell r="D1214" t="str">
            <v>Pronggo</v>
          </cell>
          <cell r="F1214" t="str">
            <v>Mimika</v>
          </cell>
          <cell r="G1214" t="str">
            <v>Papua Tengah</v>
          </cell>
          <cell r="H1214" t="str">
            <v>Penyangga</v>
          </cell>
          <cell r="M1214" t="str">
            <v>TNI</v>
          </cell>
        </row>
        <row r="1215">
          <cell r="D1215" t="str">
            <v>Mupuruka</v>
          </cell>
          <cell r="F1215" t="str">
            <v>Mimika</v>
          </cell>
          <cell r="G1215" t="str">
            <v>Papua Tengah</v>
          </cell>
          <cell r="H1215" t="str">
            <v>Penyangga</v>
          </cell>
          <cell r="M1215" t="str">
            <v>TNI</v>
          </cell>
        </row>
        <row r="1216">
          <cell r="D1216" t="str">
            <v>Poumako</v>
          </cell>
          <cell r="F1216" t="str">
            <v>Mimika</v>
          </cell>
          <cell r="G1216" t="str">
            <v>Papua Tengah</v>
          </cell>
          <cell r="H1216" t="str">
            <v>Penyangga</v>
          </cell>
          <cell r="M1216" t="str">
            <v>TNI</v>
          </cell>
        </row>
        <row r="1217">
          <cell r="D1217" t="str">
            <v>Kampung Baru</v>
          </cell>
          <cell r="F1217" t="str">
            <v>Halmahera Selatan</v>
          </cell>
          <cell r="G1217" t="str">
            <v>Maluku Utara</v>
          </cell>
          <cell r="H1217" t="str">
            <v>Penyangga</v>
          </cell>
          <cell r="M1217">
            <v>0</v>
          </cell>
        </row>
        <row r="1218">
          <cell r="D1218" t="str">
            <v>Dalum</v>
          </cell>
          <cell r="F1218" t="str">
            <v>Kepulauan Talaud</v>
          </cell>
          <cell r="G1218" t="str">
            <v>Sulawesi Utara</v>
          </cell>
          <cell r="H1218" t="str">
            <v>Penyangga</v>
          </cell>
          <cell r="M1218" t="e">
            <v>#N/A</v>
          </cell>
        </row>
        <row r="1219">
          <cell r="D1219" t="str">
            <v>Andei</v>
          </cell>
          <cell r="F1219" t="str">
            <v>Biak Numfor</v>
          </cell>
          <cell r="G1219" t="str">
            <v>Papua</v>
          </cell>
          <cell r="H1219" t="str">
            <v>Penyangga</v>
          </cell>
          <cell r="M1219" t="str">
            <v>TNI</v>
          </cell>
        </row>
        <row r="1220">
          <cell r="D1220" t="str">
            <v>Sawa</v>
          </cell>
          <cell r="F1220" t="str">
            <v>Biak Numfor</v>
          </cell>
          <cell r="G1220" t="str">
            <v>Papua</v>
          </cell>
          <cell r="H1220" t="str">
            <v>Penyangga</v>
          </cell>
          <cell r="M1220" t="str">
            <v>TNI</v>
          </cell>
        </row>
        <row r="1221">
          <cell r="D1221" t="str">
            <v>Apainabo</v>
          </cell>
          <cell r="F1221" t="str">
            <v>Waropen</v>
          </cell>
          <cell r="G1221" t="str">
            <v>Papua</v>
          </cell>
          <cell r="H1221" t="str">
            <v>Penyangga</v>
          </cell>
          <cell r="M1221" t="str">
            <v>TNI</v>
          </cell>
        </row>
        <row r="1222">
          <cell r="D1222" t="str">
            <v>Loleo Jaya</v>
          </cell>
          <cell r="F1222" t="str">
            <v>Halmahera Selatan</v>
          </cell>
          <cell r="G1222" t="str">
            <v>Maluku Utara</v>
          </cell>
          <cell r="H1222" t="str">
            <v>Penyangga</v>
          </cell>
          <cell r="M1222">
            <v>0</v>
          </cell>
        </row>
        <row r="1223">
          <cell r="D1223" t="str">
            <v>Waru</v>
          </cell>
          <cell r="F1223" t="str">
            <v>Seram Bagian Timur</v>
          </cell>
          <cell r="G1223" t="str">
            <v>Maluku</v>
          </cell>
          <cell r="H1223" t="str">
            <v>Penyangga</v>
          </cell>
          <cell r="M1223">
            <v>0</v>
          </cell>
        </row>
        <row r="1224">
          <cell r="D1224" t="str">
            <v>Tahalupu</v>
          </cell>
          <cell r="F1224" t="str">
            <v>Seram Bagian Barat</v>
          </cell>
          <cell r="G1224" t="str">
            <v>Maluku</v>
          </cell>
          <cell r="H1224" t="str">
            <v>Penyangga</v>
          </cell>
          <cell r="M1224">
            <v>0</v>
          </cell>
        </row>
        <row r="1225">
          <cell r="D1225" t="str">
            <v>Silang</v>
          </cell>
          <cell r="F1225" t="str">
            <v>Halmahera Selatan</v>
          </cell>
          <cell r="G1225" t="str">
            <v>Maluku Utara</v>
          </cell>
          <cell r="H1225" t="str">
            <v>Penyangga</v>
          </cell>
          <cell r="M1225">
            <v>0</v>
          </cell>
        </row>
        <row r="1226">
          <cell r="D1226" t="str">
            <v>Tawabi</v>
          </cell>
          <cell r="F1226" t="str">
            <v>Halmahera Selatan</v>
          </cell>
          <cell r="G1226" t="str">
            <v>Maluku Utara</v>
          </cell>
          <cell r="H1226" t="str">
            <v>Penyangga</v>
          </cell>
          <cell r="M1226">
            <v>0</v>
          </cell>
        </row>
        <row r="1227">
          <cell r="D1227" t="str">
            <v>Talo</v>
          </cell>
          <cell r="F1227" t="str">
            <v>Pulau Taliabu</v>
          </cell>
          <cell r="G1227" t="str">
            <v>Maluku Utara</v>
          </cell>
          <cell r="H1227" t="str">
            <v>Penyangga</v>
          </cell>
          <cell r="M1227">
            <v>0</v>
          </cell>
        </row>
        <row r="1228">
          <cell r="D1228" t="str">
            <v>Sidopo</v>
          </cell>
          <cell r="F1228" t="str">
            <v>Halmahera Selatan</v>
          </cell>
          <cell r="G1228" t="str">
            <v>Maluku Utara</v>
          </cell>
          <cell r="H1228" t="str">
            <v>Penyangga</v>
          </cell>
          <cell r="M1228">
            <v>0</v>
          </cell>
        </row>
        <row r="1229">
          <cell r="D1229" t="str">
            <v>Waya</v>
          </cell>
          <cell r="F1229" t="str">
            <v>Halmahera Selatan</v>
          </cell>
          <cell r="G1229" t="str">
            <v>Maluku Utara</v>
          </cell>
          <cell r="H1229" t="str">
            <v>Penyangga</v>
          </cell>
          <cell r="M1229">
            <v>0</v>
          </cell>
        </row>
        <row r="1230">
          <cell r="D1230" t="str">
            <v>Bokimiake</v>
          </cell>
          <cell r="F1230" t="str">
            <v>Halmahera Selatan</v>
          </cell>
          <cell r="G1230" t="str">
            <v>Maluku Utara</v>
          </cell>
          <cell r="H1230" t="str">
            <v>Penyangga</v>
          </cell>
          <cell r="M1230">
            <v>0</v>
          </cell>
        </row>
        <row r="1231">
          <cell r="D1231" t="str">
            <v>Warido</v>
          </cell>
          <cell r="F1231" t="str">
            <v>Biak Numfor</v>
          </cell>
          <cell r="G1231" t="str">
            <v>Papua</v>
          </cell>
          <cell r="H1231" t="str">
            <v>Penyangga</v>
          </cell>
          <cell r="M1231" t="str">
            <v>TNI</v>
          </cell>
        </row>
        <row r="1232">
          <cell r="D1232" t="str">
            <v>Swaipak</v>
          </cell>
          <cell r="F1232" t="str">
            <v>Biak Numfor</v>
          </cell>
          <cell r="G1232" t="str">
            <v>Papua</v>
          </cell>
          <cell r="H1232" t="str">
            <v>Penyangga</v>
          </cell>
          <cell r="M1232" t="str">
            <v>TNI</v>
          </cell>
        </row>
        <row r="1233">
          <cell r="D1233" t="str">
            <v>Tunas Gain</v>
          </cell>
          <cell r="F1233" t="str">
            <v>Fak Fak</v>
          </cell>
          <cell r="G1233" t="str">
            <v>Papua Barat</v>
          </cell>
          <cell r="H1233" t="str">
            <v>Penyangga</v>
          </cell>
          <cell r="M1233" t="str">
            <v>TNI</v>
          </cell>
        </row>
        <row r="1234">
          <cell r="D1234" t="str">
            <v>Goras</v>
          </cell>
          <cell r="F1234" t="str">
            <v>Fak Fak</v>
          </cell>
          <cell r="G1234" t="str">
            <v>Papua Barat</v>
          </cell>
          <cell r="H1234" t="str">
            <v>Penyangga</v>
          </cell>
          <cell r="M1234" t="str">
            <v>TNI</v>
          </cell>
        </row>
        <row r="1235">
          <cell r="D1235" t="str">
            <v>Gag</v>
          </cell>
          <cell r="F1235" t="str">
            <v>Raja Ampat</v>
          </cell>
          <cell r="G1235" t="str">
            <v>Papua Barat Daya</v>
          </cell>
          <cell r="H1235" t="str">
            <v>Penyangga</v>
          </cell>
          <cell r="M1235" t="str">
            <v>TNI</v>
          </cell>
        </row>
        <row r="1236">
          <cell r="D1236" t="str">
            <v>Sauri</v>
          </cell>
          <cell r="F1236" t="str">
            <v>Biak Numfor</v>
          </cell>
          <cell r="G1236" t="str">
            <v>Papua</v>
          </cell>
          <cell r="H1236" t="str">
            <v>Penyangga</v>
          </cell>
          <cell r="M1236" t="str">
            <v>TNI</v>
          </cell>
        </row>
        <row r="1237">
          <cell r="D1237" t="str">
            <v>Toniku</v>
          </cell>
          <cell r="F1237" t="str">
            <v>Halmahera Barat</v>
          </cell>
          <cell r="G1237" t="str">
            <v>Maluku Utara</v>
          </cell>
          <cell r="H1237" t="str">
            <v>Penyangga</v>
          </cell>
          <cell r="M1237" t="e">
            <v>#N/A</v>
          </cell>
        </row>
        <row r="1238">
          <cell r="D1238" t="str">
            <v>Sidongoli Dehe</v>
          </cell>
          <cell r="F1238" t="str">
            <v>Halmahera Barat</v>
          </cell>
          <cell r="G1238" t="str">
            <v>Maluku Utara</v>
          </cell>
          <cell r="H1238" t="str">
            <v>Penyangga</v>
          </cell>
          <cell r="M1238" t="e">
            <v>#N/A</v>
          </cell>
        </row>
        <row r="1239">
          <cell r="D1239" t="str">
            <v>Saria</v>
          </cell>
          <cell r="F1239" t="str">
            <v>Halmahera Barat</v>
          </cell>
          <cell r="G1239" t="str">
            <v>Maluku Utara</v>
          </cell>
          <cell r="H1239" t="str">
            <v>Penyangga</v>
          </cell>
          <cell r="M1239" t="e">
            <v>#N/A</v>
          </cell>
        </row>
        <row r="1240">
          <cell r="D1240" t="str">
            <v>Tongute Ternate</v>
          </cell>
          <cell r="F1240" t="str">
            <v>Halmahera barat</v>
          </cell>
          <cell r="G1240" t="str">
            <v>Maluku Utara</v>
          </cell>
          <cell r="H1240" t="str">
            <v>Penyangga</v>
          </cell>
          <cell r="M1240" t="e">
            <v>#N/A</v>
          </cell>
        </row>
        <row r="1241">
          <cell r="D1241" t="str">
            <v>Cucumare</v>
          </cell>
          <cell r="F1241" t="str">
            <v>Pulau Morotai</v>
          </cell>
          <cell r="G1241" t="str">
            <v>Maluku Utara</v>
          </cell>
          <cell r="H1241" t="str">
            <v>Penyangga</v>
          </cell>
          <cell r="M1241" t="e">
            <v>#N/A</v>
          </cell>
        </row>
        <row r="1242">
          <cell r="D1242" t="str">
            <v>Loleo</v>
          </cell>
          <cell r="F1242" t="str">
            <v>Halmahera Tengah</v>
          </cell>
          <cell r="G1242" t="str">
            <v>Maluku Utara</v>
          </cell>
          <cell r="H1242" t="str">
            <v>Hub</v>
          </cell>
          <cell r="M1242" t="e">
            <v>#N/A</v>
          </cell>
        </row>
        <row r="1243">
          <cell r="D1243" t="str">
            <v>Maffa</v>
          </cell>
          <cell r="F1243" t="str">
            <v>Halmahera Selatan</v>
          </cell>
          <cell r="G1243" t="str">
            <v>Maluku Utara</v>
          </cell>
          <cell r="H1243" t="str">
            <v>Penyangga</v>
          </cell>
          <cell r="M1243" t="e">
            <v>#N/A</v>
          </cell>
        </row>
        <row r="1244">
          <cell r="D1244" t="str">
            <v>Nanali</v>
          </cell>
          <cell r="F1244" t="str">
            <v>Buru Selatan</v>
          </cell>
          <cell r="G1244" t="str">
            <v>Maluku</v>
          </cell>
          <cell r="H1244" t="str">
            <v>Penyangga</v>
          </cell>
          <cell r="M1244" t="e">
            <v>#N/A</v>
          </cell>
        </row>
        <row r="1245">
          <cell r="D1245" t="str">
            <v>Waetawa</v>
          </cell>
          <cell r="F1245" t="str">
            <v>Buru Selatan</v>
          </cell>
          <cell r="G1245" t="str">
            <v>Maluku</v>
          </cell>
          <cell r="H1245" t="str">
            <v>Penyangga</v>
          </cell>
          <cell r="M1245" t="e">
            <v>#N/A</v>
          </cell>
        </row>
        <row r="1246">
          <cell r="D1246" t="str">
            <v>Bemo Perak</v>
          </cell>
          <cell r="F1246" t="str">
            <v>Seram Bagian Timur</v>
          </cell>
          <cell r="G1246" t="str">
            <v>Maluku</v>
          </cell>
          <cell r="H1246" t="str">
            <v>Penyangga</v>
          </cell>
          <cell r="M1246" t="e">
            <v>#N/A</v>
          </cell>
        </row>
        <row r="1247">
          <cell r="D1247" t="str">
            <v>Kilga Kilwouw</v>
          </cell>
          <cell r="F1247" t="str">
            <v>Seram Bagian Timur</v>
          </cell>
          <cell r="G1247" t="str">
            <v>Maluku</v>
          </cell>
          <cell r="H1247" t="str">
            <v>Penyangga</v>
          </cell>
          <cell r="M1247" t="e">
            <v>#N/A</v>
          </cell>
        </row>
        <row r="1248">
          <cell r="D1248" t="str">
            <v>Sather</v>
          </cell>
          <cell r="F1248" t="str">
            <v>Maluku Tenggara</v>
          </cell>
          <cell r="G1248" t="str">
            <v>Maluku</v>
          </cell>
          <cell r="H1248" t="str">
            <v>Penyangga</v>
          </cell>
          <cell r="M1248" t="str">
            <v>PT. Sapta Manuggal Karya (Menengah)</v>
          </cell>
        </row>
        <row r="1249">
          <cell r="D1249" t="str">
            <v>Pakreki</v>
          </cell>
          <cell r="F1249" t="str">
            <v>Biak Numfor</v>
          </cell>
          <cell r="G1249" t="str">
            <v>Papua</v>
          </cell>
          <cell r="H1249" t="str">
            <v>Penyangga</v>
          </cell>
          <cell r="M1249" t="str">
            <v>TNI</v>
          </cell>
        </row>
        <row r="1250">
          <cell r="D1250" t="str">
            <v>Amar</v>
          </cell>
          <cell r="F1250" t="str">
            <v>Mimika</v>
          </cell>
          <cell r="G1250" t="str">
            <v>Papua Tengah</v>
          </cell>
          <cell r="H1250" t="str">
            <v>Penyangga</v>
          </cell>
          <cell r="M1250" t="str">
            <v>TNI</v>
          </cell>
        </row>
        <row r="1251">
          <cell r="D1251" t="str">
            <v>Ipiri</v>
          </cell>
          <cell r="F1251" t="str">
            <v>Mimika</v>
          </cell>
          <cell r="G1251" t="str">
            <v>Papua Tengah</v>
          </cell>
          <cell r="H1251" t="str">
            <v>Penyangga</v>
          </cell>
          <cell r="M1251" t="str">
            <v>TNI</v>
          </cell>
        </row>
        <row r="1252">
          <cell r="D1252" t="str">
            <v>Sesar</v>
          </cell>
          <cell r="F1252" t="str">
            <v>Seram Bagian Timur</v>
          </cell>
          <cell r="G1252" t="str">
            <v>Maluku</v>
          </cell>
          <cell r="H1252" t="str">
            <v>Penyangga</v>
          </cell>
          <cell r="M1252" t="e">
            <v>#N/A</v>
          </cell>
        </row>
        <row r="1253">
          <cell r="D1253" t="str">
            <v>Namber</v>
          </cell>
          <cell r="F1253" t="str">
            <v>Biak Numfor</v>
          </cell>
          <cell r="G1253" t="str">
            <v>Papua</v>
          </cell>
          <cell r="H1253" t="str">
            <v>Penyangga</v>
          </cell>
          <cell r="M1253" t="str">
            <v>TNI</v>
          </cell>
        </row>
        <row r="1254">
          <cell r="D1254" t="str">
            <v>Waren I</v>
          </cell>
          <cell r="F1254" t="str">
            <v>Waropen</v>
          </cell>
          <cell r="G1254" t="str">
            <v>Papua</v>
          </cell>
          <cell r="H1254" t="str">
            <v>Penyangga</v>
          </cell>
          <cell r="M1254" t="str">
            <v>TNI</v>
          </cell>
        </row>
        <row r="1255">
          <cell r="D1255" t="str">
            <v>Labelau</v>
          </cell>
          <cell r="F1255" t="str">
            <v>Maluku Barat Daya</v>
          </cell>
          <cell r="G1255" t="str">
            <v>Maluku</v>
          </cell>
          <cell r="H1255" t="str">
            <v>Penyangga</v>
          </cell>
          <cell r="M1255" t="e">
            <v>#N/A</v>
          </cell>
        </row>
        <row r="1256">
          <cell r="D1256" t="str">
            <v>Poigar I</v>
          </cell>
          <cell r="F1256" t="str">
            <v>Bolaang Mongondow</v>
          </cell>
          <cell r="G1256" t="str">
            <v>Sulawesi Utara</v>
          </cell>
          <cell r="H1256" t="str">
            <v>Hub</v>
          </cell>
          <cell r="M1256" t="e">
            <v>#N/A</v>
          </cell>
        </row>
        <row r="1257">
          <cell r="D1257" t="str">
            <v>Yombekiri I</v>
          </cell>
          <cell r="F1257" t="str">
            <v>Teluk Wondama</v>
          </cell>
          <cell r="G1257" t="str">
            <v>Papua Barat</v>
          </cell>
          <cell r="H1257" t="str">
            <v>Penyangga</v>
          </cell>
          <cell r="M1257" t="str">
            <v>TNI</v>
          </cell>
        </row>
        <row r="1258">
          <cell r="D1258" t="str">
            <v>Sayal</v>
          </cell>
          <cell r="F1258" t="str">
            <v>Sorong Selatan</v>
          </cell>
          <cell r="G1258" t="str">
            <v>Papua Barat Daya</v>
          </cell>
          <cell r="H1258" t="str">
            <v>Penyangga</v>
          </cell>
          <cell r="M1258" t="str">
            <v>TNI</v>
          </cell>
        </row>
        <row r="1259">
          <cell r="D1259" t="str">
            <v>Mate</v>
          </cell>
          <cell r="F1259" t="str">
            <v>Sorong Selatan</v>
          </cell>
          <cell r="G1259" t="str">
            <v>Papua Barat Daya</v>
          </cell>
          <cell r="H1259" t="str">
            <v>Penyangga</v>
          </cell>
          <cell r="M1259" t="str">
            <v>TNI</v>
          </cell>
        </row>
        <row r="1260">
          <cell r="D1260" t="str">
            <v>Nusa</v>
          </cell>
          <cell r="F1260" t="str">
            <v>Sorong Selatan</v>
          </cell>
          <cell r="G1260" t="str">
            <v>Papua Barat Daya</v>
          </cell>
          <cell r="H1260" t="str">
            <v>Penyangga</v>
          </cell>
          <cell r="M1260" t="str">
            <v>TNI</v>
          </cell>
        </row>
        <row r="1261">
          <cell r="D1261" t="str">
            <v>Farusi</v>
          </cell>
          <cell r="F1261" t="str">
            <v>Biak Numfor</v>
          </cell>
          <cell r="G1261" t="str">
            <v>Papua</v>
          </cell>
          <cell r="H1261" t="str">
            <v>Penyangga</v>
          </cell>
          <cell r="M1261" t="str">
            <v>TNI</v>
          </cell>
        </row>
        <row r="1262">
          <cell r="D1262" t="str">
            <v>Kiat</v>
          </cell>
          <cell r="F1262" t="str">
            <v>Fak Fak</v>
          </cell>
          <cell r="G1262" t="str">
            <v>Papua Barat</v>
          </cell>
          <cell r="H1262" t="str">
            <v>Penyangga</v>
          </cell>
          <cell r="M1262" t="str">
            <v>TNI</v>
          </cell>
        </row>
        <row r="1263">
          <cell r="D1263" t="str">
            <v>Kamandur Tetar</v>
          </cell>
          <cell r="F1263" t="str">
            <v>Fak Fak</v>
          </cell>
          <cell r="G1263" t="str">
            <v>Papua Barat</v>
          </cell>
          <cell r="H1263" t="str">
            <v>Penyangga</v>
          </cell>
          <cell r="M1263" t="str">
            <v>TNI</v>
          </cell>
        </row>
        <row r="1264">
          <cell r="D1264" t="str">
            <v>Awunawai</v>
          </cell>
          <cell r="F1264" t="str">
            <v>Kepulauan Yapen</v>
          </cell>
          <cell r="G1264" t="str">
            <v>Papua</v>
          </cell>
          <cell r="H1264" t="str">
            <v>Penyangga</v>
          </cell>
          <cell r="M1264" t="str">
            <v>TNI</v>
          </cell>
        </row>
        <row r="1265">
          <cell r="D1265" t="str">
            <v>Sukuru Tuare</v>
          </cell>
          <cell r="F1265" t="str">
            <v>Fak Fak</v>
          </cell>
          <cell r="G1265" t="str">
            <v>Papua Barat</v>
          </cell>
          <cell r="H1265" t="str">
            <v>Penyangga</v>
          </cell>
          <cell r="M1265" t="str">
            <v>TNI</v>
          </cell>
        </row>
        <row r="1266">
          <cell r="D1266" t="str">
            <v>Waindu</v>
          </cell>
          <cell r="F1266" t="str">
            <v>Kepulauan Yapen</v>
          </cell>
          <cell r="G1266" t="str">
            <v>Papua</v>
          </cell>
          <cell r="H1266" t="str">
            <v>Penyangga</v>
          </cell>
          <cell r="M1266" t="str">
            <v>TNI</v>
          </cell>
        </row>
        <row r="1267">
          <cell r="D1267" t="str">
            <v>Tarei</v>
          </cell>
          <cell r="F1267" t="str">
            <v>Kepulauan Yapen</v>
          </cell>
          <cell r="G1267" t="str">
            <v>Papua</v>
          </cell>
          <cell r="H1267" t="str">
            <v>Penyangga</v>
          </cell>
          <cell r="M1267" t="str">
            <v>TNI</v>
          </cell>
        </row>
        <row r="1268">
          <cell r="D1268" t="str">
            <v>Sanggase</v>
          </cell>
          <cell r="F1268" t="str">
            <v>Merauke</v>
          </cell>
          <cell r="G1268" t="str">
            <v>Papua Selatan</v>
          </cell>
          <cell r="H1268" t="str">
            <v>Penyangga</v>
          </cell>
          <cell r="M1268" t="str">
            <v>TNI</v>
          </cell>
        </row>
        <row r="1269">
          <cell r="D1269" t="str">
            <v>Kalongan Selatan</v>
          </cell>
          <cell r="F1269" t="str">
            <v>Kepulauan Talaud</v>
          </cell>
          <cell r="G1269" t="str">
            <v>Sulawesi Utara</v>
          </cell>
          <cell r="H1269" t="str">
            <v>Penyangga</v>
          </cell>
          <cell r="M1269" t="e">
            <v>#N/A</v>
          </cell>
        </row>
        <row r="1270">
          <cell r="D1270" t="str">
            <v>Bulude</v>
          </cell>
          <cell r="F1270" t="str">
            <v>Kepulauan Talaud</v>
          </cell>
          <cell r="G1270" t="str">
            <v>Sulawesi Utara</v>
          </cell>
          <cell r="H1270" t="str">
            <v>Penyangga</v>
          </cell>
          <cell r="M1270" t="e">
            <v>#N/A</v>
          </cell>
        </row>
        <row r="1271">
          <cell r="D1271" t="str">
            <v>Damau</v>
          </cell>
          <cell r="F1271" t="str">
            <v>Kepulauan Talaud</v>
          </cell>
          <cell r="G1271" t="str">
            <v>Sulawesi Utara</v>
          </cell>
          <cell r="H1271" t="str">
            <v>Penyangga</v>
          </cell>
          <cell r="M1271" t="e">
            <v>#N/A</v>
          </cell>
        </row>
      </sheetData>
      <sheetData sheetId="2">
        <row r="1">
          <cell r="D1" t="str">
            <v>DESA/KELURAHAN</v>
          </cell>
          <cell r="E1" t="str">
            <v>CALON PENYEDIA</v>
          </cell>
          <cell r="F1" t="str">
            <v>NILAI EE</v>
          </cell>
          <cell r="G1" t="str">
            <v>STATUS USULAN PL</v>
          </cell>
          <cell r="H1" t="str">
            <v>KEDUDUKAN PERUSAHAAN</v>
          </cell>
          <cell r="I1" t="str">
            <v>Survey Market</v>
          </cell>
          <cell r="J1" t="str">
            <v>Nomor Kontrak</v>
          </cell>
          <cell r="K1" t="str">
            <v>Status Proses Kontrak</v>
          </cell>
          <cell r="L1" t="str">
            <v>Kontak Person</v>
          </cell>
          <cell r="M1" t="str">
            <v>Cat</v>
          </cell>
          <cell r="N1" t="str">
            <v>KET</v>
          </cell>
          <cell r="O1" t="str">
            <v>Tes</v>
          </cell>
          <cell r="P1" t="str">
            <v>Update Pokja</v>
          </cell>
        </row>
        <row r="2">
          <cell r="D2" t="str">
            <v>Boddia</v>
          </cell>
          <cell r="E2" t="str">
            <v>PT. Sinar Mogilolang</v>
          </cell>
          <cell r="F2">
            <v>5197784000</v>
          </cell>
          <cell r="G2" t="str">
            <v>Nodin PPK 26 Mei 2026</v>
          </cell>
          <cell r="H2" t="str">
            <v>Makassar</v>
          </cell>
          <cell r="I2" t="str">
            <v>Online</v>
          </cell>
          <cell r="J2" t="str">
            <v>B.16012/DJPT.6/PI.420/PPK/VI/2026</v>
          </cell>
          <cell r="K2" t="str">
            <v>Kontrak</v>
          </cell>
          <cell r="O2" t="e">
            <v>#N/A</v>
          </cell>
          <cell r="P2" t="str">
            <v>sudah</v>
          </cell>
        </row>
        <row r="3">
          <cell r="D3" t="str">
            <v>Bonto Kanang</v>
          </cell>
          <cell r="E3" t="str">
            <v>PT. Sinar Mogilolang</v>
          </cell>
          <cell r="F3">
            <v>4880000000</v>
          </cell>
          <cell r="G3" t="str">
            <v>Nodin PPK 26 Mei 2026</v>
          </cell>
          <cell r="H3" t="str">
            <v>Makassar</v>
          </cell>
          <cell r="I3" t="str">
            <v>Online</v>
          </cell>
          <cell r="J3" t="str">
            <v>B.16012/DJPT.6/PI.420/PPK/VI/2026</v>
          </cell>
          <cell r="K3" t="str">
            <v>Kontrak</v>
          </cell>
          <cell r="O3" t="e">
            <v>#N/A</v>
          </cell>
          <cell r="P3" t="str">
            <v>sudah</v>
          </cell>
        </row>
        <row r="4">
          <cell r="D4" t="str">
            <v>Sampulungan</v>
          </cell>
          <cell r="E4" t="str">
            <v>PT. Sinar Mogilolang</v>
          </cell>
          <cell r="F4">
            <v>5040531000</v>
          </cell>
          <cell r="G4" t="str">
            <v>Nodin PPK 26 Mei 2026</v>
          </cell>
          <cell r="H4" t="str">
            <v>Makassar</v>
          </cell>
          <cell r="I4" t="str">
            <v>Online</v>
          </cell>
          <cell r="J4" t="str">
            <v>B.16012/DJPT.6/PI.420/PPK/VI/2026</v>
          </cell>
          <cell r="K4" t="str">
            <v>Kontrak</v>
          </cell>
          <cell r="O4" t="e">
            <v>#N/A</v>
          </cell>
          <cell r="P4" t="str">
            <v>sudah</v>
          </cell>
        </row>
        <row r="5">
          <cell r="D5" t="str">
            <v>Topejawa</v>
          </cell>
          <cell r="E5" t="str">
            <v>PT. Sinar Mogilolang</v>
          </cell>
          <cell r="F5">
            <v>8793312000</v>
          </cell>
          <cell r="G5" t="str">
            <v>Nodin PPK 26 Mei 2026</v>
          </cell>
          <cell r="H5" t="str">
            <v>Makassar</v>
          </cell>
          <cell r="I5" t="str">
            <v>Online</v>
          </cell>
          <cell r="J5" t="str">
            <v>B.16012/DJPT.6/PI.420/PPK/VI/2026</v>
          </cell>
          <cell r="K5" t="str">
            <v>Kontrak</v>
          </cell>
          <cell r="O5" t="e">
            <v>#N/A</v>
          </cell>
          <cell r="P5" t="str">
            <v>sudah</v>
          </cell>
        </row>
        <row r="6">
          <cell r="D6" t="str">
            <v>Aewoe</v>
          </cell>
          <cell r="E6" t="str">
            <v>CV. Infinite Konstruksi/ PT. Krisindo Sukses Sejahtera</v>
          </cell>
          <cell r="F6">
            <v>0</v>
          </cell>
          <cell r="L6" t="str">
            <v>Steven/085238563823</v>
          </cell>
          <cell r="M6" t="str">
            <v>fraksi roem</v>
          </cell>
          <cell r="O6" t="e">
            <v>#N/A</v>
          </cell>
          <cell r="P6">
            <v>0</v>
          </cell>
        </row>
        <row r="7">
          <cell r="D7" t="str">
            <v>Mapur</v>
          </cell>
          <cell r="E7" t="str">
            <v>PT. Indo Jaya Negara Abadi</v>
          </cell>
          <cell r="F7">
            <v>0</v>
          </cell>
          <cell r="H7" t="str">
            <v>Jakarta</v>
          </cell>
          <cell r="I7" t="str">
            <v>Online</v>
          </cell>
          <cell r="L7" t="str">
            <v>officialindojayanegaraabadi@gmail.com/ 87731490688/087768911327/vikry</v>
          </cell>
          <cell r="M7" t="str">
            <v>vikry</v>
          </cell>
          <cell r="O7" t="e">
            <v>#N/A</v>
          </cell>
          <cell r="P7">
            <v>0</v>
          </cell>
        </row>
        <row r="8">
          <cell r="D8" t="str">
            <v>Air Gelubi</v>
          </cell>
          <cell r="E8" t="str">
            <v>PT. Agung Kuck Lom Grub</v>
          </cell>
          <cell r="F8">
            <v>0</v>
          </cell>
          <cell r="L8" t="str">
            <v>082162261976/sastra</v>
          </cell>
          <cell r="M8" t="str">
            <v>Dedd</v>
          </cell>
          <cell r="O8" t="e">
            <v>#N/A</v>
          </cell>
          <cell r="P8">
            <v>0</v>
          </cell>
        </row>
        <row r="9">
          <cell r="D9" t="str">
            <v>Berakit</v>
          </cell>
          <cell r="E9" t="str">
            <v>PT. Prima Shina Cahaya</v>
          </cell>
          <cell r="L9" t="str">
            <v>081383000359/tatti</v>
          </cell>
          <cell r="M9" t="str">
            <v>Pandu (usulan)</v>
          </cell>
          <cell r="O9" t="e">
            <v>#N/A</v>
          </cell>
          <cell r="P9">
            <v>0</v>
          </cell>
        </row>
        <row r="10">
          <cell r="D10" t="str">
            <v>Malang Rapat</v>
          </cell>
          <cell r="E10" t="str">
            <v>PT. Prima Shina Cahaya</v>
          </cell>
          <cell r="L10" t="str">
            <v>081383000359/tatti</v>
          </cell>
          <cell r="M10" t="str">
            <v>Pandu (usulan)</v>
          </cell>
          <cell r="O10" t="e">
            <v>#N/A</v>
          </cell>
          <cell r="P10">
            <v>0</v>
          </cell>
        </row>
        <row r="11">
          <cell r="D11" t="str">
            <v>Numbing</v>
          </cell>
          <cell r="E11" t="str">
            <v>PT. Agung Kuck Lom Grub</v>
          </cell>
          <cell r="F11">
            <v>0</v>
          </cell>
          <cell r="L11" t="str">
            <v>082162261976/sastra</v>
          </cell>
          <cell r="M11" t="str">
            <v>Dedd</v>
          </cell>
          <cell r="O11" t="e">
            <v>#N/A</v>
          </cell>
          <cell r="P11">
            <v>0</v>
          </cell>
        </row>
        <row r="12">
          <cell r="D12" t="str">
            <v>Teluk Bakau</v>
          </cell>
          <cell r="E12" t="str">
            <v>PT. Prima Shina Cahaya</v>
          </cell>
          <cell r="F12">
            <v>0</v>
          </cell>
          <cell r="L12" t="str">
            <v>081383000359/tatti</v>
          </cell>
          <cell r="M12" t="str">
            <v>Pandu (usulan)</v>
          </cell>
          <cell r="O12" t="e">
            <v>#N/A</v>
          </cell>
          <cell r="P12">
            <v>0</v>
          </cell>
        </row>
        <row r="13">
          <cell r="D13" t="str">
            <v>Aki Jaya</v>
          </cell>
          <cell r="F13">
            <v>0</v>
          </cell>
          <cell r="O13" t="e">
            <v>#N/A</v>
          </cell>
          <cell r="P13">
            <v>0</v>
          </cell>
        </row>
        <row r="14">
          <cell r="D14" t="str">
            <v>Bula</v>
          </cell>
          <cell r="F14">
            <v>0</v>
          </cell>
          <cell r="O14" t="e">
            <v>#N/A</v>
          </cell>
          <cell r="P14">
            <v>0</v>
          </cell>
        </row>
        <row r="15">
          <cell r="D15" t="str">
            <v>Dawang</v>
          </cell>
          <cell r="F15">
            <v>0</v>
          </cell>
          <cell r="O15" t="e">
            <v>#N/A</v>
          </cell>
          <cell r="P15">
            <v>0</v>
          </cell>
        </row>
        <row r="16">
          <cell r="D16" t="str">
            <v>Englas</v>
          </cell>
          <cell r="E16" t="str">
            <v>PT. Abadi Jasa Tama</v>
          </cell>
          <cell r="F16">
            <v>0</v>
          </cell>
          <cell r="O16" t="e">
            <v>#N/A</v>
          </cell>
          <cell r="P16">
            <v>0</v>
          </cell>
        </row>
        <row r="17">
          <cell r="D17" t="str">
            <v>Waru</v>
          </cell>
          <cell r="F17">
            <v>0</v>
          </cell>
          <cell r="O17" t="e">
            <v>#N/A</v>
          </cell>
          <cell r="P17">
            <v>0</v>
          </cell>
        </row>
        <row r="18">
          <cell r="D18" t="str">
            <v>Akkajeng</v>
          </cell>
          <cell r="E18" t="str">
            <v>PT. Mina Transindo Totabuan</v>
          </cell>
          <cell r="F18">
            <v>5380606000</v>
          </cell>
          <cell r="G18" t="str">
            <v>Nodin PPK 29 Mei 2026</v>
          </cell>
          <cell r="H18" t="str">
            <v>Jakarta</v>
          </cell>
          <cell r="I18" t="str">
            <v>Offline</v>
          </cell>
          <cell r="J18" t="str">
            <v>B.16307/DJPT.6/PI.420/PPK/VI/2026</v>
          </cell>
          <cell r="K18" t="str">
            <v>Kontrak</v>
          </cell>
          <cell r="M18" t="str">
            <v>Dedd</v>
          </cell>
          <cell r="O18" t="e">
            <v>#N/A</v>
          </cell>
          <cell r="P18" t="str">
            <v>sudah</v>
          </cell>
        </row>
        <row r="19">
          <cell r="D19" t="str">
            <v>Pattangngae</v>
          </cell>
          <cell r="E19" t="str">
            <v>PT. Mina Transindo Totabuan</v>
          </cell>
          <cell r="F19">
            <v>4595074000</v>
          </cell>
          <cell r="G19" t="str">
            <v>Nodin PPK 29 Mei 2026</v>
          </cell>
          <cell r="H19" t="str">
            <v>Jakarta</v>
          </cell>
          <cell r="I19" t="str">
            <v>Offline</v>
          </cell>
          <cell r="J19" t="str">
            <v>B.16307/DJPT.6/PI.420/PPK/VI/2026</v>
          </cell>
          <cell r="K19" t="str">
            <v>Kontrak</v>
          </cell>
          <cell r="M19" t="str">
            <v>Dedd</v>
          </cell>
          <cell r="O19" t="e">
            <v>#N/A</v>
          </cell>
          <cell r="P19" t="str">
            <v>sudah</v>
          </cell>
        </row>
        <row r="20">
          <cell r="D20" t="str">
            <v>Amarlaut</v>
          </cell>
          <cell r="F20">
            <v>0</v>
          </cell>
          <cell r="O20" t="e">
            <v>#N/A</v>
          </cell>
          <cell r="P20">
            <v>0</v>
          </cell>
        </row>
        <row r="21">
          <cell r="D21" t="str">
            <v>Amarsekaru</v>
          </cell>
          <cell r="F21">
            <v>0</v>
          </cell>
          <cell r="O21" t="e">
            <v>#N/A</v>
          </cell>
          <cell r="P21">
            <v>0</v>
          </cell>
        </row>
        <row r="22">
          <cell r="D22" t="str">
            <v>Ilili</v>
          </cell>
          <cell r="F22">
            <v>0</v>
          </cell>
          <cell r="O22" t="e">
            <v>#N/A</v>
          </cell>
          <cell r="P22">
            <v>0</v>
          </cell>
        </row>
        <row r="23">
          <cell r="D23" t="str">
            <v>Karlokin</v>
          </cell>
          <cell r="F23">
            <v>0</v>
          </cell>
          <cell r="O23" t="e">
            <v>#N/A</v>
          </cell>
          <cell r="P23">
            <v>0</v>
          </cell>
        </row>
        <row r="24">
          <cell r="D24" t="str">
            <v>Kilbutak</v>
          </cell>
          <cell r="F24">
            <v>0</v>
          </cell>
          <cell r="O24" t="e">
            <v>#N/A</v>
          </cell>
          <cell r="P24">
            <v>0</v>
          </cell>
        </row>
        <row r="25">
          <cell r="D25" t="str">
            <v>Kulugowa</v>
          </cell>
          <cell r="F25">
            <v>0</v>
          </cell>
          <cell r="O25" t="e">
            <v>#N/A</v>
          </cell>
          <cell r="P25">
            <v>0</v>
          </cell>
        </row>
        <row r="26">
          <cell r="D26" t="str">
            <v>Kurwara</v>
          </cell>
          <cell r="F26">
            <v>0</v>
          </cell>
          <cell r="O26" t="e">
            <v>#N/A</v>
          </cell>
          <cell r="P26">
            <v>0</v>
          </cell>
        </row>
        <row r="27">
          <cell r="D27" t="str">
            <v>Lahema</v>
          </cell>
          <cell r="F27">
            <v>0</v>
          </cell>
          <cell r="O27" t="e">
            <v>#N/A</v>
          </cell>
          <cell r="P27">
            <v>0</v>
          </cell>
        </row>
        <row r="28">
          <cell r="D28" t="str">
            <v>Hakatutobu</v>
          </cell>
          <cell r="E28" t="str">
            <v>PT. ARCHITA GRAHA INDAH LESTARI</v>
          </cell>
          <cell r="F28">
            <v>4560936000</v>
          </cell>
          <cell r="L28" t="str">
            <v>085211119791/1122yakusa@gmail.com</v>
          </cell>
          <cell r="M28" t="str">
            <v>Jaelani</v>
          </cell>
          <cell r="O28" t="e">
            <v>#N/A</v>
          </cell>
          <cell r="P28" t="str">
            <v>sudah</v>
          </cell>
        </row>
        <row r="29">
          <cell r="D29" t="str">
            <v>Iwoimendaa</v>
          </cell>
          <cell r="E29" t="str">
            <v>PT. ARCHITA GRAHA INDAH LESTARI</v>
          </cell>
          <cell r="F29">
            <v>4295591000</v>
          </cell>
          <cell r="L29" t="str">
            <v>085211119791/1122yakusa@gmail.com</v>
          </cell>
          <cell r="M29" t="str">
            <v>Jaelani</v>
          </cell>
          <cell r="O29" t="e">
            <v>#N/A</v>
          </cell>
          <cell r="P29" t="str">
            <v>sudah</v>
          </cell>
        </row>
        <row r="30">
          <cell r="D30" t="str">
            <v>Tambea</v>
          </cell>
          <cell r="E30" t="str">
            <v>PT. ARCHITA GRAHA INDAH LESTARI</v>
          </cell>
          <cell r="F30">
            <v>4500000000</v>
          </cell>
          <cell r="L30" t="str">
            <v>085211119791/1122yakusa@gmail.com</v>
          </cell>
          <cell r="M30" t="str">
            <v>Jaelani</v>
          </cell>
          <cell r="O30" t="e">
            <v>#N/A</v>
          </cell>
          <cell r="P30" t="str">
            <v>sudah</v>
          </cell>
        </row>
        <row r="31">
          <cell r="D31" t="str">
            <v>Wolo</v>
          </cell>
          <cell r="E31" t="str">
            <v>PT. ARCHITA GRAHA INDAH LESTARI</v>
          </cell>
          <cell r="F31">
            <v>4500000000</v>
          </cell>
          <cell r="L31" t="str">
            <v>085211119791/1122yakusa@gmail.com</v>
          </cell>
          <cell r="M31" t="str">
            <v>Jaelani</v>
          </cell>
          <cell r="O31" t="e">
            <v>#N/A</v>
          </cell>
          <cell r="P31" t="str">
            <v>sudah</v>
          </cell>
        </row>
        <row r="32">
          <cell r="D32" t="str">
            <v>Anggasari</v>
          </cell>
          <cell r="E32" t="str">
            <v>PT Medal Cipta Buana</v>
          </cell>
          <cell r="F32">
            <v>3591483000</v>
          </cell>
          <cell r="G32" t="str">
            <v>Nodin PPK 25 Mei 2026</v>
          </cell>
          <cell r="H32" t="str">
            <v>Bandung</v>
          </cell>
          <cell r="I32" t="str">
            <v>Offline</v>
          </cell>
          <cell r="J32" t="str">
            <v>B.16300/DJPT.6/PI.420/PPK/VI/2026</v>
          </cell>
          <cell r="K32" t="str">
            <v>SPPBJ</v>
          </cell>
          <cell r="M32" t="str">
            <v>Sandi</v>
          </cell>
          <cell r="N32" t="str">
            <v>tidak ada penyedia lokal yang memenuhi kualifikasi</v>
          </cell>
          <cell r="O32" t="e">
            <v>#N/A</v>
          </cell>
          <cell r="P32" t="str">
            <v>sudah</v>
          </cell>
        </row>
        <row r="33">
          <cell r="D33" t="str">
            <v>Rawameneng</v>
          </cell>
          <cell r="E33" t="str">
            <v>PT Medal Cipta Buana</v>
          </cell>
          <cell r="F33">
            <v>3880426000</v>
          </cell>
          <cell r="G33" t="str">
            <v>Nodin PPK 25 Mei 2026</v>
          </cell>
          <cell r="H33" t="str">
            <v>Bandung</v>
          </cell>
          <cell r="I33" t="str">
            <v>Offline</v>
          </cell>
          <cell r="J33" t="str">
            <v>B.16300/DJPT.6/PI.420/PPK/VI/2026</v>
          </cell>
          <cell r="K33" t="str">
            <v>SPPBJ</v>
          </cell>
          <cell r="M33" t="str">
            <v>Sandi</v>
          </cell>
          <cell r="N33" t="str">
            <v>tidak ada penyedia lokal yang memenuhi kualifikasi</v>
          </cell>
          <cell r="O33" t="e">
            <v>#N/A</v>
          </cell>
          <cell r="P33" t="str">
            <v>sudah</v>
          </cell>
        </row>
        <row r="34">
          <cell r="D34" t="str">
            <v>Arma</v>
          </cell>
          <cell r="F34">
            <v>0</v>
          </cell>
          <cell r="O34" t="e">
            <v>#N/A</v>
          </cell>
          <cell r="P34">
            <v>0</v>
          </cell>
        </row>
        <row r="35">
          <cell r="D35" t="str">
            <v>Lelingluan</v>
          </cell>
          <cell r="F35">
            <v>0</v>
          </cell>
          <cell r="O35" t="e">
            <v>#N/A</v>
          </cell>
          <cell r="P35">
            <v>0</v>
          </cell>
        </row>
        <row r="36">
          <cell r="D36" t="str">
            <v>Meyano Das</v>
          </cell>
          <cell r="F36">
            <v>0</v>
          </cell>
          <cell r="O36" t="e">
            <v>#N/A</v>
          </cell>
          <cell r="P36">
            <v>0</v>
          </cell>
        </row>
        <row r="37">
          <cell r="D37" t="str">
            <v>Ritabel</v>
          </cell>
          <cell r="F37">
            <v>0</v>
          </cell>
          <cell r="O37" t="e">
            <v>#N/A</v>
          </cell>
          <cell r="P37">
            <v>0</v>
          </cell>
        </row>
        <row r="38">
          <cell r="D38" t="str">
            <v>Bonda</v>
          </cell>
          <cell r="E38" t="str">
            <v>CV. Passompe Utama</v>
          </cell>
          <cell r="F38">
            <v>7073042000</v>
          </cell>
          <cell r="G38" t="str">
            <v>Nodin PPK 29 Mei 2026</v>
          </cell>
          <cell r="H38" t="str">
            <v>Makassar</v>
          </cell>
          <cell r="I38" t="str">
            <v>Online</v>
          </cell>
          <cell r="K38" t="str">
            <v>Proses Kontrak (Pokja)</v>
          </cell>
          <cell r="L38" t="str">
            <v>08118600956/angie</v>
          </cell>
          <cell r="M38" t="str">
            <v>angie</v>
          </cell>
          <cell r="O38" t="e">
            <v>#N/A</v>
          </cell>
          <cell r="P38" t="str">
            <v>sudah</v>
          </cell>
        </row>
        <row r="39">
          <cell r="D39" t="str">
            <v>Sampaga</v>
          </cell>
          <cell r="E39" t="str">
            <v>CV. Passompe Utama</v>
          </cell>
          <cell r="F39">
            <v>4237147000</v>
          </cell>
          <cell r="G39" t="str">
            <v>Nodin PPK 29 Mei 2026</v>
          </cell>
          <cell r="H39" t="str">
            <v>Makassar</v>
          </cell>
          <cell r="I39" t="str">
            <v>Online</v>
          </cell>
          <cell r="K39" t="str">
            <v>Proses Kontrak (Pokja)</v>
          </cell>
          <cell r="L39" t="str">
            <v>08118600956/angie</v>
          </cell>
          <cell r="M39" t="str">
            <v>angie</v>
          </cell>
          <cell r="O39" t="e">
            <v>#N/A</v>
          </cell>
          <cell r="P39" t="str">
            <v>lokasi ditolak masyarakat</v>
          </cell>
        </row>
        <row r="40">
          <cell r="D40" t="str">
            <v>Kambunong</v>
          </cell>
          <cell r="E40" t="str">
            <v>CV. Danaztama</v>
          </cell>
          <cell r="F40">
            <v>5528936000</v>
          </cell>
          <cell r="G40" t="str">
            <v>Nodin PPK 29 Mei 2026</v>
          </cell>
          <cell r="K40" t="str">
            <v>Proses Kontrak (Pokja)</v>
          </cell>
          <cell r="L40" t="str">
            <v>Seto/087834780610</v>
          </cell>
          <cell r="M40" t="str">
            <v>seto</v>
          </cell>
          <cell r="O40" t="str">
            <v>CV. CELEBES PAN</v>
          </cell>
          <cell r="P40" t="str">
            <v>sudah</v>
          </cell>
        </row>
        <row r="41">
          <cell r="D41" t="str">
            <v>Kire</v>
          </cell>
          <cell r="E41" t="str">
            <v>CV. Danaztama</v>
          </cell>
          <cell r="F41">
            <v>4573079000</v>
          </cell>
          <cell r="G41" t="str">
            <v>Nodin PPK 29 Mei 2026</v>
          </cell>
          <cell r="K41" t="str">
            <v>Proses Kontrak (Pokja)</v>
          </cell>
          <cell r="L41" t="str">
            <v>Seto/087834780610</v>
          </cell>
          <cell r="M41" t="str">
            <v>seto</v>
          </cell>
          <cell r="O41" t="str">
            <v>CV. CELEBES PAN</v>
          </cell>
          <cell r="P41" t="str">
            <v>sudah</v>
          </cell>
        </row>
        <row r="42">
          <cell r="D42" t="str">
            <v>Kombiling</v>
          </cell>
          <cell r="E42" t="str">
            <v>CV. Kitapura Membangun</v>
          </cell>
          <cell r="F42">
            <v>4165818826</v>
          </cell>
          <cell r="G42" t="str">
            <v>Nodin PPK 29 Mei 2026</v>
          </cell>
          <cell r="K42" t="str">
            <v>Proses Kontrak (Pokja)</v>
          </cell>
          <cell r="L42" t="str">
            <v>081293305027/iqbal</v>
          </cell>
          <cell r="M42" t="str">
            <v>Iqbal/AM</v>
          </cell>
          <cell r="O42" t="e">
            <v>#N/A</v>
          </cell>
          <cell r="P42" t="str">
            <v>sudah</v>
          </cell>
        </row>
        <row r="43">
          <cell r="D43" t="str">
            <v>Lamba-Lamba</v>
          </cell>
          <cell r="E43" t="str">
            <v>CV. Kitapura Membangun</v>
          </cell>
          <cell r="F43">
            <v>4780636000</v>
          </cell>
          <cell r="G43" t="str">
            <v>Nodin PPK 29 Mei 2026</v>
          </cell>
          <cell r="K43" t="str">
            <v>Proses Kontrak (Pokja)</v>
          </cell>
          <cell r="L43" t="str">
            <v>081293305027/iqbal</v>
          </cell>
          <cell r="M43" t="str">
            <v>Iqbal/AM</v>
          </cell>
          <cell r="O43" t="e">
            <v>#N/A</v>
          </cell>
          <cell r="P43" t="str">
            <v>sudah</v>
          </cell>
        </row>
        <row r="44">
          <cell r="D44" t="str">
            <v>Pangale</v>
          </cell>
          <cell r="E44" t="str">
            <v>CV. Kitapura Membangun</v>
          </cell>
          <cell r="F44">
            <v>2996678000</v>
          </cell>
          <cell r="G44" t="str">
            <v>Nodin PPK 29 Mei 2026</v>
          </cell>
          <cell r="K44" t="str">
            <v>Proses Kontrak (Pokja)</v>
          </cell>
          <cell r="L44" t="str">
            <v>081293305027/iqbal</v>
          </cell>
          <cell r="M44" t="str">
            <v>Iqbal/AM</v>
          </cell>
          <cell r="O44" t="e">
            <v>#N/A</v>
          </cell>
          <cell r="P44" t="str">
            <v>sudah</v>
          </cell>
        </row>
        <row r="45">
          <cell r="D45" t="str">
            <v>Tasokko</v>
          </cell>
          <cell r="E45" t="str">
            <v>PT. Aditya Musdalifah</v>
          </cell>
          <cell r="F45">
            <v>4652570000</v>
          </cell>
          <cell r="G45" t="str">
            <v>Nodin PPK 29 Mei 2026</v>
          </cell>
          <cell r="K45" t="str">
            <v>Proses Kontrak (Pokja)</v>
          </cell>
          <cell r="L45" t="str">
            <v>Seto/087834780610</v>
          </cell>
          <cell r="M45" t="str">
            <v>seto</v>
          </cell>
          <cell r="O45" t="str">
            <v>CV. CELEBES PAN</v>
          </cell>
          <cell r="P45" t="str">
            <v>sudah</v>
          </cell>
        </row>
        <row r="46">
          <cell r="D46" t="str">
            <v>Tumbu</v>
          </cell>
          <cell r="E46" t="str">
            <v>CV. Kitapura Membangun</v>
          </cell>
          <cell r="F46">
            <v>4721180000</v>
          </cell>
          <cell r="G46" t="str">
            <v>Nodin PPK 29 Mei 2026</v>
          </cell>
          <cell r="K46" t="str">
            <v>Proses Kontrak (Pokja)</v>
          </cell>
          <cell r="L46" t="str">
            <v>081293305027/iqbal</v>
          </cell>
          <cell r="M46" t="str">
            <v>Iqbal/AM</v>
          </cell>
          <cell r="O46" t="e">
            <v>#N/A</v>
          </cell>
          <cell r="P46" t="str">
            <v>sudah</v>
          </cell>
        </row>
        <row r="47">
          <cell r="D47" t="str">
            <v>Bajo</v>
          </cell>
          <cell r="F47">
            <v>0</v>
          </cell>
          <cell r="O47">
            <v>0</v>
          </cell>
          <cell r="P47">
            <v>0</v>
          </cell>
        </row>
        <row r="48">
          <cell r="D48" t="str">
            <v>Bibinoi</v>
          </cell>
          <cell r="F48">
            <v>0</v>
          </cell>
          <cell r="O48" t="e">
            <v>#N/A</v>
          </cell>
          <cell r="P48">
            <v>0</v>
          </cell>
        </row>
        <row r="49">
          <cell r="D49" t="str">
            <v>Bokimiake</v>
          </cell>
          <cell r="F49">
            <v>0</v>
          </cell>
          <cell r="O49" t="e">
            <v>#N/A</v>
          </cell>
          <cell r="P49">
            <v>0</v>
          </cell>
        </row>
        <row r="50">
          <cell r="D50" t="str">
            <v>Indari</v>
          </cell>
          <cell r="F50">
            <v>0</v>
          </cell>
          <cell r="O50" t="e">
            <v>#N/A</v>
          </cell>
          <cell r="P50">
            <v>0</v>
          </cell>
        </row>
        <row r="51">
          <cell r="D51" t="str">
            <v>Kampung Baru</v>
          </cell>
          <cell r="F51">
            <v>0</v>
          </cell>
          <cell r="O51" t="e">
            <v>#N/A</v>
          </cell>
          <cell r="P51">
            <v>0</v>
          </cell>
        </row>
        <row r="52">
          <cell r="D52" t="str">
            <v>Laluin</v>
          </cell>
          <cell r="F52">
            <v>0</v>
          </cell>
          <cell r="O52" t="e">
            <v>#N/A</v>
          </cell>
          <cell r="P52">
            <v>0</v>
          </cell>
        </row>
        <row r="53">
          <cell r="D53" t="str">
            <v>Lele</v>
          </cell>
          <cell r="F53">
            <v>0</v>
          </cell>
          <cell r="O53" t="e">
            <v>#N/A</v>
          </cell>
          <cell r="P53">
            <v>0</v>
          </cell>
        </row>
        <row r="54">
          <cell r="D54" t="str">
            <v>Loleo Jaya</v>
          </cell>
          <cell r="F54">
            <v>0</v>
          </cell>
          <cell r="O54" t="e">
            <v>#N/A</v>
          </cell>
          <cell r="P54">
            <v>0</v>
          </cell>
        </row>
        <row r="55">
          <cell r="D55" t="str">
            <v>Matuting</v>
          </cell>
          <cell r="F55">
            <v>0</v>
          </cell>
          <cell r="O55" t="e">
            <v>#N/A</v>
          </cell>
          <cell r="P55">
            <v>0</v>
          </cell>
        </row>
        <row r="56">
          <cell r="D56" t="str">
            <v>Panamboang</v>
          </cell>
          <cell r="F56">
            <v>0</v>
          </cell>
          <cell r="O56" t="e">
            <v>#N/A</v>
          </cell>
          <cell r="P56">
            <v>0</v>
          </cell>
        </row>
        <row r="57">
          <cell r="D57" t="str">
            <v>Sidopo</v>
          </cell>
          <cell r="F57">
            <v>0</v>
          </cell>
          <cell r="O57" t="e">
            <v>#N/A</v>
          </cell>
          <cell r="P57">
            <v>0</v>
          </cell>
        </row>
        <row r="58">
          <cell r="D58" t="str">
            <v>Talimau</v>
          </cell>
          <cell r="F58">
            <v>0</v>
          </cell>
          <cell r="O58" t="e">
            <v>#N/A</v>
          </cell>
          <cell r="P58">
            <v>0</v>
          </cell>
        </row>
        <row r="59">
          <cell r="D59" t="str">
            <v>Waya</v>
          </cell>
          <cell r="F59">
            <v>0</v>
          </cell>
          <cell r="O59" t="e">
            <v>#N/A</v>
          </cell>
          <cell r="P59">
            <v>0</v>
          </cell>
        </row>
        <row r="60">
          <cell r="D60" t="str">
            <v>Kabau Pantai</v>
          </cell>
          <cell r="F60">
            <v>0</v>
          </cell>
          <cell r="O60" t="e">
            <v>#N/A</v>
          </cell>
          <cell r="P60">
            <v>0</v>
          </cell>
        </row>
        <row r="61">
          <cell r="D61" t="str">
            <v>Lelyaba</v>
          </cell>
          <cell r="F61">
            <v>0</v>
          </cell>
          <cell r="O61" t="e">
            <v>#N/A</v>
          </cell>
          <cell r="P61">
            <v>0</v>
          </cell>
        </row>
        <row r="62">
          <cell r="D62" t="str">
            <v>Malbufa</v>
          </cell>
          <cell r="F62">
            <v>0</v>
          </cell>
          <cell r="O62" t="e">
            <v>#N/A</v>
          </cell>
          <cell r="P62">
            <v>0</v>
          </cell>
        </row>
        <row r="63">
          <cell r="D63" t="str">
            <v>Waiboga</v>
          </cell>
          <cell r="F63">
            <v>0</v>
          </cell>
          <cell r="O63" t="e">
            <v>#N/A</v>
          </cell>
          <cell r="P63">
            <v>0</v>
          </cell>
        </row>
        <row r="64">
          <cell r="D64" t="str">
            <v>Bajo Pulau</v>
          </cell>
          <cell r="E64" t="str">
            <v>CV. Kalembo Ade Nautama</v>
          </cell>
          <cell r="F64">
            <v>3214500000</v>
          </cell>
          <cell r="L64" t="str">
            <v>085933442000/heri</v>
          </cell>
          <cell r="M64" t="str">
            <v>ongen</v>
          </cell>
          <cell r="O64" t="e">
            <v>#N/A</v>
          </cell>
          <cell r="P64">
            <v>0</v>
          </cell>
        </row>
        <row r="65">
          <cell r="D65" t="str">
            <v>Bonto Jai</v>
          </cell>
          <cell r="E65" t="str">
            <v>PT. Ifos Satria Mahkota</v>
          </cell>
          <cell r="F65">
            <v>5123916747</v>
          </cell>
          <cell r="G65" t="str">
            <v>Nodin PPK 29 Mei 2026</v>
          </cell>
          <cell r="H65" t="str">
            <v>Jakarta</v>
          </cell>
          <cell r="I65" t="str">
            <v>Online</v>
          </cell>
          <cell r="K65" t="str">
            <v>SPPBJ</v>
          </cell>
          <cell r="O65" t="e">
            <v>#N/A</v>
          </cell>
          <cell r="P65" t="str">
            <v>sudah</v>
          </cell>
        </row>
        <row r="66">
          <cell r="D66" t="str">
            <v>Bonto Lebang</v>
          </cell>
          <cell r="E66" t="str">
            <v>PT. Ifos Satria Mahkota</v>
          </cell>
          <cell r="F66">
            <v>8363959467</v>
          </cell>
          <cell r="G66" t="str">
            <v>Nodin PPK 29 Mei 2026</v>
          </cell>
          <cell r="H66" t="str">
            <v>Jakarta</v>
          </cell>
          <cell r="I66" t="str">
            <v>Online</v>
          </cell>
          <cell r="K66" t="str">
            <v>SPPBJ</v>
          </cell>
          <cell r="O66" t="e">
            <v>#N/A</v>
          </cell>
          <cell r="P66" t="str">
            <v>sudah</v>
          </cell>
        </row>
        <row r="67">
          <cell r="D67" t="str">
            <v>Lamalaka</v>
          </cell>
          <cell r="E67" t="str">
            <v>PT. Ifos Satria Mahkota</v>
          </cell>
          <cell r="F67">
            <v>8282464000</v>
          </cell>
          <cell r="G67" t="str">
            <v>Nodin PPK 29 Mei 2026</v>
          </cell>
          <cell r="H67" t="str">
            <v>Jakarta</v>
          </cell>
          <cell r="I67" t="str">
            <v>Online</v>
          </cell>
          <cell r="K67" t="str">
            <v>SPPBJ</v>
          </cell>
          <cell r="O67" t="e">
            <v>#N/A</v>
          </cell>
          <cell r="P67" t="str">
            <v>sudah</v>
          </cell>
        </row>
        <row r="68">
          <cell r="D68" t="str">
            <v>Letta</v>
          </cell>
          <cell r="E68" t="str">
            <v>PT. DARWIN KEMBAR JAYA</v>
          </cell>
          <cell r="F68">
            <v>4500000000</v>
          </cell>
          <cell r="L68" t="str">
            <v>082198005353/yacob</v>
          </cell>
          <cell r="M68" t="str">
            <v>Hyl</v>
          </cell>
          <cell r="O68" t="str">
            <v>PT. DARWIN KEMBAR JAYA</v>
          </cell>
          <cell r="P68" t="str">
            <v>sudah</v>
          </cell>
        </row>
        <row r="69">
          <cell r="D69" t="str">
            <v>Pa'Jukukang</v>
          </cell>
          <cell r="E69" t="str">
            <v>PT. Ifos Satria Mahkota</v>
          </cell>
          <cell r="F69">
            <v>6236467000</v>
          </cell>
          <cell r="G69" t="str">
            <v>Nodin PPK 29 Mei 2026</v>
          </cell>
          <cell r="H69" t="str">
            <v>Jakarta</v>
          </cell>
          <cell r="I69" t="str">
            <v>Online</v>
          </cell>
          <cell r="K69" t="str">
            <v>SPPBJ</v>
          </cell>
          <cell r="O69" t="e">
            <v>#N/A</v>
          </cell>
          <cell r="P69" t="str">
            <v>sudah</v>
          </cell>
        </row>
        <row r="70">
          <cell r="D70" t="str">
            <v>Arungkeke Pallantikang</v>
          </cell>
          <cell r="E70" t="str">
            <v>PT. Piranti Jagad Raya</v>
          </cell>
          <cell r="F70">
            <v>5583550000</v>
          </cell>
          <cell r="H70" t="str">
            <v>Makassar</v>
          </cell>
          <cell r="I70" t="str">
            <v>Online</v>
          </cell>
          <cell r="L70" t="str">
            <v>Suyanto/2397888857</v>
          </cell>
          <cell r="M70" t="str">
            <v>Hyl</v>
          </cell>
          <cell r="O70" t="e">
            <v>#N/A</v>
          </cell>
          <cell r="P70" t="str">
            <v>sudah</v>
          </cell>
        </row>
        <row r="71">
          <cell r="D71" t="str">
            <v>Bungeng</v>
          </cell>
          <cell r="E71" t="str">
            <v>PT. Piranti Jagad Raya</v>
          </cell>
          <cell r="F71">
            <v>5404670000</v>
          </cell>
          <cell r="H71" t="str">
            <v>Makassar</v>
          </cell>
          <cell r="I71" t="str">
            <v>Online</v>
          </cell>
          <cell r="L71" t="str">
            <v>Suyanto/2397888857</v>
          </cell>
          <cell r="M71" t="str">
            <v>Hyl</v>
          </cell>
          <cell r="O71" t="str">
            <v>PT. Piranti Jagad Raya</v>
          </cell>
          <cell r="P71" t="str">
            <v>sudah</v>
          </cell>
        </row>
        <row r="72">
          <cell r="D72" t="str">
            <v>Pasangkayu</v>
          </cell>
          <cell r="E72" t="str">
            <v>CV. Saleko Satu</v>
          </cell>
          <cell r="F72">
            <v>5353061359</v>
          </cell>
          <cell r="G72" t="str">
            <v>Nodin PPK 9 Juni 2026</v>
          </cell>
          <cell r="H72" t="str">
            <v>Makassar</v>
          </cell>
          <cell r="I72" t="str">
            <v>Online</v>
          </cell>
          <cell r="K72" t="str">
            <v>Proses Kontrak (Pokja)</v>
          </cell>
          <cell r="L72" t="str">
            <v>085930978134/am</v>
          </cell>
          <cell r="M72" t="str">
            <v>agus</v>
          </cell>
          <cell r="O72" t="e">
            <v>#N/A</v>
          </cell>
          <cell r="P72" t="str">
            <v>sudah</v>
          </cell>
        </row>
        <row r="73">
          <cell r="D73" t="str">
            <v>Sarudu</v>
          </cell>
          <cell r="E73" t="str">
            <v>CV. Saleko Satu</v>
          </cell>
          <cell r="F73">
            <v>4586247640</v>
          </cell>
          <cell r="G73" t="str">
            <v>Nodin PPK 9 Juni 2026</v>
          </cell>
          <cell r="K73" t="str">
            <v>Proses Kontrak (Pokja)</v>
          </cell>
          <cell r="L73" t="str">
            <v>085930978134/am</v>
          </cell>
          <cell r="M73" t="str">
            <v>agus</v>
          </cell>
          <cell r="O73" t="e">
            <v>#N/A</v>
          </cell>
          <cell r="P73" t="str">
            <v>sudah</v>
          </cell>
        </row>
        <row r="74">
          <cell r="D74" t="str">
            <v>Laulalang</v>
          </cell>
          <cell r="E74" t="str">
            <v>CV. Fajrin Pratama</v>
          </cell>
          <cell r="F74">
            <v>8072493000</v>
          </cell>
          <cell r="H74" t="str">
            <v>Makassar</v>
          </cell>
          <cell r="I74" t="str">
            <v>Offline</v>
          </cell>
          <cell r="L74" t="str">
            <v>082283283832 (umar)</v>
          </cell>
          <cell r="M74" t="str">
            <v>fraksi roem</v>
          </cell>
          <cell r="O74" t="e">
            <v>#N/A</v>
          </cell>
          <cell r="P74" t="str">
            <v>sudah</v>
          </cell>
        </row>
        <row r="75">
          <cell r="D75" t="str">
            <v>Labuhan Ratu</v>
          </cell>
          <cell r="E75" t="str">
            <v>PT. Ratu Nayla Mandiri</v>
          </cell>
          <cell r="F75">
            <v>5282139000</v>
          </cell>
          <cell r="H75" t="str">
            <v>Gresik</v>
          </cell>
          <cell r="I75" t="str">
            <v>Online</v>
          </cell>
          <cell r="L75" t="str">
            <v>pt.ratunaylamandiri313@gmail.com/081212846377</v>
          </cell>
          <cell r="M75" t="str">
            <v>TK</v>
          </cell>
          <cell r="O75" t="e">
            <v>#N/A</v>
          </cell>
          <cell r="P75">
            <v>0</v>
          </cell>
        </row>
        <row r="76">
          <cell r="D76" t="str">
            <v>Bangko</v>
          </cell>
          <cell r="E76" t="str">
            <v>CV. Ghaniyu Qootahu/CV. Abadi Wijaya Mandiri</v>
          </cell>
          <cell r="F76">
            <v>8231000000</v>
          </cell>
          <cell r="H76" t="str">
            <v>Muna barat (Kecil)</v>
          </cell>
          <cell r="I76" t="str">
            <v>Online</v>
          </cell>
          <cell r="L76">
            <v>82218460501</v>
          </cell>
          <cell r="M76" t="str">
            <v>Hyl</v>
          </cell>
          <cell r="O76" t="str">
            <v>CV. GHANIYYU QOOTAHU</v>
          </cell>
          <cell r="P76" t="str">
            <v>sudah</v>
          </cell>
        </row>
        <row r="77">
          <cell r="D77" t="str">
            <v>Tasama</v>
          </cell>
          <cell r="E77" t="str">
            <v>CV. Lawa Raya</v>
          </cell>
          <cell r="F77" t="e">
            <v>#N/A</v>
          </cell>
          <cell r="G77" t="str">
            <v>Nodin PPK 11 Juni 2026</v>
          </cell>
          <cell r="H77" t="str">
            <v>Muna barat (Kecil)</v>
          </cell>
          <cell r="K77" t="str">
            <v>Proses Kontrak (Pokja)</v>
          </cell>
          <cell r="L77">
            <v>85338729778</v>
          </cell>
          <cell r="M77" t="str">
            <v>Hyl</v>
          </cell>
          <cell r="O77" t="e">
            <v>#N/A</v>
          </cell>
          <cell r="P77" t="e">
            <v>#N/A</v>
          </cell>
        </row>
        <row r="78">
          <cell r="D78" t="str">
            <v>Latawe</v>
          </cell>
          <cell r="E78" t="str">
            <v>CV. Lawa Raya</v>
          </cell>
          <cell r="F78">
            <v>3588529692</v>
          </cell>
          <cell r="G78" t="str">
            <v>Nodin PPK 11 Juni 2026</v>
          </cell>
          <cell r="H78" t="str">
            <v>Muna barat (Kecil)</v>
          </cell>
          <cell r="K78" t="str">
            <v>Proses Kontrak (Pokja)</v>
          </cell>
          <cell r="L78">
            <v>85338729778</v>
          </cell>
          <cell r="M78" t="str">
            <v>Hyl</v>
          </cell>
          <cell r="O78" t="str">
            <v>CV. Lawa Raya</v>
          </cell>
          <cell r="P78" t="str">
            <v>sudah</v>
          </cell>
        </row>
        <row r="79">
          <cell r="D79" t="str">
            <v>Tanjung Pinang</v>
          </cell>
          <cell r="E79" t="str">
            <v>CV. Ghaniyu Qootahu/CV. Abadi Wijaya Mandiri</v>
          </cell>
          <cell r="F79">
            <v>4500000000</v>
          </cell>
          <cell r="L79" t="str">
            <v>082218460501/dedi</v>
          </cell>
          <cell r="M79" t="str">
            <v>Hyl</v>
          </cell>
          <cell r="O79" t="str">
            <v>CV. GHANIYYU QOOTAHU</v>
          </cell>
          <cell r="P79" t="str">
            <v>sudah</v>
          </cell>
        </row>
        <row r="80">
          <cell r="D80" t="str">
            <v>Tondasi</v>
          </cell>
          <cell r="E80" t="str">
            <v>CV. Lawa Raya</v>
          </cell>
          <cell r="F80">
            <v>3637318352</v>
          </cell>
          <cell r="G80" t="str">
            <v>Nodin PPK 11 Juni 2026</v>
          </cell>
          <cell r="H80" t="str">
            <v>Muna barat (Kecil)</v>
          </cell>
          <cell r="K80" t="str">
            <v>Proses Kontrak (Pokja)</v>
          </cell>
          <cell r="L80" t="str">
            <v>85338729778/la roni</v>
          </cell>
          <cell r="M80" t="str">
            <v>Hyl</v>
          </cell>
          <cell r="O80" t="str">
            <v>CV. Lawa Raya</v>
          </cell>
          <cell r="P80" t="str">
            <v>sudah</v>
          </cell>
        </row>
        <row r="81">
          <cell r="D81" t="str">
            <v>Bangkuang</v>
          </cell>
          <cell r="F81">
            <v>4320000000</v>
          </cell>
          <cell r="H81" t="str">
            <v>Barito Selatan</v>
          </cell>
          <cell r="I81" t="str">
            <v>Offline</v>
          </cell>
          <cell r="L81" t="str">
            <v>81350989801/ rizal_nip@yahoo.co.id</v>
          </cell>
          <cell r="O81" t="e">
            <v>#N/A</v>
          </cell>
          <cell r="P81">
            <v>0</v>
          </cell>
        </row>
        <row r="82">
          <cell r="D82" t="str">
            <v>Janggi</v>
          </cell>
          <cell r="E82" t="str">
            <v>PT. Nusa Indah Permai</v>
          </cell>
          <cell r="F82">
            <v>4320000000</v>
          </cell>
          <cell r="H82" t="str">
            <v>Barito Selatan</v>
          </cell>
          <cell r="I82" t="str">
            <v>Offline</v>
          </cell>
          <cell r="L82" t="str">
            <v>81350989801/ rizal_nip@yahoo.co.id</v>
          </cell>
          <cell r="O82" t="e">
            <v>#N/A</v>
          </cell>
          <cell r="P82">
            <v>0</v>
          </cell>
        </row>
        <row r="83">
          <cell r="D83" t="str">
            <v>Butong</v>
          </cell>
          <cell r="E83" t="str">
            <v>PT. Nusa Indah Permai</v>
          </cell>
          <cell r="F83">
            <v>4320000000</v>
          </cell>
          <cell r="H83" t="str">
            <v>Barito Selatan</v>
          </cell>
          <cell r="I83" t="str">
            <v>Offline</v>
          </cell>
          <cell r="L83" t="str">
            <v>81350989801/ rizal_nip@yahoo.co.id</v>
          </cell>
          <cell r="O83" t="e">
            <v>#N/A</v>
          </cell>
          <cell r="P83">
            <v>0</v>
          </cell>
        </row>
        <row r="84">
          <cell r="D84" t="str">
            <v>Sagara</v>
          </cell>
          <cell r="E84" t="str">
            <v>PT. Putra Ogan Cemerlang</v>
          </cell>
          <cell r="F84">
            <v>3188856000</v>
          </cell>
          <cell r="G84" t="str">
            <v>Nodin PPK 8 Juni 2026</v>
          </cell>
          <cell r="K84" t="str">
            <v>Proses Kontrak (Pokja)</v>
          </cell>
          <cell r="L84">
            <v>87891060224</v>
          </cell>
          <cell r="O84" t="e">
            <v>#N/A</v>
          </cell>
          <cell r="P84" t="str">
            <v>sudah</v>
          </cell>
        </row>
        <row r="85">
          <cell r="D85" t="str">
            <v>Alasdowo</v>
          </cell>
          <cell r="E85" t="str">
            <v>CV. Bumi Jaya Berkah Abadi</v>
          </cell>
          <cell r="F85">
            <v>0</v>
          </cell>
          <cell r="H85" t="str">
            <v>Banjarnegara</v>
          </cell>
          <cell r="I85" t="str">
            <v>Offline</v>
          </cell>
          <cell r="L85" t="str">
            <v>087776689958/iwan</v>
          </cell>
          <cell r="M85" t="str">
            <v>g-drop sosek</v>
          </cell>
          <cell r="N85" t="str">
            <v>ditukar di daerah cirebon dengan CMBP</v>
          </cell>
          <cell r="O85" t="e">
            <v>#N/A</v>
          </cell>
          <cell r="P85" t="str">
            <v>drop sosek</v>
          </cell>
        </row>
        <row r="86">
          <cell r="D86" t="str">
            <v>Dororejo</v>
          </cell>
          <cell r="E86" t="str">
            <v>CV. Bumi Jaya Berkah Abadi</v>
          </cell>
          <cell r="F86">
            <v>0</v>
          </cell>
          <cell r="H86" t="str">
            <v>Banjarnegara</v>
          </cell>
          <cell r="I86" t="str">
            <v>Offline</v>
          </cell>
          <cell r="L86" t="str">
            <v>087776689958/iwan</v>
          </cell>
          <cell r="M86" t="str">
            <v>g-drop sosek</v>
          </cell>
          <cell r="N86" t="str">
            <v>ditukar di daerah cirebon dengan CMBP</v>
          </cell>
          <cell r="O86" t="e">
            <v>#N/A</v>
          </cell>
          <cell r="P86" t="str">
            <v>drop sosek</v>
          </cell>
        </row>
        <row r="87">
          <cell r="D87" t="str">
            <v>Margomulyo</v>
          </cell>
          <cell r="E87" t="str">
            <v>CV. Bumi Jaya Berkah Abadi</v>
          </cell>
          <cell r="F87">
            <v>0</v>
          </cell>
          <cell r="H87" t="str">
            <v>Banjarnegara</v>
          </cell>
          <cell r="I87" t="str">
            <v>Offline</v>
          </cell>
          <cell r="L87" t="str">
            <v>087776689958/iwan</v>
          </cell>
          <cell r="M87" t="str">
            <v>g-drop sosek</v>
          </cell>
          <cell r="N87" t="str">
            <v>ditukar di daerah cirebon dengan CMBP</v>
          </cell>
          <cell r="O87" t="e">
            <v>#N/A</v>
          </cell>
          <cell r="P87" t="str">
            <v>drop sosek</v>
          </cell>
        </row>
        <row r="88">
          <cell r="D88" t="str">
            <v>Puncel</v>
          </cell>
          <cell r="E88" t="str">
            <v>CV. Astama Mas</v>
          </cell>
          <cell r="F88">
            <v>0</v>
          </cell>
          <cell r="H88" t="str">
            <v>Banjarnegara</v>
          </cell>
          <cell r="I88" t="str">
            <v>Offline</v>
          </cell>
          <cell r="L88" t="str">
            <v>081330065040/ARI</v>
          </cell>
          <cell r="M88" t="str">
            <v>g</v>
          </cell>
          <cell r="N88" t="str">
            <v>ditukar di daerah cirebon dengan CMBP</v>
          </cell>
          <cell r="O88" t="e">
            <v>#N/A</v>
          </cell>
          <cell r="P88" t="str">
            <v>sudah</v>
          </cell>
        </row>
        <row r="89">
          <cell r="D89" t="str">
            <v>Batanjung</v>
          </cell>
          <cell r="E89" t="str">
            <v>CV. Davindo Putra Perkasa</v>
          </cell>
          <cell r="F89">
            <v>4320000000</v>
          </cell>
          <cell r="L89" t="str">
            <v>081289990188/andi</v>
          </cell>
          <cell r="M89" t="str">
            <v>Pandu-Andi</v>
          </cell>
          <cell r="O89" t="e">
            <v>#N/A</v>
          </cell>
          <cell r="P89">
            <v>0</v>
          </cell>
        </row>
        <row r="90">
          <cell r="D90" t="str">
            <v>Palampai</v>
          </cell>
          <cell r="E90" t="str">
            <v>CV. Davindo Putra Perkasa</v>
          </cell>
          <cell r="F90">
            <v>4320000000</v>
          </cell>
          <cell r="L90" t="str">
            <v>081289990188/andi</v>
          </cell>
          <cell r="M90" t="str">
            <v>Pandu-Andi</v>
          </cell>
          <cell r="O90" t="e">
            <v>#N/A</v>
          </cell>
          <cell r="P90">
            <v>0</v>
          </cell>
        </row>
        <row r="91">
          <cell r="D91" t="str">
            <v>Sei Teras</v>
          </cell>
          <cell r="E91" t="str">
            <v>CV. Davindo Putra Perkasa</v>
          </cell>
          <cell r="F91">
            <v>4320000000</v>
          </cell>
          <cell r="L91" t="str">
            <v>081289990188/andi</v>
          </cell>
          <cell r="M91" t="str">
            <v>Pandu-Andi</v>
          </cell>
          <cell r="O91" t="e">
            <v>#N/A</v>
          </cell>
          <cell r="P91">
            <v>0</v>
          </cell>
        </row>
        <row r="92">
          <cell r="D92" t="str">
            <v>Papuyu I Sei. Pasanan</v>
          </cell>
          <cell r="E92" t="str">
            <v>PT. ............</v>
          </cell>
          <cell r="F92">
            <v>0</v>
          </cell>
          <cell r="M92" t="str">
            <v>Andre-Kresno</v>
          </cell>
          <cell r="O92" t="e">
            <v>#N/A</v>
          </cell>
          <cell r="P92">
            <v>0</v>
          </cell>
        </row>
        <row r="93">
          <cell r="D93" t="str">
            <v>Papuyu Iii Sei. Pudak</v>
          </cell>
          <cell r="E93" t="str">
            <v>PT. ............</v>
          </cell>
          <cell r="F93">
            <v>0</v>
          </cell>
          <cell r="M93" t="str">
            <v>Andre-Kresno</v>
          </cell>
          <cell r="O93" t="e">
            <v>#N/A</v>
          </cell>
          <cell r="P93">
            <v>0</v>
          </cell>
        </row>
        <row r="94">
          <cell r="D94" t="str">
            <v>Batuasa</v>
          </cell>
          <cell r="F94">
            <v>0</v>
          </cell>
          <cell r="O94" t="e">
            <v>#N/A</v>
          </cell>
          <cell r="P94">
            <v>0</v>
          </cell>
        </row>
        <row r="95">
          <cell r="D95" t="str">
            <v>Batu Atas Timur</v>
          </cell>
          <cell r="E95" t="str">
            <v>PT. VTB Jaya Makmur</v>
          </cell>
          <cell r="F95">
            <v>4567200000</v>
          </cell>
          <cell r="I95" t="str">
            <v>Online</v>
          </cell>
          <cell r="L95" t="str">
            <v>085395302781/layla</v>
          </cell>
          <cell r="M95" t="str">
            <v>V</v>
          </cell>
          <cell r="O95" t="e">
            <v>#N/A</v>
          </cell>
          <cell r="P95" t="str">
            <v>sudah</v>
          </cell>
        </row>
        <row r="96">
          <cell r="D96" t="str">
            <v>Batu Kotam</v>
          </cell>
          <cell r="E96" t="str">
            <v>PT. Borneo Mitra Strategis</v>
          </cell>
          <cell r="F96">
            <v>4320000000</v>
          </cell>
          <cell r="L96" t="str">
            <v>081293305027/iqbal</v>
          </cell>
          <cell r="M96" t="str">
            <v>Iqbal/AM</v>
          </cell>
          <cell r="O96" t="e">
            <v>#N/A</v>
          </cell>
          <cell r="P96">
            <v>0</v>
          </cell>
        </row>
        <row r="97">
          <cell r="D97" t="str">
            <v>Bababulo</v>
          </cell>
          <cell r="E97" t="str">
            <v>CV. Lion Jaya Mandiri</v>
          </cell>
          <cell r="F97">
            <v>3966767000</v>
          </cell>
          <cell r="G97" t="str">
            <v>Nodin PPK 3 Juni 2026</v>
          </cell>
          <cell r="H97" t="str">
            <v>Toraja</v>
          </cell>
          <cell r="I97" t="str">
            <v>Offline</v>
          </cell>
          <cell r="K97" t="str">
            <v>SPPBJ</v>
          </cell>
          <cell r="L97">
            <v>82192324719</v>
          </cell>
          <cell r="M97" t="str">
            <v>Hyl</v>
          </cell>
          <cell r="O97" t="str">
            <v>CV. Lion Jaya Mandiri</v>
          </cell>
          <cell r="P97" t="str">
            <v>sudah</v>
          </cell>
        </row>
        <row r="98">
          <cell r="D98" t="str">
            <v>Bonde Utara</v>
          </cell>
          <cell r="E98" t="str">
            <v>CV. Lion Jaya Mandiri</v>
          </cell>
          <cell r="F98">
            <v>4628291000</v>
          </cell>
          <cell r="G98" t="str">
            <v>Nodin PPK 3 Juni 2026</v>
          </cell>
          <cell r="H98" t="str">
            <v>Toraja</v>
          </cell>
          <cell r="I98" t="str">
            <v>Offline</v>
          </cell>
          <cell r="K98" t="str">
            <v>SPPBJ</v>
          </cell>
          <cell r="L98">
            <v>82192324719</v>
          </cell>
          <cell r="M98" t="str">
            <v>Hyl</v>
          </cell>
          <cell r="O98" t="str">
            <v>CV. Lion Jaya Mandiri</v>
          </cell>
          <cell r="P98" t="str">
            <v>sudah</v>
          </cell>
        </row>
        <row r="99">
          <cell r="D99" t="str">
            <v>Limbua</v>
          </cell>
          <cell r="E99" t="str">
            <v>CV. Lion Jaya Mandiri</v>
          </cell>
          <cell r="F99">
            <v>3578598000</v>
          </cell>
          <cell r="G99" t="str">
            <v>Nodin PPK 3 Juni 2026</v>
          </cell>
          <cell r="H99" t="str">
            <v>Toraja</v>
          </cell>
          <cell r="I99" t="str">
            <v>Offline</v>
          </cell>
          <cell r="K99" t="str">
            <v>SPPBJ</v>
          </cell>
          <cell r="L99">
            <v>82192324719</v>
          </cell>
          <cell r="M99" t="str">
            <v>Hyl</v>
          </cell>
          <cell r="O99" t="str">
            <v>CV. Lion Jaya Mandiri</v>
          </cell>
          <cell r="P99" t="str">
            <v>sudah</v>
          </cell>
        </row>
        <row r="100">
          <cell r="D100" t="str">
            <v>Tammangalle</v>
          </cell>
          <cell r="E100" t="str">
            <v>CV. RODA</v>
          </cell>
          <cell r="F100">
            <v>4506250000</v>
          </cell>
          <cell r="H100" t="str">
            <v>Mamuju</v>
          </cell>
          <cell r="I100" t="str">
            <v>Online</v>
          </cell>
          <cell r="L100" t="str">
            <v>085240304996/zulfikar/cvroda25@gmail.com</v>
          </cell>
          <cell r="M100" t="str">
            <v>fraksi roem</v>
          </cell>
          <cell r="O100" t="e">
            <v>#N/A</v>
          </cell>
          <cell r="P100" t="str">
            <v>sudah</v>
          </cell>
        </row>
        <row r="101">
          <cell r="D101" t="str">
            <v>Darubiah</v>
          </cell>
          <cell r="E101" t="str">
            <v>PT. DARWIN KEMBAR JAYA</v>
          </cell>
          <cell r="F101">
            <v>4220843000</v>
          </cell>
          <cell r="H101" t="str">
            <v>Makassar</v>
          </cell>
          <cell r="I101" t="str">
            <v>Online</v>
          </cell>
          <cell r="L101" t="str">
            <v>082198005353/yacob</v>
          </cell>
          <cell r="M101" t="str">
            <v>Hyl</v>
          </cell>
          <cell r="O101" t="str">
            <v>PT. DARWIN KEMBAR JAYA</v>
          </cell>
          <cell r="P101" t="str">
            <v>sudah</v>
          </cell>
        </row>
        <row r="102">
          <cell r="D102" t="str">
            <v>Dwitiro</v>
          </cell>
          <cell r="E102" t="str">
            <v>PT. DARWIN KEMBAR JAYA</v>
          </cell>
          <cell r="F102">
            <v>5192180223</v>
          </cell>
          <cell r="H102" t="str">
            <v>Makassar</v>
          </cell>
          <cell r="I102" t="str">
            <v>Online</v>
          </cell>
          <cell r="L102" t="str">
            <v>082198005353/yacob</v>
          </cell>
          <cell r="M102" t="str">
            <v>Hyl</v>
          </cell>
          <cell r="O102" t="str">
            <v>PT. DARWIN KEMBAR JAYA</v>
          </cell>
          <cell r="P102" t="str">
            <v>sudah</v>
          </cell>
        </row>
        <row r="103">
          <cell r="D103" t="str">
            <v>Beringin</v>
          </cell>
          <cell r="E103" t="str">
            <v>PT. Cita Prasada Konstruksi</v>
          </cell>
          <cell r="F103">
            <v>6932400000</v>
          </cell>
          <cell r="H103" t="str">
            <v>Tanah Bumbu</v>
          </cell>
          <cell r="I103" t="str">
            <v>Online</v>
          </cell>
          <cell r="L103" t="str">
            <v>082141344885/ Reika</v>
          </cell>
          <cell r="O103" t="e">
            <v>#N/A</v>
          </cell>
          <cell r="P103">
            <v>0</v>
          </cell>
        </row>
        <row r="104">
          <cell r="D104" t="str">
            <v>Muara Pagatan</v>
          </cell>
          <cell r="E104" t="str">
            <v>CV. Andalan Putra Bone Perkasa</v>
          </cell>
          <cell r="F104">
            <v>4320000000</v>
          </cell>
          <cell r="H104" t="str">
            <v>Tanah Bumbu</v>
          </cell>
          <cell r="I104" t="str">
            <v>Online</v>
          </cell>
          <cell r="L104">
            <v>81345167215</v>
          </cell>
          <cell r="M104" t="str">
            <v>St</v>
          </cell>
          <cell r="O104" t="e">
            <v>#N/A</v>
          </cell>
          <cell r="P104">
            <v>0</v>
          </cell>
        </row>
        <row r="105">
          <cell r="D105" t="str">
            <v>Besole</v>
          </cell>
          <cell r="E105" t="str">
            <v>CV. Wapike Bali</v>
          </cell>
          <cell r="F105">
            <v>2314000000</v>
          </cell>
          <cell r="L105" t="str">
            <v>813-3035-4355/Siroj</v>
          </cell>
          <cell r="M105" t="str">
            <v>g</v>
          </cell>
          <cell r="O105" t="e">
            <v>#N/A</v>
          </cell>
          <cell r="P105" t="str">
            <v>sudah</v>
          </cell>
        </row>
        <row r="106">
          <cell r="D106" t="str">
            <v>Jengglungharjo</v>
          </cell>
          <cell r="E106" t="str">
            <v>CV. Wapike Bali</v>
          </cell>
          <cell r="F106">
            <v>0</v>
          </cell>
          <cell r="J106" t="str">
            <v>blm masuk 1270</v>
          </cell>
          <cell r="L106" t="str">
            <v>813-3035-4355/Siroj</v>
          </cell>
          <cell r="M106" t="str">
            <v>g-drop sosek</v>
          </cell>
          <cell r="O106" t="e">
            <v>#N/A</v>
          </cell>
          <cell r="P106" t="str">
            <v>drop sosek</v>
          </cell>
        </row>
        <row r="107">
          <cell r="D107" t="str">
            <v>Biduk-Biduk</v>
          </cell>
          <cell r="E107" t="str">
            <v>PT. Manggusu Waru Nusantara</v>
          </cell>
          <cell r="F107">
            <v>6932400000</v>
          </cell>
          <cell r="H107" t="str">
            <v>Kendari</v>
          </cell>
          <cell r="I107" t="str">
            <v>Online</v>
          </cell>
          <cell r="L107" t="str">
            <v>TK- 081802426770/hendar</v>
          </cell>
          <cell r="M107" t="str">
            <v>TK</v>
          </cell>
          <cell r="O107" t="e">
            <v>#N/A</v>
          </cell>
          <cell r="P107">
            <v>0</v>
          </cell>
        </row>
        <row r="108">
          <cell r="D108" t="str">
            <v>Buyung-Buyung</v>
          </cell>
          <cell r="E108" t="str">
            <v>PT. Manggusu Waru Nusantara</v>
          </cell>
          <cell r="F108">
            <v>4320000000</v>
          </cell>
          <cell r="H108" t="str">
            <v>Kendari</v>
          </cell>
          <cell r="I108" t="str">
            <v>Online</v>
          </cell>
          <cell r="L108" t="str">
            <v>TK- 081802426770/hendar</v>
          </cell>
          <cell r="M108" t="str">
            <v>TK</v>
          </cell>
          <cell r="O108" t="e">
            <v>#N/A</v>
          </cell>
          <cell r="P108">
            <v>0</v>
          </cell>
        </row>
        <row r="109">
          <cell r="D109" t="str">
            <v>Kuta</v>
          </cell>
          <cell r="E109" t="str">
            <v>PT. Asuka Engineering Indonesia</v>
          </cell>
          <cell r="F109">
            <v>4678000000</v>
          </cell>
          <cell r="H109" t="str">
            <v>Gresik</v>
          </cell>
          <cell r="L109" t="str">
            <v>081358005070/efendi</v>
          </cell>
          <cell r="M109" t="str">
            <v>g</v>
          </cell>
          <cell r="O109" t="e">
            <v>#N/A</v>
          </cell>
          <cell r="P109">
            <v>0</v>
          </cell>
        </row>
        <row r="110">
          <cell r="D110" t="str">
            <v>Mertak</v>
          </cell>
          <cell r="E110" t="str">
            <v>PT. Asuka Engineering Indonesia</v>
          </cell>
          <cell r="F110">
            <v>4678000000</v>
          </cell>
          <cell r="H110" t="str">
            <v>Gresik</v>
          </cell>
          <cell r="L110" t="str">
            <v>081358005070/efendi</v>
          </cell>
          <cell r="M110" t="str">
            <v>g</v>
          </cell>
          <cell r="O110" t="e">
            <v>#N/A</v>
          </cell>
          <cell r="P110">
            <v>0</v>
          </cell>
        </row>
        <row r="111">
          <cell r="D111" t="str">
            <v>Tonyaman</v>
          </cell>
          <cell r="E111" t="str">
            <v>CV. RODA</v>
          </cell>
          <cell r="F111">
            <v>4590544000</v>
          </cell>
          <cell r="G111" t="str">
            <v>Nodin PPK 4 Juni 2026</v>
          </cell>
          <cell r="H111" t="str">
            <v>Mamuju</v>
          </cell>
          <cell r="I111" t="str">
            <v>Online</v>
          </cell>
          <cell r="K111" t="str">
            <v>Proses Kontrak (Pokja)</v>
          </cell>
          <cell r="L111" t="str">
            <v>085240304996/zulfikar/cvroda25@gmail.com</v>
          </cell>
          <cell r="M111" t="str">
            <v>fraksi roem</v>
          </cell>
          <cell r="O111" t="e">
            <v>#N/A</v>
          </cell>
          <cell r="P111" t="str">
            <v>sudah</v>
          </cell>
        </row>
        <row r="112">
          <cell r="D112" t="str">
            <v>Binanga Karaeng</v>
          </cell>
          <cell r="E112" t="str">
            <v>CV. Buana Bahari</v>
          </cell>
          <cell r="F112">
            <v>5600000000</v>
          </cell>
          <cell r="L112" t="str">
            <v>085230797947/juniwang</v>
          </cell>
          <cell r="M112" t="str">
            <v>Hyl</v>
          </cell>
          <cell r="O112" t="str">
            <v>CV. Buana Bahari</v>
          </cell>
          <cell r="P112" t="str">
            <v>sudah</v>
          </cell>
        </row>
        <row r="113">
          <cell r="D113" t="str">
            <v>Data</v>
          </cell>
          <cell r="E113" t="str">
            <v>CV. Buana Bahari</v>
          </cell>
          <cell r="F113">
            <v>5127713000</v>
          </cell>
          <cell r="L113" t="str">
            <v>085230797947/juniwang</v>
          </cell>
          <cell r="O113" t="e">
            <v>#N/A</v>
          </cell>
          <cell r="P113" t="str">
            <v>sudah</v>
          </cell>
        </row>
        <row r="114">
          <cell r="D114" t="str">
            <v>Pallameang</v>
          </cell>
          <cell r="E114" t="str">
            <v>CV. Buana Bahari</v>
          </cell>
          <cell r="F114">
            <v>4823134000</v>
          </cell>
          <cell r="L114" t="str">
            <v>085230797947/juniwang</v>
          </cell>
          <cell r="M114" t="str">
            <v>Hyl</v>
          </cell>
          <cell r="O114" t="str">
            <v>CV. Buana Bahari</v>
          </cell>
          <cell r="P114" t="str">
            <v>sudah</v>
          </cell>
        </row>
        <row r="115">
          <cell r="D115" t="str">
            <v>Tadang Palie</v>
          </cell>
          <cell r="E115" t="str">
            <v>CV. Buana Bahari</v>
          </cell>
          <cell r="F115">
            <v>4924491000</v>
          </cell>
          <cell r="L115" t="str">
            <v>085230797947/juniwang</v>
          </cell>
          <cell r="M115" t="str">
            <v>Hyl</v>
          </cell>
          <cell r="O115" t="str">
            <v>CV. Buana Bahari</v>
          </cell>
          <cell r="P115" t="str">
            <v>sudah</v>
          </cell>
        </row>
        <row r="116">
          <cell r="D116" t="str">
            <v>Dumolodo</v>
          </cell>
          <cell r="E116" t="str">
            <v>PT. Tata Sejatera Indonesia (Menengah)</v>
          </cell>
          <cell r="F116">
            <v>0</v>
          </cell>
          <cell r="H116" t="str">
            <v>Bandung</v>
          </cell>
          <cell r="L116" t="str">
            <v>089624211934/ricky</v>
          </cell>
          <cell r="M116" t="str">
            <v>Hyl</v>
          </cell>
          <cell r="O116" t="str">
            <v>PT. TATA SEJAHTERA INDONESIA</v>
          </cell>
          <cell r="P116" t="str">
            <v>sudah</v>
          </cell>
        </row>
        <row r="117">
          <cell r="D117" t="str">
            <v>Imana</v>
          </cell>
          <cell r="E117" t="str">
            <v>PT. Tata Sejatera Indonesia (Menengah)</v>
          </cell>
          <cell r="F117">
            <v>4500000000</v>
          </cell>
          <cell r="H117" t="str">
            <v>Bandung</v>
          </cell>
          <cell r="L117" t="str">
            <v>089624211934/ricky</v>
          </cell>
          <cell r="M117" t="str">
            <v>Hyl</v>
          </cell>
          <cell r="O117" t="str">
            <v>PT. PARAMITRA MULTI PERKASA</v>
          </cell>
          <cell r="P117" t="str">
            <v>sudah</v>
          </cell>
        </row>
        <row r="118">
          <cell r="D118" t="str">
            <v>Kotajin Utara</v>
          </cell>
          <cell r="E118" t="str">
            <v>PT. Tata Sejatera Indonesia (Menengah)</v>
          </cell>
          <cell r="F118">
            <v>0</v>
          </cell>
          <cell r="L118" t="str">
            <v>089624211934/ricky</v>
          </cell>
          <cell r="M118" t="str">
            <v>Hyl</v>
          </cell>
          <cell r="O118" t="str">
            <v>PT. PARAMITRA MULTI PERKASA</v>
          </cell>
          <cell r="P118" t="str">
            <v>sudah</v>
          </cell>
        </row>
        <row r="119">
          <cell r="D119" t="str">
            <v>Dusunan</v>
          </cell>
          <cell r="E119" t="str">
            <v>CV. Triga Cipta Abadi</v>
          </cell>
          <cell r="F119">
            <v>8063099000</v>
          </cell>
          <cell r="G119" t="str">
            <v>Nodin PPK 4 Juni 2026</v>
          </cell>
          <cell r="K119" t="str">
            <v>Proses Kontrak (Pokja)</v>
          </cell>
          <cell r="L119">
            <v>81341336969</v>
          </cell>
          <cell r="M119" t="str">
            <v>Hyl</v>
          </cell>
          <cell r="O119" t="str">
            <v>CV. Triga Cipta Abadi</v>
          </cell>
          <cell r="P119" t="str">
            <v>sudah</v>
          </cell>
        </row>
        <row r="120">
          <cell r="D120" t="str">
            <v>Sama Bahari</v>
          </cell>
          <cell r="E120" t="str">
            <v>CV. Navigasi General Contractor</v>
          </cell>
          <cell r="F120">
            <v>4089135000</v>
          </cell>
          <cell r="G120" t="str">
            <v>Nodin PPK 4 Juni 2026</v>
          </cell>
          <cell r="K120" t="str">
            <v>Proses Kontrak (Pokja)</v>
          </cell>
          <cell r="L120" t="str">
            <v>85241201470/yudi</v>
          </cell>
          <cell r="M120" t="str">
            <v>Hyl</v>
          </cell>
          <cell r="O120" t="e">
            <v>#N/A</v>
          </cell>
          <cell r="P120" t="str">
            <v>sudah</v>
          </cell>
        </row>
        <row r="121">
          <cell r="D121" t="str">
            <v>Kaofe</v>
          </cell>
          <cell r="E121" t="str">
            <v>PT. Sarjis Agung Indrajaya</v>
          </cell>
          <cell r="F121">
            <v>4506021000</v>
          </cell>
          <cell r="G121" t="str">
            <v>Nodin PPK 28 Mei 2026</v>
          </cell>
          <cell r="H121" t="str">
            <v>Cab Buton Tengah Sultra</v>
          </cell>
          <cell r="I121" t="str">
            <v>Online</v>
          </cell>
          <cell r="J121" t="str">
            <v>B.16306/DJPT.6/PI.420/PPK/VI/2026</v>
          </cell>
          <cell r="K121" t="str">
            <v>SPPBJ</v>
          </cell>
          <cell r="L121">
            <v>82321266508</v>
          </cell>
          <cell r="M121" t="str">
            <v>V</v>
          </cell>
          <cell r="O121" t="e">
            <v>#N/A</v>
          </cell>
          <cell r="P121" t="str">
            <v>sudah</v>
          </cell>
        </row>
        <row r="122">
          <cell r="D122" t="str">
            <v>Lagili</v>
          </cell>
          <cell r="E122" t="str">
            <v>CV. Beta Lestari Prima</v>
          </cell>
          <cell r="F122">
            <v>4500000000</v>
          </cell>
          <cell r="L122" t="str">
            <v>wahab/085240311071</v>
          </cell>
          <cell r="M122" t="str">
            <v>Usulan tambahan V</v>
          </cell>
          <cell r="O122" t="e">
            <v>#N/A</v>
          </cell>
          <cell r="P122" t="str">
            <v>sudah</v>
          </cell>
        </row>
        <row r="123">
          <cell r="D123" t="str">
            <v>Moko</v>
          </cell>
          <cell r="E123" t="str">
            <v>CV. Indotama Konstruksi</v>
          </cell>
          <cell r="F123">
            <v>4500000000</v>
          </cell>
          <cell r="L123">
            <v>82191083324</v>
          </cell>
          <cell r="M123" t="str">
            <v>fraksi roem - new</v>
          </cell>
          <cell r="O123" t="e">
            <v>#N/A</v>
          </cell>
          <cell r="P123" t="str">
            <v>sudah</v>
          </cell>
        </row>
        <row r="124">
          <cell r="D124" t="str">
            <v>Bonebone</v>
          </cell>
          <cell r="E124" t="str">
            <v>PT. Sarjis Agung Indrajaya</v>
          </cell>
          <cell r="F124">
            <v>7827365000</v>
          </cell>
          <cell r="G124" t="str">
            <v>Nodin PPK 28 Mei 2026</v>
          </cell>
          <cell r="H124" t="str">
            <v>Cab Buton Tengah Sultra</v>
          </cell>
          <cell r="I124" t="str">
            <v>Online</v>
          </cell>
          <cell r="J124" t="str">
            <v>B.16306/DJPT.6/PI.420/PPK/VI/2026</v>
          </cell>
          <cell r="K124" t="str">
            <v>SPPBJ</v>
          </cell>
          <cell r="L124">
            <v>82321266508</v>
          </cell>
          <cell r="M124" t="str">
            <v>V</v>
          </cell>
          <cell r="O124" t="e">
            <v>#N/A</v>
          </cell>
          <cell r="P124" t="str">
            <v>sudah</v>
          </cell>
        </row>
        <row r="125">
          <cell r="D125" t="str">
            <v>Lowu-Lowu</v>
          </cell>
          <cell r="E125" t="str">
            <v>CV. Mudabbir</v>
          </cell>
          <cell r="F125">
            <v>4825613000</v>
          </cell>
          <cell r="G125" t="str">
            <v>Nodin PPK 28 Mei 2026</v>
          </cell>
          <cell r="H125" t="str">
            <v>Kota Bau Bau</v>
          </cell>
          <cell r="I125" t="str">
            <v>Online</v>
          </cell>
          <cell r="J125" t="str">
            <v>B.16305/DJPT.6/PI.420/PPK/VI/2026</v>
          </cell>
          <cell r="K125" t="str">
            <v>Kontrak</v>
          </cell>
          <cell r="M125" t="str">
            <v>Rohmi</v>
          </cell>
          <cell r="O125" t="e">
            <v>#N/A</v>
          </cell>
          <cell r="P125" t="str">
            <v>sudah</v>
          </cell>
        </row>
        <row r="126">
          <cell r="D126" t="str">
            <v>Sulaa</v>
          </cell>
          <cell r="E126" t="str">
            <v>PT. Sarjis Agung Indrajaya</v>
          </cell>
          <cell r="F126">
            <v>5329853000</v>
          </cell>
          <cell r="G126" t="str">
            <v>Nodin PPK 28 Mei 2026</v>
          </cell>
          <cell r="H126" t="str">
            <v>Cab Buton Tengah Sultra</v>
          </cell>
          <cell r="I126" t="str">
            <v>Online</v>
          </cell>
          <cell r="J126" t="str">
            <v>B.16306/DJPT.6/PI.420/PPK/VI/2026</v>
          </cell>
          <cell r="K126" t="str">
            <v>SPPBJ</v>
          </cell>
          <cell r="L126">
            <v>82321266508</v>
          </cell>
          <cell r="M126" t="str">
            <v>V</v>
          </cell>
          <cell r="O126" t="e">
            <v>#N/A</v>
          </cell>
          <cell r="P126" t="str">
            <v>sudah</v>
          </cell>
        </row>
        <row r="127">
          <cell r="D127" t="str">
            <v>Batusuya</v>
          </cell>
          <cell r="E127" t="str">
            <v>PT. Armyndo Jaya Konstruksi</v>
          </cell>
          <cell r="F127">
            <v>4558832240</v>
          </cell>
          <cell r="G127" t="str">
            <v>Nodin PPK 11 Juni 2026</v>
          </cell>
          <cell r="H127" t="str">
            <v>Jakarta</v>
          </cell>
          <cell r="I127" t="str">
            <v>Online</v>
          </cell>
          <cell r="K127" t="str">
            <v>Proses Kontrak (Pokja)</v>
          </cell>
          <cell r="L127" t="str">
            <v>08112241864/djoni</v>
          </cell>
          <cell r="M127" t="str">
            <v>Toni</v>
          </cell>
          <cell r="O127" t="e">
            <v>#N/A</v>
          </cell>
          <cell r="P127" t="str">
            <v>sudah</v>
          </cell>
        </row>
        <row r="128">
          <cell r="D128" t="str">
            <v>Boneoge</v>
          </cell>
          <cell r="E128" t="str">
            <v>PT. Armyndo Jaya Konstruksi</v>
          </cell>
          <cell r="F128">
            <v>7729419000</v>
          </cell>
          <cell r="G128" t="str">
            <v>Nodin PPK 9 Juni 2026</v>
          </cell>
          <cell r="H128" t="str">
            <v>Jakarta</v>
          </cell>
          <cell r="I128" t="str">
            <v>Online</v>
          </cell>
          <cell r="K128" t="str">
            <v>Proses Kontrak (Pokja)</v>
          </cell>
          <cell r="L128" t="str">
            <v>08112241864/djoni</v>
          </cell>
          <cell r="M128" t="str">
            <v>Toni</v>
          </cell>
          <cell r="O128" t="e">
            <v>#N/A</v>
          </cell>
          <cell r="P128" t="str">
            <v>sudah</v>
          </cell>
        </row>
        <row r="129">
          <cell r="D129" t="str">
            <v>Ganti</v>
          </cell>
          <cell r="E129" t="str">
            <v>PT. Armyndo Jaya Konstruksi</v>
          </cell>
          <cell r="F129">
            <v>4990975000</v>
          </cell>
          <cell r="G129" t="str">
            <v>Nodin PPK 9 Juni 2026</v>
          </cell>
          <cell r="H129" t="str">
            <v>Jakarta</v>
          </cell>
          <cell r="I129" t="str">
            <v>Online</v>
          </cell>
          <cell r="K129" t="str">
            <v>Proses Kontrak (Pokja)</v>
          </cell>
          <cell r="L129" t="str">
            <v>08112241864/djoni</v>
          </cell>
          <cell r="M129" t="str">
            <v>Toni</v>
          </cell>
          <cell r="O129" t="e">
            <v>#N/A</v>
          </cell>
          <cell r="P129" t="str">
            <v>sudah</v>
          </cell>
        </row>
        <row r="130">
          <cell r="D130" t="str">
            <v>Lero</v>
          </cell>
          <cell r="E130" t="str">
            <v>CV. Triga Cipta Abadi</v>
          </cell>
          <cell r="F130">
            <v>4500000000</v>
          </cell>
          <cell r="L130">
            <v>81341336969</v>
          </cell>
          <cell r="M130" t="str">
            <v>Hyl</v>
          </cell>
          <cell r="O130" t="str">
            <v>CV. Buana Bahari</v>
          </cell>
          <cell r="P130" t="str">
            <v>sudah</v>
          </cell>
        </row>
        <row r="131">
          <cell r="D131" t="str">
            <v>Wani Dua</v>
          </cell>
          <cell r="E131" t="str">
            <v>CV. Senja Timur Indonesia</v>
          </cell>
          <cell r="F131">
            <v>4500000000</v>
          </cell>
          <cell r="G131" t="str">
            <v>Nodin PPK 11 Juni 2026</v>
          </cell>
          <cell r="H131" t="str">
            <v>Jakarta</v>
          </cell>
          <cell r="I131" t="str">
            <v>Online</v>
          </cell>
          <cell r="K131" t="str">
            <v>Proses Kontrak (Pokja)</v>
          </cell>
          <cell r="L131" t="str">
            <v>082351512266/ririn</v>
          </cell>
          <cell r="M131" t="str">
            <v>Hyl</v>
          </cell>
          <cell r="O131" t="e">
            <v>#N/A</v>
          </cell>
          <cell r="P131" t="str">
            <v>sudah</v>
          </cell>
        </row>
        <row r="132">
          <cell r="D132" t="str">
            <v>Belopa</v>
          </cell>
          <cell r="E132" t="str">
            <v>PT. Relis Sapindo Utama</v>
          </cell>
          <cell r="F132">
            <v>7450051000</v>
          </cell>
          <cell r="G132" t="str">
            <v>Nodin PPK 4 Juni 2026</v>
          </cell>
          <cell r="H132" t="str">
            <v>Makassar</v>
          </cell>
          <cell r="I132" t="str">
            <v>Online</v>
          </cell>
          <cell r="K132" t="str">
            <v>SPPBJ</v>
          </cell>
          <cell r="L132">
            <v>81341207077</v>
          </cell>
          <cell r="M132" t="str">
            <v>Hyl</v>
          </cell>
          <cell r="O132" t="str">
            <v>PT. Relis Sapindo Utama</v>
          </cell>
          <cell r="P132" t="str">
            <v>sudah</v>
          </cell>
        </row>
        <row r="133">
          <cell r="D133" t="str">
            <v>Bone Pute</v>
          </cell>
          <cell r="E133" t="str">
            <v>PT. Relis Sapindo Utama</v>
          </cell>
          <cell r="F133">
            <v>8512090558</v>
          </cell>
          <cell r="G133" t="str">
            <v>Nodin PPK 4 Juni 2026</v>
          </cell>
          <cell r="H133" t="str">
            <v>Makassar</v>
          </cell>
          <cell r="I133" t="str">
            <v>Online</v>
          </cell>
          <cell r="K133" t="str">
            <v>SPPBJ</v>
          </cell>
          <cell r="L133">
            <v>81341207077</v>
          </cell>
          <cell r="M133" t="str">
            <v>Hyl</v>
          </cell>
          <cell r="O133" t="str">
            <v>PT. Relis Sapindo Utama</v>
          </cell>
          <cell r="P133" t="str">
            <v>sudah</v>
          </cell>
        </row>
        <row r="134">
          <cell r="D134" t="str">
            <v>Cimpu Utara</v>
          </cell>
          <cell r="E134" t="str">
            <v>PT. Relis Sapindo Utama</v>
          </cell>
          <cell r="F134">
            <v>5062103000</v>
          </cell>
          <cell r="G134" t="str">
            <v>Nodin PPK 4 Juni 2026</v>
          </cell>
          <cell r="H134" t="str">
            <v>Makassar</v>
          </cell>
          <cell r="I134" t="str">
            <v>Online</v>
          </cell>
          <cell r="K134" t="str">
            <v>SPPBJ</v>
          </cell>
          <cell r="L134">
            <v>81341207077</v>
          </cell>
          <cell r="M134" t="str">
            <v>Hyl</v>
          </cell>
          <cell r="O134" t="str">
            <v>PT. Relis Sapindo Utama</v>
          </cell>
          <cell r="P134" t="str">
            <v>sudah</v>
          </cell>
        </row>
        <row r="135">
          <cell r="D135" t="str">
            <v>Murante</v>
          </cell>
          <cell r="E135" t="str">
            <v>PT. Relis Sapindo Utama</v>
          </cell>
          <cell r="F135">
            <v>5204177000</v>
          </cell>
          <cell r="G135" t="str">
            <v>Nodin PPK 4 Juni 2026</v>
          </cell>
          <cell r="H135" t="str">
            <v>Makassar</v>
          </cell>
          <cell r="I135" t="str">
            <v>Online</v>
          </cell>
          <cell r="K135" t="str">
            <v>SPPBJ</v>
          </cell>
          <cell r="L135">
            <v>81341207077</v>
          </cell>
          <cell r="M135" t="str">
            <v>Hyl</v>
          </cell>
          <cell r="O135" t="str">
            <v>PT. Relis Sapindo Utama</v>
          </cell>
          <cell r="P135" t="str">
            <v>sudah</v>
          </cell>
        </row>
        <row r="136">
          <cell r="D136" t="str">
            <v>Rantebelu</v>
          </cell>
          <cell r="E136" t="str">
            <v>PT. Relis Sapindo Utama</v>
          </cell>
          <cell r="F136">
            <v>5362014084</v>
          </cell>
          <cell r="G136" t="str">
            <v>Nodin PPK 4 Juni 2026</v>
          </cell>
          <cell r="H136" t="str">
            <v>Makassar</v>
          </cell>
          <cell r="I136" t="str">
            <v>Online</v>
          </cell>
          <cell r="K136" t="str">
            <v>SPPBJ</v>
          </cell>
          <cell r="L136">
            <v>81341207077</v>
          </cell>
          <cell r="M136" t="str">
            <v>Hyl</v>
          </cell>
          <cell r="O136" t="str">
            <v>PT. Relis Sapindo Utama</v>
          </cell>
          <cell r="P136" t="str">
            <v>sudah</v>
          </cell>
        </row>
        <row r="137">
          <cell r="D137" t="str">
            <v>Bulete</v>
          </cell>
          <cell r="E137" t="str">
            <v>PT. Relis Sapindo Utama</v>
          </cell>
          <cell r="F137">
            <v>7784648000</v>
          </cell>
          <cell r="G137" t="str">
            <v>Nodin PPK 26 Mei 2026</v>
          </cell>
          <cell r="H137" t="str">
            <v>Makassar</v>
          </cell>
          <cell r="I137" t="str">
            <v>Online</v>
          </cell>
          <cell r="K137" t="str">
            <v>SPPBJ</v>
          </cell>
          <cell r="L137">
            <v>81341207077</v>
          </cell>
          <cell r="M137" t="str">
            <v>Hyl</v>
          </cell>
          <cell r="O137" t="str">
            <v>PT. Relis Sapindo Utama</v>
          </cell>
          <cell r="P137" t="str">
            <v>sudah</v>
          </cell>
        </row>
        <row r="138">
          <cell r="D138" t="str">
            <v>Bontosunggu</v>
          </cell>
          <cell r="E138" t="str">
            <v>PT. Murni Konstruksi Indonesia</v>
          </cell>
          <cell r="F138">
            <v>4408443880</v>
          </cell>
          <cell r="G138" t="str">
            <v>Nodin PPK 4 Juni 2026</v>
          </cell>
          <cell r="H138" t="str">
            <v>Makassar (M)</v>
          </cell>
          <cell r="I138" t="str">
            <v>Online</v>
          </cell>
          <cell r="K138" t="str">
            <v>Proses Kontrak (Pokja)</v>
          </cell>
          <cell r="L138">
            <v>81325288874</v>
          </cell>
          <cell r="M138" t="str">
            <v>TK</v>
          </cell>
          <cell r="O138" t="e">
            <v>#N/A</v>
          </cell>
          <cell r="P138" t="str">
            <v>sudah</v>
          </cell>
        </row>
        <row r="139">
          <cell r="D139" t="str">
            <v>Buki</v>
          </cell>
          <cell r="E139" t="str">
            <v>PT. Murni Konstruksi Indonesia</v>
          </cell>
          <cell r="F139">
            <v>7570886000</v>
          </cell>
          <cell r="G139" t="str">
            <v>Nodin PPK 4 Juni 2026</v>
          </cell>
          <cell r="H139" t="str">
            <v>Makassar (M)</v>
          </cell>
          <cell r="I139" t="str">
            <v>Online</v>
          </cell>
          <cell r="K139" t="str">
            <v>Proses Kontrak (Pokja)</v>
          </cell>
          <cell r="L139">
            <v>81325288874</v>
          </cell>
          <cell r="M139" t="str">
            <v>TK</v>
          </cell>
          <cell r="O139" t="e">
            <v>#N/A</v>
          </cell>
          <cell r="P139" t="str">
            <v>sudah</v>
          </cell>
        </row>
        <row r="140">
          <cell r="D140" t="str">
            <v>Bungaiya</v>
          </cell>
          <cell r="E140" t="str">
            <v>PT. Murni Konstruksi Indonesia</v>
          </cell>
          <cell r="F140">
            <v>11294902000</v>
          </cell>
          <cell r="G140" t="str">
            <v>Nodin PPK 4 Juni 2026</v>
          </cell>
          <cell r="H140" t="str">
            <v>Makassar (M)</v>
          </cell>
          <cell r="I140" t="str">
            <v>Online</v>
          </cell>
          <cell r="K140" t="str">
            <v>Proses Kontrak (Pokja)</v>
          </cell>
          <cell r="L140">
            <v>81325288874</v>
          </cell>
          <cell r="M140" t="str">
            <v>TK</v>
          </cell>
          <cell r="O140" t="e">
            <v>#N/A</v>
          </cell>
          <cell r="P140" t="str">
            <v>sudah</v>
          </cell>
        </row>
        <row r="141">
          <cell r="D141" t="str">
            <v>Lowa</v>
          </cell>
          <cell r="E141" t="str">
            <v>PT. Murni Konstruksi Indonesia</v>
          </cell>
          <cell r="F141">
            <v>11294902000</v>
          </cell>
          <cell r="G141" t="str">
            <v>Nodin PPK 4 Juni 2026</v>
          </cell>
          <cell r="H141" t="str">
            <v>Makassar (M)</v>
          </cell>
          <cell r="I141" t="str">
            <v>Online</v>
          </cell>
          <cell r="K141" t="str">
            <v>Proses Kontrak (Pokja)</v>
          </cell>
          <cell r="L141">
            <v>81325288874</v>
          </cell>
          <cell r="M141" t="str">
            <v>TK</v>
          </cell>
          <cell r="O141" t="e">
            <v>#N/A</v>
          </cell>
          <cell r="P141" t="str">
            <v>sudah</v>
          </cell>
        </row>
        <row r="142">
          <cell r="D142" t="str">
            <v>Boyantongo</v>
          </cell>
          <cell r="E142" t="str">
            <v>CV. Navigasi General Contractor</v>
          </cell>
          <cell r="F142">
            <v>7310897000</v>
          </cell>
          <cell r="G142" t="str">
            <v>Nodin PPK 3 Juni 2026</v>
          </cell>
          <cell r="K142" t="str">
            <v>Proses Kontrak (Pokja)</v>
          </cell>
          <cell r="L142" t="str">
            <v>85241201470/yudi</v>
          </cell>
          <cell r="M142" t="str">
            <v>Hyl</v>
          </cell>
          <cell r="O142" t="str">
            <v>CV. Navigasi General Contractor</v>
          </cell>
          <cell r="P142" t="str">
            <v>sudah</v>
          </cell>
        </row>
        <row r="143">
          <cell r="D143" t="str">
            <v>Laemanta Utara</v>
          </cell>
          <cell r="E143" t="str">
            <v>CV. Navigasi General Contractor</v>
          </cell>
          <cell r="F143">
            <v>5019018282</v>
          </cell>
          <cell r="G143" t="str">
            <v>Nodin PPK 3 Juni 2026</v>
          </cell>
          <cell r="K143" t="str">
            <v>Proses Kontrak (Pokja)</v>
          </cell>
          <cell r="L143" t="str">
            <v>85241201470/yudi</v>
          </cell>
          <cell r="M143" t="str">
            <v>Hyl</v>
          </cell>
          <cell r="O143" t="str">
            <v>CV. Navigasi General Contractor</v>
          </cell>
          <cell r="P143" t="str">
            <v>sudah</v>
          </cell>
        </row>
        <row r="144">
          <cell r="D144" t="str">
            <v>Pelawa Baru</v>
          </cell>
          <cell r="E144" t="str">
            <v>CV. Navigasi General Contractor</v>
          </cell>
          <cell r="F144">
            <v>7291724000</v>
          </cell>
          <cell r="G144" t="str">
            <v>Nodin PPK 3 Juni 2026</v>
          </cell>
          <cell r="K144" t="str">
            <v>Proses Kontrak (Pokja)</v>
          </cell>
          <cell r="L144" t="str">
            <v>85241201470/yudi</v>
          </cell>
          <cell r="M144" t="str">
            <v>Hyl</v>
          </cell>
          <cell r="O144" t="str">
            <v>CV. Navigasi General Contractor</v>
          </cell>
          <cell r="P144" t="str">
            <v>sudah</v>
          </cell>
        </row>
        <row r="145">
          <cell r="D145" t="str">
            <v>Sausu Tambu</v>
          </cell>
          <cell r="E145" t="str">
            <v>CV. Triga Cipta Abadi</v>
          </cell>
          <cell r="F145">
            <v>7291724000</v>
          </cell>
          <cell r="G145" t="str">
            <v>Nodin PPK 3 Juni 2026</v>
          </cell>
          <cell r="I145" t="str">
            <v>Diganti</v>
          </cell>
          <cell r="K145" t="str">
            <v>Proses Kontrak (Pokja)</v>
          </cell>
          <cell r="L145">
            <v>81341336969</v>
          </cell>
          <cell r="M145" t="str">
            <v>Hyl</v>
          </cell>
          <cell r="O145" t="str">
            <v>CV. Triga Cipta Abadi</v>
          </cell>
          <cell r="P145" t="str">
            <v>sudah</v>
          </cell>
        </row>
        <row r="146">
          <cell r="D146" t="str">
            <v>Sienjo</v>
          </cell>
          <cell r="E146" t="str">
            <v>CV. Triga Cipta Abadi</v>
          </cell>
          <cell r="F146">
            <v>3968572292</v>
          </cell>
          <cell r="G146" t="str">
            <v>Nodin PPK 3 Juni 2026</v>
          </cell>
          <cell r="I146" t="str">
            <v>Diganti</v>
          </cell>
          <cell r="K146" t="str">
            <v>Proses Kontrak (Pokja)</v>
          </cell>
          <cell r="L146">
            <v>81341336969</v>
          </cell>
          <cell r="M146" t="str">
            <v>Hyl</v>
          </cell>
          <cell r="O146" t="str">
            <v>CV. Triga Cipta Abadi</v>
          </cell>
          <cell r="P146" t="str">
            <v>sudah</v>
          </cell>
        </row>
        <row r="147">
          <cell r="D147" t="str">
            <v>Tada</v>
          </cell>
          <cell r="E147" t="str">
            <v>CV. Triga Cipta Abadi</v>
          </cell>
          <cell r="F147">
            <v>4090179000</v>
          </cell>
          <cell r="G147" t="str">
            <v>Nodin PPK 3 Juni 2026</v>
          </cell>
          <cell r="I147" t="str">
            <v>Diganti</v>
          </cell>
          <cell r="K147" t="str">
            <v>Proses Kontrak (Pokja)</v>
          </cell>
          <cell r="L147">
            <v>81341336969</v>
          </cell>
          <cell r="M147" t="str">
            <v>Hyl</v>
          </cell>
          <cell r="O147" t="str">
            <v>CV. Triga Cipta Abadi</v>
          </cell>
          <cell r="P147" t="str">
            <v>sudah</v>
          </cell>
        </row>
        <row r="148">
          <cell r="D148" t="str">
            <v>Tabulo Selatan</v>
          </cell>
          <cell r="E148" t="str">
            <v>CV. Almaliku</v>
          </cell>
          <cell r="F148">
            <v>8433419000</v>
          </cell>
          <cell r="L148" t="str">
            <v>Firman/081385949713</v>
          </cell>
          <cell r="M148" t="str">
            <v>Pandu (Baru)</v>
          </cell>
          <cell r="O148" t="e">
            <v>#N/A</v>
          </cell>
          <cell r="P148" t="str">
            <v>sudah</v>
          </cell>
        </row>
        <row r="149">
          <cell r="D149" t="str">
            <v>Bulili</v>
          </cell>
          <cell r="E149" t="str">
            <v>CV. Almaliku</v>
          </cell>
          <cell r="F149">
            <v>0</v>
          </cell>
          <cell r="L149" t="str">
            <v>Firman/081385949713</v>
          </cell>
          <cell r="M149" t="str">
            <v>Pandu (Baru)</v>
          </cell>
          <cell r="O149" t="e">
            <v>#N/A</v>
          </cell>
          <cell r="P149" t="str">
            <v>sudah</v>
          </cell>
        </row>
        <row r="150">
          <cell r="D150" t="str">
            <v>Bumbulan</v>
          </cell>
          <cell r="E150" t="str">
            <v>CV. Almaliku</v>
          </cell>
          <cell r="F150">
            <v>4567200000</v>
          </cell>
          <cell r="L150" t="str">
            <v>Firman/081385949713</v>
          </cell>
          <cell r="M150" t="str">
            <v>Pandu (Baru)</v>
          </cell>
          <cell r="O150" t="e">
            <v>#N/A</v>
          </cell>
          <cell r="P150" t="str">
            <v>sudah</v>
          </cell>
        </row>
        <row r="151">
          <cell r="D151" t="str">
            <v>Betahwalang</v>
          </cell>
          <cell r="E151" t="str">
            <v>CV. Sinar Mulya</v>
          </cell>
          <cell r="F151">
            <v>2963833935</v>
          </cell>
          <cell r="G151" t="str">
            <v>Nodin PPK 8 Juni 2026</v>
          </cell>
          <cell r="H151" t="str">
            <v>Surabaya</v>
          </cell>
          <cell r="I151" t="str">
            <v>Online</v>
          </cell>
          <cell r="K151" t="str">
            <v>Proses Kontrak (Pokja)</v>
          </cell>
          <cell r="L151" t="str">
            <v>081330470795/haris</v>
          </cell>
          <cell r="M151" t="str">
            <v>g</v>
          </cell>
          <cell r="O151" t="e">
            <v>#N/A</v>
          </cell>
          <cell r="P151" t="str">
            <v>sudah</v>
          </cell>
        </row>
        <row r="152">
          <cell r="D152" t="str">
            <v>Buko</v>
          </cell>
          <cell r="E152" t="str">
            <v>PT. Insan Pesona (Besar)</v>
          </cell>
          <cell r="F152">
            <v>0</v>
          </cell>
          <cell r="H152" t="str">
            <v>Pati</v>
          </cell>
          <cell r="I152" t="str">
            <v>Online</v>
          </cell>
          <cell r="L152">
            <v>82137429384</v>
          </cell>
          <cell r="M152" t="str">
            <v>haris</v>
          </cell>
          <cell r="O152" t="e">
            <v>#N/A</v>
          </cell>
          <cell r="P152">
            <v>0</v>
          </cell>
        </row>
        <row r="153">
          <cell r="D153" t="str">
            <v>Kedungkarang</v>
          </cell>
          <cell r="E153" t="str">
            <v>CV. Sinar Mulya</v>
          </cell>
          <cell r="F153">
            <v>2314000000</v>
          </cell>
          <cell r="I153" t="str">
            <v>Online</v>
          </cell>
          <cell r="L153" t="str">
            <v>081330470795/haris</v>
          </cell>
          <cell r="M153" t="str">
            <v>g-drop sosek</v>
          </cell>
          <cell r="O153" t="e">
            <v>#N/A</v>
          </cell>
          <cell r="P153" t="str">
            <v>drop sosek</v>
          </cell>
        </row>
        <row r="154">
          <cell r="D154" t="str">
            <v>Kedungmutih</v>
          </cell>
          <cell r="E154" t="str">
            <v>CV. Sinar Mulya</v>
          </cell>
          <cell r="F154">
            <v>0</v>
          </cell>
          <cell r="I154" t="str">
            <v>Online</v>
          </cell>
          <cell r="L154" t="str">
            <v>081330470795/haris</v>
          </cell>
          <cell r="M154" t="str">
            <v>g</v>
          </cell>
          <cell r="O154" t="e">
            <v>#N/A</v>
          </cell>
          <cell r="P154" t="str">
            <v>sudah</v>
          </cell>
        </row>
        <row r="155">
          <cell r="D155" t="str">
            <v>Purworejo</v>
          </cell>
          <cell r="E155" t="str">
            <v>CV. Sinar Mulya</v>
          </cell>
          <cell r="F155">
            <v>5500000000</v>
          </cell>
          <cell r="I155" t="str">
            <v>Online</v>
          </cell>
          <cell r="L155" t="str">
            <v>081330470795/haris</v>
          </cell>
          <cell r="M155" t="str">
            <v>g</v>
          </cell>
          <cell r="O155" t="e">
            <v>#N/A</v>
          </cell>
          <cell r="P155" t="str">
            <v>sudah</v>
          </cell>
        </row>
        <row r="156">
          <cell r="D156" t="str">
            <v>Karanggondang</v>
          </cell>
          <cell r="E156" t="str">
            <v>PT. Adi Bima Utama</v>
          </cell>
          <cell r="F156">
            <v>0</v>
          </cell>
          <cell r="L156" t="str">
            <v>082311097406/dedi</v>
          </cell>
          <cell r="M156" t="str">
            <v>g</v>
          </cell>
          <cell r="O156" t="e">
            <v>#N/A</v>
          </cell>
          <cell r="P156" t="str">
            <v>sudah</v>
          </cell>
        </row>
        <row r="157">
          <cell r="D157" t="str">
            <v>Kedungmalang</v>
          </cell>
          <cell r="E157" t="str">
            <v>CV. Astana Mas</v>
          </cell>
          <cell r="F157">
            <v>2314000000</v>
          </cell>
          <cell r="L157" t="str">
            <v>081330065040/ARI</v>
          </cell>
          <cell r="M157" t="str">
            <v>g</v>
          </cell>
          <cell r="O157" t="e">
            <v>#N/A</v>
          </cell>
          <cell r="P157" t="str">
            <v>sudah</v>
          </cell>
        </row>
        <row r="158">
          <cell r="D158" t="str">
            <v>Mororejo</v>
          </cell>
          <cell r="E158" t="str">
            <v>CV. Astana Mas</v>
          </cell>
          <cell r="F158">
            <v>2314000000</v>
          </cell>
          <cell r="L158" t="str">
            <v>081330065040/ARI</v>
          </cell>
          <cell r="M158" t="str">
            <v>g</v>
          </cell>
          <cell r="O158" t="e">
            <v>#N/A</v>
          </cell>
          <cell r="P158" t="str">
            <v>sudah</v>
          </cell>
        </row>
        <row r="159">
          <cell r="D159" t="str">
            <v>Ujungbatu</v>
          </cell>
          <cell r="E159" t="str">
            <v>CV. Astana Mas</v>
          </cell>
          <cell r="F159">
            <v>2314000000</v>
          </cell>
          <cell r="L159" t="str">
            <v>081330065040/ARI</v>
          </cell>
          <cell r="M159" t="str">
            <v>g</v>
          </cell>
          <cell r="O159" t="e">
            <v>#N/A</v>
          </cell>
          <cell r="P159" t="str">
            <v>sudah</v>
          </cell>
        </row>
        <row r="160">
          <cell r="D160" t="str">
            <v>Ujungwatu</v>
          </cell>
          <cell r="E160" t="str">
            <v>PT. Adi Bima Utama</v>
          </cell>
          <cell r="F160">
            <v>0</v>
          </cell>
          <cell r="L160" t="str">
            <v>082311097406/dedi</v>
          </cell>
          <cell r="M160" t="str">
            <v>g</v>
          </cell>
          <cell r="O160" t="e">
            <v>#N/A</v>
          </cell>
          <cell r="P160" t="str">
            <v>sudah</v>
          </cell>
        </row>
        <row r="161">
          <cell r="D161" t="str">
            <v>Balok</v>
          </cell>
          <cell r="E161" t="str">
            <v>CV. Sinar Mulya</v>
          </cell>
          <cell r="F161">
            <v>0</v>
          </cell>
          <cell r="H161" t="str">
            <v>Jakarta</v>
          </cell>
          <cell r="I161" t="str">
            <v>Online</v>
          </cell>
          <cell r="L161" t="str">
            <v>081330470795/haris</v>
          </cell>
          <cell r="M161" t="str">
            <v>g</v>
          </cell>
          <cell r="O161" t="e">
            <v>#N/A</v>
          </cell>
          <cell r="P161" t="str">
            <v>lokasi batal</v>
          </cell>
        </row>
        <row r="162">
          <cell r="D162" t="str">
            <v>Tanjung Mas</v>
          </cell>
          <cell r="E162" t="str">
            <v>CV. Sinar Mulya</v>
          </cell>
          <cell r="F162">
            <v>4287900000</v>
          </cell>
          <cell r="G162" t="str">
            <v>Nodin PPK 8 Juni 2026</v>
          </cell>
          <cell r="H162" t="str">
            <v>Jakarta</v>
          </cell>
          <cell r="I162" t="str">
            <v>Online</v>
          </cell>
          <cell r="K162" t="str">
            <v>Proses Kontrak (Pokja)</v>
          </cell>
          <cell r="L162" t="str">
            <v>081330470795/kharis</v>
          </cell>
          <cell r="M162" t="str">
            <v>g</v>
          </cell>
          <cell r="O162" t="e">
            <v>#N/A</v>
          </cell>
          <cell r="P162" t="str">
            <v>sudah</v>
          </cell>
        </row>
        <row r="163">
          <cell r="D163" t="str">
            <v>Buncu</v>
          </cell>
          <cell r="E163" t="str">
            <v>CV. Kalembo Ade Nautama</v>
          </cell>
          <cell r="F163">
            <v>3214500000</v>
          </cell>
          <cell r="L163" t="str">
            <v>085933442000/heri</v>
          </cell>
          <cell r="M163" t="str">
            <v>ongen</v>
          </cell>
          <cell r="O163" t="e">
            <v>#N/A</v>
          </cell>
          <cell r="P163">
            <v>0</v>
          </cell>
        </row>
        <row r="164">
          <cell r="D164" t="str">
            <v>Lamere</v>
          </cell>
          <cell r="E164" t="str">
            <v>CV. Kalembo Ade Nautama</v>
          </cell>
          <cell r="F164">
            <v>3214500000</v>
          </cell>
          <cell r="L164" t="str">
            <v>085933442000/heri</v>
          </cell>
          <cell r="M164" t="str">
            <v>ongen</v>
          </cell>
          <cell r="O164" t="e">
            <v>#N/A</v>
          </cell>
          <cell r="P164">
            <v>0</v>
          </cell>
        </row>
        <row r="165">
          <cell r="D165" t="str">
            <v>Bualemo B</v>
          </cell>
          <cell r="E165" t="str">
            <v>CV. Putra Mahkota Adiyaksa</v>
          </cell>
          <cell r="F165">
            <v>4086071000</v>
          </cell>
          <cell r="L165" t="str">
            <v>082292236414/arwin</v>
          </cell>
          <cell r="M165" t="str">
            <v>fraksi roem - new</v>
          </cell>
          <cell r="O165" t="e">
            <v>#N/A</v>
          </cell>
          <cell r="P165" t="str">
            <v>sudah</v>
          </cell>
        </row>
        <row r="166">
          <cell r="D166" t="str">
            <v>Bunta I</v>
          </cell>
          <cell r="E166" t="str">
            <v>CV. Putra Mahkota Adiyaksa</v>
          </cell>
          <cell r="F166">
            <v>8231000000</v>
          </cell>
          <cell r="L166" t="str">
            <v>082292236414/arwin</v>
          </cell>
          <cell r="M166" t="str">
            <v>fraksi roem - new</v>
          </cell>
          <cell r="O166" t="e">
            <v>#N/A</v>
          </cell>
          <cell r="P166" t="str">
            <v>sudah</v>
          </cell>
        </row>
        <row r="167">
          <cell r="D167" t="str">
            <v>Tanah Kuning</v>
          </cell>
          <cell r="F167">
            <v>4320000000</v>
          </cell>
          <cell r="O167" t="e">
            <v>#N/A</v>
          </cell>
          <cell r="P167">
            <v>0</v>
          </cell>
        </row>
        <row r="168">
          <cell r="D168" t="str">
            <v>Karang Anyar Pantai</v>
          </cell>
          <cell r="E168" t="str">
            <v>CV. Davindo Putra Perkasa</v>
          </cell>
          <cell r="F168">
            <v>4567200000</v>
          </cell>
          <cell r="L168" t="str">
            <v>081289990188/andi</v>
          </cell>
          <cell r="M168" t="str">
            <v>Pandu-Andi</v>
          </cell>
          <cell r="O168" t="e">
            <v>#N/A</v>
          </cell>
          <cell r="P168">
            <v>0</v>
          </cell>
        </row>
        <row r="169">
          <cell r="D169" t="str">
            <v>Tanah Merah</v>
          </cell>
          <cell r="F169">
            <v>4320000000</v>
          </cell>
          <cell r="O169" t="e">
            <v>#N/A</v>
          </cell>
          <cell r="P169">
            <v>0</v>
          </cell>
        </row>
        <row r="170">
          <cell r="D170" t="str">
            <v>Banjar</v>
          </cell>
          <cell r="E170" t="str">
            <v>PT. Asuka Engineering Indonesia</v>
          </cell>
          <cell r="F170">
            <v>3214500000</v>
          </cell>
          <cell r="H170" t="str">
            <v>Gresik</v>
          </cell>
          <cell r="L170" t="str">
            <v>081358005070/efendi</v>
          </cell>
          <cell r="M170" t="str">
            <v>g</v>
          </cell>
          <cell r="O170" t="e">
            <v>#N/A</v>
          </cell>
          <cell r="P170">
            <v>0</v>
          </cell>
        </row>
        <row r="171">
          <cell r="D171" t="str">
            <v>Batu Putih</v>
          </cell>
          <cell r="E171" t="str">
            <v>PT. Asuka Engineering Indonesia</v>
          </cell>
          <cell r="F171">
            <v>3214500000</v>
          </cell>
          <cell r="H171" t="str">
            <v>Gresik</v>
          </cell>
          <cell r="L171" t="str">
            <v>081358005070/efendi</v>
          </cell>
          <cell r="M171" t="str">
            <v>g</v>
          </cell>
          <cell r="O171" t="e">
            <v>#N/A</v>
          </cell>
          <cell r="P171">
            <v>0</v>
          </cell>
        </row>
        <row r="172">
          <cell r="D172" t="str">
            <v>Buwun Mas</v>
          </cell>
          <cell r="E172" t="str">
            <v>PT. Asuka Engineering Indonesia</v>
          </cell>
          <cell r="F172">
            <v>7342100000</v>
          </cell>
          <cell r="H172" t="str">
            <v>Gresik</v>
          </cell>
          <cell r="L172" t="str">
            <v>081358005070/efendi</v>
          </cell>
          <cell r="M172" t="str">
            <v>g</v>
          </cell>
          <cell r="O172" t="e">
            <v>#N/A</v>
          </cell>
          <cell r="P172">
            <v>0</v>
          </cell>
        </row>
        <row r="173">
          <cell r="D173" t="str">
            <v>Gili Gede Indah</v>
          </cell>
          <cell r="E173" t="str">
            <v>PT. Asuka Engineering Indonesia</v>
          </cell>
          <cell r="F173">
            <v>3214500000</v>
          </cell>
          <cell r="H173" t="str">
            <v>Gresik</v>
          </cell>
          <cell r="L173" t="str">
            <v>081358005070/efendi</v>
          </cell>
          <cell r="M173" t="str">
            <v>g</v>
          </cell>
          <cell r="O173" t="e">
            <v>#N/A</v>
          </cell>
          <cell r="P173">
            <v>0</v>
          </cell>
        </row>
        <row r="174">
          <cell r="D174" t="str">
            <v>Kuranji Dalang</v>
          </cell>
          <cell r="E174" t="str">
            <v>PT. Asuka Engineering Indonesia</v>
          </cell>
          <cell r="F174">
            <v>3214500000</v>
          </cell>
          <cell r="H174" t="str">
            <v>Gresik</v>
          </cell>
          <cell r="L174" t="str">
            <v>081358005070/efendi</v>
          </cell>
          <cell r="M174" t="str">
            <v>g</v>
          </cell>
          <cell r="O174" t="e">
            <v>#N/A</v>
          </cell>
          <cell r="P174">
            <v>0</v>
          </cell>
        </row>
        <row r="175">
          <cell r="D175" t="str">
            <v>Sungai Burung</v>
          </cell>
          <cell r="E175" t="str">
            <v>PT. Berkarya Indo Guna</v>
          </cell>
          <cell r="F175">
            <v>4123000000</v>
          </cell>
          <cell r="M175" t="str">
            <v>EL-V</v>
          </cell>
          <cell r="O175" t="e">
            <v>#N/A</v>
          </cell>
          <cell r="P175">
            <v>0</v>
          </cell>
        </row>
        <row r="176">
          <cell r="D176" t="str">
            <v>Kelarik</v>
          </cell>
          <cell r="E176" t="str">
            <v>PT SPECTRATAMA PERKASA</v>
          </cell>
          <cell r="F176">
            <v>4123000000</v>
          </cell>
          <cell r="L176" t="str">
            <v>0812 3345 5674</v>
          </cell>
          <cell r="M176" t="str">
            <v>Hasan Saleh</v>
          </cell>
          <cell r="O176" t="e">
            <v>#N/A</v>
          </cell>
          <cell r="P176">
            <v>0</v>
          </cell>
        </row>
        <row r="177">
          <cell r="D177" t="str">
            <v>Kelarik Barat</v>
          </cell>
          <cell r="E177" t="str">
            <v>PT SPECTRATAMA PERKASA</v>
          </cell>
          <cell r="F177">
            <v>4123000000</v>
          </cell>
          <cell r="L177" t="str">
            <v>0812 3345 5674</v>
          </cell>
          <cell r="M177" t="str">
            <v>Hasan Saleh</v>
          </cell>
          <cell r="O177" t="e">
            <v>#N/A</v>
          </cell>
          <cell r="P177">
            <v>0</v>
          </cell>
        </row>
        <row r="178">
          <cell r="D178" t="str">
            <v>Sepempang</v>
          </cell>
          <cell r="E178" t="str">
            <v>PT. Kelman Infra Perkasa</v>
          </cell>
          <cell r="F178">
            <v>0</v>
          </cell>
          <cell r="L178" t="str">
            <v>081914588646/ridwan</v>
          </cell>
          <cell r="M178" t="str">
            <v>Arif Rah</v>
          </cell>
          <cell r="O178" t="e">
            <v>#N/A</v>
          </cell>
          <cell r="P178">
            <v>0</v>
          </cell>
        </row>
        <row r="179">
          <cell r="D179" t="str">
            <v>Tanjung</v>
          </cell>
          <cell r="E179" t="str">
            <v>PT SPECTRATAMA PERKASA</v>
          </cell>
          <cell r="F179">
            <v>3214500000</v>
          </cell>
          <cell r="L179" t="str">
            <v>0812 3345 5674</v>
          </cell>
          <cell r="M179" t="str">
            <v>Hasan Saleh</v>
          </cell>
          <cell r="O179" t="e">
            <v>#N/A</v>
          </cell>
          <cell r="P179">
            <v>0</v>
          </cell>
        </row>
        <row r="180">
          <cell r="D180" t="str">
            <v>Tanjung Pala</v>
          </cell>
          <cell r="E180" t="str">
            <v>PT SPECTRATAMA PERKASA</v>
          </cell>
          <cell r="F180">
            <v>4123000000</v>
          </cell>
          <cell r="L180" t="str">
            <v>0812 3345 5674</v>
          </cell>
          <cell r="M180" t="str">
            <v>Hasan Saleh</v>
          </cell>
          <cell r="O180" t="e">
            <v>#N/A</v>
          </cell>
          <cell r="P180">
            <v>0</v>
          </cell>
        </row>
        <row r="181">
          <cell r="D181" t="str">
            <v>Bayah Barat</v>
          </cell>
          <cell r="E181" t="str">
            <v>PT. Amber Hasya</v>
          </cell>
          <cell r="F181">
            <v>4922853000</v>
          </cell>
          <cell r="G181" t="str">
            <v>Nodin PPK 2 Juni 2026</v>
          </cell>
          <cell r="H181" t="str">
            <v>Bandung</v>
          </cell>
          <cell r="I181" t="str">
            <v>Offline</v>
          </cell>
          <cell r="J181" t="str">
            <v>B.16202/DJPT.6/PI.420/PPK/VI/2026</v>
          </cell>
          <cell r="K181" t="str">
            <v>Kontrak</v>
          </cell>
          <cell r="M181" t="str">
            <v>Sandi</v>
          </cell>
          <cell r="O181" t="e">
            <v>#N/A</v>
          </cell>
          <cell r="P181" t="str">
            <v>sudah</v>
          </cell>
        </row>
        <row r="182">
          <cell r="D182" t="str">
            <v>Cireundeu</v>
          </cell>
          <cell r="E182" t="str">
            <v>PT. Amber Hasya</v>
          </cell>
          <cell r="F182">
            <v>3158405000</v>
          </cell>
          <cell r="G182" t="str">
            <v>Nodin PPK 2 Juni 2026</v>
          </cell>
          <cell r="H182" t="str">
            <v>Bandung</v>
          </cell>
          <cell r="I182" t="str">
            <v>Offline</v>
          </cell>
          <cell r="J182" t="str">
            <v>B.16202/DJPT.6/PI.420/PPK/VI/2026</v>
          </cell>
          <cell r="K182" t="str">
            <v>Kontrak</v>
          </cell>
          <cell r="M182" t="str">
            <v>Sandi</v>
          </cell>
          <cell r="O182" t="e">
            <v>#N/A</v>
          </cell>
          <cell r="P182" t="str">
            <v>sudah</v>
          </cell>
        </row>
        <row r="183">
          <cell r="D183" t="str">
            <v>Darmasari</v>
          </cell>
          <cell r="E183" t="str">
            <v>PT. Amber Hasya</v>
          </cell>
          <cell r="F183">
            <v>3380570000</v>
          </cell>
          <cell r="G183" t="str">
            <v>Nodin PPK 2 Juni 2026</v>
          </cell>
          <cell r="H183" t="str">
            <v>Bandung</v>
          </cell>
          <cell r="I183" t="str">
            <v>Offline</v>
          </cell>
          <cell r="J183" t="str">
            <v>B.16202/DJPT.6/PI.420/PPK/VI/2026</v>
          </cell>
          <cell r="K183" t="str">
            <v>Kontrak</v>
          </cell>
          <cell r="M183" t="str">
            <v>Sandi</v>
          </cell>
          <cell r="O183" t="e">
            <v>#N/A</v>
          </cell>
          <cell r="P183" t="str">
            <v>sudah</v>
          </cell>
        </row>
        <row r="184">
          <cell r="D184" t="str">
            <v>Cikahuripan</v>
          </cell>
          <cell r="E184" t="str">
            <v>CV. Mitra Jaya Mandiri</v>
          </cell>
          <cell r="F184">
            <v>4443404000</v>
          </cell>
          <cell r="G184" t="str">
            <v>Nodin PPK 2 Juni 2026</v>
          </cell>
          <cell r="I184" t="str">
            <v>Offline</v>
          </cell>
          <cell r="K184" t="str">
            <v>Proses Kontrak (Pokja)</v>
          </cell>
          <cell r="L184">
            <v>8156082166</v>
          </cell>
          <cell r="M184" t="str">
            <v>Sandi</v>
          </cell>
          <cell r="O184" t="e">
            <v>#N/A</v>
          </cell>
          <cell r="P184" t="str">
            <v>sudah</v>
          </cell>
        </row>
        <row r="185">
          <cell r="D185" t="str">
            <v>Pasirbaru</v>
          </cell>
          <cell r="E185" t="str">
            <v>CV. Mitra Jaya Mandiri</v>
          </cell>
          <cell r="F185">
            <v>4441806000</v>
          </cell>
          <cell r="G185" t="str">
            <v>Nodin PPK 2 Juni 2026</v>
          </cell>
          <cell r="I185" t="str">
            <v>Offline</v>
          </cell>
          <cell r="K185" t="str">
            <v>Proses Kontrak (Pokja)</v>
          </cell>
          <cell r="L185">
            <v>8156082166</v>
          </cell>
          <cell r="M185" t="str">
            <v>Sandi</v>
          </cell>
          <cell r="O185" t="e">
            <v>#N/A</v>
          </cell>
          <cell r="P185" t="str">
            <v>sudah</v>
          </cell>
        </row>
        <row r="186">
          <cell r="D186" t="str">
            <v>Sambiroto</v>
          </cell>
          <cell r="E186" t="str">
            <v>PT. Insan Pesona (Besar)</v>
          </cell>
          <cell r="F186">
            <v>0</v>
          </cell>
          <cell r="H186" t="str">
            <v>Pati</v>
          </cell>
          <cell r="I186" t="str">
            <v>Online</v>
          </cell>
          <cell r="L186">
            <v>82137429384</v>
          </cell>
          <cell r="M186" t="str">
            <v>haris</v>
          </cell>
          <cell r="O186" t="e">
            <v>#N/A</v>
          </cell>
          <cell r="P186">
            <v>0</v>
          </cell>
        </row>
        <row r="187">
          <cell r="D187" t="str">
            <v>Muara</v>
          </cell>
          <cell r="E187" t="str">
            <v>PT. Nayaka Mitrarenov Indotama</v>
          </cell>
          <cell r="F187">
            <v>2812523000</v>
          </cell>
          <cell r="G187" t="str">
            <v>Nodin PPK 2 Juni 2026</v>
          </cell>
          <cell r="H187" t="str">
            <v>Bandung</v>
          </cell>
          <cell r="I187" t="str">
            <v>Offline</v>
          </cell>
          <cell r="L187" t="str">
            <v>08128054680/bobi/ info@mitrarenov.com</v>
          </cell>
          <cell r="M187" t="str">
            <v>Arif Rah</v>
          </cell>
          <cell r="O187" t="e">
            <v>#N/A</v>
          </cell>
          <cell r="P187" t="str">
            <v>sudah</v>
          </cell>
        </row>
        <row r="188">
          <cell r="D188" t="str">
            <v>Banjarmasin</v>
          </cell>
          <cell r="E188" t="str">
            <v>CV. Masa Barokah</v>
          </cell>
          <cell r="F188">
            <v>0</v>
          </cell>
          <cell r="L188" t="str">
            <v>081212846377/eko</v>
          </cell>
          <cell r="M188" t="str">
            <v>TK ganti perusahaan kecil karena pagu dibawah 15 miliar</v>
          </cell>
          <cell r="O188" t="e">
            <v>#N/A</v>
          </cell>
          <cell r="P188" t="str">
            <v>tidak masuk pleno</v>
          </cell>
        </row>
        <row r="189">
          <cell r="D189" t="str">
            <v>Kertamukti</v>
          </cell>
          <cell r="E189" t="str">
            <v>PT. Amber Hasya</v>
          </cell>
          <cell r="F189">
            <v>2692679000</v>
          </cell>
          <cell r="G189" t="str">
            <v>Nodin PPK 2 Juni 2026</v>
          </cell>
          <cell r="H189" t="str">
            <v>Bandung</v>
          </cell>
          <cell r="I189" t="str">
            <v>Offline</v>
          </cell>
          <cell r="J189" t="str">
            <v>B.16202/DJPT.6/PI.420/PPK/VI/2026</v>
          </cell>
          <cell r="K189" t="str">
            <v>Kontrak</v>
          </cell>
          <cell r="M189" t="str">
            <v>Sandi</v>
          </cell>
          <cell r="O189" t="e">
            <v>#N/A</v>
          </cell>
          <cell r="P189" t="str">
            <v>sudah</v>
          </cell>
        </row>
        <row r="190">
          <cell r="D190" t="str">
            <v>Panimbangjaya</v>
          </cell>
          <cell r="E190" t="str">
            <v>PT. Amber Hasya</v>
          </cell>
          <cell r="F190">
            <v>2771581000</v>
          </cell>
          <cell r="G190" t="str">
            <v>Nodin PPK 2 Juni 2026</v>
          </cell>
          <cell r="H190" t="str">
            <v>Bandung</v>
          </cell>
          <cell r="I190" t="str">
            <v>Offline</v>
          </cell>
          <cell r="J190" t="str">
            <v>B.16202/DJPT.6/PI.420/PPK/VI/2026</v>
          </cell>
          <cell r="K190" t="str">
            <v>Kontrak</v>
          </cell>
          <cell r="M190" t="str">
            <v>Sandi</v>
          </cell>
          <cell r="O190" t="e">
            <v>#N/A</v>
          </cell>
          <cell r="P190" t="str">
            <v>sudah</v>
          </cell>
        </row>
        <row r="191">
          <cell r="D191" t="str">
            <v>Sumberjaya</v>
          </cell>
          <cell r="E191" t="str">
            <v>PT. Amber Hasya</v>
          </cell>
          <cell r="F191">
            <v>3121415000</v>
          </cell>
          <cell r="G191" t="str">
            <v>Nodin PPK 2 Juni 2026</v>
          </cell>
          <cell r="H191" t="str">
            <v>Bandung</v>
          </cell>
          <cell r="I191" t="str">
            <v>Offline</v>
          </cell>
          <cell r="J191" t="str">
            <v>B.16202/DJPT.6/PI.420/PPK/VI/2026</v>
          </cell>
          <cell r="K191" t="str">
            <v>Kontrak</v>
          </cell>
          <cell r="M191" t="str">
            <v>Sandi</v>
          </cell>
          <cell r="O191" t="e">
            <v>#N/A</v>
          </cell>
          <cell r="P191" t="str">
            <v>sudah</v>
          </cell>
        </row>
        <row r="192">
          <cell r="D192" t="str">
            <v>Ciparagejaya</v>
          </cell>
          <cell r="E192" t="str">
            <v>PT Medal Cipta Buana</v>
          </cell>
          <cell r="F192">
            <v>4045523000</v>
          </cell>
          <cell r="G192" t="str">
            <v>Nodin PPK 25 Mei 2026</v>
          </cell>
          <cell r="H192" t="str">
            <v>Bandung</v>
          </cell>
          <cell r="I192" t="str">
            <v>Offline</v>
          </cell>
          <cell r="J192" t="str">
            <v>B.16302/DJPT.6/PI.420/PPK/VI/2026</v>
          </cell>
          <cell r="K192" t="str">
            <v>SPPBJ</v>
          </cell>
          <cell r="M192" t="str">
            <v>Sandi</v>
          </cell>
          <cell r="N192" t="str">
            <v>tidak ada penyedia lokal yang memenuhi kualifikasi</v>
          </cell>
          <cell r="O192" t="e">
            <v>#N/A</v>
          </cell>
          <cell r="P192" t="str">
            <v>sudah</v>
          </cell>
        </row>
        <row r="193">
          <cell r="D193" t="str">
            <v>Sukakerta</v>
          </cell>
          <cell r="E193" t="str">
            <v>PT Medal Cipta Buana</v>
          </cell>
          <cell r="F193">
            <v>5038825000</v>
          </cell>
          <cell r="G193" t="str">
            <v>Nodin PPK 25 Mei 2026</v>
          </cell>
          <cell r="H193" t="str">
            <v>Bandung</v>
          </cell>
          <cell r="I193" t="str">
            <v>Offline</v>
          </cell>
          <cell r="J193" t="str">
            <v>B.16302/DJPT.6/PI.420/PPK/VI/2026</v>
          </cell>
          <cell r="K193" t="str">
            <v>SPPBJ</v>
          </cell>
          <cell r="M193" t="str">
            <v>Sandi</v>
          </cell>
          <cell r="N193" t="str">
            <v>tidak ada penyedia lokal yang memenuhi kualifikasi</v>
          </cell>
          <cell r="O193" t="e">
            <v>#N/A</v>
          </cell>
          <cell r="P193" t="str">
            <v>sudah</v>
          </cell>
        </row>
        <row r="194">
          <cell r="D194" t="str">
            <v>Sungaibuntu</v>
          </cell>
          <cell r="E194" t="str">
            <v>PT Medal Cipta Buana</v>
          </cell>
          <cell r="F194">
            <v>4682162000</v>
          </cell>
          <cell r="G194" t="str">
            <v>Nodin PPK 25 Mei 2026</v>
          </cell>
          <cell r="H194" t="str">
            <v>Bandung</v>
          </cell>
          <cell r="I194" t="str">
            <v>Offline</v>
          </cell>
          <cell r="J194" t="str">
            <v>B.16302/DJPT.6/PI.420/PPK/VI/2026</v>
          </cell>
          <cell r="K194" t="str">
            <v>SPPBJ</v>
          </cell>
          <cell r="M194" t="str">
            <v>Sandi</v>
          </cell>
          <cell r="N194" t="str">
            <v>tidak ada penyedia lokal yang memenuhi kualifikasi</v>
          </cell>
          <cell r="O194" t="e">
            <v>#N/A</v>
          </cell>
          <cell r="P194" t="str">
            <v>sudah</v>
          </cell>
        </row>
        <row r="195">
          <cell r="D195" t="str">
            <v>Citemu</v>
          </cell>
          <cell r="E195" t="str">
            <v>PT. Citra Mutiara Bangun Persada</v>
          </cell>
          <cell r="F195">
            <v>6353838000</v>
          </cell>
          <cell r="G195" t="str">
            <v>Nodin PPK 12 Juni 2026</v>
          </cell>
          <cell r="H195" t="str">
            <v>Bandung</v>
          </cell>
          <cell r="K195" t="str">
            <v>Proses Kontrak (Pokja)</v>
          </cell>
          <cell r="L195">
            <v>82116261526</v>
          </cell>
          <cell r="M195" t="str">
            <v>Sandi</v>
          </cell>
          <cell r="O195" t="e">
            <v>#N/A</v>
          </cell>
          <cell r="P195" t="str">
            <v>sudah</v>
          </cell>
        </row>
        <row r="196">
          <cell r="D196" t="str">
            <v>Mundu Pesisir</v>
          </cell>
          <cell r="E196" t="str">
            <v>PT. Citra Mutiara Bangun Persada</v>
          </cell>
          <cell r="F196">
            <v>4227542000</v>
          </cell>
          <cell r="G196" t="str">
            <v>Nodin PPK 12 Juni 2026</v>
          </cell>
          <cell r="H196" t="str">
            <v>Bandung</v>
          </cell>
          <cell r="K196" t="str">
            <v>Proses Kontrak (Pokja)</v>
          </cell>
          <cell r="L196">
            <v>82116261526</v>
          </cell>
          <cell r="M196" t="str">
            <v>Sandi</v>
          </cell>
          <cell r="O196" t="e">
            <v>#N/A</v>
          </cell>
          <cell r="P196" t="str">
            <v>sudah</v>
          </cell>
        </row>
        <row r="197">
          <cell r="D197" t="str">
            <v>Kesenden</v>
          </cell>
          <cell r="E197" t="str">
            <v>PT. Citra Mutiara Bangun Persada</v>
          </cell>
          <cell r="F197">
            <v>4080518000</v>
          </cell>
          <cell r="G197" t="str">
            <v>Nodin PPK 12 Juni 2026</v>
          </cell>
          <cell r="H197" t="str">
            <v>Bandung</v>
          </cell>
          <cell r="K197" t="str">
            <v>Proses Kontrak (Pokja)</v>
          </cell>
          <cell r="L197">
            <v>82116261526</v>
          </cell>
          <cell r="M197" t="str">
            <v>Sandi</v>
          </cell>
          <cell r="O197" t="e">
            <v>#N/A</v>
          </cell>
          <cell r="P197" t="str">
            <v>sudah</v>
          </cell>
        </row>
        <row r="198">
          <cell r="D198" t="str">
            <v>Ujunggenteng</v>
          </cell>
          <cell r="E198" t="str">
            <v>CV. Ardila</v>
          </cell>
          <cell r="F198" t="e">
            <v>#N/A</v>
          </cell>
          <cell r="L198">
            <v>85863200646</v>
          </cell>
          <cell r="M198" t="str">
            <v>Dedd</v>
          </cell>
          <cell r="N198" t="str">
            <v>ardilla</v>
          </cell>
          <cell r="O198" t="e">
            <v>#N/A</v>
          </cell>
          <cell r="P198" t="str">
            <v>sudah</v>
          </cell>
        </row>
        <row r="199">
          <cell r="D199" t="str">
            <v>Branta Tinggi</v>
          </cell>
          <cell r="E199" t="str">
            <v>CV. Rizky Ilahi</v>
          </cell>
          <cell r="F199">
            <v>2832310000</v>
          </cell>
          <cell r="G199" t="str">
            <v>Nodin PPK 3 Juni 2026</v>
          </cell>
          <cell r="H199" t="str">
            <v>Sumenep (kecil)</v>
          </cell>
          <cell r="K199" t="str">
            <v>Proses Kontrak (Pokja)</v>
          </cell>
          <cell r="L199" t="str">
            <v>082338876876/sufianto</v>
          </cell>
          <cell r="M199" t="str">
            <v>Put</v>
          </cell>
          <cell r="O199" t="e">
            <v>#N/A</v>
          </cell>
          <cell r="P199" t="str">
            <v>sudah</v>
          </cell>
        </row>
        <row r="200">
          <cell r="D200" t="str">
            <v>Lesong Daja</v>
          </cell>
          <cell r="E200" t="str">
            <v>CV. Lancar Jaya Karya Abadi</v>
          </cell>
          <cell r="F200">
            <v>2822807000</v>
          </cell>
          <cell r="L200" t="str">
            <v>087850593929/wawan</v>
          </cell>
          <cell r="M200" t="str">
            <v>Put - ganti penyedia skala kecil</v>
          </cell>
          <cell r="O200" t="e">
            <v>#N/A</v>
          </cell>
          <cell r="P200" t="str">
            <v>sudah</v>
          </cell>
        </row>
        <row r="201">
          <cell r="D201" t="str">
            <v>Padelegan</v>
          </cell>
          <cell r="E201" t="str">
            <v>PT. Ombulindo Multi Karya</v>
          </cell>
          <cell r="F201">
            <v>2783933000</v>
          </cell>
          <cell r="G201" t="str">
            <v>Nodin PPK 3 Juni 2026</v>
          </cell>
          <cell r="K201" t="str">
            <v>Proses Kontrak (Pokja)</v>
          </cell>
          <cell r="L201" t="str">
            <v>087850260088/salim</v>
          </cell>
          <cell r="M201" t="str">
            <v>Put</v>
          </cell>
          <cell r="O201" t="e">
            <v>#N/A</v>
          </cell>
          <cell r="P201" t="str">
            <v>sudah</v>
          </cell>
        </row>
        <row r="202">
          <cell r="D202" t="str">
            <v>Sotabar</v>
          </cell>
          <cell r="E202" t="str">
            <v>PT. Elang Mas Berdikari</v>
          </cell>
          <cell r="F202">
            <v>0</v>
          </cell>
          <cell r="I202" t="str">
            <v>Offline</v>
          </cell>
          <cell r="L202" t="str">
            <v>085203533456/jibo</v>
          </cell>
          <cell r="M202" t="str">
            <v>g</v>
          </cell>
          <cell r="O202" t="e">
            <v>#N/A</v>
          </cell>
          <cell r="P202" t="str">
            <v>tidak ada lokasi</v>
          </cell>
        </row>
        <row r="203">
          <cell r="D203" t="str">
            <v>Tamberu</v>
          </cell>
          <cell r="E203" t="str">
            <v>PT. Elang Mas Berdikari</v>
          </cell>
          <cell r="F203">
            <v>0</v>
          </cell>
          <cell r="I203" t="str">
            <v>Offline</v>
          </cell>
          <cell r="L203" t="str">
            <v>085203533456/jibo</v>
          </cell>
          <cell r="M203" t="str">
            <v>g</v>
          </cell>
          <cell r="O203" t="e">
            <v>#N/A</v>
          </cell>
          <cell r="P203" t="str">
            <v>tidak ada lokasi</v>
          </cell>
        </row>
        <row r="204">
          <cell r="D204" t="str">
            <v>Bira Tengah</v>
          </cell>
          <cell r="E204" t="str">
            <v>CV. Kometro Mega Solusi</v>
          </cell>
          <cell r="F204">
            <v>0</v>
          </cell>
          <cell r="G204" t="str">
            <v>Nodin PPK 3 Juni 2026</v>
          </cell>
          <cell r="H204" t="str">
            <v>Sampang (kecil)</v>
          </cell>
          <cell r="I204" t="str">
            <v>Online</v>
          </cell>
          <cell r="K204" t="str">
            <v>SPPBJ</v>
          </cell>
          <cell r="L204" t="str">
            <v>081287997779/gina</v>
          </cell>
          <cell r="O204" t="e">
            <v>#N/A</v>
          </cell>
          <cell r="P204" t="str">
            <v>sudah</v>
          </cell>
        </row>
        <row r="205">
          <cell r="D205" t="str">
            <v>Dharma Camplong</v>
          </cell>
          <cell r="E205" t="str">
            <v>PT. Ridho Karya</v>
          </cell>
          <cell r="F205">
            <v>3454266000</v>
          </cell>
          <cell r="G205" t="str">
            <v>Nodin PPK 3 Juni 2026</v>
          </cell>
          <cell r="J205" t="str">
            <v>B.16304/DJPT.6/PI.420/PPK/VI/2026</v>
          </cell>
          <cell r="K205" t="str">
            <v>Proses Kontrak (Pokja)</v>
          </cell>
          <cell r="O205" t="e">
            <v>#N/A</v>
          </cell>
          <cell r="P205" t="str">
            <v>sudah</v>
          </cell>
        </row>
        <row r="206">
          <cell r="D206" t="str">
            <v>Ambunten Tengah</v>
          </cell>
          <cell r="E206" t="str">
            <v>CV. Nur Buana</v>
          </cell>
          <cell r="F206">
            <v>0</v>
          </cell>
          <cell r="L206" t="str">
            <v>82302408223/suriaydi</v>
          </cell>
          <cell r="M206" t="str">
            <v>put</v>
          </cell>
          <cell r="O206" t="e">
            <v>#N/A</v>
          </cell>
          <cell r="P206" t="str">
            <v>sudah</v>
          </cell>
        </row>
        <row r="207">
          <cell r="D207" t="str">
            <v>Bancamara</v>
          </cell>
          <cell r="E207" t="str">
            <v>CV. Nur Buana</v>
          </cell>
          <cell r="F207">
            <v>0</v>
          </cell>
          <cell r="H207" t="str">
            <v>Surabaya</v>
          </cell>
          <cell r="I207" t="str">
            <v>Online</v>
          </cell>
          <cell r="L207" t="str">
            <v>82302408223/suriaydi</v>
          </cell>
          <cell r="M207" t="str">
            <v>Put</v>
          </cell>
          <cell r="O207" t="e">
            <v>#N/A</v>
          </cell>
          <cell r="P207" t="str">
            <v>sudah</v>
          </cell>
        </row>
        <row r="208">
          <cell r="D208" t="str">
            <v>Gedugan</v>
          </cell>
          <cell r="E208" t="str">
            <v>CV. Nabiha Perkasa</v>
          </cell>
          <cell r="F208">
            <v>0</v>
          </cell>
          <cell r="I208" t="str">
            <v>Offline</v>
          </cell>
          <cell r="L208" t="str">
            <v>082337628369/agus</v>
          </cell>
          <cell r="M208" t="str">
            <v>p</v>
          </cell>
          <cell r="O208" t="e">
            <v>#N/A</v>
          </cell>
          <cell r="P208" t="str">
            <v>sudah</v>
          </cell>
        </row>
        <row r="209">
          <cell r="D209" t="str">
            <v>Kramian</v>
          </cell>
          <cell r="E209" t="str">
            <v>CV. Kometro Mega Solusi</v>
          </cell>
          <cell r="F209">
            <v>0</v>
          </cell>
          <cell r="L209" t="str">
            <v>081287997779/gina</v>
          </cell>
          <cell r="M209" t="str">
            <v>g</v>
          </cell>
          <cell r="O209" t="e">
            <v>#N/A</v>
          </cell>
          <cell r="P209" t="str">
            <v>sudah</v>
          </cell>
        </row>
        <row r="210">
          <cell r="D210" t="str">
            <v>Pasongsongan</v>
          </cell>
          <cell r="E210" t="str">
            <v>CV. Lancar Jaya Karya Abadi</v>
          </cell>
          <cell r="F210">
            <v>2279531000</v>
          </cell>
          <cell r="G210" t="str">
            <v>Nodin PPK 3 Juni 2026</v>
          </cell>
          <cell r="H210" t="str">
            <v>Banten</v>
          </cell>
          <cell r="I210" t="str">
            <v>Offline</v>
          </cell>
          <cell r="K210" t="str">
            <v>Proses Kontrak (Pokja)</v>
          </cell>
          <cell r="L210" t="str">
            <v>087850593929/wawan</v>
          </cell>
          <cell r="M210" t="str">
            <v>put - diganti penyedia</v>
          </cell>
          <cell r="O210" t="e">
            <v>#N/A</v>
          </cell>
          <cell r="P210" t="str">
            <v>sudah</v>
          </cell>
        </row>
        <row r="211">
          <cell r="D211" t="str">
            <v>Slopeng</v>
          </cell>
          <cell r="E211" t="str">
            <v>CV. Lancar Jaya Karya Abadi</v>
          </cell>
          <cell r="F211">
            <v>3167566000</v>
          </cell>
          <cell r="I211" t="str">
            <v>Online</v>
          </cell>
          <cell r="L211" t="str">
            <v>087850593929/wawan</v>
          </cell>
          <cell r="M211" t="str">
            <v>put - diganti penyedia</v>
          </cell>
          <cell r="O211" t="e">
            <v>#N/A</v>
          </cell>
          <cell r="P211" t="str">
            <v>sudah</v>
          </cell>
        </row>
        <row r="212">
          <cell r="D212" t="str">
            <v>Dekatagung</v>
          </cell>
          <cell r="E212" t="str">
            <v>CV. Berkah Karya Makmur Sentosa</v>
          </cell>
          <cell r="F212">
            <v>0</v>
          </cell>
          <cell r="L212" t="str">
            <v>085847201292/dodon</v>
          </cell>
          <cell r="M212" t="str">
            <v>g</v>
          </cell>
          <cell r="O212" t="e">
            <v>#N/A</v>
          </cell>
          <cell r="P212" t="str">
            <v>drop sosek</v>
          </cell>
        </row>
        <row r="213">
          <cell r="D213" t="str">
            <v>Sidogedungbatu</v>
          </cell>
          <cell r="E213" t="str">
            <v>CV. Sinar Surya</v>
          </cell>
          <cell r="F213">
            <v>0</v>
          </cell>
          <cell r="L213" t="str">
            <v>081358154982/salim</v>
          </cell>
          <cell r="M213" t="str">
            <v>Rid-Riki</v>
          </cell>
          <cell r="O213" t="e">
            <v>#N/A</v>
          </cell>
          <cell r="P213" t="str">
            <v>sudah</v>
          </cell>
        </row>
        <row r="214">
          <cell r="D214" t="str">
            <v>Dualaus</v>
          </cell>
          <cell r="E214" t="str">
            <v>CV. Jasa Mandiri Bersama</v>
          </cell>
          <cell r="F214">
            <v>7342100000</v>
          </cell>
          <cell r="H214" t="str">
            <v>Banyuwangi</v>
          </cell>
          <cell r="I214" t="str">
            <v>Online</v>
          </cell>
          <cell r="L214" t="str">
            <v>083836843683/zulham/cvjasamandiribersama32@gmail.com</v>
          </cell>
          <cell r="M214" t="str">
            <v>Dedd</v>
          </cell>
          <cell r="O214" t="e">
            <v>#N/A</v>
          </cell>
          <cell r="P214">
            <v>0</v>
          </cell>
        </row>
        <row r="215">
          <cell r="D215" t="str">
            <v>Humusu Wini</v>
          </cell>
          <cell r="E215" t="str">
            <v>PT. Mega Karya Sentralindo (Kecil/Menengah)</v>
          </cell>
          <cell r="F215">
            <v>3214500000</v>
          </cell>
          <cell r="H215" t="str">
            <v>Jakarta</v>
          </cell>
          <cell r="I215" t="str">
            <v>Online</v>
          </cell>
          <cell r="L215" t="str">
            <v>0811417877/gerard</v>
          </cell>
          <cell r="M215" t="str">
            <v>aboe bakar - ganti perusahaan skala kecil</v>
          </cell>
          <cell r="O215" t="e">
            <v>#N/A</v>
          </cell>
          <cell r="P215">
            <v>0</v>
          </cell>
        </row>
        <row r="216">
          <cell r="D216" t="str">
            <v>Tuamese</v>
          </cell>
          <cell r="E216" t="str">
            <v>PT. Mega Karya Sentralindo (Kecil/Menengah)</v>
          </cell>
          <cell r="F216">
            <v>0</v>
          </cell>
          <cell r="L216" t="str">
            <v>0811417877/gerard</v>
          </cell>
          <cell r="M216" t="str">
            <v>aboe bakar - ganti perusahaan skala kecil</v>
          </cell>
          <cell r="O216" t="e">
            <v>#N/A</v>
          </cell>
          <cell r="P216">
            <v>0</v>
          </cell>
        </row>
        <row r="217">
          <cell r="D217" t="str">
            <v>Kekatang</v>
          </cell>
          <cell r="E217" t="str">
            <v>PT. Baragalu Tias Jaya</v>
          </cell>
          <cell r="F217">
            <v>6587206000</v>
          </cell>
          <cell r="L217" t="str">
            <v>087701777887/082338377289/bambang harianto</v>
          </cell>
          <cell r="M217" t="str">
            <v>Riki</v>
          </cell>
          <cell r="O217" t="e">
            <v>#N/A</v>
          </cell>
          <cell r="P217">
            <v>0</v>
          </cell>
        </row>
        <row r="218">
          <cell r="D218" t="str">
            <v>Sukarame</v>
          </cell>
          <cell r="E218" t="str">
            <v>PT. Baragalu Tias Jaya</v>
          </cell>
          <cell r="F218">
            <v>4123000000</v>
          </cell>
          <cell r="L218" t="str">
            <v>087701777887/082338377289/bambang harianto</v>
          </cell>
          <cell r="M218" t="str">
            <v>Riki</v>
          </cell>
          <cell r="O218" t="e">
            <v>#N/A</v>
          </cell>
          <cell r="P218">
            <v>0</v>
          </cell>
        </row>
        <row r="219">
          <cell r="D219" t="str">
            <v>Penyandingan</v>
          </cell>
          <cell r="E219" t="str">
            <v>PT. Baragalu Tias Jaya</v>
          </cell>
          <cell r="F219">
            <v>4123000000</v>
          </cell>
          <cell r="L219" t="str">
            <v>087701777887/082338377289/bambang harianto</v>
          </cell>
          <cell r="M219" t="str">
            <v>Riki</v>
          </cell>
          <cell r="O219" t="e">
            <v>#N/A</v>
          </cell>
          <cell r="P219">
            <v>0</v>
          </cell>
        </row>
        <row r="220">
          <cell r="D220" t="str">
            <v>Pemongkong</v>
          </cell>
          <cell r="E220" t="str">
            <v>PT. Asuka Engineering Indonesia</v>
          </cell>
          <cell r="F220">
            <v>3214500000</v>
          </cell>
          <cell r="L220" t="str">
            <v>081358005070/efendi</v>
          </cell>
          <cell r="M220" t="str">
            <v>g</v>
          </cell>
          <cell r="O220" t="e">
            <v>#N/A</v>
          </cell>
          <cell r="P220">
            <v>0</v>
          </cell>
        </row>
        <row r="221">
          <cell r="D221" t="str">
            <v>Tanjung Luar</v>
          </cell>
          <cell r="E221" t="str">
            <v>PT. Asuka Engineering Indonesia</v>
          </cell>
          <cell r="F221">
            <v>4678000000</v>
          </cell>
          <cell r="H221" t="str">
            <v>Lombok Timur</v>
          </cell>
          <cell r="I221" t="str">
            <v>Online</v>
          </cell>
          <cell r="L221" t="str">
            <v>081358005070/efendi</v>
          </cell>
          <cell r="M221" t="str">
            <v>g</v>
          </cell>
          <cell r="O221" t="e">
            <v>#N/A</v>
          </cell>
          <cell r="P221">
            <v>0</v>
          </cell>
        </row>
        <row r="222">
          <cell r="D222" t="str">
            <v>Wasampela</v>
          </cell>
          <cell r="E222" t="str">
            <v>CV. Syafiqah Sabil Abadi</v>
          </cell>
          <cell r="F222">
            <v>0</v>
          </cell>
          <cell r="I222" t="str">
            <v>Online</v>
          </cell>
          <cell r="L222" t="str">
            <v>081330034374/nasrudin</v>
          </cell>
          <cell r="M222" t="str">
            <v>Gal Fauzi Dpr</v>
          </cell>
          <cell r="O222" t="e">
            <v>#N/A</v>
          </cell>
          <cell r="P222" t="str">
            <v>sudah</v>
          </cell>
        </row>
        <row r="223">
          <cell r="D223" t="str">
            <v>Bahari Dua</v>
          </cell>
          <cell r="E223" t="str">
            <v>First Grand Synergy Indonesia</v>
          </cell>
          <cell r="F223">
            <v>3521058000</v>
          </cell>
          <cell r="G223" t="str">
            <v>Nodin PPK 11 Juni 2026</v>
          </cell>
          <cell r="K223" t="str">
            <v>Proses Kontrak (Pokja)</v>
          </cell>
          <cell r="L223" t="str">
            <v>0811377002/firman ahmad</v>
          </cell>
          <cell r="M223" t="str">
            <v>Put - Wirabaya direkomendasikan diganti karena ada urusan masyarakat lokal</v>
          </cell>
          <cell r="O223" t="e">
            <v>#N/A</v>
          </cell>
          <cell r="P223" t="str">
            <v>sudah</v>
          </cell>
        </row>
        <row r="224">
          <cell r="D224" t="str">
            <v>Gaya Baru</v>
          </cell>
          <cell r="E224" t="str">
            <v>CV. Syafiqah Sabil Abadi</v>
          </cell>
          <cell r="F224">
            <v>4886781000</v>
          </cell>
          <cell r="I224" t="str">
            <v>Online</v>
          </cell>
          <cell r="L224" t="str">
            <v>081330034374/nasrudin</v>
          </cell>
          <cell r="M224" t="str">
            <v>Gal Fauzi Dpr</v>
          </cell>
          <cell r="O224" t="e">
            <v>#N/A</v>
          </cell>
          <cell r="P224" t="str">
            <v>sudah</v>
          </cell>
        </row>
        <row r="225">
          <cell r="D225" t="str">
            <v>Lamaninggara</v>
          </cell>
          <cell r="E225" t="str">
            <v>First Grand Synergy Indonesia</v>
          </cell>
          <cell r="F225">
            <v>4550394000</v>
          </cell>
          <cell r="G225" t="str">
            <v>Nodin PPK 11 Juni 2026</v>
          </cell>
          <cell r="K225" t="str">
            <v>Proses Kontrak (Pokja)</v>
          </cell>
          <cell r="L225" t="str">
            <v>0811377002/firman ahmad</v>
          </cell>
          <cell r="M225" t="str">
            <v>Put - Wirabaya direkomendasikan diganti karena ada urusan masyarakat lokal</v>
          </cell>
          <cell r="O225" t="e">
            <v>#N/A</v>
          </cell>
          <cell r="P225" t="str">
            <v>sudah</v>
          </cell>
        </row>
        <row r="226">
          <cell r="D226" t="str">
            <v>Geser</v>
          </cell>
          <cell r="F226">
            <v>0</v>
          </cell>
          <cell r="O226" t="e">
            <v>#N/A</v>
          </cell>
          <cell r="P226">
            <v>0</v>
          </cell>
        </row>
        <row r="227">
          <cell r="D227" t="str">
            <v>Kellu</v>
          </cell>
          <cell r="F227">
            <v>0</v>
          </cell>
          <cell r="O227" t="e">
            <v>#N/A</v>
          </cell>
          <cell r="P227">
            <v>0</v>
          </cell>
        </row>
        <row r="228">
          <cell r="D228" t="str">
            <v>Kilfura</v>
          </cell>
          <cell r="F228">
            <v>0</v>
          </cell>
          <cell r="O228" t="e">
            <v>#N/A</v>
          </cell>
          <cell r="P228">
            <v>0</v>
          </cell>
        </row>
        <row r="229">
          <cell r="D229" t="str">
            <v>Kilwaru</v>
          </cell>
          <cell r="F229">
            <v>0</v>
          </cell>
          <cell r="O229" t="e">
            <v>#N/A</v>
          </cell>
          <cell r="P229">
            <v>0</v>
          </cell>
        </row>
        <row r="230">
          <cell r="D230" t="str">
            <v>Kwamor Kecil Mata Wawa</v>
          </cell>
          <cell r="F230">
            <v>0</v>
          </cell>
          <cell r="O230" t="e">
            <v>#N/A</v>
          </cell>
          <cell r="P230">
            <v>0</v>
          </cell>
        </row>
        <row r="231">
          <cell r="D231" t="str">
            <v>Bhontu-Bhontu</v>
          </cell>
          <cell r="E231" t="str">
            <v>CV. NISCALA INDO RAYA</v>
          </cell>
          <cell r="F231">
            <v>4500000000</v>
          </cell>
          <cell r="H231" t="str">
            <v>Muna</v>
          </cell>
          <cell r="I231" t="str">
            <v>Online</v>
          </cell>
          <cell r="L231">
            <v>82130000611</v>
          </cell>
          <cell r="M231" t="str">
            <v>Hyl</v>
          </cell>
          <cell r="O231" t="e">
            <v>#N/A</v>
          </cell>
          <cell r="P231" t="str">
            <v>sudah</v>
          </cell>
        </row>
        <row r="232">
          <cell r="D232" t="str">
            <v>Labone</v>
          </cell>
          <cell r="E232" t="str">
            <v>CV. NISCALA INDO RAYA</v>
          </cell>
          <cell r="F232">
            <v>4500000000</v>
          </cell>
          <cell r="H232" t="str">
            <v>Muna</v>
          </cell>
          <cell r="I232" t="str">
            <v>Online</v>
          </cell>
          <cell r="L232">
            <v>82130000611</v>
          </cell>
          <cell r="M232" t="str">
            <v>Hyl</v>
          </cell>
          <cell r="O232" t="str">
            <v>CV. NISCALA INDO RAYA</v>
          </cell>
          <cell r="P232" t="str">
            <v>sudah</v>
          </cell>
        </row>
        <row r="233">
          <cell r="D233" t="str">
            <v>Napabalano</v>
          </cell>
          <cell r="E233" t="str">
            <v>CV. Astaka Karya</v>
          </cell>
          <cell r="F233">
            <v>4500000000</v>
          </cell>
          <cell r="L233">
            <v>82198335346</v>
          </cell>
          <cell r="M233" t="str">
            <v>Jaelani</v>
          </cell>
          <cell r="O233" t="e">
            <v>#N/A</v>
          </cell>
          <cell r="P233" t="str">
            <v>sudah</v>
          </cell>
        </row>
        <row r="234">
          <cell r="D234" t="str">
            <v>Wangkolabu</v>
          </cell>
          <cell r="E234" t="str">
            <v>CV. NISCALA INDO RAYA</v>
          </cell>
          <cell r="F234">
            <v>4500000000</v>
          </cell>
          <cell r="H234" t="str">
            <v>Muna</v>
          </cell>
          <cell r="I234" t="str">
            <v>Online</v>
          </cell>
          <cell r="L234">
            <v>82130000611</v>
          </cell>
          <cell r="M234" t="str">
            <v>Hyl</v>
          </cell>
          <cell r="O234" t="e">
            <v>#N/A</v>
          </cell>
          <cell r="P234" t="str">
            <v>sudah</v>
          </cell>
        </row>
        <row r="235">
          <cell r="D235" t="str">
            <v>Haya</v>
          </cell>
          <cell r="F235">
            <v>0</v>
          </cell>
          <cell r="O235" t="e">
            <v>#N/A</v>
          </cell>
          <cell r="P235">
            <v>0</v>
          </cell>
        </row>
        <row r="236">
          <cell r="D236" t="str">
            <v>Hu'U</v>
          </cell>
          <cell r="E236" t="str">
            <v>PT. Daffa Buana Sakti (Menengah)</v>
          </cell>
          <cell r="F236">
            <v>3214500000</v>
          </cell>
          <cell r="I236" t="str">
            <v>Online</v>
          </cell>
          <cell r="L236" t="str">
            <v>081370515855/azi</v>
          </cell>
          <cell r="M236" t="str">
            <v>Dedd</v>
          </cell>
          <cell r="O236" t="e">
            <v>#N/A</v>
          </cell>
          <cell r="P236">
            <v>0</v>
          </cell>
        </row>
        <row r="237">
          <cell r="D237" t="str">
            <v>Asilulu</v>
          </cell>
          <cell r="F237">
            <v>0</v>
          </cell>
          <cell r="O237" t="e">
            <v>#N/A</v>
          </cell>
          <cell r="P237">
            <v>0</v>
          </cell>
        </row>
        <row r="238">
          <cell r="D238" t="str">
            <v>Iha</v>
          </cell>
          <cell r="F238">
            <v>0</v>
          </cell>
          <cell r="O238" t="e">
            <v>#N/A</v>
          </cell>
          <cell r="P238">
            <v>0</v>
          </cell>
        </row>
        <row r="239">
          <cell r="D239" t="str">
            <v>Kaibobo</v>
          </cell>
          <cell r="F239">
            <v>0</v>
          </cell>
          <cell r="O239" t="e">
            <v>#N/A</v>
          </cell>
          <cell r="P239">
            <v>0</v>
          </cell>
        </row>
        <row r="240">
          <cell r="D240" t="str">
            <v>Tahalupu</v>
          </cell>
          <cell r="F240">
            <v>0</v>
          </cell>
          <cell r="O240" t="e">
            <v>#N/A</v>
          </cell>
          <cell r="P240">
            <v>0</v>
          </cell>
        </row>
        <row r="241">
          <cell r="D241" t="str">
            <v>Waesala</v>
          </cell>
          <cell r="F241">
            <v>0</v>
          </cell>
          <cell r="O241" t="e">
            <v>#N/A</v>
          </cell>
          <cell r="P241">
            <v>0</v>
          </cell>
        </row>
        <row r="242">
          <cell r="D242" t="str">
            <v>Sawarna</v>
          </cell>
          <cell r="E242" t="str">
            <v>PT. Amber Hasya</v>
          </cell>
          <cell r="F242">
            <v>3043921000</v>
          </cell>
          <cell r="G242" t="str">
            <v>Nodin PPK 2 Juni 2026</v>
          </cell>
          <cell r="H242" t="str">
            <v>Bandung</v>
          </cell>
          <cell r="I242" t="str">
            <v>Offline</v>
          </cell>
          <cell r="J242" t="str">
            <v>B.16202/DJPT.6/PI.420/PPK/VI/2026</v>
          </cell>
          <cell r="K242" t="str">
            <v>Kontrak</v>
          </cell>
          <cell r="M242" t="str">
            <v>Sandi</v>
          </cell>
          <cell r="O242" t="e">
            <v>#N/A</v>
          </cell>
          <cell r="P242" t="str">
            <v>sudah</v>
          </cell>
        </row>
        <row r="243">
          <cell r="D243" t="str">
            <v>Cijayana</v>
          </cell>
          <cell r="E243" t="str">
            <v>PT. Putra Ogan Cemerlang</v>
          </cell>
          <cell r="F243">
            <v>3919720000</v>
          </cell>
          <cell r="G243" t="str">
            <v>Nodin PPK 8 Juni 2026</v>
          </cell>
          <cell r="K243" t="str">
            <v>Proses Kontrak (Pokja)</v>
          </cell>
          <cell r="L243">
            <v>87891060224</v>
          </cell>
          <cell r="O243" t="e">
            <v>#N/A</v>
          </cell>
          <cell r="P243" t="str">
            <v>sudah</v>
          </cell>
        </row>
        <row r="244">
          <cell r="D244" t="str">
            <v>Indralayang</v>
          </cell>
          <cell r="E244" t="str">
            <v>PT. Putra Ogan Cemerlang</v>
          </cell>
          <cell r="F244">
            <v>6333020000</v>
          </cell>
          <cell r="G244" t="str">
            <v>Nodin PPK 8 Juni 2026</v>
          </cell>
          <cell r="K244" t="str">
            <v>Proses Kontrak (Pokja)</v>
          </cell>
          <cell r="L244">
            <v>87891060224</v>
          </cell>
          <cell r="O244" t="e">
            <v>#N/A</v>
          </cell>
          <cell r="P244" t="str">
            <v>sudah</v>
          </cell>
        </row>
        <row r="245">
          <cell r="D245" t="str">
            <v>Pamalayan</v>
          </cell>
          <cell r="E245" t="str">
            <v>tidak ada lahan</v>
          </cell>
          <cell r="F245">
            <v>2314000000</v>
          </cell>
          <cell r="H245" t="str">
            <v>Tidak ada lahan</v>
          </cell>
          <cell r="O245" t="e">
            <v>#N/A</v>
          </cell>
          <cell r="P245">
            <v>0</v>
          </cell>
        </row>
        <row r="246">
          <cell r="D246" t="str">
            <v>Jambu</v>
          </cell>
          <cell r="E246" t="str">
            <v>PT. Daffa Buana Sakti (Menengah)</v>
          </cell>
          <cell r="F246">
            <v>3214500000</v>
          </cell>
          <cell r="I246" t="str">
            <v>Online</v>
          </cell>
          <cell r="L246" t="str">
            <v>081370515855/azi</v>
          </cell>
          <cell r="M246" t="str">
            <v>Dedd</v>
          </cell>
          <cell r="O246" t="e">
            <v>#N/A</v>
          </cell>
          <cell r="P246">
            <v>0</v>
          </cell>
        </row>
        <row r="247">
          <cell r="D247" t="str">
            <v>Jetak</v>
          </cell>
          <cell r="E247" t="str">
            <v>PT. Gora Cipta Sarana</v>
          </cell>
          <cell r="F247">
            <v>2314000000</v>
          </cell>
          <cell r="H247" t="str">
            <v>Jakarta (kecil)</v>
          </cell>
          <cell r="I247" t="str">
            <v>Offline</v>
          </cell>
          <cell r="L247">
            <v>87871961997</v>
          </cell>
          <cell r="M247" t="str">
            <v>87871961997 minta narahubung</v>
          </cell>
          <cell r="O247" t="e">
            <v>#N/A</v>
          </cell>
          <cell r="P247" t="str">
            <v>sudah</v>
          </cell>
        </row>
        <row r="248">
          <cell r="D248" t="str">
            <v>Klesem</v>
          </cell>
          <cell r="E248" t="str">
            <v>CV. Sinar Surya</v>
          </cell>
          <cell r="F248">
            <v>2314000000</v>
          </cell>
          <cell r="L248" t="str">
            <v>081358154982/salim</v>
          </cell>
          <cell r="M248" t="str">
            <v>Rid-Riki</v>
          </cell>
          <cell r="O248" t="e">
            <v>#N/A</v>
          </cell>
          <cell r="P248" t="str">
            <v>sudah</v>
          </cell>
        </row>
        <row r="249">
          <cell r="D249" t="str">
            <v>Kabir</v>
          </cell>
          <cell r="E249" t="str">
            <v>PT. Rute Lintas Indonesia</v>
          </cell>
          <cell r="F249">
            <v>7342100000</v>
          </cell>
          <cell r="O249" t="e">
            <v>#N/A</v>
          </cell>
          <cell r="P249">
            <v>0</v>
          </cell>
        </row>
        <row r="250">
          <cell r="D250" t="str">
            <v>Kabola</v>
          </cell>
          <cell r="E250" t="str">
            <v>PT. Rute Lintas Indonesia</v>
          </cell>
          <cell r="F250">
            <v>3214500000</v>
          </cell>
          <cell r="O250" t="e">
            <v>#N/A</v>
          </cell>
          <cell r="P250">
            <v>0</v>
          </cell>
        </row>
        <row r="251">
          <cell r="D251" t="str">
            <v>Bajo</v>
          </cell>
          <cell r="E251" t="str">
            <v>CV. Lasinrang Jaya Perkasa</v>
          </cell>
          <cell r="F251">
            <v>0</v>
          </cell>
          <cell r="H251" t="str">
            <v>Makassar</v>
          </cell>
          <cell r="I251" t="str">
            <v>Online</v>
          </cell>
          <cell r="L251">
            <v>82335790038</v>
          </cell>
          <cell r="M251" t="str">
            <v>Pangu</v>
          </cell>
          <cell r="O251">
            <v>0</v>
          </cell>
          <cell r="P251">
            <v>0</v>
          </cell>
        </row>
        <row r="252">
          <cell r="D252" t="str">
            <v>Balalon</v>
          </cell>
          <cell r="E252" t="str">
            <v>CV. Lasinrang Jaya Perkasa</v>
          </cell>
          <cell r="F252">
            <v>4500000000</v>
          </cell>
          <cell r="H252" t="str">
            <v>Makassar</v>
          </cell>
          <cell r="I252" t="str">
            <v>Online</v>
          </cell>
          <cell r="L252">
            <v>82335790038</v>
          </cell>
          <cell r="M252" t="str">
            <v>Pangu</v>
          </cell>
          <cell r="O252" t="e">
            <v>#N/A</v>
          </cell>
          <cell r="P252">
            <v>0</v>
          </cell>
        </row>
        <row r="253">
          <cell r="D253" t="str">
            <v>Patukuki</v>
          </cell>
          <cell r="E253" t="str">
            <v>CV. Lasinrang Jaya Perkasa</v>
          </cell>
          <cell r="F253">
            <v>8231000000</v>
          </cell>
          <cell r="H253" t="str">
            <v>Makassar</v>
          </cell>
          <cell r="I253" t="str">
            <v>Online</v>
          </cell>
          <cell r="L253">
            <v>82335790038</v>
          </cell>
          <cell r="M253" t="str">
            <v>Pangu</v>
          </cell>
          <cell r="O253" t="e">
            <v>#N/A</v>
          </cell>
          <cell r="P253">
            <v>0</v>
          </cell>
        </row>
        <row r="254">
          <cell r="D254" t="str">
            <v>Kamatubun</v>
          </cell>
          <cell r="F254">
            <v>0</v>
          </cell>
          <cell r="O254" t="e">
            <v>#N/A</v>
          </cell>
          <cell r="P254">
            <v>0</v>
          </cell>
        </row>
        <row r="255">
          <cell r="D255" t="str">
            <v>Latdalam</v>
          </cell>
          <cell r="F255">
            <v>0</v>
          </cell>
          <cell r="O255" t="e">
            <v>#N/A</v>
          </cell>
          <cell r="P255">
            <v>0</v>
          </cell>
        </row>
        <row r="256">
          <cell r="D256" t="str">
            <v>Makatian</v>
          </cell>
          <cell r="F256">
            <v>0</v>
          </cell>
          <cell r="O256" t="e">
            <v>#N/A</v>
          </cell>
          <cell r="P256">
            <v>0</v>
          </cell>
        </row>
        <row r="257">
          <cell r="D257" t="str">
            <v>Matakus</v>
          </cell>
          <cell r="F257">
            <v>0</v>
          </cell>
          <cell r="O257" t="e">
            <v>#N/A</v>
          </cell>
          <cell r="P257">
            <v>0</v>
          </cell>
        </row>
        <row r="258">
          <cell r="D258" t="str">
            <v>Karama</v>
          </cell>
          <cell r="E258" t="str">
            <v>PT. Daffa Buana Sakti (Menengah)</v>
          </cell>
          <cell r="F258">
            <v>3214500000</v>
          </cell>
          <cell r="I258" t="str">
            <v>Online</v>
          </cell>
          <cell r="L258" t="str">
            <v>081370515855/azi</v>
          </cell>
          <cell r="M258" t="str">
            <v>Dedd</v>
          </cell>
          <cell r="O258" t="e">
            <v>#N/A</v>
          </cell>
          <cell r="P258">
            <v>0</v>
          </cell>
        </row>
        <row r="259">
          <cell r="D259" t="str">
            <v>Jetis</v>
          </cell>
          <cell r="E259" t="str">
            <v>PT. AMI Kamena Jaya</v>
          </cell>
          <cell r="F259">
            <v>5500000000</v>
          </cell>
          <cell r="H259" t="str">
            <v>Jakarta</v>
          </cell>
          <cell r="I259" t="str">
            <v>Online</v>
          </cell>
          <cell r="L259" t="str">
            <v>081210805888/agus tobing</v>
          </cell>
          <cell r="M259" t="str">
            <v>TK</v>
          </cell>
          <cell r="O259" t="e">
            <v>#N/A</v>
          </cell>
          <cell r="P259" t="str">
            <v>sudah</v>
          </cell>
        </row>
        <row r="260">
          <cell r="D260" t="str">
            <v>Argopeni</v>
          </cell>
          <cell r="E260" t="str">
            <v>PT. Akusara Reksa Mulia</v>
          </cell>
          <cell r="F260">
            <v>2314000000</v>
          </cell>
          <cell r="G260" t="str">
            <v>Nodin PPK 8 Juni 2026</v>
          </cell>
          <cell r="H260" t="str">
            <v>Tangerang</v>
          </cell>
          <cell r="I260" t="str">
            <v>Offline</v>
          </cell>
          <cell r="K260" t="str">
            <v>SPPBJ</v>
          </cell>
          <cell r="O260" t="e">
            <v>#N/A</v>
          </cell>
          <cell r="P260" t="str">
            <v>sudah</v>
          </cell>
        </row>
        <row r="261">
          <cell r="D261" t="str">
            <v>Karangbolong</v>
          </cell>
          <cell r="E261" t="str">
            <v>CV. Alkomber Karya</v>
          </cell>
          <cell r="F261">
            <v>2314000000</v>
          </cell>
          <cell r="H261" t="str">
            <v>Surabaya</v>
          </cell>
          <cell r="I261" t="str">
            <v>Online</v>
          </cell>
          <cell r="L261" t="str">
            <v>081286452407/prio</v>
          </cell>
          <cell r="M261" t="str">
            <v>g</v>
          </cell>
          <cell r="O261" t="e">
            <v>#N/A</v>
          </cell>
          <cell r="P261" t="str">
            <v>sudah</v>
          </cell>
        </row>
        <row r="262">
          <cell r="D262" t="str">
            <v>Pasir</v>
          </cell>
          <cell r="E262" t="str">
            <v>CV. Alkomber Karya</v>
          </cell>
          <cell r="F262">
            <v>3985949254</v>
          </cell>
          <cell r="G262" t="str">
            <v>Nodin PPK 8 Juni 2026</v>
          </cell>
          <cell r="H262" t="str">
            <v>Surabaya</v>
          </cell>
          <cell r="I262" t="str">
            <v>Online</v>
          </cell>
          <cell r="K262" t="str">
            <v>Proses Kontrak (Pokja)</v>
          </cell>
          <cell r="L262" t="str">
            <v>081286452407/prio</v>
          </cell>
          <cell r="M262" t="str">
            <v>g</v>
          </cell>
          <cell r="O262" t="e">
            <v>#N/A</v>
          </cell>
          <cell r="P262" t="str">
            <v>sudah</v>
          </cell>
        </row>
        <row r="263">
          <cell r="D263" t="str">
            <v>Tendakinde</v>
          </cell>
          <cell r="E263" t="str">
            <v>PT. Rajasa Nusa Jaya</v>
          </cell>
          <cell r="F263">
            <v>3214500000</v>
          </cell>
          <cell r="H263" t="str">
            <v>Bandung</v>
          </cell>
          <cell r="I263" t="str">
            <v>Online</v>
          </cell>
          <cell r="L263" t="str">
            <v>yustinaseriang@gmail.com/ 0822 3951 5803</v>
          </cell>
          <cell r="M263" t="str">
            <v>Gal-Angga</v>
          </cell>
          <cell r="O263" t="e">
            <v>#N/A</v>
          </cell>
          <cell r="P263">
            <v>0</v>
          </cell>
        </row>
        <row r="264">
          <cell r="D264" t="str">
            <v>Woewutu</v>
          </cell>
          <cell r="E264" t="str">
            <v>PT. Rajasa Nusa Jaya</v>
          </cell>
          <cell r="F264">
            <v>3214500000</v>
          </cell>
          <cell r="H264" t="str">
            <v>Bandung</v>
          </cell>
          <cell r="I264" t="str">
            <v>Online</v>
          </cell>
          <cell r="L264" t="str">
            <v>yustinaseriang@gmail.com/ 0822 3951 5803</v>
          </cell>
          <cell r="M264" t="str">
            <v>Gal-Angga</v>
          </cell>
          <cell r="O264" t="e">
            <v>#N/A</v>
          </cell>
          <cell r="P264">
            <v>0</v>
          </cell>
        </row>
        <row r="265">
          <cell r="D265" t="str">
            <v>Kedai Gedang</v>
          </cell>
          <cell r="E265" t="str">
            <v>PT. Bukit Zaitun (Menengah)</v>
          </cell>
          <cell r="F265">
            <v>7123100000</v>
          </cell>
          <cell r="L265" t="str">
            <v>082267333341/rizki ulfa</v>
          </cell>
          <cell r="M265" t="str">
            <v>Dedd</v>
          </cell>
          <cell r="O265" t="e">
            <v>#N/A</v>
          </cell>
          <cell r="P265">
            <v>0</v>
          </cell>
        </row>
        <row r="266">
          <cell r="D266" t="str">
            <v>Pasar Sorkam</v>
          </cell>
          <cell r="E266" t="str">
            <v>PT. Bukit Zaitun (Menengah)</v>
          </cell>
          <cell r="F266">
            <v>4123000000</v>
          </cell>
          <cell r="L266" t="str">
            <v>082267333341/rizki ulfa</v>
          </cell>
          <cell r="M266" t="str">
            <v>Dedd</v>
          </cell>
          <cell r="O266" t="e">
            <v>#N/A</v>
          </cell>
          <cell r="P266">
            <v>0</v>
          </cell>
        </row>
        <row r="267">
          <cell r="D267" t="str">
            <v>Campurejo</v>
          </cell>
          <cell r="E267" t="str">
            <v>PT. Kaisar Putra Perkasa</v>
          </cell>
          <cell r="F267">
            <v>0</v>
          </cell>
          <cell r="L267" t="str">
            <v>0811302967 (mustofirin)</v>
          </cell>
          <cell r="M267" t="str">
            <v>mengkopangan-rid</v>
          </cell>
          <cell r="O267" t="e">
            <v>#N/A</v>
          </cell>
          <cell r="P267" t="str">
            <v>drop sosek</v>
          </cell>
        </row>
        <row r="268">
          <cell r="D268" t="str">
            <v>Dalegan</v>
          </cell>
          <cell r="F268">
            <v>0</v>
          </cell>
          <cell r="M268" t="str">
            <v>istanpres</v>
          </cell>
          <cell r="O268" t="e">
            <v>#N/A</v>
          </cell>
          <cell r="P268" t="str">
            <v>sudah</v>
          </cell>
        </row>
        <row r="269">
          <cell r="D269" t="str">
            <v>Labuhan</v>
          </cell>
          <cell r="E269" t="str">
            <v>CV. Kometro Mega Solusi</v>
          </cell>
          <cell r="F269" t="e">
            <v>#N/A</v>
          </cell>
          <cell r="L269" t="str">
            <v xml:space="preserve"> 081287997779/gina</v>
          </cell>
          <cell r="M269" t="str">
            <v>ghina</v>
          </cell>
          <cell r="O269" t="e">
            <v>#N/A</v>
          </cell>
          <cell r="P269" t="e">
            <v>#N/A</v>
          </cell>
        </row>
        <row r="270">
          <cell r="D270" t="str">
            <v>Kandangsemangkon</v>
          </cell>
          <cell r="E270" t="str">
            <v>CV. Sapta Manunggal Lestari</v>
          </cell>
          <cell r="F270">
            <v>0</v>
          </cell>
          <cell r="I270" t="str">
            <v>Online</v>
          </cell>
          <cell r="L270" t="str">
            <v>085847201292/ Dodon</v>
          </cell>
          <cell r="M270" t="str">
            <v>g-drop sosek</v>
          </cell>
          <cell r="N270" t="str">
            <v>tidak memenui kualifikasi</v>
          </cell>
          <cell r="O270" t="e">
            <v>#N/A</v>
          </cell>
          <cell r="P270" t="str">
            <v>drop sosek</v>
          </cell>
        </row>
        <row r="271">
          <cell r="D271" t="str">
            <v>Kemantren</v>
          </cell>
          <cell r="E271" t="str">
            <v>CV. Sapta Manunggal Lestari</v>
          </cell>
          <cell r="F271">
            <v>0</v>
          </cell>
          <cell r="I271" t="str">
            <v>Online</v>
          </cell>
          <cell r="L271" t="str">
            <v>085847201292/ Dodon</v>
          </cell>
          <cell r="M271" t="str">
            <v>g</v>
          </cell>
          <cell r="O271" t="e">
            <v>#N/A</v>
          </cell>
          <cell r="P271" t="str">
            <v>sudah</v>
          </cell>
        </row>
        <row r="272">
          <cell r="D272" t="str">
            <v>Kranji</v>
          </cell>
          <cell r="E272" t="str">
            <v>CV. Sapta Manunggal Lestari</v>
          </cell>
          <cell r="F272">
            <v>0</v>
          </cell>
          <cell r="I272" t="str">
            <v>Online</v>
          </cell>
          <cell r="L272" t="str">
            <v>085847201292/ Dodon</v>
          </cell>
          <cell r="M272" t="str">
            <v>g</v>
          </cell>
          <cell r="O272" t="e">
            <v>#N/A</v>
          </cell>
          <cell r="P272" t="str">
            <v>sudah</v>
          </cell>
        </row>
        <row r="273">
          <cell r="D273" t="str">
            <v>Warulor</v>
          </cell>
          <cell r="E273" t="str">
            <v>CV. Bumi Jaya Berkah Abadi</v>
          </cell>
          <cell r="F273">
            <v>0</v>
          </cell>
          <cell r="I273" t="str">
            <v>Online</v>
          </cell>
          <cell r="L273" t="str">
            <v>087776689958/iwan</v>
          </cell>
          <cell r="M273" t="str">
            <v>g</v>
          </cell>
          <cell r="O273" t="e">
            <v>#N/A</v>
          </cell>
          <cell r="P273" t="str">
            <v>sudah</v>
          </cell>
        </row>
        <row r="274">
          <cell r="D274" t="str">
            <v>Rowo</v>
          </cell>
          <cell r="E274" t="str">
            <v>CV. Putera Fahlevi</v>
          </cell>
          <cell r="F274">
            <v>2314000000</v>
          </cell>
          <cell r="L274" t="str">
            <v>081286452407/prio</v>
          </cell>
          <cell r="M274" t="str">
            <v>g-drop sosek</v>
          </cell>
          <cell r="O274" t="e">
            <v>#N/A</v>
          </cell>
          <cell r="P274" t="str">
            <v>drop sosek</v>
          </cell>
        </row>
        <row r="275">
          <cell r="D275" t="str">
            <v>Tanggulangin</v>
          </cell>
          <cell r="E275" t="str">
            <v>CV. Javanesia</v>
          </cell>
          <cell r="F275">
            <v>2687822000</v>
          </cell>
          <cell r="G275" t="str">
            <v>Nodin PPK 9 Juni 2026</v>
          </cell>
          <cell r="K275" t="str">
            <v>Proses Kontrak (Pokja)</v>
          </cell>
          <cell r="L275">
            <v>87729472594</v>
          </cell>
          <cell r="M275" t="str">
            <v>Sandi</v>
          </cell>
          <cell r="O275" t="e">
            <v>#N/A</v>
          </cell>
          <cell r="P275" t="str">
            <v>sudah</v>
          </cell>
        </row>
        <row r="276">
          <cell r="D276" t="str">
            <v>Rebo</v>
          </cell>
          <cell r="E276" t="str">
            <v>PT. Indo Jaya Negara Abadi</v>
          </cell>
          <cell r="F276">
            <v>0</v>
          </cell>
          <cell r="H276" t="str">
            <v>Jakarta</v>
          </cell>
          <cell r="I276" t="str">
            <v>Online</v>
          </cell>
          <cell r="L276" t="str">
            <v>officialindojayanegaraabadi@gmail.com/ 87731490688/087768911327/vikry</v>
          </cell>
          <cell r="M276" t="str">
            <v>vikry</v>
          </cell>
          <cell r="O276" t="e">
            <v>#N/A</v>
          </cell>
          <cell r="P276">
            <v>0</v>
          </cell>
        </row>
        <row r="277">
          <cell r="D277" t="str">
            <v>Batu Belubang</v>
          </cell>
          <cell r="E277" t="str">
            <v>PT. Indo Jaya Negara Abadi</v>
          </cell>
          <cell r="F277">
            <v>0</v>
          </cell>
          <cell r="H277" t="str">
            <v>Jakarta</v>
          </cell>
          <cell r="I277" t="str">
            <v>Online</v>
          </cell>
          <cell r="L277" t="str">
            <v>officialindojayanegaraabadi@gmail.com/ 87731490688/087768911327/vikry</v>
          </cell>
          <cell r="M277" t="str">
            <v>vikry</v>
          </cell>
          <cell r="O277" t="e">
            <v>#N/A</v>
          </cell>
          <cell r="P277">
            <v>0</v>
          </cell>
        </row>
        <row r="278">
          <cell r="D278" t="str">
            <v>Ketapang</v>
          </cell>
          <cell r="E278" t="str">
            <v>CV. Putra Jaya Semesta</v>
          </cell>
          <cell r="F278">
            <v>1664437000</v>
          </cell>
          <cell r="H278" t="str">
            <v>Pangkalpinang</v>
          </cell>
          <cell r="I278" t="str">
            <v>Online</v>
          </cell>
          <cell r="L278" t="str">
            <v>81326939749/ putrajayapkp@gmail.com</v>
          </cell>
          <cell r="O278" t="e">
            <v>#N/A</v>
          </cell>
          <cell r="P278" t="str">
            <v>sudah</v>
          </cell>
        </row>
        <row r="279">
          <cell r="D279" t="str">
            <v>Mapur</v>
          </cell>
          <cell r="E279" t="str">
            <v>PT. Agung Kuck Lom Grub</v>
          </cell>
          <cell r="F279">
            <v>0</v>
          </cell>
          <cell r="L279" t="str">
            <v>082162261976/sastra</v>
          </cell>
          <cell r="M279" t="str">
            <v>Dedd</v>
          </cell>
          <cell r="O279" t="e">
            <v>#N/A</v>
          </cell>
          <cell r="P279">
            <v>0</v>
          </cell>
        </row>
        <row r="280">
          <cell r="D280" t="str">
            <v>Kletek</v>
          </cell>
          <cell r="E280" t="str">
            <v>PT. AMI Kamena Jaya</v>
          </cell>
          <cell r="F280">
            <v>3214500000</v>
          </cell>
          <cell r="L280" t="str">
            <v>081210805888/agus tobing</v>
          </cell>
          <cell r="M280" t="str">
            <v>TK</v>
          </cell>
          <cell r="O280" t="e">
            <v>#N/A</v>
          </cell>
          <cell r="P280">
            <v>0</v>
          </cell>
        </row>
        <row r="281">
          <cell r="D281" t="str">
            <v>Umatoos</v>
          </cell>
          <cell r="E281" t="str">
            <v>PT. AMI Kamena Jaya</v>
          </cell>
          <cell r="F281">
            <v>0</v>
          </cell>
          <cell r="L281" t="str">
            <v>081210805888/agus tobing</v>
          </cell>
          <cell r="M281" t="str">
            <v>TK</v>
          </cell>
          <cell r="O281" t="e">
            <v>#N/A</v>
          </cell>
          <cell r="P281">
            <v>0</v>
          </cell>
        </row>
        <row r="282">
          <cell r="D282" t="str">
            <v>Weoe</v>
          </cell>
          <cell r="E282" t="str">
            <v>PT. AMI Kamena Jaya</v>
          </cell>
          <cell r="F282">
            <v>3214500000</v>
          </cell>
          <cell r="L282" t="str">
            <v>081210805888/agus tobing</v>
          </cell>
          <cell r="M282" t="str">
            <v>TK</v>
          </cell>
          <cell r="O282" t="e">
            <v>#N/A</v>
          </cell>
          <cell r="P282">
            <v>0</v>
          </cell>
        </row>
        <row r="283">
          <cell r="D283" t="str">
            <v>Geliting</v>
          </cell>
          <cell r="E283" t="str">
            <v>PT. Arum Daya Sentausa</v>
          </cell>
          <cell r="F283">
            <v>3214500000</v>
          </cell>
          <cell r="L283">
            <v>81287843669</v>
          </cell>
          <cell r="M283" t="str">
            <v>Galuh-B</v>
          </cell>
          <cell r="O283" t="e">
            <v>#N/A</v>
          </cell>
          <cell r="P283">
            <v>0</v>
          </cell>
        </row>
        <row r="284">
          <cell r="D284" t="str">
            <v>Kojagete</v>
          </cell>
          <cell r="E284" t="str">
            <v>PT. Arum Daya Sentausa</v>
          </cell>
          <cell r="F284">
            <v>7342100000</v>
          </cell>
          <cell r="L284">
            <v>81287843669</v>
          </cell>
          <cell r="M284" t="str">
            <v>Galuh-B</v>
          </cell>
          <cell r="O284" t="e">
            <v>#N/A</v>
          </cell>
          <cell r="P284">
            <v>0</v>
          </cell>
        </row>
        <row r="285">
          <cell r="D285" t="str">
            <v>Lowolabo</v>
          </cell>
          <cell r="E285" t="str">
            <v>PT. Arum Daya Sentausa</v>
          </cell>
          <cell r="F285">
            <v>0</v>
          </cell>
          <cell r="L285">
            <v>81287843669</v>
          </cell>
          <cell r="M285" t="str">
            <v>Galuh-B</v>
          </cell>
          <cell r="O285" t="e">
            <v>#N/A</v>
          </cell>
          <cell r="P285">
            <v>0</v>
          </cell>
        </row>
        <row r="286">
          <cell r="D286" t="str">
            <v>Perumaan</v>
          </cell>
          <cell r="E286" t="str">
            <v>PT. Arum Daya Sentausa</v>
          </cell>
          <cell r="F286">
            <v>0</v>
          </cell>
          <cell r="L286">
            <v>81287843669</v>
          </cell>
          <cell r="M286" t="str">
            <v>Galuh-B</v>
          </cell>
          <cell r="O286" t="e">
            <v>#N/A</v>
          </cell>
          <cell r="P286">
            <v>0</v>
          </cell>
        </row>
        <row r="287">
          <cell r="D287" t="str">
            <v>Watumilok</v>
          </cell>
          <cell r="E287" t="str">
            <v>PT. Arum Daya Sentausa</v>
          </cell>
          <cell r="F287">
            <v>3214500000</v>
          </cell>
          <cell r="L287">
            <v>81287843669</v>
          </cell>
          <cell r="M287" t="str">
            <v>Galuh-B</v>
          </cell>
          <cell r="O287" t="e">
            <v>#N/A</v>
          </cell>
          <cell r="P287">
            <v>0</v>
          </cell>
        </row>
        <row r="288">
          <cell r="D288" t="str">
            <v>Wuring</v>
          </cell>
          <cell r="E288" t="str">
            <v>PT. Arum Daya Sentausa</v>
          </cell>
          <cell r="F288">
            <v>3214500000</v>
          </cell>
          <cell r="L288">
            <v>81287843669</v>
          </cell>
          <cell r="M288" t="str">
            <v>Galuh-B</v>
          </cell>
          <cell r="O288" t="e">
            <v>#N/A</v>
          </cell>
          <cell r="P288">
            <v>0</v>
          </cell>
        </row>
        <row r="289">
          <cell r="D289" t="str">
            <v>Golo Mori</v>
          </cell>
          <cell r="E289" t="str">
            <v>CV. Putra Sabar Utama Perkasa</v>
          </cell>
          <cell r="F289">
            <v>0</v>
          </cell>
          <cell r="H289" t="str">
            <v>Kota Sorong</v>
          </cell>
          <cell r="I289" t="str">
            <v>Online</v>
          </cell>
          <cell r="L289" t="str">
            <v>081293305027/iqbal</v>
          </cell>
          <cell r="M289" t="str">
            <v>Iqbal/AM</v>
          </cell>
          <cell r="O289" t="e">
            <v>#N/A</v>
          </cell>
          <cell r="P289">
            <v>0</v>
          </cell>
        </row>
        <row r="290">
          <cell r="D290" t="str">
            <v>Nanga Lili</v>
          </cell>
          <cell r="E290" t="str">
            <v>CV. Putra Sabar Utama Perkasa</v>
          </cell>
          <cell r="F290">
            <v>0</v>
          </cell>
          <cell r="H290" t="str">
            <v>Kota Sorong</v>
          </cell>
          <cell r="I290" t="str">
            <v>Online</v>
          </cell>
          <cell r="L290" t="str">
            <v>081293305027/iqbal</v>
          </cell>
          <cell r="M290" t="str">
            <v>Iqbal/AM</v>
          </cell>
          <cell r="O290" t="e">
            <v>#N/A</v>
          </cell>
          <cell r="P290">
            <v>0</v>
          </cell>
        </row>
        <row r="291">
          <cell r="D291" t="str">
            <v>Kore</v>
          </cell>
          <cell r="E291" t="str">
            <v>CV. Kalembo Ade Nautama</v>
          </cell>
          <cell r="F291">
            <v>3214500000</v>
          </cell>
          <cell r="L291" t="str">
            <v>085933442000/heri</v>
          </cell>
          <cell r="M291" t="str">
            <v>ongen</v>
          </cell>
          <cell r="O291" t="e">
            <v>#N/A</v>
          </cell>
          <cell r="P291">
            <v>0</v>
          </cell>
        </row>
        <row r="292">
          <cell r="D292" t="str">
            <v>Bumi Waras</v>
          </cell>
          <cell r="E292" t="str">
            <v>PT. Mitra Selaras Nusantara</v>
          </cell>
          <cell r="F292">
            <v>10470826000</v>
          </cell>
          <cell r="I292" t="str">
            <v>Offline</v>
          </cell>
          <cell r="L292" t="str">
            <v>085369490829/082377685251</v>
          </cell>
          <cell r="O292" t="e">
            <v>#N/A</v>
          </cell>
          <cell r="P292">
            <v>0</v>
          </cell>
        </row>
        <row r="293">
          <cell r="D293" t="str">
            <v>Kangkung</v>
          </cell>
          <cell r="E293" t="str">
            <v>PT. Hage Primadi Konstruksi (Menengah)</v>
          </cell>
          <cell r="F293">
            <v>4686128000</v>
          </cell>
          <cell r="G293" t="str">
            <v>Pembatalan Usulan</v>
          </cell>
          <cell r="L293" t="str">
            <v>Banu : 081316450044/ Email : hage.konstruksi@gmail.com</v>
          </cell>
          <cell r="M293" t="str">
            <v>damar minta namba</v>
          </cell>
          <cell r="O293" t="e">
            <v>#N/A</v>
          </cell>
          <cell r="P293">
            <v>0</v>
          </cell>
        </row>
        <row r="294">
          <cell r="D294" t="str">
            <v>Kota Karang Raya</v>
          </cell>
          <cell r="E294" t="str">
            <v>PT. Hage Primadi Konstruksi (Menengah)</v>
          </cell>
          <cell r="F294">
            <v>5250872000</v>
          </cell>
          <cell r="G294" t="str">
            <v>Pembatalan Usulan</v>
          </cell>
          <cell r="L294" t="str">
            <v>Banu : 081316450044/ Email : hage.konstruksi@gmail.com</v>
          </cell>
          <cell r="M294" t="str">
            <v>damar minta namba</v>
          </cell>
          <cell r="O294" t="e">
            <v>#N/A</v>
          </cell>
          <cell r="P294">
            <v>0</v>
          </cell>
        </row>
        <row r="295">
          <cell r="D295" t="str">
            <v>Kota Ndora</v>
          </cell>
          <cell r="E295" t="str">
            <v>PT. Garsi Jembar Niaga</v>
          </cell>
          <cell r="F295">
            <v>7342100000</v>
          </cell>
          <cell r="I295" t="str">
            <v>Offline</v>
          </cell>
          <cell r="M295" t="str">
            <v>fraksi roem</v>
          </cell>
          <cell r="O295" t="e">
            <v>#N/A</v>
          </cell>
          <cell r="P295">
            <v>0</v>
          </cell>
        </row>
        <row r="296">
          <cell r="D296" t="str">
            <v>Waesae</v>
          </cell>
          <cell r="E296" t="str">
            <v>PT. Garsi Jembar Niaga</v>
          </cell>
          <cell r="F296">
            <v>3214500000</v>
          </cell>
          <cell r="I296" t="str">
            <v>Offline</v>
          </cell>
          <cell r="M296" t="str">
            <v>fraksi roem</v>
          </cell>
          <cell r="O296" t="e">
            <v>#N/A</v>
          </cell>
          <cell r="P296">
            <v>0</v>
          </cell>
        </row>
        <row r="297">
          <cell r="D297" t="str">
            <v>Pulau Lemukutan</v>
          </cell>
          <cell r="E297" t="str">
            <v>PT. Profitindo Primatama Jaya Abadi (Menengah)</v>
          </cell>
          <cell r="F297">
            <v>0</v>
          </cell>
          <cell r="L297" t="str">
            <v>082199363484/ ricard</v>
          </cell>
          <cell r="M297" t="str">
            <v>Iqbal/AM</v>
          </cell>
          <cell r="O297" t="e">
            <v>#N/A</v>
          </cell>
          <cell r="P297">
            <v>0</v>
          </cell>
        </row>
        <row r="298">
          <cell r="D298" t="str">
            <v>Kuala</v>
          </cell>
          <cell r="E298" t="str">
            <v>PT. Profitindo Primatama Jaya Abadi (Menengah)</v>
          </cell>
          <cell r="F298">
            <v>6932400000</v>
          </cell>
          <cell r="L298" t="str">
            <v>082199363484/ ricard</v>
          </cell>
          <cell r="M298" t="str">
            <v>Iqbal/AM</v>
          </cell>
          <cell r="O298" t="e">
            <v>#N/A</v>
          </cell>
          <cell r="P298">
            <v>0</v>
          </cell>
        </row>
        <row r="299">
          <cell r="D299" t="str">
            <v>Dabong</v>
          </cell>
          <cell r="E299" t="str">
            <v>PT. Elang Paksinusa</v>
          </cell>
          <cell r="F299">
            <v>4320000000</v>
          </cell>
          <cell r="I299" t="str">
            <v>Online</v>
          </cell>
          <cell r="L299" t="str">
            <v>087805625617/ sakina</v>
          </cell>
          <cell r="O299" t="e">
            <v>#N/A</v>
          </cell>
          <cell r="P299">
            <v>0</v>
          </cell>
        </row>
        <row r="300">
          <cell r="D300" t="str">
            <v>Jeruju Besar</v>
          </cell>
          <cell r="E300" t="str">
            <v>PT. Elang Paksinusa</v>
          </cell>
          <cell r="F300">
            <v>4320000000</v>
          </cell>
          <cell r="I300" t="str">
            <v>Online</v>
          </cell>
          <cell r="L300" t="str">
            <v>087805625617/ sakina</v>
          </cell>
          <cell r="O300" t="e">
            <v>#N/A</v>
          </cell>
          <cell r="P300">
            <v>0</v>
          </cell>
        </row>
        <row r="301">
          <cell r="D301" t="str">
            <v>Kuala Karang</v>
          </cell>
          <cell r="E301" t="str">
            <v>PT. Elang Paksinusa</v>
          </cell>
          <cell r="F301">
            <v>6932400000</v>
          </cell>
          <cell r="I301" t="str">
            <v>Online</v>
          </cell>
          <cell r="L301" t="str">
            <v>087805625617/ sakina</v>
          </cell>
          <cell r="O301" t="e">
            <v>#N/A</v>
          </cell>
          <cell r="P301">
            <v>0</v>
          </cell>
        </row>
        <row r="302">
          <cell r="D302" t="str">
            <v>Air Bini</v>
          </cell>
          <cell r="E302" t="str">
            <v>PT. Takabea Reshi Consolindo Cabang Riau</v>
          </cell>
          <cell r="F302">
            <v>0</v>
          </cell>
          <cell r="M302" t="str">
            <v>fraksi roem</v>
          </cell>
          <cell r="O302" t="e">
            <v>#N/A</v>
          </cell>
          <cell r="P302">
            <v>0</v>
          </cell>
        </row>
        <row r="303">
          <cell r="D303" t="str">
            <v>Kuala Maras</v>
          </cell>
          <cell r="E303" t="str">
            <v>PT. Ibnu Munsyir Dwi Guna</v>
          </cell>
          <cell r="F303">
            <v>0</v>
          </cell>
          <cell r="L303" t="str">
            <v>081283239090/yazid</v>
          </cell>
          <cell r="M303" t="str">
            <v>TK</v>
          </cell>
          <cell r="O303" t="e">
            <v>#N/A</v>
          </cell>
          <cell r="P303">
            <v>0</v>
          </cell>
        </row>
        <row r="304">
          <cell r="D304" t="str">
            <v>Mampok</v>
          </cell>
          <cell r="E304" t="str">
            <v>PT. Ibnu Munsyir Dwi Guna</v>
          </cell>
          <cell r="F304">
            <v>0</v>
          </cell>
          <cell r="L304" t="str">
            <v>081283239090/yazid</v>
          </cell>
          <cell r="M304" t="str">
            <v>TK</v>
          </cell>
          <cell r="O304" t="e">
            <v>#N/A</v>
          </cell>
          <cell r="P304">
            <v>0</v>
          </cell>
        </row>
        <row r="305">
          <cell r="D305" t="str">
            <v>Piasan</v>
          </cell>
          <cell r="E305" t="str">
            <v>PT. Takabea Reshi Consolindo Cabang Riau</v>
          </cell>
          <cell r="F305">
            <v>0</v>
          </cell>
          <cell r="M305" t="str">
            <v>fraksi roem</v>
          </cell>
          <cell r="O305" t="e">
            <v>#N/A</v>
          </cell>
          <cell r="P305">
            <v>0</v>
          </cell>
        </row>
        <row r="306">
          <cell r="D306" t="str">
            <v>Putik</v>
          </cell>
          <cell r="E306" t="str">
            <v>PT. Takabea Reshi Consolindo Cabang Riau</v>
          </cell>
          <cell r="F306">
            <v>0</v>
          </cell>
          <cell r="M306" t="str">
            <v>fraksi roem</v>
          </cell>
          <cell r="O306" t="e">
            <v>#N/A</v>
          </cell>
          <cell r="P306">
            <v>0</v>
          </cell>
        </row>
        <row r="307">
          <cell r="D307" t="str">
            <v>Teluk Gelam</v>
          </cell>
          <cell r="E307" t="str">
            <v>PT. Elang Paksinusa</v>
          </cell>
          <cell r="F307">
            <v>4320000000</v>
          </cell>
          <cell r="I307" t="str">
            <v>Online</v>
          </cell>
          <cell r="L307" t="str">
            <v>087805625617/ sakina</v>
          </cell>
          <cell r="O307" t="e">
            <v>#N/A</v>
          </cell>
          <cell r="P307">
            <v>0</v>
          </cell>
        </row>
        <row r="308">
          <cell r="D308" t="str">
            <v>Kuala Secapah</v>
          </cell>
          <cell r="E308" t="str">
            <v>PT. Falah Eka Cahya</v>
          </cell>
          <cell r="F308">
            <v>6932400000</v>
          </cell>
          <cell r="H308" t="str">
            <v>Jakarta</v>
          </cell>
          <cell r="I308" t="str">
            <v>Online</v>
          </cell>
          <cell r="L308" t="str">
            <v>Dedy 08888347943</v>
          </cell>
          <cell r="M308" t="str">
            <v>TB Hr</v>
          </cell>
          <cell r="O308" t="e">
            <v>#N/A</v>
          </cell>
          <cell r="P308">
            <v>0</v>
          </cell>
        </row>
        <row r="309">
          <cell r="D309" t="str">
            <v>Penibung</v>
          </cell>
          <cell r="E309" t="str">
            <v>PT. Falah Eka Cahya</v>
          </cell>
          <cell r="F309">
            <v>4320000000</v>
          </cell>
          <cell r="H309" t="str">
            <v>Jakarta</v>
          </cell>
          <cell r="I309" t="str">
            <v>Online</v>
          </cell>
          <cell r="L309" t="str">
            <v>Dedy 08888347943</v>
          </cell>
          <cell r="M309" t="str">
            <v>TB Hr</v>
          </cell>
          <cell r="O309" t="e">
            <v>#N/A</v>
          </cell>
          <cell r="P309">
            <v>0</v>
          </cell>
        </row>
        <row r="310">
          <cell r="D310" t="str">
            <v>Sengkubang</v>
          </cell>
          <cell r="E310" t="str">
            <v>PT. Falah Eka Cahya</v>
          </cell>
          <cell r="F310">
            <v>4320000000</v>
          </cell>
          <cell r="H310" t="str">
            <v>Jakarta</v>
          </cell>
          <cell r="I310" t="str">
            <v>Online</v>
          </cell>
          <cell r="L310" t="str">
            <v>Dedy 08888347943</v>
          </cell>
          <cell r="M310" t="str">
            <v>TB Hr</v>
          </cell>
          <cell r="O310" t="e">
            <v>#N/A</v>
          </cell>
          <cell r="P310">
            <v>0</v>
          </cell>
        </row>
        <row r="311">
          <cell r="D311" t="str">
            <v>Sungai Duri Ii</v>
          </cell>
          <cell r="E311" t="str">
            <v>PT. Falah Eka Cahya</v>
          </cell>
          <cell r="F311">
            <v>4320000000</v>
          </cell>
          <cell r="H311" t="str">
            <v>Jakarta</v>
          </cell>
          <cell r="I311" t="str">
            <v>Online</v>
          </cell>
          <cell r="L311" t="str">
            <v>Dedy 08888347943</v>
          </cell>
          <cell r="M311" t="str">
            <v>TB Hr</v>
          </cell>
          <cell r="O311" t="e">
            <v>#N/A</v>
          </cell>
          <cell r="P311">
            <v>0</v>
          </cell>
        </row>
        <row r="312">
          <cell r="D312" t="str">
            <v>Batakan</v>
          </cell>
          <cell r="E312" t="str">
            <v>CV. Dwi Cipta Wijaya</v>
          </cell>
          <cell r="F312">
            <v>0</v>
          </cell>
          <cell r="O312" t="e">
            <v>#N/A</v>
          </cell>
          <cell r="P312">
            <v>0</v>
          </cell>
        </row>
        <row r="313">
          <cell r="D313" t="str">
            <v>Kuala Tambangan</v>
          </cell>
          <cell r="E313" t="str">
            <v>CV. Andalan Putra Bone Perkasa</v>
          </cell>
          <cell r="F313">
            <v>6932400000</v>
          </cell>
          <cell r="O313" t="e">
            <v>#N/A</v>
          </cell>
          <cell r="P313">
            <v>0</v>
          </cell>
        </row>
        <row r="314">
          <cell r="D314" t="str">
            <v>Muara Asam-Asam</v>
          </cell>
          <cell r="E314" t="str">
            <v>CV. Andalan Putra Bone Perkasa</v>
          </cell>
          <cell r="F314">
            <v>4567200000</v>
          </cell>
          <cell r="O314" t="e">
            <v>#N/A</v>
          </cell>
          <cell r="P314">
            <v>0</v>
          </cell>
        </row>
        <row r="315">
          <cell r="D315" t="str">
            <v>Pagatan Besar</v>
          </cell>
          <cell r="E315" t="str">
            <v>CV. Dwi Cipta Wijaya</v>
          </cell>
          <cell r="F315">
            <v>0</v>
          </cell>
          <cell r="O315" t="e">
            <v>#N/A</v>
          </cell>
          <cell r="P315">
            <v>0</v>
          </cell>
        </row>
        <row r="316">
          <cell r="D316" t="str">
            <v>Tabanio</v>
          </cell>
          <cell r="E316" t="str">
            <v>CV. Dwi Cipta Wijaya</v>
          </cell>
          <cell r="F316">
            <v>4320000000</v>
          </cell>
          <cell r="H316" t="str">
            <v>Tanah Bumbu</v>
          </cell>
          <cell r="I316" t="str">
            <v>Offline</v>
          </cell>
          <cell r="L316" t="str">
            <v>085160557788/ 082240000708</v>
          </cell>
          <cell r="O316" t="e">
            <v>#N/A</v>
          </cell>
          <cell r="P316">
            <v>0</v>
          </cell>
        </row>
        <row r="317">
          <cell r="D317" t="str">
            <v>Kualin</v>
          </cell>
          <cell r="E317" t="str">
            <v>PT. Mega Karya Sentralindo (Kecil/Menengah)</v>
          </cell>
          <cell r="F317">
            <v>7342100000</v>
          </cell>
          <cell r="H317" t="str">
            <v>Jakarta</v>
          </cell>
          <cell r="I317" t="str">
            <v>Online</v>
          </cell>
          <cell r="L317" t="str">
            <v>0811417877/gerard</v>
          </cell>
          <cell r="M317" t="str">
            <v>aboe bakar - ganti perusahaan skala kecil</v>
          </cell>
          <cell r="O317" t="e">
            <v>#N/A</v>
          </cell>
          <cell r="P317">
            <v>0</v>
          </cell>
        </row>
        <row r="318">
          <cell r="D318" t="str">
            <v>Oetuke</v>
          </cell>
          <cell r="E318" t="str">
            <v>PT. Mega Karya Sentralindo (Kecil/Menengah)</v>
          </cell>
          <cell r="F318">
            <v>3214500000</v>
          </cell>
          <cell r="H318" t="str">
            <v>Jakarta</v>
          </cell>
          <cell r="I318" t="str">
            <v>Online</v>
          </cell>
          <cell r="L318" t="str">
            <v>0811417877/gerard</v>
          </cell>
          <cell r="M318" t="str">
            <v>aboe bakar - ganti perusahaan skala kecil</v>
          </cell>
          <cell r="O318" t="e">
            <v>#N/A</v>
          </cell>
          <cell r="P318">
            <v>0</v>
          </cell>
        </row>
        <row r="319">
          <cell r="D319" t="str">
            <v>Banding</v>
          </cell>
          <cell r="E319" t="str">
            <v>PT. Ratu Nayla Mandiri</v>
          </cell>
          <cell r="F319">
            <v>4123000000</v>
          </cell>
          <cell r="H319" t="str">
            <v>Gresik</v>
          </cell>
          <cell r="I319" t="str">
            <v>Online</v>
          </cell>
          <cell r="L319" t="str">
            <v>pt.ratunaylamandiri313@gmail.com/081212846377</v>
          </cell>
          <cell r="M319" t="str">
            <v>TK</v>
          </cell>
          <cell r="O319" t="e">
            <v>#N/A</v>
          </cell>
          <cell r="P319">
            <v>0</v>
          </cell>
        </row>
        <row r="320">
          <cell r="D320" t="str">
            <v>Kalianda</v>
          </cell>
          <cell r="E320" t="str">
            <v>PT. Ratu Nayla Mandiri</v>
          </cell>
          <cell r="F320">
            <v>4123000000</v>
          </cell>
          <cell r="H320" t="str">
            <v>Gresik</v>
          </cell>
          <cell r="I320" t="str">
            <v>Online</v>
          </cell>
          <cell r="L320" t="str">
            <v>pt.ratunaylamandiri313@gmail.com/081212846377</v>
          </cell>
          <cell r="M320" t="str">
            <v>TK</v>
          </cell>
          <cell r="O320" t="e">
            <v>#N/A</v>
          </cell>
          <cell r="P320">
            <v>0</v>
          </cell>
        </row>
        <row r="321">
          <cell r="D321" t="str">
            <v>Kurau</v>
          </cell>
          <cell r="E321" t="str">
            <v>PT. Indo Jaya Negara Abadi</v>
          </cell>
          <cell r="F321">
            <v>0</v>
          </cell>
          <cell r="H321" t="str">
            <v>Jakarta</v>
          </cell>
          <cell r="I321" t="str">
            <v>Online</v>
          </cell>
          <cell r="L321" t="str">
            <v>officialindojayanegaraabadi@gmail.com/ 87731490688/087768911327/vikry</v>
          </cell>
          <cell r="M321" t="str">
            <v>vikry</v>
          </cell>
          <cell r="O321" t="e">
            <v>#N/A</v>
          </cell>
          <cell r="P321">
            <v>0</v>
          </cell>
        </row>
        <row r="322">
          <cell r="D322" t="str">
            <v>Saramaake</v>
          </cell>
          <cell r="F322">
            <v>0</v>
          </cell>
          <cell r="O322" t="e">
            <v>#N/A</v>
          </cell>
          <cell r="P322">
            <v>0</v>
          </cell>
        </row>
        <row r="323">
          <cell r="D323" t="str">
            <v>Subaim</v>
          </cell>
          <cell r="F323">
            <v>0</v>
          </cell>
          <cell r="O323" t="e">
            <v>#N/A</v>
          </cell>
          <cell r="P323">
            <v>0</v>
          </cell>
        </row>
        <row r="324">
          <cell r="D324" t="str">
            <v>Bobale</v>
          </cell>
          <cell r="F324">
            <v>0</v>
          </cell>
          <cell r="O324" t="e">
            <v>#N/A</v>
          </cell>
          <cell r="P324">
            <v>0</v>
          </cell>
        </row>
        <row r="325">
          <cell r="D325" t="str">
            <v>Kusu Lofra</v>
          </cell>
          <cell r="F325">
            <v>0</v>
          </cell>
          <cell r="O325" t="e">
            <v>#N/A</v>
          </cell>
          <cell r="P325">
            <v>0</v>
          </cell>
        </row>
        <row r="326">
          <cell r="D326" t="str">
            <v>Paluh Sibaji</v>
          </cell>
          <cell r="E326" t="str">
            <v>PT Multi Gapura Pembangunan Semesta</v>
          </cell>
          <cell r="F326">
            <v>4123000000</v>
          </cell>
          <cell r="I326" t="str">
            <v>Online</v>
          </cell>
          <cell r="L326" t="str">
            <v>082297871501/habib</v>
          </cell>
          <cell r="M326" t="str">
            <v>TK</v>
          </cell>
          <cell r="O326" t="e">
            <v>#N/A</v>
          </cell>
          <cell r="P326">
            <v>0</v>
          </cell>
        </row>
        <row r="327">
          <cell r="D327" t="str">
            <v>Nelayan Indah</v>
          </cell>
          <cell r="E327" t="str">
            <v>PT Multi Gapura Pembangunan Semesta</v>
          </cell>
          <cell r="F327">
            <v>4123000000</v>
          </cell>
          <cell r="I327" t="str">
            <v>Online</v>
          </cell>
          <cell r="L327" t="str">
            <v>082297871501/habib</v>
          </cell>
          <cell r="M327" t="str">
            <v>TK</v>
          </cell>
          <cell r="O327" t="e">
            <v>#N/A</v>
          </cell>
          <cell r="P327">
            <v>0</v>
          </cell>
        </row>
        <row r="328">
          <cell r="D328" t="str">
            <v>Kwala Serapuh</v>
          </cell>
          <cell r="E328" t="str">
            <v>PT Multi Gapura Pembangunan Semesta</v>
          </cell>
          <cell r="F328">
            <v>4123000000</v>
          </cell>
          <cell r="I328" t="str">
            <v>Online</v>
          </cell>
          <cell r="L328" t="str">
            <v>082297871501/habib</v>
          </cell>
          <cell r="M328" t="str">
            <v>TK</v>
          </cell>
          <cell r="O328" t="e">
            <v>#N/A</v>
          </cell>
          <cell r="P328">
            <v>0</v>
          </cell>
        </row>
        <row r="329">
          <cell r="D329" t="str">
            <v>Secanggang</v>
          </cell>
          <cell r="E329" t="str">
            <v>PT Multi Gapura Pembangunan Semesta</v>
          </cell>
          <cell r="F329">
            <v>0</v>
          </cell>
          <cell r="I329" t="str">
            <v>Online</v>
          </cell>
          <cell r="L329" t="str">
            <v>082297871501/habib</v>
          </cell>
          <cell r="M329" t="str">
            <v>TK</v>
          </cell>
          <cell r="O329" t="e">
            <v>#N/A</v>
          </cell>
          <cell r="P329">
            <v>0</v>
          </cell>
        </row>
        <row r="330">
          <cell r="D330" t="str">
            <v>Kwangko</v>
          </cell>
          <cell r="E330" t="str">
            <v>PT. Daffa Buana Sakti (Menengah)</v>
          </cell>
          <cell r="F330">
            <v>3214500000</v>
          </cell>
          <cell r="I330" t="str">
            <v>Online</v>
          </cell>
          <cell r="L330" t="str">
            <v>081370515855/azi</v>
          </cell>
          <cell r="M330" t="str">
            <v>Dedd</v>
          </cell>
          <cell r="O330" t="e">
            <v>#N/A</v>
          </cell>
          <cell r="P330">
            <v>0</v>
          </cell>
        </row>
        <row r="331">
          <cell r="D331" t="str">
            <v>Labelen</v>
          </cell>
          <cell r="E331" t="str">
            <v>CV. Jasa Mandiri Bersama</v>
          </cell>
          <cell r="F331">
            <v>7342100000</v>
          </cell>
          <cell r="L331" t="str">
            <v>083836843683/zulham/cvjasamandiribersama32@gmail.com</v>
          </cell>
          <cell r="M331" t="str">
            <v>Dedd</v>
          </cell>
          <cell r="O331" t="e">
            <v>#N/A</v>
          </cell>
          <cell r="P331">
            <v>0</v>
          </cell>
        </row>
        <row r="332">
          <cell r="D332" t="str">
            <v>Lamahala Jaya</v>
          </cell>
          <cell r="E332" t="str">
            <v>CV. Jasa Mandiri Bersama</v>
          </cell>
          <cell r="F332">
            <v>3214500000</v>
          </cell>
          <cell r="L332" t="str">
            <v>083836843683/zulham/cvjasamandiribersama32@gmail.com</v>
          </cell>
          <cell r="M332" t="str">
            <v>Dedd</v>
          </cell>
          <cell r="O332" t="e">
            <v>#N/A</v>
          </cell>
          <cell r="P332">
            <v>0</v>
          </cell>
        </row>
        <row r="333">
          <cell r="D333" t="str">
            <v>Sagu</v>
          </cell>
          <cell r="E333" t="str">
            <v>CV. Jasa Mandiri Bersama</v>
          </cell>
          <cell r="F333">
            <v>0</v>
          </cell>
          <cell r="L333" t="str">
            <v>083836843683/zulham/cvjasamandiribersama32@gmail.com</v>
          </cell>
          <cell r="M333" t="str">
            <v>Dedd</v>
          </cell>
          <cell r="O333" t="e">
            <v>#N/A</v>
          </cell>
          <cell r="P333">
            <v>0</v>
          </cell>
        </row>
        <row r="334">
          <cell r="D334" t="str">
            <v>Waiwuring</v>
          </cell>
          <cell r="E334" t="str">
            <v>CV. Jasa Mandiri Bersama</v>
          </cell>
          <cell r="F334">
            <v>0</v>
          </cell>
          <cell r="L334" t="str">
            <v>083836843683/zulham/cvjasamandiribersama32@gmail.com</v>
          </cell>
          <cell r="M334" t="str">
            <v>Dedd</v>
          </cell>
          <cell r="O334" t="e">
            <v>#N/A</v>
          </cell>
          <cell r="P334">
            <v>0</v>
          </cell>
        </row>
        <row r="335">
          <cell r="D335" t="str">
            <v>Dullah</v>
          </cell>
          <cell r="F335">
            <v>0</v>
          </cell>
          <cell r="O335" t="e">
            <v>#N/A</v>
          </cell>
          <cell r="P335">
            <v>0</v>
          </cell>
        </row>
        <row r="336">
          <cell r="D336" t="str">
            <v>Dullah Laut</v>
          </cell>
          <cell r="F336">
            <v>0</v>
          </cell>
          <cell r="O336" t="e">
            <v>#N/A</v>
          </cell>
          <cell r="P336">
            <v>0</v>
          </cell>
        </row>
        <row r="337">
          <cell r="D337" t="str">
            <v>Tam Ngurhir</v>
          </cell>
          <cell r="F337">
            <v>0</v>
          </cell>
          <cell r="O337" t="e">
            <v>#N/A</v>
          </cell>
          <cell r="P337">
            <v>0</v>
          </cell>
        </row>
        <row r="338">
          <cell r="D338" t="str">
            <v>Dudunwahan</v>
          </cell>
          <cell r="E338" t="str">
            <v>PT. Sapta Manuggal Karya (Menengah)</v>
          </cell>
          <cell r="F338">
            <v>0</v>
          </cell>
          <cell r="O338" t="e">
            <v>#N/A</v>
          </cell>
          <cell r="P338">
            <v>0</v>
          </cell>
        </row>
        <row r="339">
          <cell r="D339" t="str">
            <v>Sare</v>
          </cell>
          <cell r="E339" t="str">
            <v>PT. Sapta Manuggal Karya (Menengah)</v>
          </cell>
          <cell r="F339">
            <v>0</v>
          </cell>
          <cell r="O339" t="e">
            <v>#N/A</v>
          </cell>
          <cell r="P339">
            <v>0</v>
          </cell>
        </row>
        <row r="340">
          <cell r="D340" t="str">
            <v>Podi</v>
          </cell>
          <cell r="E340" t="str">
            <v>CV. Penggawa Raya</v>
          </cell>
          <cell r="F340">
            <v>4500000000</v>
          </cell>
          <cell r="L340" t="str">
            <v>085255820675/Firman</v>
          </cell>
          <cell r="M340" t="str">
            <v>Hyl</v>
          </cell>
          <cell r="O340" t="str">
            <v>CV. PENGGAWA RAYA</v>
          </cell>
          <cell r="P340" t="str">
            <v>sudah</v>
          </cell>
        </row>
        <row r="341">
          <cell r="D341" t="str">
            <v>Tete B</v>
          </cell>
          <cell r="E341" t="str">
            <v>CV. Penggawa Raya</v>
          </cell>
          <cell r="F341">
            <v>4500000000</v>
          </cell>
          <cell r="L341" t="str">
            <v>085255820675/Firman</v>
          </cell>
          <cell r="M341" t="str">
            <v>Hyl</v>
          </cell>
          <cell r="O341" t="str">
            <v>CV. PENGGAWA RAYA</v>
          </cell>
          <cell r="P341" t="str">
            <v>sudah</v>
          </cell>
        </row>
        <row r="342">
          <cell r="D342" t="str">
            <v>Bale-Bale Sibohou</v>
          </cell>
          <cell r="E342" t="str">
            <v>PT. Bukit Zaitun (Menengah)</v>
          </cell>
          <cell r="F342">
            <v>4123000000</v>
          </cell>
          <cell r="H342" t="str">
            <v>Jakarta</v>
          </cell>
          <cell r="I342" t="str">
            <v>Online</v>
          </cell>
          <cell r="L342" t="str">
            <v>082267333341/rizki ulfa</v>
          </cell>
          <cell r="M342" t="str">
            <v>Dedd</v>
          </cell>
          <cell r="O342" t="e">
            <v>#N/A</v>
          </cell>
          <cell r="P342">
            <v>0</v>
          </cell>
        </row>
        <row r="343">
          <cell r="D343" t="str">
            <v>Labuhan Bazau</v>
          </cell>
          <cell r="E343" t="str">
            <v>PT. Bukit Zaitun (Menengah)</v>
          </cell>
          <cell r="F343">
            <v>0</v>
          </cell>
          <cell r="H343" t="str">
            <v>Jakarta</v>
          </cell>
          <cell r="I343" t="str">
            <v>Online</v>
          </cell>
          <cell r="L343" t="str">
            <v>082267333341/rizki ulfa</v>
          </cell>
          <cell r="M343" t="str">
            <v>Dedd</v>
          </cell>
          <cell r="O343" t="e">
            <v>#N/A</v>
          </cell>
          <cell r="P343">
            <v>0</v>
          </cell>
        </row>
        <row r="344">
          <cell r="D344" t="str">
            <v>Majino Lorang</v>
          </cell>
          <cell r="E344" t="str">
            <v>PT. Bukit Zaitun (Menengah)</v>
          </cell>
          <cell r="F344">
            <v>4123000000</v>
          </cell>
          <cell r="H344" t="str">
            <v>Jakarta</v>
          </cell>
          <cell r="I344" t="str">
            <v>Online</v>
          </cell>
          <cell r="L344" t="str">
            <v>082267333341/rizki ulfa</v>
          </cell>
          <cell r="M344" t="str">
            <v>Dedd</v>
          </cell>
          <cell r="O344" t="e">
            <v>#N/A</v>
          </cell>
          <cell r="P344">
            <v>0</v>
          </cell>
        </row>
        <row r="345">
          <cell r="D345" t="str">
            <v>Labuhan Jambu</v>
          </cell>
          <cell r="E345" t="str">
            <v>PT. Asuka Engineering Indonesia</v>
          </cell>
          <cell r="F345">
            <v>4678000000</v>
          </cell>
          <cell r="H345" t="str">
            <v>Gresik</v>
          </cell>
          <cell r="L345" t="str">
            <v>081358005070/efendi</v>
          </cell>
          <cell r="M345" t="str">
            <v>g</v>
          </cell>
          <cell r="O345" t="e">
            <v>#N/A</v>
          </cell>
          <cell r="P345">
            <v>0</v>
          </cell>
        </row>
        <row r="346">
          <cell r="D346" t="str">
            <v>Teluk Santong</v>
          </cell>
          <cell r="E346" t="str">
            <v>PT. Asuka Engineering Indonesia</v>
          </cell>
          <cell r="F346">
            <v>4678000000</v>
          </cell>
          <cell r="H346" t="str">
            <v>Gresik</v>
          </cell>
          <cell r="L346" t="str">
            <v>081358005070/efendi</v>
          </cell>
          <cell r="M346" t="str">
            <v>g</v>
          </cell>
          <cell r="O346" t="e">
            <v>#N/A</v>
          </cell>
          <cell r="P346">
            <v>0</v>
          </cell>
        </row>
        <row r="347">
          <cell r="D347" t="str">
            <v>Labuhan Alas</v>
          </cell>
          <cell r="E347" t="str">
            <v>PT. Asuka Engineering Indonesia</v>
          </cell>
          <cell r="F347">
            <v>3214500000</v>
          </cell>
          <cell r="H347" t="str">
            <v>Gresik</v>
          </cell>
          <cell r="L347" t="str">
            <v>081358005070/efendi</v>
          </cell>
          <cell r="M347" t="str">
            <v>g</v>
          </cell>
          <cell r="O347" t="e">
            <v>#N/A</v>
          </cell>
          <cell r="P347">
            <v>0</v>
          </cell>
        </row>
        <row r="348">
          <cell r="D348" t="str">
            <v>Labuhan Burung</v>
          </cell>
          <cell r="E348" t="str">
            <v>PT. Berkah Mitra Engineering</v>
          </cell>
          <cell r="F348">
            <v>3214500000</v>
          </cell>
          <cell r="H348" t="str">
            <v>Gresik</v>
          </cell>
          <cell r="M348" t="str">
            <v>g</v>
          </cell>
          <cell r="O348" t="e">
            <v>#N/A</v>
          </cell>
          <cell r="P348">
            <v>0</v>
          </cell>
        </row>
        <row r="349">
          <cell r="D349" t="str">
            <v>Labuhan Mapin</v>
          </cell>
          <cell r="E349" t="str">
            <v>PT. Asuka Engineering Indonesia</v>
          </cell>
          <cell r="F349">
            <v>3214500000</v>
          </cell>
          <cell r="H349" t="str">
            <v>Gresik</v>
          </cell>
          <cell r="L349" t="str">
            <v>081358005070/efendi</v>
          </cell>
          <cell r="M349" t="str">
            <v>g</v>
          </cell>
          <cell r="O349" t="e">
            <v>#N/A</v>
          </cell>
          <cell r="P349">
            <v>0</v>
          </cell>
        </row>
        <row r="350">
          <cell r="D350" t="str">
            <v>Pulau Kaung</v>
          </cell>
          <cell r="E350" t="str">
            <v>PT. Asuka Engineering Indonesia</v>
          </cell>
          <cell r="F350">
            <v>3214500000</v>
          </cell>
          <cell r="H350" t="str">
            <v>Gresik</v>
          </cell>
          <cell r="L350" t="str">
            <v>081358005070/efendi</v>
          </cell>
          <cell r="M350" t="str">
            <v>g</v>
          </cell>
          <cell r="O350" t="e">
            <v>#N/A</v>
          </cell>
          <cell r="P350">
            <v>0</v>
          </cell>
        </row>
        <row r="351">
          <cell r="D351" t="str">
            <v>Bozihona</v>
          </cell>
          <cell r="E351" t="str">
            <v>CV. Pribumi Abdi (Kecil)</v>
          </cell>
          <cell r="F351">
            <v>0</v>
          </cell>
          <cell r="H351" t="str">
            <v>Jakarta</v>
          </cell>
          <cell r="I351" t="str">
            <v>Online</v>
          </cell>
          <cell r="L351" t="str">
            <v>082276369250/jerry</v>
          </cell>
          <cell r="M351" t="str">
            <v>Pandu</v>
          </cell>
          <cell r="O351" t="e">
            <v>#N/A</v>
          </cell>
          <cell r="P351">
            <v>0</v>
          </cell>
        </row>
        <row r="352">
          <cell r="D352" t="str">
            <v>Lambu</v>
          </cell>
          <cell r="E352" t="str">
            <v>CV. Terang Globalindo</v>
          </cell>
          <cell r="F352">
            <v>3214500000</v>
          </cell>
          <cell r="H352" t="str">
            <v>Jakarta</v>
          </cell>
          <cell r="I352" t="str">
            <v>Online</v>
          </cell>
          <cell r="L352" t="str">
            <v>081236590774/ jeffry</v>
          </cell>
          <cell r="M352" t="str">
            <v>Gal-Angga</v>
          </cell>
          <cell r="O352" t="e">
            <v>#N/A</v>
          </cell>
          <cell r="P352">
            <v>0</v>
          </cell>
        </row>
        <row r="353">
          <cell r="D353" t="str">
            <v>Biluhu Barat</v>
          </cell>
          <cell r="E353" t="str">
            <v>PT. Mega Kreasi Bersinar</v>
          </cell>
          <cell r="F353">
            <v>4500000000</v>
          </cell>
          <cell r="L353" t="str">
            <v>082311097406/dedi</v>
          </cell>
          <cell r="M353" t="str">
            <v>Hyl</v>
          </cell>
          <cell r="O353" t="str">
            <v>PT. NISSI KARYA BERKELAS</v>
          </cell>
          <cell r="P353" t="str">
            <v>sudah</v>
          </cell>
        </row>
        <row r="354">
          <cell r="D354" t="str">
            <v>Biluhu Tengah</v>
          </cell>
          <cell r="E354" t="str">
            <v>PT. KARYA PALMALINDO ANUGERAH</v>
          </cell>
          <cell r="F354">
            <v>4500000000</v>
          </cell>
          <cell r="L354" t="str">
            <v>0811946557/sutanto</v>
          </cell>
          <cell r="M354" t="str">
            <v>Hyl</v>
          </cell>
          <cell r="O354" t="e">
            <v>#N/A</v>
          </cell>
          <cell r="P354" t="str">
            <v>sudah</v>
          </cell>
        </row>
        <row r="355">
          <cell r="D355" t="str">
            <v>Botubolu'O</v>
          </cell>
          <cell r="E355" t="str">
            <v>PT. Mega Kreasi Bersinar</v>
          </cell>
          <cell r="F355">
            <v>8042045000</v>
          </cell>
          <cell r="L355" t="str">
            <v>082311097406/dedi</v>
          </cell>
          <cell r="M355" t="str">
            <v>Hyl</v>
          </cell>
          <cell r="O355" t="str">
            <v>PT. NISSI KARYA BERKELAS</v>
          </cell>
          <cell r="P355" t="str">
            <v>sudah</v>
          </cell>
        </row>
        <row r="356">
          <cell r="D356" t="str">
            <v>Huwongo</v>
          </cell>
          <cell r="E356" t="str">
            <v>PT. KARYA PALMALINDO ANUGERAH</v>
          </cell>
          <cell r="F356">
            <v>4500000000</v>
          </cell>
          <cell r="L356" t="str">
            <v>0811946557/sutanto</v>
          </cell>
          <cell r="M356" t="str">
            <v>Hyl</v>
          </cell>
          <cell r="O356" t="e">
            <v>#N/A</v>
          </cell>
          <cell r="P356" t="str">
            <v>sudah</v>
          </cell>
        </row>
        <row r="357">
          <cell r="D357" t="str">
            <v>Lobuto</v>
          </cell>
          <cell r="E357" t="str">
            <v>PT. Mega Kreasi Bersinar</v>
          </cell>
          <cell r="F357">
            <v>4500000000</v>
          </cell>
          <cell r="L357" t="str">
            <v>082311097406/dedi</v>
          </cell>
          <cell r="M357" t="str">
            <v>Hyl</v>
          </cell>
          <cell r="O357" t="str">
            <v>PT. NISSI KARYA BERKELAS</v>
          </cell>
          <cell r="P357" t="str">
            <v>sudah</v>
          </cell>
        </row>
        <row r="358">
          <cell r="D358" t="str">
            <v>Olimeyala</v>
          </cell>
          <cell r="E358" t="str">
            <v>PT. KARYA PALMALINDO ANUGERAH</v>
          </cell>
          <cell r="F358">
            <v>4500000000</v>
          </cell>
          <cell r="L358" t="str">
            <v>0811946557/sutanto</v>
          </cell>
          <cell r="M358" t="str">
            <v>Hyl</v>
          </cell>
          <cell r="O358" t="e">
            <v>#N/A</v>
          </cell>
          <cell r="P358" t="str">
            <v>sudah</v>
          </cell>
        </row>
        <row r="359">
          <cell r="D359" t="str">
            <v>Olimoo'O</v>
          </cell>
          <cell r="E359" t="str">
            <v>PT. KARYA PALMALINDO ANUGERAH</v>
          </cell>
          <cell r="F359">
            <v>4190608000</v>
          </cell>
          <cell r="L359" t="str">
            <v>0811946557/sutanto</v>
          </cell>
          <cell r="M359" t="str">
            <v>Hyl</v>
          </cell>
          <cell r="O359" t="e">
            <v>#N/A</v>
          </cell>
          <cell r="P359" t="str">
            <v>sudah</v>
          </cell>
        </row>
        <row r="360">
          <cell r="D360" t="str">
            <v>Taula'a</v>
          </cell>
          <cell r="E360" t="str">
            <v>PT. KARYA PALMALINDO ANUGERAH</v>
          </cell>
          <cell r="F360">
            <v>0</v>
          </cell>
          <cell r="L360" t="str">
            <v>0811946557/sutanto</v>
          </cell>
          <cell r="M360" t="str">
            <v>Hyl</v>
          </cell>
          <cell r="O360" t="e">
            <v>#N/A</v>
          </cell>
          <cell r="P360" t="str">
            <v>sudah</v>
          </cell>
        </row>
        <row r="361">
          <cell r="D361" t="str">
            <v>Lasiana</v>
          </cell>
          <cell r="E361" t="str">
            <v>PT. Pandan Arum</v>
          </cell>
          <cell r="F361">
            <v>7342100000</v>
          </cell>
          <cell r="L361">
            <v>81297992918</v>
          </cell>
          <cell r="M361" t="str">
            <v>fraksi roem</v>
          </cell>
          <cell r="O361" t="e">
            <v>#N/A</v>
          </cell>
          <cell r="P361">
            <v>0</v>
          </cell>
        </row>
        <row r="362">
          <cell r="D362" t="str">
            <v>Namosain</v>
          </cell>
          <cell r="E362" t="str">
            <v>PT. Citra Timor Mandiri (Menengah)</v>
          </cell>
          <cell r="F362">
            <v>4678000000</v>
          </cell>
          <cell r="H362" t="str">
            <v>Kupang</v>
          </cell>
          <cell r="I362" t="str">
            <v>Online</v>
          </cell>
          <cell r="L362" t="str">
            <v>ptcitratimormandiri230@gmail.com/081358008396/081339326744</v>
          </cell>
          <cell r="M362" t="str">
            <v>tambah 1 lokasi tablolong</v>
          </cell>
          <cell r="O362" t="e">
            <v>#N/A</v>
          </cell>
          <cell r="P362">
            <v>0</v>
          </cell>
        </row>
        <row r="363">
          <cell r="D363" t="str">
            <v>Nunbaun Delha</v>
          </cell>
          <cell r="E363" t="str">
            <v>PT. Citra Timor Mandiri (Menengah)</v>
          </cell>
          <cell r="F363">
            <v>0</v>
          </cell>
          <cell r="H363" t="str">
            <v>Kupang</v>
          </cell>
          <cell r="I363" t="str">
            <v>Online</v>
          </cell>
          <cell r="L363" t="str">
            <v>ptcitratimormandiri230@gmail.com/081358008396/081339326744</v>
          </cell>
          <cell r="M363" t="str">
            <v>tambah 1 lokasi tablolong</v>
          </cell>
          <cell r="O363" t="e">
            <v>#N/A</v>
          </cell>
          <cell r="P363">
            <v>0</v>
          </cell>
        </row>
        <row r="364">
          <cell r="D364" t="str">
            <v>Oesapa</v>
          </cell>
          <cell r="E364" t="str">
            <v>PT. Pandan Arum</v>
          </cell>
          <cell r="F364">
            <v>3214500000</v>
          </cell>
          <cell r="L364">
            <v>81297992918</v>
          </cell>
          <cell r="M364" t="str">
            <v>fraksi roem</v>
          </cell>
          <cell r="O364" t="e">
            <v>#N/A</v>
          </cell>
          <cell r="P364">
            <v>0</v>
          </cell>
        </row>
        <row r="365">
          <cell r="D365" t="str">
            <v>Oesapa Barat</v>
          </cell>
          <cell r="E365" t="str">
            <v>PT. Pandan Arum</v>
          </cell>
          <cell r="F365">
            <v>0</v>
          </cell>
          <cell r="L365">
            <v>81297992918</v>
          </cell>
          <cell r="M365" t="str">
            <v>fraksi roem</v>
          </cell>
          <cell r="O365" t="e">
            <v>#N/A</v>
          </cell>
          <cell r="P365">
            <v>0</v>
          </cell>
        </row>
        <row r="366">
          <cell r="D366" t="str">
            <v>Pasir Panjang</v>
          </cell>
          <cell r="E366" t="str">
            <v>PT. Arkana Timor Raya</v>
          </cell>
          <cell r="F366">
            <v>0</v>
          </cell>
          <cell r="H366" t="str">
            <v>Kupang</v>
          </cell>
          <cell r="I366" t="str">
            <v>Online</v>
          </cell>
          <cell r="L366" t="str">
            <v>ptcitratimormandiri230@gmail.com/081358008396/081339326744</v>
          </cell>
          <cell r="M366" t="str">
            <v>tambah 1 lokasi tablolong/seto</v>
          </cell>
          <cell r="O366" t="e">
            <v>#N/A</v>
          </cell>
          <cell r="P366">
            <v>0</v>
          </cell>
        </row>
        <row r="367">
          <cell r="D367" t="str">
            <v>Hansisi</v>
          </cell>
          <cell r="E367" t="str">
            <v>PT. AMI Kamena Jaya</v>
          </cell>
          <cell r="F367">
            <v>3214500000</v>
          </cell>
          <cell r="L367" t="str">
            <v>081210805888/agus tobing</v>
          </cell>
          <cell r="M367" t="str">
            <v>TK</v>
          </cell>
          <cell r="O367" t="e">
            <v>#N/A</v>
          </cell>
          <cell r="P367">
            <v>0</v>
          </cell>
        </row>
        <row r="368">
          <cell r="D368" t="str">
            <v>Uiasa</v>
          </cell>
          <cell r="E368" t="str">
            <v>PT. AMI Kamena Jaya</v>
          </cell>
          <cell r="F368">
            <v>3214500000</v>
          </cell>
          <cell r="L368" t="str">
            <v>081210805888/agus tobing</v>
          </cell>
          <cell r="M368" t="str">
            <v>TK</v>
          </cell>
          <cell r="O368" t="e">
            <v>#N/A</v>
          </cell>
          <cell r="P368">
            <v>0</v>
          </cell>
        </row>
        <row r="369">
          <cell r="D369" t="str">
            <v>Karangrejo</v>
          </cell>
          <cell r="E369" t="str">
            <v>CV. EMWE Perkasa</v>
          </cell>
          <cell r="F369">
            <v>0</v>
          </cell>
          <cell r="L369" t="str">
            <v>082302408223/alamsyah</v>
          </cell>
          <cell r="M369" t="str">
            <v>Put</v>
          </cell>
          <cell r="O369" t="e">
            <v>#N/A</v>
          </cell>
          <cell r="P369" t="str">
            <v>sudah</v>
          </cell>
        </row>
        <row r="370">
          <cell r="D370" t="str">
            <v>Kedungrejo</v>
          </cell>
          <cell r="E370" t="str">
            <v>CV. Megah Makmur Konstruksi</v>
          </cell>
          <cell r="F370">
            <v>2551998000</v>
          </cell>
          <cell r="I370" t="str">
            <v>Offline</v>
          </cell>
          <cell r="L370" t="str">
            <v>081399744929/ajeng</v>
          </cell>
          <cell r="M370" t="str">
            <v>g</v>
          </cell>
          <cell r="O370" t="e">
            <v>#N/A</v>
          </cell>
          <cell r="P370" t="str">
            <v>sudah</v>
          </cell>
        </row>
        <row r="371">
          <cell r="D371" t="str">
            <v>Leleoto</v>
          </cell>
          <cell r="F371">
            <v>0</v>
          </cell>
          <cell r="O371" t="e">
            <v>#N/A</v>
          </cell>
          <cell r="P371">
            <v>0</v>
          </cell>
        </row>
        <row r="372">
          <cell r="D372" t="str">
            <v>Tolonuo</v>
          </cell>
          <cell r="F372">
            <v>0</v>
          </cell>
          <cell r="O372" t="e">
            <v>#N/A</v>
          </cell>
          <cell r="P372">
            <v>0</v>
          </cell>
        </row>
        <row r="373">
          <cell r="D373" t="str">
            <v>Kupa</v>
          </cell>
          <cell r="E373" t="str">
            <v>CV. LIAN</v>
          </cell>
          <cell r="F373">
            <v>7855274000</v>
          </cell>
          <cell r="G373" t="str">
            <v>Nodin PPK 4 Juni 2026</v>
          </cell>
          <cell r="K373" t="str">
            <v>Proses Kontrak (Pokja)</v>
          </cell>
          <cell r="L373" t="str">
            <v>08114212144/yafet</v>
          </cell>
          <cell r="M373" t="str">
            <v>Hyl</v>
          </cell>
          <cell r="O373" t="str">
            <v>CV. LIAN</v>
          </cell>
          <cell r="P373" t="str">
            <v>sudah</v>
          </cell>
        </row>
        <row r="374">
          <cell r="D374" t="str">
            <v>Siddo</v>
          </cell>
          <cell r="E374" t="str">
            <v>PT. PASELE KARYA PRATAMA</v>
          </cell>
          <cell r="F374">
            <v>4805899000</v>
          </cell>
          <cell r="L374" t="str">
            <v>081228107108/Victor</v>
          </cell>
          <cell r="M374" t="str">
            <v>Hyl</v>
          </cell>
          <cell r="O374" t="e">
            <v>#N/A</v>
          </cell>
          <cell r="P374" t="str">
            <v>sudah</v>
          </cell>
        </row>
        <row r="375">
          <cell r="D375" t="str">
            <v>Takkalasi</v>
          </cell>
          <cell r="E375" t="str">
            <v>CV. LIAN</v>
          </cell>
          <cell r="F375">
            <v>5692343000</v>
          </cell>
          <cell r="G375" t="str">
            <v>Nodin PPK 4 Juni 2026</v>
          </cell>
          <cell r="K375" t="str">
            <v>Proses Kontrak (Pokja)</v>
          </cell>
          <cell r="L375" t="str">
            <v>08114212144/yafet</v>
          </cell>
          <cell r="M375" t="str">
            <v>Hyl</v>
          </cell>
          <cell r="O375" t="str">
            <v>CV. LIAN</v>
          </cell>
          <cell r="P375" t="str">
            <v>sudah</v>
          </cell>
        </row>
        <row r="376">
          <cell r="D376" t="str">
            <v>Lumpue</v>
          </cell>
          <cell r="E376" t="str">
            <v>PT Viqry Sanjaya Putra</v>
          </cell>
          <cell r="F376">
            <v>5059580000</v>
          </cell>
          <cell r="G376" t="str">
            <v>Nodin PPK 4 Juni 2026</v>
          </cell>
          <cell r="K376" t="str">
            <v>Proses Kontrak (Pokja)</v>
          </cell>
          <cell r="L376" t="str">
            <v>081342161100/Syamsul</v>
          </cell>
          <cell r="M376" t="str">
            <v>Hyl</v>
          </cell>
          <cell r="O376" t="str">
            <v>PT Viqry Sanjaya Putra</v>
          </cell>
          <cell r="P376" t="str">
            <v>sudah</v>
          </cell>
        </row>
        <row r="377">
          <cell r="D377" t="str">
            <v>Watang Soreang</v>
          </cell>
          <cell r="E377" t="str">
            <v>PT Viqry Sanjaya Putra</v>
          </cell>
          <cell r="F377">
            <v>4943751000</v>
          </cell>
          <cell r="G377" t="str">
            <v>Nodin PPK 4 Juni 2026</v>
          </cell>
          <cell r="H377" t="str">
            <v>Pare Pare</v>
          </cell>
          <cell r="I377" t="str">
            <v>Online</v>
          </cell>
          <cell r="K377" t="str">
            <v>Proses Kontrak (Pokja)</v>
          </cell>
          <cell r="L377" t="str">
            <v>081342161100/Syamsul</v>
          </cell>
          <cell r="M377" t="str">
            <v>Hyl</v>
          </cell>
          <cell r="O377" t="str">
            <v>PT Viqry Sanjaya Putra</v>
          </cell>
          <cell r="P377" t="str">
            <v>sudah</v>
          </cell>
        </row>
        <row r="378">
          <cell r="D378" t="str">
            <v>Lero</v>
          </cell>
          <cell r="E378" t="str">
            <v>CV. Buana Bahari</v>
          </cell>
          <cell r="F378">
            <v>4500000000</v>
          </cell>
          <cell r="G378" t="str">
            <v>Nodin PPK 11 Juni 2026</v>
          </cell>
          <cell r="K378" t="str">
            <v>Proses Kontrak (Pokja)</v>
          </cell>
          <cell r="M378" t="str">
            <v>Hyl</v>
          </cell>
          <cell r="O378" t="str">
            <v>CV. Buana Bahari</v>
          </cell>
          <cell r="P378" t="str">
            <v>sudah</v>
          </cell>
        </row>
        <row r="379">
          <cell r="D379" t="str">
            <v>Tasiwalie</v>
          </cell>
          <cell r="E379" t="str">
            <v>PT Viqry Sanjaya Putra</v>
          </cell>
          <cell r="F379">
            <v>4054891000</v>
          </cell>
          <cell r="L379" t="str">
            <v>081342161100/Syamsul</v>
          </cell>
          <cell r="M379" t="str">
            <v>Hyl</v>
          </cell>
          <cell r="O379" t="e">
            <v>#N/A</v>
          </cell>
          <cell r="P379" t="str">
            <v>sudah</v>
          </cell>
        </row>
        <row r="380">
          <cell r="D380" t="str">
            <v>Waetuoe</v>
          </cell>
          <cell r="E380" t="str">
            <v>PT Viqry Sanjaya Putra</v>
          </cell>
          <cell r="F380">
            <v>4812238000</v>
          </cell>
          <cell r="L380" t="str">
            <v>081342161100/Syamsul</v>
          </cell>
          <cell r="M380" t="str">
            <v>Hyl</v>
          </cell>
          <cell r="O380" t="e">
            <v>#N/A</v>
          </cell>
          <cell r="P380" t="str">
            <v>sudah</v>
          </cell>
        </row>
        <row r="381">
          <cell r="D381" t="str">
            <v>Galebo</v>
          </cell>
          <cell r="F381">
            <v>0</v>
          </cell>
          <cell r="O381" t="e">
            <v>#N/A</v>
          </cell>
          <cell r="P381">
            <v>0</v>
          </cell>
        </row>
        <row r="382">
          <cell r="D382" t="str">
            <v>Jorjoga</v>
          </cell>
          <cell r="F382">
            <v>0</v>
          </cell>
          <cell r="O382" t="e">
            <v>#N/A</v>
          </cell>
          <cell r="P382">
            <v>0</v>
          </cell>
        </row>
        <row r="383">
          <cell r="D383" t="str">
            <v>Kasango</v>
          </cell>
          <cell r="F383">
            <v>0</v>
          </cell>
          <cell r="O383" t="e">
            <v>#N/A</v>
          </cell>
          <cell r="P383">
            <v>0</v>
          </cell>
        </row>
        <row r="384">
          <cell r="D384" t="str">
            <v>Limbo</v>
          </cell>
          <cell r="F384">
            <v>0</v>
          </cell>
          <cell r="O384" t="e">
            <v>#N/A</v>
          </cell>
          <cell r="P384">
            <v>0</v>
          </cell>
        </row>
        <row r="385">
          <cell r="D385" t="str">
            <v>Nunu</v>
          </cell>
          <cell r="F385">
            <v>0</v>
          </cell>
          <cell r="O385" t="e">
            <v>#N/A</v>
          </cell>
          <cell r="P385">
            <v>0</v>
          </cell>
        </row>
        <row r="386">
          <cell r="D386" t="str">
            <v>Talo</v>
          </cell>
          <cell r="F386">
            <v>0</v>
          </cell>
          <cell r="O386" t="e">
            <v>#N/A</v>
          </cell>
          <cell r="P386">
            <v>0</v>
          </cell>
        </row>
        <row r="387">
          <cell r="D387" t="str">
            <v>Wayo</v>
          </cell>
          <cell r="F387">
            <v>0</v>
          </cell>
          <cell r="O387" t="e">
            <v>#N/A</v>
          </cell>
          <cell r="P387">
            <v>0</v>
          </cell>
        </row>
        <row r="388">
          <cell r="D388" t="str">
            <v>Kabalukin</v>
          </cell>
          <cell r="F388">
            <v>0</v>
          </cell>
          <cell r="O388" t="e">
            <v>#N/A</v>
          </cell>
          <cell r="P388">
            <v>0</v>
          </cell>
        </row>
        <row r="389">
          <cell r="D389" t="str">
            <v>Samang</v>
          </cell>
          <cell r="F389">
            <v>0</v>
          </cell>
          <cell r="O389" t="e">
            <v>#N/A</v>
          </cell>
          <cell r="P389">
            <v>0</v>
          </cell>
        </row>
        <row r="390">
          <cell r="D390" t="str">
            <v>Lontar</v>
          </cell>
          <cell r="E390" t="str">
            <v>CV. Masa Barokah</v>
          </cell>
          <cell r="F390">
            <v>3043921000</v>
          </cell>
          <cell r="I390" t="str">
            <v>Online</v>
          </cell>
          <cell r="L390" t="str">
            <v>081212846377/eko</v>
          </cell>
          <cell r="M390" t="str">
            <v>TK ganti perusahaan kecil karena pagu dibawah 15 miliar</v>
          </cell>
          <cell r="O390" t="e">
            <v>#N/A</v>
          </cell>
          <cell r="P390" t="str">
            <v>sudah</v>
          </cell>
        </row>
        <row r="391">
          <cell r="D391" t="str">
            <v>Margagiri</v>
          </cell>
          <cell r="E391" t="str">
            <v>CV. Masa Barokah</v>
          </cell>
          <cell r="F391">
            <v>0</v>
          </cell>
          <cell r="I391" t="str">
            <v>Online</v>
          </cell>
          <cell r="L391" t="str">
            <v>081212846377/eko</v>
          </cell>
          <cell r="M391" t="str">
            <v>TK ganti perusahaan kecil karena pagu dibawah 15 miliar</v>
          </cell>
          <cell r="O391" t="e">
            <v>#N/A</v>
          </cell>
          <cell r="P391" t="str">
            <v>sudah</v>
          </cell>
        </row>
        <row r="392">
          <cell r="D392" t="str">
            <v>Tengkurak</v>
          </cell>
          <cell r="E392" t="str">
            <v>CV. Masa Barokah</v>
          </cell>
          <cell r="F392">
            <v>3682852000</v>
          </cell>
          <cell r="I392" t="str">
            <v>Online</v>
          </cell>
          <cell r="L392" t="str">
            <v>081212846377/eko</v>
          </cell>
          <cell r="M392" t="str">
            <v>TK ganti perusahaan kecil karena pagu dibawah 15 miliar</v>
          </cell>
          <cell r="O392" t="e">
            <v>#N/A</v>
          </cell>
          <cell r="P392" t="str">
            <v>sudah</v>
          </cell>
        </row>
        <row r="393">
          <cell r="D393" t="str">
            <v>Ketapang</v>
          </cell>
          <cell r="E393" t="str">
            <v>CV. Perfekta Solusindo Utama</v>
          </cell>
          <cell r="F393">
            <v>1664437000</v>
          </cell>
          <cell r="H393" t="str">
            <v>Tangerang (Kecil)</v>
          </cell>
          <cell r="I393" t="str">
            <v>Online</v>
          </cell>
          <cell r="L393" t="str">
            <v>087887547626/andi</v>
          </cell>
          <cell r="M393" t="str">
            <v>Pandu (Baru)</v>
          </cell>
          <cell r="N393" t="str">
            <v>ok</v>
          </cell>
          <cell r="O393" t="e">
            <v>#N/A</v>
          </cell>
          <cell r="P393" t="str">
            <v>sudah</v>
          </cell>
        </row>
        <row r="394">
          <cell r="D394" t="str">
            <v>Lontar</v>
          </cell>
          <cell r="E394" t="str">
            <v>CV. Masa Barokah</v>
          </cell>
          <cell r="F394">
            <v>3043921000</v>
          </cell>
          <cell r="L394" t="str">
            <v>081212846377/eko</v>
          </cell>
          <cell r="M394" t="str">
            <v>TK ganti perusahaan kecil karena pagu dibawah 15 miliar</v>
          </cell>
          <cell r="O394" t="e">
            <v>#N/A</v>
          </cell>
          <cell r="P394" t="str">
            <v>sudah</v>
          </cell>
        </row>
        <row r="395">
          <cell r="D395" t="str">
            <v>Tanjung Anom</v>
          </cell>
          <cell r="E395" t="str">
            <v>CV. Inti Perkasa</v>
          </cell>
          <cell r="F395">
            <v>2367488000</v>
          </cell>
          <cell r="H395" t="str">
            <v>Tangerang (Kecil)</v>
          </cell>
          <cell r="I395" t="str">
            <v>Online</v>
          </cell>
          <cell r="L395">
            <v>82311097406</v>
          </cell>
          <cell r="M395" t="str">
            <v>Pandu (Baru)</v>
          </cell>
          <cell r="N395" t="str">
            <v>ok</v>
          </cell>
          <cell r="O395" t="e">
            <v>#N/A</v>
          </cell>
          <cell r="P395" t="str">
            <v>sudah</v>
          </cell>
        </row>
        <row r="396">
          <cell r="D396" t="str">
            <v>Tomalou</v>
          </cell>
          <cell r="F396">
            <v>0</v>
          </cell>
          <cell r="O396" t="e">
            <v>#N/A</v>
          </cell>
          <cell r="P396">
            <v>0</v>
          </cell>
        </row>
        <row r="397">
          <cell r="D397" t="str">
            <v>Malaju</v>
          </cell>
          <cell r="E397" t="str">
            <v>PT. Masco Energi</v>
          </cell>
          <cell r="F397">
            <v>7342100000</v>
          </cell>
          <cell r="H397" t="str">
            <v>Sumbawa</v>
          </cell>
          <cell r="I397" t="str">
            <v>Online</v>
          </cell>
          <cell r="L397" t="str">
            <v>081112300889/edi</v>
          </cell>
          <cell r="M397" t="str">
            <v>TK</v>
          </cell>
          <cell r="O397" t="e">
            <v>#N/A</v>
          </cell>
          <cell r="P397">
            <v>0</v>
          </cell>
        </row>
        <row r="398">
          <cell r="D398" t="str">
            <v>Besi</v>
          </cell>
          <cell r="F398">
            <v>0</v>
          </cell>
          <cell r="O398" t="e">
            <v>#N/A</v>
          </cell>
          <cell r="P398">
            <v>0</v>
          </cell>
        </row>
        <row r="399">
          <cell r="D399" t="str">
            <v>Labuan</v>
          </cell>
          <cell r="F399">
            <v>0</v>
          </cell>
          <cell r="O399" t="e">
            <v>#N/A</v>
          </cell>
          <cell r="P399">
            <v>0</v>
          </cell>
        </row>
        <row r="400">
          <cell r="D400" t="str">
            <v>Malaku</v>
          </cell>
          <cell r="F400">
            <v>0</v>
          </cell>
          <cell r="O400" t="e">
            <v>#N/A</v>
          </cell>
          <cell r="P400">
            <v>0</v>
          </cell>
        </row>
        <row r="401">
          <cell r="D401" t="str">
            <v>Olong</v>
          </cell>
          <cell r="F401">
            <v>0</v>
          </cell>
          <cell r="O401" t="e">
            <v>#N/A</v>
          </cell>
          <cell r="P401">
            <v>0</v>
          </cell>
        </row>
        <row r="402">
          <cell r="D402" t="str">
            <v>Lanosangia</v>
          </cell>
          <cell r="E402" t="str">
            <v>PT. VTB Jaya Makmur</v>
          </cell>
          <cell r="F402">
            <v>7647714000</v>
          </cell>
          <cell r="G402" t="str">
            <v>Nodin PPK 11 Juni 2026</v>
          </cell>
          <cell r="I402" t="str">
            <v>Online</v>
          </cell>
          <cell r="K402" t="str">
            <v>Proses Kontrak (Pokja)</v>
          </cell>
          <cell r="L402" t="str">
            <v>085395302781/layla</v>
          </cell>
          <cell r="M402" t="str">
            <v>V</v>
          </cell>
          <cell r="O402" t="e">
            <v>#N/A</v>
          </cell>
          <cell r="P402" t="str">
            <v>sudah</v>
          </cell>
        </row>
        <row r="403">
          <cell r="D403" t="str">
            <v>Aia Bangih</v>
          </cell>
          <cell r="E403" t="str">
            <v>PT. Wijaya Karya Bangunan Gedung</v>
          </cell>
          <cell r="F403">
            <v>0</v>
          </cell>
          <cell r="O403" t="e">
            <v>#N/A</v>
          </cell>
          <cell r="P403">
            <v>0</v>
          </cell>
        </row>
        <row r="404">
          <cell r="D404" t="str">
            <v>Maligi</v>
          </cell>
          <cell r="E404" t="str">
            <v>PT. Wijaya Karya Bangunan Gedung</v>
          </cell>
          <cell r="F404">
            <v>7123100000</v>
          </cell>
          <cell r="O404" t="e">
            <v>#N/A</v>
          </cell>
          <cell r="P404">
            <v>0</v>
          </cell>
        </row>
        <row r="405">
          <cell r="D405" t="str">
            <v>Ranah Pasisie</v>
          </cell>
          <cell r="E405" t="str">
            <v>PT. Wijaya Karya Bangunan Gedung</v>
          </cell>
          <cell r="F405">
            <v>4123000000</v>
          </cell>
          <cell r="O405" t="e">
            <v>#N/A</v>
          </cell>
          <cell r="P405">
            <v>0</v>
          </cell>
        </row>
        <row r="406">
          <cell r="D406" t="str">
            <v>Sasak</v>
          </cell>
          <cell r="E406" t="str">
            <v>PT. Wijaya Karya Bangunan Gedung</v>
          </cell>
          <cell r="F406">
            <v>0</v>
          </cell>
          <cell r="O406" t="e">
            <v>#N/A</v>
          </cell>
          <cell r="P406">
            <v>0</v>
          </cell>
        </row>
        <row r="407">
          <cell r="D407" t="str">
            <v>Lasalimu</v>
          </cell>
          <cell r="E407" t="str">
            <v>First Grand Synergy Indonesia</v>
          </cell>
          <cell r="F407">
            <v>5005536000</v>
          </cell>
          <cell r="L407" t="str">
            <v>0811377002/firman ahmad</v>
          </cell>
          <cell r="M407" t="str">
            <v>Put - Wirabaya direkomendasikan diganti karena ada urusan masyarakat lokal</v>
          </cell>
          <cell r="O407" t="e">
            <v>#N/A</v>
          </cell>
          <cell r="P407" t="str">
            <v>sudah</v>
          </cell>
        </row>
        <row r="408">
          <cell r="D408" t="str">
            <v>Manuru</v>
          </cell>
          <cell r="E408" t="str">
            <v>First Grand Synergy Indonesia</v>
          </cell>
          <cell r="F408">
            <v>8382783000</v>
          </cell>
          <cell r="G408" t="str">
            <v>Nodin PPK 11 Juni 2026</v>
          </cell>
          <cell r="K408" t="str">
            <v>Proses Kontrak (Pokja)</v>
          </cell>
          <cell r="L408" t="str">
            <v>0811377002/firman ahmad</v>
          </cell>
          <cell r="M408" t="str">
            <v>Put - Wirabaya direkomendasikan diganti karena ada urusan masyarakat lokal</v>
          </cell>
          <cell r="O408" t="e">
            <v>#N/A</v>
          </cell>
          <cell r="P408" t="str">
            <v>sudah</v>
          </cell>
        </row>
        <row r="409">
          <cell r="D409" t="str">
            <v>Kota Jawa</v>
          </cell>
          <cell r="E409" t="str">
            <v>PT. Innevo Karya Andesindo</v>
          </cell>
          <cell r="F409">
            <v>4123000000</v>
          </cell>
          <cell r="L409" t="str">
            <v>kiki/081373338328</v>
          </cell>
          <cell r="M409" t="str">
            <v>Aufar</v>
          </cell>
          <cell r="O409" t="e">
            <v>#N/A</v>
          </cell>
          <cell r="P409">
            <v>0</v>
          </cell>
        </row>
        <row r="410">
          <cell r="D410" t="str">
            <v>Marang</v>
          </cell>
          <cell r="E410" t="str">
            <v>PT. Innevo Karya Andesindo</v>
          </cell>
          <cell r="F410">
            <v>7123100000</v>
          </cell>
          <cell r="I410" t="str">
            <v>Offline</v>
          </cell>
          <cell r="L410" t="str">
            <v>kiki/081373338328</v>
          </cell>
          <cell r="M410" t="str">
            <v>Aufar</v>
          </cell>
          <cell r="O410" t="e">
            <v>#N/A</v>
          </cell>
          <cell r="P410">
            <v>0</v>
          </cell>
        </row>
        <row r="411">
          <cell r="D411" t="str">
            <v>Pasar Kota Krui</v>
          </cell>
          <cell r="E411" t="str">
            <v>PT. Innevo Karya Andesindo</v>
          </cell>
          <cell r="F411">
            <v>4123000000</v>
          </cell>
          <cell r="H411" t="str">
            <v>Kabupaten Sampang</v>
          </cell>
          <cell r="I411" t="str">
            <v>Online</v>
          </cell>
          <cell r="L411" t="str">
            <v>kiki/081373338328</v>
          </cell>
          <cell r="M411" t="str">
            <v>Aufar</v>
          </cell>
          <cell r="O411" t="e">
            <v>#N/A</v>
          </cell>
          <cell r="P411">
            <v>0</v>
          </cell>
        </row>
        <row r="412">
          <cell r="D412" t="str">
            <v>Muara Gading Mas</v>
          </cell>
          <cell r="E412" t="str">
            <v>PT. Ratu Nayla Mandiri</v>
          </cell>
          <cell r="F412">
            <v>5355406000</v>
          </cell>
          <cell r="H412" t="str">
            <v>Gresik</v>
          </cell>
          <cell r="I412" t="str">
            <v>Online</v>
          </cell>
          <cell r="L412" t="str">
            <v>pt.ratunaylamandiri313@gmail.com/081212846377</v>
          </cell>
          <cell r="M412" t="str">
            <v>TK</v>
          </cell>
          <cell r="O412" t="e">
            <v>#N/A</v>
          </cell>
          <cell r="P412">
            <v>0</v>
          </cell>
        </row>
        <row r="413">
          <cell r="D413" t="str">
            <v>Mbuliwaralau</v>
          </cell>
          <cell r="E413" t="str">
            <v>CV. Jawa Mai</v>
          </cell>
          <cell r="F413">
            <v>3214500000</v>
          </cell>
          <cell r="H413" t="str">
            <v>Ende</v>
          </cell>
          <cell r="I413" t="str">
            <v>Online</v>
          </cell>
          <cell r="L413">
            <v>81237969666</v>
          </cell>
          <cell r="M413" t="str">
            <v>Galuh-B</v>
          </cell>
          <cell r="O413" t="e">
            <v>#N/A</v>
          </cell>
          <cell r="P413">
            <v>0</v>
          </cell>
        </row>
        <row r="414">
          <cell r="D414" t="str">
            <v>Pasar Lama</v>
          </cell>
          <cell r="E414" t="str">
            <v>PT. Burniat Indah Karya</v>
          </cell>
          <cell r="F414">
            <v>4123000000</v>
          </cell>
          <cell r="H414" t="str">
            <v>Kota Bengkulu</v>
          </cell>
          <cell r="I414" t="str">
            <v>Offline</v>
          </cell>
          <cell r="L414" t="str">
            <v>pt.bik.59@gmail.com/0821-1975-6222</v>
          </cell>
          <cell r="O414" t="e">
            <v>#N/A</v>
          </cell>
          <cell r="P414">
            <v>0</v>
          </cell>
        </row>
        <row r="415">
          <cell r="D415" t="str">
            <v>Way Hawang</v>
          </cell>
          <cell r="E415" t="str">
            <v>PT. Burniat Indah Karya</v>
          </cell>
          <cell r="F415">
            <v>4123000000</v>
          </cell>
          <cell r="H415" t="str">
            <v>Kota Bengkulu</v>
          </cell>
          <cell r="I415" t="str">
            <v>Offline</v>
          </cell>
          <cell r="L415" t="str">
            <v>pt.bik.59@gmail.com/0821-1975-6222</v>
          </cell>
          <cell r="O415" t="e">
            <v>#N/A</v>
          </cell>
          <cell r="P415">
            <v>0</v>
          </cell>
        </row>
        <row r="416">
          <cell r="D416" t="str">
            <v>Balam</v>
          </cell>
          <cell r="E416" t="str">
            <v>PT. Burniat Indah Karya</v>
          </cell>
          <cell r="F416">
            <v>0</v>
          </cell>
          <cell r="H416" t="str">
            <v>Kota Bengkulu</v>
          </cell>
          <cell r="I416" t="str">
            <v>Offline</v>
          </cell>
          <cell r="L416" t="str">
            <v>pt.bik.59@gmail.com/0821-1975-6222</v>
          </cell>
          <cell r="O416" t="e">
            <v>#N/A</v>
          </cell>
          <cell r="P416">
            <v>0</v>
          </cell>
        </row>
        <row r="417">
          <cell r="D417" t="str">
            <v>Muara Bone</v>
          </cell>
          <cell r="E417" t="str">
            <v>PT. KARYA PALMALINDO ANUGERAH</v>
          </cell>
          <cell r="F417">
            <v>5300969000</v>
          </cell>
          <cell r="L417" t="str">
            <v>0811946557/sutanto</v>
          </cell>
          <cell r="M417" t="str">
            <v>Hyl</v>
          </cell>
          <cell r="O417" t="str">
            <v>PT. KARYA PALMALINDO ANUGERAH</v>
          </cell>
          <cell r="P417" t="str">
            <v>sudah</v>
          </cell>
        </row>
        <row r="418">
          <cell r="D418" t="str">
            <v>Muara Kelingi</v>
          </cell>
          <cell r="E418" t="str">
            <v>PT. Nanda Sungai Melintang (Kecil)</v>
          </cell>
          <cell r="F418">
            <v>0</v>
          </cell>
          <cell r="H418" t="str">
            <v>Musi Rawas</v>
          </cell>
          <cell r="I418" t="str">
            <v>Online</v>
          </cell>
          <cell r="O418" t="e">
            <v>#N/A</v>
          </cell>
          <cell r="P418">
            <v>0</v>
          </cell>
        </row>
        <row r="419">
          <cell r="D419" t="str">
            <v>Muara Rengas</v>
          </cell>
          <cell r="E419" t="str">
            <v>PT. Nanda Sungai Melintang (Kecil)</v>
          </cell>
          <cell r="F419">
            <v>0</v>
          </cell>
          <cell r="H419" t="str">
            <v>Musi Rawas</v>
          </cell>
          <cell r="I419" t="str">
            <v>Online</v>
          </cell>
          <cell r="O419" t="e">
            <v>#N/A</v>
          </cell>
          <cell r="P419">
            <v>0</v>
          </cell>
        </row>
        <row r="420">
          <cell r="D420" t="str">
            <v>Lewolaga</v>
          </cell>
          <cell r="E420" t="str">
            <v>PT. Arum Daya Sentausa</v>
          </cell>
          <cell r="F420">
            <v>0</v>
          </cell>
          <cell r="H420" t="str">
            <v>Ende</v>
          </cell>
          <cell r="I420" t="str">
            <v>Offline</v>
          </cell>
          <cell r="L420">
            <v>81287843669</v>
          </cell>
          <cell r="M420" t="str">
            <v>Galuh-B</v>
          </cell>
          <cell r="O420" t="e">
            <v>#N/A</v>
          </cell>
          <cell r="P420">
            <v>0</v>
          </cell>
        </row>
        <row r="421">
          <cell r="D421" t="str">
            <v>Ratulodong</v>
          </cell>
          <cell r="E421" t="str">
            <v>PT. Arum Daya Sentausa</v>
          </cell>
          <cell r="F421">
            <v>0</v>
          </cell>
          <cell r="L421">
            <v>81287843669</v>
          </cell>
          <cell r="M421" t="str">
            <v>Galuh-B</v>
          </cell>
          <cell r="O421" t="e">
            <v>#N/A</v>
          </cell>
          <cell r="P421">
            <v>0</v>
          </cell>
        </row>
        <row r="422">
          <cell r="D422" t="str">
            <v>Balo-Balo</v>
          </cell>
          <cell r="E422" t="str">
            <v>PT. Relis Sapindo Utama</v>
          </cell>
          <cell r="F422">
            <v>4396219000</v>
          </cell>
          <cell r="L422">
            <v>81341207077</v>
          </cell>
          <cell r="M422" t="str">
            <v>Hyl</v>
          </cell>
          <cell r="O422" t="str">
            <v>PT. Relis Sapindo Utama</v>
          </cell>
          <cell r="P422" t="str">
            <v>sudah</v>
          </cell>
        </row>
        <row r="423">
          <cell r="D423" t="str">
            <v>Bawalipu</v>
          </cell>
          <cell r="E423" t="str">
            <v>PT. Relis Sapindo Utama</v>
          </cell>
          <cell r="F423">
            <v>3316108000</v>
          </cell>
          <cell r="L423">
            <v>81341207077</v>
          </cell>
          <cell r="M423" t="str">
            <v>Hyl</v>
          </cell>
          <cell r="O423" t="str">
            <v>PT. Relis Sapindo Utama</v>
          </cell>
          <cell r="P423" t="str">
            <v>sudah</v>
          </cell>
        </row>
        <row r="424">
          <cell r="D424" t="str">
            <v>Burau Pantai</v>
          </cell>
          <cell r="E424" t="str">
            <v>PT. Relis Sapindo Utama</v>
          </cell>
          <cell r="F424">
            <v>6860687000</v>
          </cell>
          <cell r="G424" t="str">
            <v>Nodin PPK 4 Juni 2026</v>
          </cell>
          <cell r="H424" t="str">
            <v>Makassar</v>
          </cell>
          <cell r="I424" t="str">
            <v>Online</v>
          </cell>
          <cell r="K424" t="str">
            <v>SPPBJ</v>
          </cell>
          <cell r="L424">
            <v>81341207077</v>
          </cell>
          <cell r="M424" t="str">
            <v>Hyl</v>
          </cell>
          <cell r="O424" t="str">
            <v>PT. Relis Sapindo Utama</v>
          </cell>
          <cell r="P424" t="str">
            <v>sudah</v>
          </cell>
        </row>
        <row r="425">
          <cell r="D425" t="str">
            <v>Lampenai</v>
          </cell>
          <cell r="E425" t="str">
            <v>PT. Relis Sapindo Utama</v>
          </cell>
          <cell r="F425">
            <v>3853601000</v>
          </cell>
          <cell r="G425" t="str">
            <v>Nodin PPK 4 Juni 2026</v>
          </cell>
          <cell r="H425" t="str">
            <v>Makassar</v>
          </cell>
          <cell r="I425" t="str">
            <v>Online</v>
          </cell>
          <cell r="K425" t="str">
            <v>SPPBJ</v>
          </cell>
          <cell r="L425">
            <v>81341207077</v>
          </cell>
          <cell r="M425" t="str">
            <v>Hyl</v>
          </cell>
          <cell r="O425" t="str">
            <v>PT. Relis Sapindo Utama</v>
          </cell>
          <cell r="P425" t="str">
            <v>sudah</v>
          </cell>
        </row>
        <row r="426">
          <cell r="D426" t="str">
            <v>Mabonta</v>
          </cell>
          <cell r="E426" t="str">
            <v>PT. Relis Sapindo Utama</v>
          </cell>
          <cell r="F426">
            <v>11294902000</v>
          </cell>
          <cell r="G426" t="str">
            <v>Nodin PPK 4 Juni 2026</v>
          </cell>
          <cell r="H426" t="str">
            <v>Makassar</v>
          </cell>
          <cell r="I426" t="str">
            <v>Online</v>
          </cell>
          <cell r="K426" t="str">
            <v>SPPBJ</v>
          </cell>
          <cell r="L426">
            <v>81341207077</v>
          </cell>
          <cell r="M426" t="str">
            <v>Hyl</v>
          </cell>
          <cell r="O426" t="str">
            <v>PT. Relis Sapindo Utama</v>
          </cell>
          <cell r="P426" t="str">
            <v>sudah</v>
          </cell>
        </row>
        <row r="427">
          <cell r="D427" t="str">
            <v>Munte</v>
          </cell>
          <cell r="E427" t="str">
            <v>PT. Relis Sapindo Utama</v>
          </cell>
          <cell r="F427">
            <v>7243251000</v>
          </cell>
          <cell r="G427" t="str">
            <v>Nodin PPK 4 Juni 2026</v>
          </cell>
          <cell r="H427" t="str">
            <v>Makassar</v>
          </cell>
          <cell r="I427" t="str">
            <v>Online</v>
          </cell>
          <cell r="K427" t="str">
            <v>SPPBJ</v>
          </cell>
          <cell r="L427">
            <v>81341207077</v>
          </cell>
          <cell r="M427" t="str">
            <v>Hyl</v>
          </cell>
          <cell r="O427" t="str">
            <v>PT. Relis Sapindo Utama</v>
          </cell>
          <cell r="P427" t="str">
            <v>sudah</v>
          </cell>
        </row>
        <row r="428">
          <cell r="D428" t="str">
            <v>Tamuku</v>
          </cell>
          <cell r="E428" t="str">
            <v>PT. Putra Jaya</v>
          </cell>
          <cell r="F428">
            <v>4036365000</v>
          </cell>
          <cell r="G428" t="str">
            <v>Nodin PPK 26 Mei 2026</v>
          </cell>
          <cell r="H428" t="str">
            <v>Makassar</v>
          </cell>
          <cell r="I428" t="str">
            <v>Online</v>
          </cell>
          <cell r="K428" t="str">
            <v>Proses Kontrak (Pokja)</v>
          </cell>
          <cell r="O428" t="e">
            <v>#N/A</v>
          </cell>
          <cell r="P428">
            <v>0</v>
          </cell>
        </row>
        <row r="429">
          <cell r="D429" t="str">
            <v>Masawoy</v>
          </cell>
          <cell r="F429">
            <v>0</v>
          </cell>
          <cell r="O429" t="e">
            <v>#N/A</v>
          </cell>
          <cell r="P429">
            <v>0</v>
          </cell>
        </row>
        <row r="430">
          <cell r="D430" t="str">
            <v>Nalbessy</v>
          </cell>
          <cell r="F430">
            <v>0</v>
          </cell>
          <cell r="O430" t="e">
            <v>#N/A</v>
          </cell>
          <cell r="P430">
            <v>0</v>
          </cell>
        </row>
        <row r="431">
          <cell r="D431" t="str">
            <v>Nangadhero</v>
          </cell>
          <cell r="E431" t="str">
            <v>PT. Rajasa Nusa Jaya</v>
          </cell>
          <cell r="F431">
            <v>3214500000</v>
          </cell>
          <cell r="H431" t="str">
            <v>Bandung</v>
          </cell>
          <cell r="I431" t="str">
            <v>Online</v>
          </cell>
          <cell r="L431" t="str">
            <v>yustinaseriang@gmail.com/ 0822 3951 5803</v>
          </cell>
          <cell r="M431" t="str">
            <v>Gal-Angga</v>
          </cell>
          <cell r="O431" t="e">
            <v>#N/A</v>
          </cell>
          <cell r="P431">
            <v>0</v>
          </cell>
        </row>
        <row r="432">
          <cell r="D432" t="str">
            <v>Gunung Sari</v>
          </cell>
          <cell r="E432" t="str">
            <v>PT. Arum Daya Sentausa</v>
          </cell>
          <cell r="F432">
            <v>3214500000</v>
          </cell>
          <cell r="H432" t="str">
            <v>Ende</v>
          </cell>
          <cell r="I432" t="str">
            <v>Offline</v>
          </cell>
          <cell r="L432">
            <v>81287843669</v>
          </cell>
          <cell r="M432" t="str">
            <v>Galuh-B</v>
          </cell>
          <cell r="O432" t="e">
            <v>#N/A</v>
          </cell>
          <cell r="P432">
            <v>0</v>
          </cell>
        </row>
        <row r="433">
          <cell r="D433" t="str">
            <v>Nangahale</v>
          </cell>
          <cell r="E433" t="str">
            <v>PT. Arum Daya Sentausa</v>
          </cell>
          <cell r="F433">
            <v>7342100000</v>
          </cell>
          <cell r="H433" t="str">
            <v>Ende</v>
          </cell>
          <cell r="I433" t="str">
            <v>Offline</v>
          </cell>
          <cell r="L433">
            <v>81287843669</v>
          </cell>
          <cell r="M433" t="str">
            <v>Galuh-B</v>
          </cell>
          <cell r="O433" t="e">
            <v>#N/A</v>
          </cell>
          <cell r="P433">
            <v>0</v>
          </cell>
        </row>
        <row r="434">
          <cell r="D434" t="str">
            <v>Nangamiro</v>
          </cell>
          <cell r="E434" t="str">
            <v>PT. Lesindo Bersinar (menengah)</v>
          </cell>
          <cell r="F434">
            <v>3214500000</v>
          </cell>
          <cell r="H434" t="str">
            <v>Sumbawa</v>
          </cell>
          <cell r="I434" t="str">
            <v>Online</v>
          </cell>
          <cell r="L434" t="str">
            <v>082146481844/aris</v>
          </cell>
          <cell r="M434" t="str">
            <v>TK</v>
          </cell>
          <cell r="O434" t="e">
            <v>#N/A</v>
          </cell>
          <cell r="P434">
            <v>0</v>
          </cell>
        </row>
        <row r="435">
          <cell r="D435" t="str">
            <v>Hitulama</v>
          </cell>
          <cell r="F435">
            <v>0</v>
          </cell>
          <cell r="O435" t="e">
            <v>#N/A</v>
          </cell>
          <cell r="P435">
            <v>0</v>
          </cell>
        </row>
        <row r="436">
          <cell r="D436" t="str">
            <v>Negeri Lima</v>
          </cell>
          <cell r="F436">
            <v>0</v>
          </cell>
          <cell r="O436" t="e">
            <v>#N/A</v>
          </cell>
          <cell r="P436">
            <v>0</v>
          </cell>
        </row>
        <row r="437">
          <cell r="D437" t="str">
            <v>Api-Api</v>
          </cell>
          <cell r="F437">
            <v>4320000000</v>
          </cell>
          <cell r="H437" t="str">
            <v>Samarinda</v>
          </cell>
          <cell r="I437" t="str">
            <v>Online</v>
          </cell>
          <cell r="O437" t="e">
            <v>#N/A</v>
          </cell>
          <cell r="P437">
            <v>0</v>
          </cell>
        </row>
        <row r="438">
          <cell r="D438" t="str">
            <v>Nenang</v>
          </cell>
          <cell r="E438" t="str">
            <v>CV. Tobi Jaya Utama</v>
          </cell>
          <cell r="F438">
            <v>6932400000</v>
          </cell>
          <cell r="H438" t="str">
            <v>Samarinda</v>
          </cell>
          <cell r="I438" t="str">
            <v>Online</v>
          </cell>
          <cell r="L438">
            <v>85349778440</v>
          </cell>
          <cell r="M438" t="str">
            <v>hasan saleh</v>
          </cell>
          <cell r="O438" t="e">
            <v>#N/A</v>
          </cell>
          <cell r="P438">
            <v>0</v>
          </cell>
        </row>
        <row r="439">
          <cell r="D439" t="str">
            <v>Tanjung Tengah</v>
          </cell>
          <cell r="E439" t="str">
            <v>CV. Tobi Jaya Utama</v>
          </cell>
          <cell r="F439">
            <v>4320000000</v>
          </cell>
          <cell r="H439" t="str">
            <v>Samarinda</v>
          </cell>
          <cell r="I439" t="str">
            <v>Online</v>
          </cell>
          <cell r="L439">
            <v>85349778440</v>
          </cell>
          <cell r="M439" t="str">
            <v>hasan saleh</v>
          </cell>
          <cell r="O439" t="e">
            <v>#N/A</v>
          </cell>
          <cell r="P439">
            <v>0</v>
          </cell>
        </row>
        <row r="440">
          <cell r="D440" t="str">
            <v>Borimasunggu</v>
          </cell>
          <cell r="E440" t="str">
            <v>PT. PASELE KARYA PRATAMA</v>
          </cell>
          <cell r="F440">
            <v>4847136000</v>
          </cell>
          <cell r="L440" t="str">
            <v>081228107108/Victor</v>
          </cell>
          <cell r="M440" t="str">
            <v>Hyl</v>
          </cell>
          <cell r="O440" t="str">
            <v>PT. PASELE KARYA PRATAMA</v>
          </cell>
          <cell r="P440" t="str">
            <v>sudah</v>
          </cell>
        </row>
        <row r="441">
          <cell r="D441" t="str">
            <v>Pajjukukang</v>
          </cell>
          <cell r="E441" t="str">
            <v>PT. PASELE KARYA PRATAMA</v>
          </cell>
          <cell r="F441">
            <v>4500000000</v>
          </cell>
          <cell r="L441" t="str">
            <v>081228107108/Victor</v>
          </cell>
          <cell r="M441" t="str">
            <v>Hyl</v>
          </cell>
          <cell r="O441" t="str">
            <v>PT. PASELE KARYA PRATAMA</v>
          </cell>
          <cell r="P441" t="str">
            <v>sudah</v>
          </cell>
        </row>
        <row r="442">
          <cell r="D442" t="str">
            <v>Bulu Cindea</v>
          </cell>
          <cell r="E442" t="str">
            <v>PT. Bunaken Inti Nusantara</v>
          </cell>
          <cell r="F442">
            <v>0</v>
          </cell>
          <cell r="H442" t="str">
            <v>Bekasi</v>
          </cell>
          <cell r="I442" t="str">
            <v>Online</v>
          </cell>
          <cell r="L442">
            <v>8121023737</v>
          </cell>
          <cell r="M442" t="str">
            <v>Hyl</v>
          </cell>
          <cell r="O442" t="str">
            <v>PT. Bunaken Inti Nusantara</v>
          </cell>
          <cell r="P442" t="str">
            <v>lokasi ditolak masyarakat</v>
          </cell>
        </row>
        <row r="443">
          <cell r="D443" t="str">
            <v>Kulur</v>
          </cell>
          <cell r="F443">
            <v>0</v>
          </cell>
          <cell r="O443" t="e">
            <v>#N/A</v>
          </cell>
          <cell r="P443">
            <v>0</v>
          </cell>
        </row>
        <row r="444">
          <cell r="D444" t="str">
            <v>Nolloth</v>
          </cell>
          <cell r="F444">
            <v>0</v>
          </cell>
          <cell r="O444" t="e">
            <v>#N/A</v>
          </cell>
          <cell r="P444">
            <v>0</v>
          </cell>
        </row>
        <row r="445">
          <cell r="D445" t="str">
            <v>Pelauw</v>
          </cell>
          <cell r="F445">
            <v>0</v>
          </cell>
          <cell r="O445" t="e">
            <v>#N/A</v>
          </cell>
          <cell r="P445">
            <v>0</v>
          </cell>
        </row>
        <row r="446">
          <cell r="D446" t="str">
            <v>Sila</v>
          </cell>
          <cell r="F446">
            <v>0</v>
          </cell>
          <cell r="O446" t="e">
            <v>#N/A</v>
          </cell>
          <cell r="P446">
            <v>0</v>
          </cell>
        </row>
        <row r="447">
          <cell r="D447" t="str">
            <v>Yainuelo</v>
          </cell>
          <cell r="F447">
            <v>0</v>
          </cell>
          <cell r="O447" t="e">
            <v>#N/A</v>
          </cell>
          <cell r="P447">
            <v>0</v>
          </cell>
        </row>
        <row r="448">
          <cell r="D448" t="str">
            <v>Dete</v>
          </cell>
          <cell r="E448" t="str">
            <v>PT. Intan Jaya Koneksi Cabang Baubau</v>
          </cell>
          <cell r="F448">
            <v>4500000000</v>
          </cell>
          <cell r="H448" t="str">
            <v>SBU tidak ada</v>
          </cell>
          <cell r="L448">
            <v>85242082813</v>
          </cell>
          <cell r="M448" t="str">
            <v>fraksi roem</v>
          </cell>
          <cell r="O448" t="e">
            <v>#N/A</v>
          </cell>
          <cell r="P448" t="str">
            <v>Tim baru</v>
          </cell>
        </row>
        <row r="449">
          <cell r="D449" t="str">
            <v>Lamanggau</v>
          </cell>
          <cell r="E449" t="str">
            <v>PT. Intan Jaya Koneksi Cabang Baubau</v>
          </cell>
          <cell r="F449">
            <v>0</v>
          </cell>
          <cell r="L449">
            <v>85242082813</v>
          </cell>
          <cell r="M449" t="str">
            <v>Jaelani</v>
          </cell>
          <cell r="N449" t="str">
            <v>PT. Bangkit Bangun Persada</v>
          </cell>
          <cell r="O449" t="e">
            <v>#N/A</v>
          </cell>
          <cell r="P449" t="str">
            <v>Tim baru</v>
          </cell>
        </row>
        <row r="450">
          <cell r="D450" t="str">
            <v>Numana</v>
          </cell>
          <cell r="E450" t="str">
            <v>PT. Intan Jaya Koneksi Cabang Baubau</v>
          </cell>
          <cell r="F450">
            <v>8231000000</v>
          </cell>
          <cell r="H450" t="str">
            <v>SBU tidak ada</v>
          </cell>
          <cell r="L450">
            <v>85242082813</v>
          </cell>
          <cell r="M450" t="str">
            <v>fraksi roem</v>
          </cell>
          <cell r="O450" t="e">
            <v>#N/A</v>
          </cell>
          <cell r="P450" t="str">
            <v>Tim baru</v>
          </cell>
        </row>
        <row r="451">
          <cell r="D451" t="str">
            <v>Palahidu Barat</v>
          </cell>
          <cell r="E451" t="str">
            <v>PT. Intan Jaya Koneksi Cabang Baubau</v>
          </cell>
          <cell r="F451">
            <v>4500000000</v>
          </cell>
          <cell r="H451" t="str">
            <v>SBU tidak ada</v>
          </cell>
          <cell r="L451">
            <v>85242082813</v>
          </cell>
          <cell r="M451" t="str">
            <v>fraksi roem</v>
          </cell>
          <cell r="O451" t="e">
            <v>#N/A</v>
          </cell>
          <cell r="P451" t="str">
            <v>Tim baru</v>
          </cell>
        </row>
        <row r="452">
          <cell r="D452" t="str">
            <v>Klis</v>
          </cell>
          <cell r="F452">
            <v>0</v>
          </cell>
          <cell r="O452" t="e">
            <v>#N/A</v>
          </cell>
          <cell r="P452">
            <v>0</v>
          </cell>
        </row>
        <row r="453">
          <cell r="D453" t="str">
            <v>Nuwewang</v>
          </cell>
          <cell r="F453">
            <v>0</v>
          </cell>
          <cell r="O453" t="e">
            <v>#N/A</v>
          </cell>
          <cell r="P453">
            <v>0</v>
          </cell>
        </row>
        <row r="454">
          <cell r="D454" t="str">
            <v>Cemara kulon</v>
          </cell>
          <cell r="E454" t="str">
            <v>PT. Citra Mutiara Bangun Persada</v>
          </cell>
          <cell r="F454">
            <v>2930325000</v>
          </cell>
          <cell r="G454" t="str">
            <v>Nodin PPK 12 Juni 2026</v>
          </cell>
          <cell r="H454" t="str">
            <v>Bandung</v>
          </cell>
          <cell r="K454" t="str">
            <v>Proses Kontrak (Pokja)</v>
          </cell>
          <cell r="L454">
            <v>82116261526</v>
          </cell>
          <cell r="M454" t="str">
            <v>Sandi</v>
          </cell>
          <cell r="O454" t="e">
            <v>#N/A</v>
          </cell>
          <cell r="P454" t="str">
            <v>sudah</v>
          </cell>
        </row>
        <row r="455">
          <cell r="D455" t="str">
            <v>Dadap</v>
          </cell>
          <cell r="E455" t="str">
            <v>PT. Citra Mutiara Bangun Persada</v>
          </cell>
          <cell r="F455">
            <v>3458805000</v>
          </cell>
          <cell r="G455" t="str">
            <v>Nodin PPK 12 Juni 2026</v>
          </cell>
          <cell r="H455" t="str">
            <v>Bandung</v>
          </cell>
          <cell r="K455" t="str">
            <v>Proses Kontrak (Pokja)</v>
          </cell>
          <cell r="L455">
            <v>82116261526</v>
          </cell>
          <cell r="M455" t="str">
            <v>Sandi</v>
          </cell>
          <cell r="O455" t="e">
            <v>#N/A</v>
          </cell>
          <cell r="P455" t="str">
            <v>sudah</v>
          </cell>
        </row>
        <row r="456">
          <cell r="D456" t="str">
            <v>Pabeanudik</v>
          </cell>
          <cell r="E456" t="str">
            <v>PT. Citra Mutiara Bangun Persada</v>
          </cell>
          <cell r="F456">
            <v>5742556000</v>
          </cell>
          <cell r="G456" t="str">
            <v>Nodin PPK 12 Juni 2026</v>
          </cell>
          <cell r="H456" t="str">
            <v>Bandung</v>
          </cell>
          <cell r="K456" t="str">
            <v>Proses Kontrak (Pokja)</v>
          </cell>
          <cell r="L456">
            <v>82116261526</v>
          </cell>
          <cell r="M456" t="str">
            <v>Sandi</v>
          </cell>
          <cell r="O456" t="e">
            <v>#N/A</v>
          </cell>
          <cell r="P456" t="str">
            <v>sudah</v>
          </cell>
        </row>
        <row r="457">
          <cell r="D457" t="str">
            <v>Pareangirang</v>
          </cell>
          <cell r="E457" t="str">
            <v>PT. Citra Mutiara Bangun Persada</v>
          </cell>
          <cell r="F457">
            <v>2314000000</v>
          </cell>
          <cell r="G457" t="str">
            <v>Nodin PPK 12 Juni 2026</v>
          </cell>
          <cell r="H457" t="str">
            <v>Bandung</v>
          </cell>
          <cell r="K457" t="str">
            <v>Proses Kontrak (Pokja)</v>
          </cell>
          <cell r="L457">
            <v>82116261526</v>
          </cell>
          <cell r="M457" t="str">
            <v>Sandi</v>
          </cell>
          <cell r="O457" t="e">
            <v>#N/A</v>
          </cell>
          <cell r="P457" t="str">
            <v>sudah</v>
          </cell>
        </row>
        <row r="458">
          <cell r="D458" t="str">
            <v>Singaraja</v>
          </cell>
          <cell r="E458" t="str">
            <v>PT. Karina Prima Utama (Kecil)</v>
          </cell>
          <cell r="F458">
            <v>2314000000</v>
          </cell>
          <cell r="H458" t="str">
            <v>Cimahi (Kecil)</v>
          </cell>
          <cell r="I458" t="str">
            <v>Online</v>
          </cell>
          <cell r="K458" t="str">
            <v>Proses Kontrak (Pokja)</v>
          </cell>
          <cell r="L458" t="str">
            <v>0822-1914-4044/rizal</v>
          </cell>
          <cell r="M458" t="str">
            <v>Rohmi</v>
          </cell>
          <cell r="O458" t="e">
            <v>#N/A</v>
          </cell>
          <cell r="P458" t="str">
            <v>tidak ada lahan</v>
          </cell>
        </row>
        <row r="459">
          <cell r="D459" t="str">
            <v>Ujunggebang</v>
          </cell>
          <cell r="E459" t="str">
            <v>CV. Aufa Cikal Pasundan (Kecil)</v>
          </cell>
          <cell r="F459">
            <v>4596448000</v>
          </cell>
          <cell r="L459" t="str">
            <v>081320935494/risca</v>
          </cell>
          <cell r="M459" t="str">
            <v>Rohmi</v>
          </cell>
          <cell r="O459" t="e">
            <v>#N/A</v>
          </cell>
          <cell r="P459" t="str">
            <v>sudah</v>
          </cell>
        </row>
        <row r="460">
          <cell r="D460" t="str">
            <v>Bontorannu</v>
          </cell>
          <cell r="E460" t="str">
            <v>PT. Piranti Jagad Raya</v>
          </cell>
          <cell r="F460">
            <v>5077776045</v>
          </cell>
          <cell r="G460" t="str">
            <v>Nodin PPK 3 Juni 2026</v>
          </cell>
          <cell r="H460" t="str">
            <v>Makassar</v>
          </cell>
          <cell r="I460" t="str">
            <v>Online</v>
          </cell>
          <cell r="K460" t="str">
            <v>Proses Kontrak (Pokja)</v>
          </cell>
          <cell r="L460" t="str">
            <v>Suyanto/2397888857</v>
          </cell>
          <cell r="M460" t="str">
            <v>Hyl</v>
          </cell>
          <cell r="O460" t="str">
            <v>PT. Piranti Jagad Raya</v>
          </cell>
          <cell r="P460" t="str">
            <v>sudah</v>
          </cell>
        </row>
        <row r="461">
          <cell r="D461" t="str">
            <v>Pabiringa</v>
          </cell>
          <cell r="E461" t="str">
            <v>PT. Piranti Jagad Raya</v>
          </cell>
          <cell r="F461">
            <v>7939720061</v>
          </cell>
          <cell r="G461" t="str">
            <v>Nodin PPK 3 Juni 2026</v>
          </cell>
          <cell r="H461" t="str">
            <v>Makassar</v>
          </cell>
          <cell r="I461" t="str">
            <v>Online</v>
          </cell>
          <cell r="K461" t="str">
            <v>Proses Kontrak (Pokja)</v>
          </cell>
          <cell r="L461" t="str">
            <v>Suyanto/2397888857</v>
          </cell>
          <cell r="M461" t="str">
            <v>Hyl</v>
          </cell>
          <cell r="O461" t="str">
            <v>PT. Piranti Jagad Raya</v>
          </cell>
          <cell r="P461" t="str">
            <v>sudah</v>
          </cell>
        </row>
        <row r="462">
          <cell r="D462" t="str">
            <v>Punagaya</v>
          </cell>
          <cell r="E462" t="str">
            <v>PT. Piranti Jagad Raya</v>
          </cell>
          <cell r="F462">
            <v>3857486780</v>
          </cell>
          <cell r="G462" t="str">
            <v>Nodin PPK 3 Juni 2026</v>
          </cell>
          <cell r="H462" t="str">
            <v>Makassar</v>
          </cell>
          <cell r="I462" t="str">
            <v>Online</v>
          </cell>
          <cell r="K462" t="str">
            <v>Proses Kontrak (Pokja)</v>
          </cell>
          <cell r="L462" t="str">
            <v>Suyanto/2397888857</v>
          </cell>
          <cell r="M462" t="str">
            <v>Hyl</v>
          </cell>
          <cell r="O462" t="str">
            <v>PT. Piranti Jagad Raya</v>
          </cell>
          <cell r="P462" t="str">
            <v>sudah</v>
          </cell>
        </row>
        <row r="463">
          <cell r="D463" t="str">
            <v>Seulayat Ulakan</v>
          </cell>
          <cell r="E463" t="str">
            <v>PT. Catur Pilar Cakrawala</v>
          </cell>
          <cell r="F463">
            <v>4123000000</v>
          </cell>
          <cell r="O463" t="e">
            <v>#N/A</v>
          </cell>
          <cell r="P463">
            <v>0</v>
          </cell>
        </row>
        <row r="464">
          <cell r="D464" t="str">
            <v>Padang Tikar Dua</v>
          </cell>
          <cell r="E464" t="str">
            <v>PT. Mina Transindo Totabuan</v>
          </cell>
          <cell r="F464">
            <v>6932400000</v>
          </cell>
          <cell r="I464" t="str">
            <v>Online</v>
          </cell>
          <cell r="L464" t="str">
            <v>081130570777/radinal</v>
          </cell>
          <cell r="M464" t="str">
            <v>Dedd</v>
          </cell>
          <cell r="O464" t="e">
            <v>#N/A</v>
          </cell>
          <cell r="P464">
            <v>0</v>
          </cell>
        </row>
        <row r="465">
          <cell r="D465" t="str">
            <v>Padang Tikar Satu</v>
          </cell>
          <cell r="E465" t="str">
            <v>PT. Mina Transindo Totabuan</v>
          </cell>
          <cell r="F465">
            <v>4320000000</v>
          </cell>
          <cell r="I465" t="str">
            <v>Online</v>
          </cell>
          <cell r="L465" t="str">
            <v>081130570777/radinal</v>
          </cell>
          <cell r="M465" t="str">
            <v>Dedd</v>
          </cell>
          <cell r="O465" t="e">
            <v>#N/A</v>
          </cell>
          <cell r="P465">
            <v>0</v>
          </cell>
        </row>
        <row r="466">
          <cell r="D466" t="str">
            <v>Tasik Malaya</v>
          </cell>
          <cell r="E466" t="str">
            <v>PT. Mina Transindo Totabuan</v>
          </cell>
          <cell r="F466">
            <v>0</v>
          </cell>
          <cell r="I466" t="str">
            <v>Online</v>
          </cell>
          <cell r="L466" t="str">
            <v>081130570777/radinal</v>
          </cell>
          <cell r="M466" t="str">
            <v>Dedd</v>
          </cell>
          <cell r="O466" t="e">
            <v>#N/A</v>
          </cell>
          <cell r="P466">
            <v>0</v>
          </cell>
        </row>
        <row r="467">
          <cell r="D467" t="str">
            <v>Kampung Keramat</v>
          </cell>
          <cell r="E467" t="str">
            <v>PT. Borneo Mitra Strategis</v>
          </cell>
          <cell r="F467">
            <v>4320000000</v>
          </cell>
          <cell r="L467" t="str">
            <v>081293305027/iqbal</v>
          </cell>
          <cell r="M467" t="str">
            <v>Iqbal/AM</v>
          </cell>
          <cell r="O467" t="e">
            <v>#N/A</v>
          </cell>
          <cell r="P467">
            <v>0</v>
          </cell>
        </row>
        <row r="468">
          <cell r="D468" t="str">
            <v>Pagatan Hilir</v>
          </cell>
          <cell r="E468" t="str">
            <v>PT. Borneo Mitra Strategis</v>
          </cell>
          <cell r="F468">
            <v>0</v>
          </cell>
          <cell r="L468" t="str">
            <v>081293305027/iqbal</v>
          </cell>
          <cell r="M468" t="str">
            <v>Iqbal/AM</v>
          </cell>
          <cell r="O468" t="e">
            <v>#N/A</v>
          </cell>
          <cell r="P468">
            <v>0</v>
          </cell>
        </row>
        <row r="469">
          <cell r="D469" t="str">
            <v>Sei Ijum Raya</v>
          </cell>
          <cell r="E469" t="str">
            <v>PT. Borneo Mitra Strategis</v>
          </cell>
          <cell r="F469">
            <v>4320000000</v>
          </cell>
          <cell r="L469" t="str">
            <v>081293305027/iqbal</v>
          </cell>
          <cell r="M469" t="str">
            <v>Iqbal/AM</v>
          </cell>
          <cell r="O469" t="e">
            <v>#N/A</v>
          </cell>
          <cell r="P469">
            <v>0</v>
          </cell>
        </row>
        <row r="470">
          <cell r="D470" t="str">
            <v>Kadahang</v>
          </cell>
          <cell r="E470" t="str">
            <v>PT. Assala Karya Perkasa (Menengah)</v>
          </cell>
          <cell r="F470">
            <v>3214500000</v>
          </cell>
          <cell r="H470" t="str">
            <v>Sumba Timur</v>
          </cell>
          <cell r="I470" t="str">
            <v>Online</v>
          </cell>
          <cell r="L470" t="str">
            <v>081293305027/iqbal</v>
          </cell>
          <cell r="M470" t="str">
            <v>Iqbal/AM</v>
          </cell>
          <cell r="O470" t="e">
            <v>#N/A</v>
          </cell>
          <cell r="P470">
            <v>0</v>
          </cell>
        </row>
        <row r="471">
          <cell r="D471" t="str">
            <v>Palaka Hembi</v>
          </cell>
          <cell r="E471" t="str">
            <v>PT. Assala Karya Perkasa (Menengah)</v>
          </cell>
          <cell r="F471">
            <v>4678000000</v>
          </cell>
          <cell r="H471" t="str">
            <v>Sumba Timur</v>
          </cell>
          <cell r="I471" t="str">
            <v>Online</v>
          </cell>
          <cell r="L471" t="str">
            <v>081293305027/iqbal</v>
          </cell>
          <cell r="M471" t="str">
            <v>Iqbal/AM</v>
          </cell>
          <cell r="O471" t="e">
            <v>#N/A</v>
          </cell>
          <cell r="P471">
            <v>0</v>
          </cell>
        </row>
        <row r="472">
          <cell r="D472" t="str">
            <v>Temu</v>
          </cell>
          <cell r="E472" t="str">
            <v>PT. Assala Karya Perkasa (Menengah)</v>
          </cell>
          <cell r="F472">
            <v>3214500000</v>
          </cell>
          <cell r="H472" t="str">
            <v>Sumba Timur</v>
          </cell>
          <cell r="I472" t="str">
            <v>Online</v>
          </cell>
          <cell r="L472" t="str">
            <v>081293305027/iqbal</v>
          </cell>
          <cell r="M472" t="str">
            <v>Iqbal/AM</v>
          </cell>
          <cell r="O472" t="e">
            <v>#N/A</v>
          </cell>
          <cell r="P472">
            <v>0</v>
          </cell>
        </row>
        <row r="473">
          <cell r="D473" t="str">
            <v>Wanga</v>
          </cell>
          <cell r="E473" t="str">
            <v>PT. Assala Karya Perkasa (Menengah)</v>
          </cell>
          <cell r="F473">
            <v>3214500000</v>
          </cell>
          <cell r="H473" t="str">
            <v>Sumba Timur</v>
          </cell>
          <cell r="I473" t="str">
            <v>Online</v>
          </cell>
          <cell r="L473" t="str">
            <v>081293305027/iqbal</v>
          </cell>
          <cell r="M473" t="str">
            <v>Iqbal/AM</v>
          </cell>
          <cell r="O473" t="e">
            <v>#N/A</v>
          </cell>
          <cell r="P473">
            <v>0</v>
          </cell>
        </row>
        <row r="474">
          <cell r="D474" t="str">
            <v>Deluk</v>
          </cell>
          <cell r="E474" t="str">
            <v>CV. Sonta Abadi</v>
          </cell>
          <cell r="F474">
            <v>0</v>
          </cell>
          <cell r="L474" t="str">
            <v>082189262966/rudi</v>
          </cell>
          <cell r="O474" t="e">
            <v>#N/A</v>
          </cell>
          <cell r="P474">
            <v>0</v>
          </cell>
        </row>
        <row r="475">
          <cell r="D475" t="str">
            <v>Kuala Alam</v>
          </cell>
          <cell r="E475" t="str">
            <v>CV. Sonta Abadi</v>
          </cell>
          <cell r="F475">
            <v>0</v>
          </cell>
          <cell r="L475" t="str">
            <v>082189262966/rudi</v>
          </cell>
          <cell r="O475" t="e">
            <v>#N/A</v>
          </cell>
          <cell r="P475">
            <v>0</v>
          </cell>
        </row>
        <row r="476">
          <cell r="D476" t="str">
            <v>Meskom</v>
          </cell>
          <cell r="E476" t="str">
            <v>CV. Sonta Abadi</v>
          </cell>
          <cell r="F476">
            <v>0</v>
          </cell>
          <cell r="L476" t="str">
            <v>082189262966/rudi</v>
          </cell>
          <cell r="O476" t="e">
            <v>#N/A</v>
          </cell>
          <cell r="P476">
            <v>0</v>
          </cell>
        </row>
        <row r="477">
          <cell r="D477" t="str">
            <v>Muntai</v>
          </cell>
          <cell r="E477" t="str">
            <v>CV. Sonta Abadi</v>
          </cell>
          <cell r="F477">
            <v>0</v>
          </cell>
          <cell r="L477" t="str">
            <v>082189262966/rudi</v>
          </cell>
          <cell r="O477" t="e">
            <v>#N/A</v>
          </cell>
          <cell r="P477">
            <v>0</v>
          </cell>
        </row>
        <row r="478">
          <cell r="D478" t="str">
            <v>Tebing Tinggi Okura</v>
          </cell>
          <cell r="E478" t="str">
            <v>PT. Putra Meranti</v>
          </cell>
          <cell r="F478">
            <v>0</v>
          </cell>
          <cell r="H478" t="str">
            <v>Pekanbaru</v>
          </cell>
          <cell r="I478" t="str">
            <v>Online</v>
          </cell>
          <cell r="L478" t="str">
            <v>081268231919/efendi saputra</v>
          </cell>
          <cell r="M478" t="str">
            <v>Dedd</v>
          </cell>
          <cell r="O478" t="e">
            <v>#N/A</v>
          </cell>
          <cell r="P478">
            <v>0</v>
          </cell>
        </row>
        <row r="479">
          <cell r="D479" t="str">
            <v>Teluk Batil</v>
          </cell>
          <cell r="E479" t="str">
            <v>PT. Putra Meranti</v>
          </cell>
          <cell r="F479">
            <v>0</v>
          </cell>
          <cell r="H479" t="str">
            <v>Pekanbaru</v>
          </cell>
          <cell r="I479" t="str">
            <v>Online</v>
          </cell>
          <cell r="L479" t="str">
            <v>081268231919/efendi saputra</v>
          </cell>
          <cell r="M479" t="str">
            <v>Dedd</v>
          </cell>
          <cell r="O479" t="e">
            <v>#N/A</v>
          </cell>
          <cell r="P479">
            <v>0</v>
          </cell>
        </row>
        <row r="480">
          <cell r="D480" t="str">
            <v>Kertamukti_2</v>
          </cell>
          <cell r="E480" t="str">
            <v>CV. Mirsel</v>
          </cell>
          <cell r="F480" t="e">
            <v>#N/A</v>
          </cell>
          <cell r="G480" t="str">
            <v>Nodin PPK 3 Juni 2026</v>
          </cell>
          <cell r="H480" t="str">
            <v>Bandung</v>
          </cell>
          <cell r="I480" t="str">
            <v>Offline</v>
          </cell>
          <cell r="M480" t="str">
            <v>g</v>
          </cell>
          <cell r="O480" t="e">
            <v>#N/A</v>
          </cell>
          <cell r="P480" t="e">
            <v>#N/A</v>
          </cell>
        </row>
        <row r="481">
          <cell r="D481" t="str">
            <v>Legokjawa</v>
          </cell>
          <cell r="E481" t="str">
            <v>PT. Leviana Abadi Jaya</v>
          </cell>
          <cell r="F481">
            <v>3195098000</v>
          </cell>
          <cell r="G481" t="str">
            <v>Nodin PPK 25 Mei 2026</v>
          </cell>
          <cell r="H481" t="str">
            <v>Bandung</v>
          </cell>
          <cell r="I481" t="str">
            <v>Offline</v>
          </cell>
          <cell r="J481" t="str">
            <v>B.16105/DJPT.6/PI.420/PPK/VI/2026</v>
          </cell>
          <cell r="K481" t="str">
            <v>Kontrak</v>
          </cell>
          <cell r="L481" t="str">
            <v>082216903325/ujang</v>
          </cell>
          <cell r="M481" t="str">
            <v>Sandi</v>
          </cell>
          <cell r="O481" t="e">
            <v>#N/A</v>
          </cell>
          <cell r="P481" t="str">
            <v>sudah</v>
          </cell>
        </row>
        <row r="482">
          <cell r="D482" t="str">
            <v>Pamotan</v>
          </cell>
          <cell r="E482" t="str">
            <v>PT. AMI Kamena Jaya</v>
          </cell>
          <cell r="F482">
            <v>3132099000</v>
          </cell>
          <cell r="H482" t="str">
            <v>Bandung</v>
          </cell>
          <cell r="I482" t="str">
            <v>Offline</v>
          </cell>
          <cell r="L482" t="str">
            <v>081210805888/agus tobing</v>
          </cell>
          <cell r="M482" t="str">
            <v>TK</v>
          </cell>
          <cell r="O482" t="e">
            <v>#N/A</v>
          </cell>
          <cell r="P482" t="str">
            <v>sudah</v>
          </cell>
        </row>
        <row r="483">
          <cell r="D483" t="str">
            <v>Cikawungading</v>
          </cell>
          <cell r="E483" t="str">
            <v>PT. Leviana Abadi Jaya</v>
          </cell>
          <cell r="F483">
            <v>5116149000</v>
          </cell>
          <cell r="G483" t="str">
            <v>Nodin PPK 25 Mei 2026</v>
          </cell>
          <cell r="H483" t="str">
            <v>Bandung</v>
          </cell>
          <cell r="I483" t="str">
            <v>Offline</v>
          </cell>
          <cell r="J483" t="str">
            <v>B.16105/DJPT.6/PI.420/PPK/VI/2026</v>
          </cell>
          <cell r="K483" t="str">
            <v>Kontrak</v>
          </cell>
          <cell r="L483" t="str">
            <v>082216903325/ujang</v>
          </cell>
          <cell r="M483" t="str">
            <v>Sandi</v>
          </cell>
          <cell r="O483" t="e">
            <v>#N/A</v>
          </cell>
          <cell r="P483" t="str">
            <v>sudah</v>
          </cell>
        </row>
        <row r="484">
          <cell r="D484" t="str">
            <v>Bulupayung</v>
          </cell>
          <cell r="E484" t="str">
            <v>CV. Alkomber Karya</v>
          </cell>
          <cell r="F484">
            <v>0</v>
          </cell>
          <cell r="L484" t="str">
            <v>081286452407/prio</v>
          </cell>
          <cell r="M484" t="str">
            <v>g</v>
          </cell>
          <cell r="O484" t="e">
            <v>#N/A</v>
          </cell>
          <cell r="P484" t="str">
            <v>sudah</v>
          </cell>
        </row>
        <row r="485">
          <cell r="D485" t="str">
            <v>Pulau Panggang</v>
          </cell>
          <cell r="E485" t="str">
            <v>PT. Sabablik Jipang International</v>
          </cell>
          <cell r="F485">
            <v>2730019000</v>
          </cell>
          <cell r="H485" t="str">
            <v>Jakarta (Kecil)</v>
          </cell>
          <cell r="I485" t="str">
            <v>Online</v>
          </cell>
          <cell r="L485" t="str">
            <v>087887547626/andi</v>
          </cell>
          <cell r="M485" t="str">
            <v>Pandu (Baru)</v>
          </cell>
          <cell r="N485" t="str">
            <v>ok</v>
          </cell>
          <cell r="O485" t="e">
            <v>#N/A</v>
          </cell>
          <cell r="P485" t="str">
            <v>sudah</v>
          </cell>
        </row>
        <row r="486">
          <cell r="D486" t="str">
            <v>Pangkalan Banteng</v>
          </cell>
          <cell r="E486" t="str">
            <v>PT. ............</v>
          </cell>
          <cell r="F486">
            <v>0</v>
          </cell>
          <cell r="M486" t="str">
            <v>Andre-Kresno</v>
          </cell>
          <cell r="O486" t="e">
            <v>#N/A</v>
          </cell>
          <cell r="P486">
            <v>0</v>
          </cell>
        </row>
        <row r="487">
          <cell r="D487" t="str">
            <v>Lemahwungkuk</v>
          </cell>
          <cell r="E487" t="str">
            <v>CV. Mekar Jaya</v>
          </cell>
          <cell r="F487">
            <v>3549926000</v>
          </cell>
          <cell r="G487" t="str">
            <v>Nodin PPK 12 Juni 2026</v>
          </cell>
          <cell r="H487" t="str">
            <v>Cirbeon</v>
          </cell>
          <cell r="K487" t="str">
            <v>Kontrak</v>
          </cell>
          <cell r="L487" t="str">
            <v>0853-1665-8884</v>
          </cell>
          <cell r="M487" t="str">
            <v>Rohmi</v>
          </cell>
          <cell r="O487" t="e">
            <v>#N/A</v>
          </cell>
          <cell r="P487" t="str">
            <v>sudah</v>
          </cell>
        </row>
        <row r="488">
          <cell r="D488" t="str">
            <v>Panjunan</v>
          </cell>
          <cell r="E488" t="str">
            <v>CV. Mekar Jaya</v>
          </cell>
          <cell r="F488">
            <v>0</v>
          </cell>
          <cell r="H488" t="str">
            <v>Cirebeon</v>
          </cell>
          <cell r="K488" t="str">
            <v>Kontrak</v>
          </cell>
          <cell r="L488" t="str">
            <v>0853-1665-8884</v>
          </cell>
          <cell r="M488" t="str">
            <v>Rohmi</v>
          </cell>
          <cell r="O488" t="e">
            <v>#N/A</v>
          </cell>
          <cell r="P488" t="str">
            <v>sudah</v>
          </cell>
        </row>
        <row r="489">
          <cell r="D489" t="str">
            <v>Oenggae</v>
          </cell>
          <cell r="E489" t="str">
            <v>PT. Aulia Berlian Konstruksi (Menengah)</v>
          </cell>
          <cell r="F489">
            <v>3214500000</v>
          </cell>
          <cell r="H489" t="str">
            <v>Ende</v>
          </cell>
          <cell r="L489" t="str">
            <v>081293305027/iqbal</v>
          </cell>
          <cell r="M489" t="str">
            <v>Iqbal/AM</v>
          </cell>
          <cell r="O489" t="e">
            <v>#N/A</v>
          </cell>
          <cell r="P489">
            <v>0</v>
          </cell>
        </row>
        <row r="490">
          <cell r="D490" t="str">
            <v>Papela</v>
          </cell>
          <cell r="E490" t="str">
            <v>PT. Aulia Berlian Konstruksi (Menengah)</v>
          </cell>
          <cell r="F490">
            <v>4678000000</v>
          </cell>
          <cell r="H490" t="str">
            <v>Ende</v>
          </cell>
          <cell r="L490" t="str">
            <v>081293305027/iqbal</v>
          </cell>
          <cell r="M490" t="str">
            <v>Iqbal/AM</v>
          </cell>
          <cell r="O490" t="e">
            <v>#N/A</v>
          </cell>
          <cell r="P490">
            <v>0</v>
          </cell>
        </row>
        <row r="491">
          <cell r="D491" t="str">
            <v>Bajomulyo</v>
          </cell>
          <cell r="E491" t="str">
            <v>CV. Bumi Jaya Berkah Abadi</v>
          </cell>
          <cell r="F491">
            <v>0</v>
          </cell>
          <cell r="H491" t="str">
            <v>Bandung (Kecil)</v>
          </cell>
          <cell r="I491" t="str">
            <v>Online</v>
          </cell>
          <cell r="L491" t="str">
            <v>087776689958/iwan</v>
          </cell>
          <cell r="M491" t="str">
            <v>g-drop sosek</v>
          </cell>
          <cell r="O491" t="e">
            <v>#N/A</v>
          </cell>
          <cell r="P491" t="str">
            <v>drop sosek</v>
          </cell>
        </row>
        <row r="492">
          <cell r="D492" t="str">
            <v>Gajahkumpul</v>
          </cell>
          <cell r="E492" t="str">
            <v>CV. Bumi Jaya Berkah Abadi</v>
          </cell>
          <cell r="F492">
            <v>0</v>
          </cell>
          <cell r="H492" t="str">
            <v>Bandung (Kecil)</v>
          </cell>
          <cell r="I492" t="str">
            <v>Online</v>
          </cell>
          <cell r="L492" t="str">
            <v>087776689958/iwan</v>
          </cell>
          <cell r="M492" t="str">
            <v>g-drop sosek</v>
          </cell>
          <cell r="O492" t="e">
            <v>#N/A</v>
          </cell>
          <cell r="P492" t="str">
            <v>drop sosek</v>
          </cell>
        </row>
        <row r="493">
          <cell r="D493" t="str">
            <v>Pecangaan</v>
          </cell>
          <cell r="E493" t="str">
            <v>CV. Bumi Jaya Berkah Abadi</v>
          </cell>
          <cell r="F493">
            <v>0</v>
          </cell>
          <cell r="H493" t="str">
            <v>Bandung (Kecil)</v>
          </cell>
          <cell r="I493" t="str">
            <v>Online</v>
          </cell>
          <cell r="L493" t="str">
            <v>087776689958/iwan</v>
          </cell>
          <cell r="M493" t="str">
            <v>g-drop sosek</v>
          </cell>
          <cell r="O493" t="e">
            <v>#N/A</v>
          </cell>
          <cell r="P493" t="str">
            <v>drop sosek</v>
          </cell>
        </row>
        <row r="494">
          <cell r="D494" t="str">
            <v>Karangmangu</v>
          </cell>
          <cell r="E494" t="str">
            <v>PT. Kurnia Alam Sentosa</v>
          </cell>
          <cell r="F494">
            <v>2314000000</v>
          </cell>
          <cell r="G494" t="str">
            <v>Nodin PPK 9 Juni 2026</v>
          </cell>
          <cell r="H494" t="str">
            <v>Jakarta</v>
          </cell>
          <cell r="I494" t="str">
            <v>Online</v>
          </cell>
          <cell r="K494" t="str">
            <v>Proses Kontrak (Pokja)</v>
          </cell>
          <cell r="M494" t="str">
            <v>g</v>
          </cell>
          <cell r="O494" t="e">
            <v>#N/A</v>
          </cell>
          <cell r="P494" t="str">
            <v>sudah</v>
          </cell>
        </row>
        <row r="495">
          <cell r="D495" t="str">
            <v>Pasar Banggi</v>
          </cell>
          <cell r="E495" t="str">
            <v>PT. Kurnia Alam Sentosa</v>
          </cell>
          <cell r="F495">
            <v>6658554506</v>
          </cell>
          <cell r="G495" t="str">
            <v>Nodin PPK 9 Juni 2026</v>
          </cell>
          <cell r="H495" t="str">
            <v>Jakarta</v>
          </cell>
          <cell r="I495" t="str">
            <v>Online</v>
          </cell>
          <cell r="K495" t="str">
            <v>Proses Kontrak (Pokja)</v>
          </cell>
          <cell r="M495" t="str">
            <v>g</v>
          </cell>
          <cell r="O495" t="e">
            <v>#N/A</v>
          </cell>
          <cell r="P495" t="str">
            <v>sudah</v>
          </cell>
        </row>
        <row r="496">
          <cell r="D496" t="str">
            <v>Tambakagung</v>
          </cell>
          <cell r="E496" t="str">
            <v>PT. Kurnia Alam Sentosa</v>
          </cell>
          <cell r="F496">
            <v>2613033872</v>
          </cell>
          <cell r="G496" t="str">
            <v>Nodin PPK 9 Juni 2026</v>
          </cell>
          <cell r="H496" t="str">
            <v>Jakarta</v>
          </cell>
          <cell r="I496" t="str">
            <v>Online</v>
          </cell>
          <cell r="K496" t="str">
            <v>Proses Kontrak (Pokja)</v>
          </cell>
          <cell r="M496" t="str">
            <v>g</v>
          </cell>
          <cell r="O496" t="e">
            <v>#N/A</v>
          </cell>
          <cell r="P496" t="str">
            <v>sudah</v>
          </cell>
        </row>
        <row r="497">
          <cell r="D497" t="str">
            <v>Pasar Baru Batahan</v>
          </cell>
          <cell r="E497" t="str">
            <v>PT. Pilar Persada Konstruksi</v>
          </cell>
          <cell r="F497">
            <v>7123100000</v>
          </cell>
          <cell r="L497" t="str">
            <v>081293305027/iqbal</v>
          </cell>
          <cell r="M497" t="str">
            <v>Iqbal/AM</v>
          </cell>
          <cell r="O497" t="e">
            <v>#N/A</v>
          </cell>
          <cell r="P497">
            <v>0</v>
          </cell>
        </row>
        <row r="498">
          <cell r="D498" t="str">
            <v>Pasar V Natal</v>
          </cell>
          <cell r="E498" t="str">
            <v>PT. Pilar Persada Konstruksi</v>
          </cell>
          <cell r="F498">
            <v>4123000000</v>
          </cell>
          <cell r="L498" t="str">
            <v>081293305027/iqbal</v>
          </cell>
          <cell r="M498" t="str">
            <v>Iqbal/AM</v>
          </cell>
          <cell r="O498" t="e">
            <v>#N/A</v>
          </cell>
          <cell r="P498">
            <v>0</v>
          </cell>
        </row>
        <row r="499">
          <cell r="D499" t="str">
            <v>Tabuyung</v>
          </cell>
          <cell r="E499" t="str">
            <v>PT. Pilar Persada Konstruksi</v>
          </cell>
          <cell r="F499">
            <v>4123000000</v>
          </cell>
          <cell r="L499" t="str">
            <v>081293305027/iqbal</v>
          </cell>
          <cell r="M499" t="str">
            <v>Iqbal/AM</v>
          </cell>
          <cell r="O499" t="e">
            <v>#N/A</v>
          </cell>
          <cell r="P499">
            <v>0</v>
          </cell>
        </row>
        <row r="500">
          <cell r="D500" t="str">
            <v>Afia</v>
          </cell>
          <cell r="E500" t="str">
            <v>CV. Pantai Selatan Mandiri</v>
          </cell>
          <cell r="F500">
            <v>4123000000</v>
          </cell>
          <cell r="I500" t="str">
            <v>Online</v>
          </cell>
          <cell r="K500" t="str">
            <v>Nunggu DED/HPS</v>
          </cell>
          <cell r="L500" t="str">
            <v>0812-6444-4245</v>
          </cell>
          <cell r="M500" t="str">
            <v>Rohmi</v>
          </cell>
          <cell r="O500" t="e">
            <v>#N/A</v>
          </cell>
          <cell r="P500">
            <v>0</v>
          </cell>
        </row>
        <row r="501">
          <cell r="D501" t="str">
            <v>Laira</v>
          </cell>
          <cell r="E501" t="str">
            <v>CV. Ridho Pratama (Kecil)</v>
          </cell>
          <cell r="F501">
            <v>4123000000</v>
          </cell>
          <cell r="H501" t="str">
            <v>Jakarta</v>
          </cell>
          <cell r="I501" t="str">
            <v>Online</v>
          </cell>
          <cell r="L501" t="str">
            <v>081261605171/yadi susanto</v>
          </cell>
          <cell r="M501" t="str">
            <v>Dedd</v>
          </cell>
          <cell r="O501" t="e">
            <v>#N/A</v>
          </cell>
          <cell r="P501">
            <v>0</v>
          </cell>
        </row>
        <row r="502">
          <cell r="D502" t="str">
            <v>Bawozihono</v>
          </cell>
          <cell r="E502" t="str">
            <v>PT. Bukit Zaitun (Menengah)</v>
          </cell>
          <cell r="F502">
            <v>0</v>
          </cell>
          <cell r="H502" t="str">
            <v>Jakarta</v>
          </cell>
          <cell r="I502" t="str">
            <v>Online</v>
          </cell>
          <cell r="L502" t="str">
            <v>082267333341/rizki ulfa</v>
          </cell>
          <cell r="M502" t="str">
            <v>Dedd</v>
          </cell>
          <cell r="O502" t="e">
            <v>#N/A</v>
          </cell>
          <cell r="P502">
            <v>0</v>
          </cell>
        </row>
        <row r="503">
          <cell r="D503" t="str">
            <v>Pasar Teluk Dalam</v>
          </cell>
          <cell r="E503" t="str">
            <v>PT. Bukit Zaitun (Menengah)</v>
          </cell>
          <cell r="F503">
            <v>4123000000</v>
          </cell>
          <cell r="H503" t="str">
            <v>Jakarta</v>
          </cell>
          <cell r="I503" t="str">
            <v>Online</v>
          </cell>
          <cell r="L503" t="str">
            <v>082267333341/rizki ulfa</v>
          </cell>
          <cell r="M503" t="str">
            <v>Dedd</v>
          </cell>
          <cell r="O503" t="e">
            <v>#N/A</v>
          </cell>
          <cell r="P503">
            <v>0</v>
          </cell>
        </row>
        <row r="504">
          <cell r="D504" t="str">
            <v>Afulu</v>
          </cell>
          <cell r="E504" t="str">
            <v>CV. Pantai Selatan Mandiri</v>
          </cell>
          <cell r="F504">
            <v>4123000000</v>
          </cell>
          <cell r="I504" t="str">
            <v>Online</v>
          </cell>
          <cell r="K504" t="str">
            <v>Nunggu DED/HPS</v>
          </cell>
          <cell r="L504" t="str">
            <v>0812-6444-4245</v>
          </cell>
          <cell r="M504" t="str">
            <v>Rohmi</v>
          </cell>
          <cell r="O504" t="e">
            <v>#N/A</v>
          </cell>
          <cell r="P504">
            <v>0</v>
          </cell>
        </row>
        <row r="505">
          <cell r="D505" t="str">
            <v>Pasar Lahewa</v>
          </cell>
          <cell r="E505" t="str">
            <v>CV. Pantai Selatan Mandiri</v>
          </cell>
          <cell r="F505">
            <v>7123100000</v>
          </cell>
          <cell r="I505" t="str">
            <v>Online</v>
          </cell>
          <cell r="L505" t="str">
            <v>0812-6444-4245</v>
          </cell>
          <cell r="M505" t="str">
            <v>Rohmi</v>
          </cell>
          <cell r="O505" t="e">
            <v>#N/A</v>
          </cell>
          <cell r="P505">
            <v>0</v>
          </cell>
        </row>
        <row r="506">
          <cell r="D506" t="str">
            <v>Siofa Banua</v>
          </cell>
          <cell r="E506" t="str">
            <v>CV. Ridho Pratama (Kecil)</v>
          </cell>
          <cell r="F506">
            <v>0</v>
          </cell>
          <cell r="H506" t="str">
            <v>Jakarta</v>
          </cell>
          <cell r="I506" t="str">
            <v>Online</v>
          </cell>
          <cell r="L506" t="str">
            <v>081261605171/yadi susanto</v>
          </cell>
          <cell r="M506" t="str">
            <v>Dedd</v>
          </cell>
          <cell r="O506" t="e">
            <v>#N/A</v>
          </cell>
          <cell r="P506">
            <v>0</v>
          </cell>
        </row>
        <row r="507">
          <cell r="D507" t="str">
            <v>Pekik Nyaring</v>
          </cell>
          <cell r="E507" t="str">
            <v>PT. Aruna Karya Bangunindo</v>
          </cell>
          <cell r="F507">
            <v>4123000000</v>
          </cell>
          <cell r="H507" t="str">
            <v>Kota Bengkulu</v>
          </cell>
          <cell r="I507" t="str">
            <v>Offline</v>
          </cell>
          <cell r="L507" t="str">
            <v>082183648885/anggadewa</v>
          </cell>
          <cell r="M507" t="str">
            <v>aufar</v>
          </cell>
          <cell r="O507" t="e">
            <v>#N/A</v>
          </cell>
          <cell r="P507">
            <v>0</v>
          </cell>
        </row>
        <row r="508">
          <cell r="D508" t="str">
            <v>Pasar Palik</v>
          </cell>
          <cell r="E508" t="str">
            <v>PT. Aruna Karya Bangunindo</v>
          </cell>
          <cell r="F508">
            <v>7123100000</v>
          </cell>
          <cell r="H508" t="str">
            <v>Kota Bengkulu</v>
          </cell>
          <cell r="I508" t="str">
            <v>Offline</v>
          </cell>
          <cell r="L508" t="str">
            <v>082183648885/anggadewa</v>
          </cell>
          <cell r="M508" t="str">
            <v>aufar</v>
          </cell>
          <cell r="O508" t="e">
            <v>#N/A</v>
          </cell>
          <cell r="P508">
            <v>0</v>
          </cell>
        </row>
        <row r="509">
          <cell r="D509" t="str">
            <v>Pasar Sebelat</v>
          </cell>
          <cell r="E509" t="str">
            <v>PT. Aruna Karya Bangunindo</v>
          </cell>
          <cell r="F509">
            <v>4123000000</v>
          </cell>
          <cell r="H509" t="str">
            <v>Kota Bengkulu</v>
          </cell>
          <cell r="I509" t="str">
            <v>Offline</v>
          </cell>
          <cell r="L509" t="str">
            <v>082183648885/anggadewa</v>
          </cell>
          <cell r="M509" t="str">
            <v>aufar</v>
          </cell>
          <cell r="O509" t="e">
            <v>#N/A</v>
          </cell>
          <cell r="P509">
            <v>0</v>
          </cell>
        </row>
        <row r="510">
          <cell r="D510" t="str">
            <v>Serangai</v>
          </cell>
          <cell r="E510" t="str">
            <v>PT. Aruna Karya Bangunindo</v>
          </cell>
          <cell r="F510">
            <v>4123000000</v>
          </cell>
          <cell r="H510" t="str">
            <v>Kota Bengkulu</v>
          </cell>
          <cell r="I510" t="str">
            <v>Offline</v>
          </cell>
          <cell r="L510" t="str">
            <v>082183648885/anggadewa</v>
          </cell>
          <cell r="M510" t="str">
            <v>aufar</v>
          </cell>
          <cell r="O510" t="e">
            <v>#N/A</v>
          </cell>
          <cell r="P510">
            <v>0</v>
          </cell>
        </row>
        <row r="511">
          <cell r="D511" t="str">
            <v>Pasar Ipuh</v>
          </cell>
          <cell r="E511" t="str">
            <v>PT. Aruna Karya Bangunindo</v>
          </cell>
          <cell r="F511">
            <v>4123000000</v>
          </cell>
          <cell r="H511" t="str">
            <v>Kota Bengkulu</v>
          </cell>
          <cell r="I511" t="str">
            <v>Offline</v>
          </cell>
          <cell r="L511" t="str">
            <v>082183648885/anggadewa</v>
          </cell>
          <cell r="M511" t="str">
            <v>aufar</v>
          </cell>
          <cell r="O511" t="e">
            <v>#N/A</v>
          </cell>
          <cell r="P511">
            <v>0</v>
          </cell>
        </row>
        <row r="512">
          <cell r="D512" t="str">
            <v>Ngemplakrejo</v>
          </cell>
          <cell r="E512" t="str">
            <v>PT. Gemilang Anugerah Pratama</v>
          </cell>
          <cell r="L512" t="str">
            <v>085179851110/rohman</v>
          </cell>
          <cell r="M512" t="str">
            <v>Put</v>
          </cell>
          <cell r="O512" t="e">
            <v>#N/A</v>
          </cell>
          <cell r="P512" t="str">
            <v>sudah</v>
          </cell>
        </row>
        <row r="513">
          <cell r="D513" t="str">
            <v>Gerongan</v>
          </cell>
          <cell r="E513" t="str">
            <v>PT. Mandalika Indah Pratama</v>
          </cell>
          <cell r="F513">
            <v>0</v>
          </cell>
          <cell r="I513" t="str">
            <v>Online</v>
          </cell>
          <cell r="L513" t="str">
            <v>081315297888/amir</v>
          </cell>
          <cell r="M513" t="str">
            <v>V</v>
          </cell>
          <cell r="O513" t="e">
            <v>#N/A</v>
          </cell>
          <cell r="P513" t="str">
            <v>sudah</v>
          </cell>
        </row>
        <row r="514">
          <cell r="D514" t="str">
            <v>Kalirejo</v>
          </cell>
          <cell r="E514" t="str">
            <v>CV. Wapike Bali</v>
          </cell>
          <cell r="F514">
            <v>0</v>
          </cell>
          <cell r="H514" t="str">
            <v>Sidoarjo (Kecil)</v>
          </cell>
          <cell r="I514" t="str">
            <v>Online</v>
          </cell>
          <cell r="L514" t="str">
            <v>813-3035-4355/Siroj</v>
          </cell>
          <cell r="M514" t="str">
            <v>g-drop sosek</v>
          </cell>
          <cell r="N514" t="str">
            <v>ditolak kade</v>
          </cell>
          <cell r="O514" t="e">
            <v>#N/A</v>
          </cell>
          <cell r="P514" t="str">
            <v>lokasi batal</v>
          </cell>
        </row>
        <row r="515">
          <cell r="D515" t="str">
            <v>Mlaten</v>
          </cell>
          <cell r="E515" t="str">
            <v>CV. Sanjaya Makmur</v>
          </cell>
          <cell r="F515">
            <v>0</v>
          </cell>
          <cell r="H515" t="str">
            <v>Sidoarjo</v>
          </cell>
          <cell r="I515" t="str">
            <v>Online</v>
          </cell>
          <cell r="L515" t="str">
            <v>081357900812/sujadi</v>
          </cell>
          <cell r="M515" t="str">
            <v>Put - Diganti penyedia skala kecil</v>
          </cell>
          <cell r="O515" t="e">
            <v>#N/A</v>
          </cell>
          <cell r="P515" t="str">
            <v>sudah</v>
          </cell>
        </row>
        <row r="516">
          <cell r="D516" t="str">
            <v>Kupang</v>
          </cell>
          <cell r="E516" t="str">
            <v>CV. Wapike Bali</v>
          </cell>
          <cell r="F516">
            <v>0</v>
          </cell>
          <cell r="H516" t="str">
            <v>Sidoarjo (Kecil)</v>
          </cell>
          <cell r="I516" t="str">
            <v>Online</v>
          </cell>
          <cell r="L516" t="str">
            <v>813-3035-4355/Siroj</v>
          </cell>
          <cell r="M516" t="str">
            <v>g-drop sosek</v>
          </cell>
          <cell r="N516" t="str">
            <v>ditolak kade</v>
          </cell>
          <cell r="O516" t="e">
            <v>#N/A</v>
          </cell>
          <cell r="P516" t="str">
            <v>drop sosek</v>
          </cell>
        </row>
        <row r="517">
          <cell r="D517" t="str">
            <v>Pekat</v>
          </cell>
          <cell r="E517" t="str">
            <v>PT. Lesindo Bersinar (menengah)</v>
          </cell>
          <cell r="F517">
            <v>3214500000</v>
          </cell>
          <cell r="H517" t="str">
            <v>Sumbawa</v>
          </cell>
          <cell r="I517" t="str">
            <v>Online</v>
          </cell>
          <cell r="L517" t="str">
            <v>082146481844/aris</v>
          </cell>
          <cell r="M517" t="str">
            <v>TK</v>
          </cell>
          <cell r="O517" t="e">
            <v>#N/A</v>
          </cell>
          <cell r="P517">
            <v>0</v>
          </cell>
        </row>
        <row r="518">
          <cell r="D518" t="str">
            <v>Bagan Asahan Baru</v>
          </cell>
          <cell r="E518" t="str">
            <v>CV. Mahanaim</v>
          </cell>
          <cell r="F518">
            <v>4123000000</v>
          </cell>
          <cell r="J518">
            <v>81369625211</v>
          </cell>
          <cell r="O518" t="e">
            <v>#N/A</v>
          </cell>
          <cell r="P518">
            <v>0</v>
          </cell>
        </row>
        <row r="519">
          <cell r="D519" t="str">
            <v>Bagan Asahan Pekan</v>
          </cell>
          <cell r="E519" t="str">
            <v>CV. Mahanaim</v>
          </cell>
          <cell r="F519">
            <v>4123000000</v>
          </cell>
          <cell r="J519">
            <v>81369625211</v>
          </cell>
          <cell r="O519" t="e">
            <v>#N/A</v>
          </cell>
          <cell r="P519">
            <v>0</v>
          </cell>
        </row>
        <row r="520">
          <cell r="D520" t="str">
            <v>Sei Jawi-Jawi</v>
          </cell>
          <cell r="E520" t="str">
            <v>CV. Mahanaim</v>
          </cell>
          <cell r="F520">
            <v>0</v>
          </cell>
          <cell r="J520">
            <v>81369625211</v>
          </cell>
          <cell r="O520" t="e">
            <v>#N/A</v>
          </cell>
          <cell r="P520">
            <v>0</v>
          </cell>
        </row>
        <row r="521">
          <cell r="D521" t="str">
            <v>Nenas Siam</v>
          </cell>
          <cell r="E521" t="str">
            <v>CV. Ridho Pratama (Kecil)</v>
          </cell>
          <cell r="F521">
            <v>4123000000</v>
          </cell>
          <cell r="L521" t="str">
            <v>081261605171/yadi susanto</v>
          </cell>
          <cell r="M521" t="str">
            <v>Dedd</v>
          </cell>
          <cell r="O521" t="e">
            <v>#N/A</v>
          </cell>
          <cell r="P521">
            <v>0</v>
          </cell>
        </row>
        <row r="522">
          <cell r="D522" t="str">
            <v>Pasar Bawah</v>
          </cell>
          <cell r="E522" t="str">
            <v>PT. Aruna Karya Bangunindo</v>
          </cell>
          <cell r="F522">
            <v>0</v>
          </cell>
          <cell r="H522" t="str">
            <v>Kota Bengkulu</v>
          </cell>
          <cell r="I522" t="str">
            <v>Offline</v>
          </cell>
          <cell r="L522" t="str">
            <v>082183648885/anggadewa</v>
          </cell>
          <cell r="M522" t="str">
            <v>aufar</v>
          </cell>
          <cell r="O522" t="e">
            <v>#N/A</v>
          </cell>
          <cell r="P522">
            <v>0</v>
          </cell>
        </row>
        <row r="523">
          <cell r="D523" t="str">
            <v>Pasar Pino</v>
          </cell>
          <cell r="E523" t="str">
            <v>PT. Aruna Karya Bangunindo</v>
          </cell>
          <cell r="F523">
            <v>0</v>
          </cell>
          <cell r="H523" t="str">
            <v>Kota Bengkulu</v>
          </cell>
          <cell r="I523" t="str">
            <v>Offline</v>
          </cell>
          <cell r="L523" t="str">
            <v>082183648885/anggadewa</v>
          </cell>
          <cell r="M523" t="str">
            <v>aufar</v>
          </cell>
          <cell r="O523" t="e">
            <v>#N/A</v>
          </cell>
          <cell r="P523">
            <v>0</v>
          </cell>
        </row>
        <row r="524">
          <cell r="D524" t="str">
            <v>Ketapang Baru</v>
          </cell>
          <cell r="E524" t="str">
            <v>CV. Mahanaim</v>
          </cell>
          <cell r="F524">
            <v>4123000000</v>
          </cell>
          <cell r="H524" t="str">
            <v>Seluma</v>
          </cell>
          <cell r="I524" t="str">
            <v>Online</v>
          </cell>
          <cell r="L524">
            <v>81369625211</v>
          </cell>
          <cell r="O524" t="e">
            <v>#N/A</v>
          </cell>
          <cell r="P524">
            <v>0</v>
          </cell>
        </row>
        <row r="525">
          <cell r="D525" t="str">
            <v>Kungkai Baru</v>
          </cell>
          <cell r="E525" t="str">
            <v>CV. Mahanaim</v>
          </cell>
          <cell r="F525">
            <v>4123000000</v>
          </cell>
          <cell r="H525" t="str">
            <v>Seluma</v>
          </cell>
          <cell r="I525" t="str">
            <v>Online</v>
          </cell>
          <cell r="L525">
            <v>81369625211</v>
          </cell>
          <cell r="O525" t="e">
            <v>#N/A</v>
          </cell>
          <cell r="P525">
            <v>0</v>
          </cell>
        </row>
        <row r="526">
          <cell r="D526" t="str">
            <v>Muara Maras</v>
          </cell>
          <cell r="E526" t="str">
            <v>CV. Putra Raja Parna</v>
          </cell>
          <cell r="F526">
            <v>4123000000</v>
          </cell>
          <cell r="H526" t="str">
            <v>Bengkulu</v>
          </cell>
          <cell r="I526" t="str">
            <v>Online</v>
          </cell>
          <cell r="L526">
            <v>85758165571</v>
          </cell>
          <cell r="O526" t="e">
            <v>#N/A</v>
          </cell>
          <cell r="P526">
            <v>0</v>
          </cell>
        </row>
        <row r="527">
          <cell r="D527" t="str">
            <v>Pasar Seluma</v>
          </cell>
          <cell r="E527" t="str">
            <v>CV. Karya Bona Pasogit</v>
          </cell>
          <cell r="F527">
            <v>4123000000</v>
          </cell>
          <cell r="H527" t="str">
            <v>Bengkulu</v>
          </cell>
          <cell r="I527" t="str">
            <v>Online</v>
          </cell>
          <cell r="L527">
            <v>85766871824</v>
          </cell>
          <cell r="M527" t="str">
            <v>ulfa</v>
          </cell>
          <cell r="O527" t="e">
            <v>#N/A</v>
          </cell>
          <cell r="P527">
            <v>0</v>
          </cell>
        </row>
        <row r="528">
          <cell r="D528" t="str">
            <v>Sumberkima</v>
          </cell>
          <cell r="E528" t="str">
            <v>PT. Sendang Dakara Nusantara</v>
          </cell>
          <cell r="F528">
            <v>3214500000</v>
          </cell>
          <cell r="H528" t="str">
            <v>Badung</v>
          </cell>
          <cell r="I528" t="str">
            <v>Offline</v>
          </cell>
          <cell r="L528" t="str">
            <v>082264525818/helmi</v>
          </cell>
          <cell r="M528" t="str">
            <v>g</v>
          </cell>
          <cell r="O528" t="e">
            <v>#N/A</v>
          </cell>
          <cell r="P528">
            <v>0</v>
          </cell>
        </row>
        <row r="529">
          <cell r="D529" t="str">
            <v>Air Kuning</v>
          </cell>
          <cell r="E529" t="str">
            <v>PT. Sendang Dakara Nusantara</v>
          </cell>
          <cell r="F529">
            <v>7342100000</v>
          </cell>
          <cell r="H529" t="str">
            <v>Badung</v>
          </cell>
          <cell r="I529" t="str">
            <v>Offline</v>
          </cell>
          <cell r="L529" t="str">
            <v>082264525818/helmi</v>
          </cell>
          <cell r="M529" t="str">
            <v>g</v>
          </cell>
          <cell r="O529" t="e">
            <v>#N/A</v>
          </cell>
          <cell r="P529">
            <v>0</v>
          </cell>
        </row>
        <row r="530">
          <cell r="D530" t="str">
            <v>Candikusuma</v>
          </cell>
          <cell r="E530" t="str">
            <v>PT. Sendang Dakara Nusantara</v>
          </cell>
          <cell r="F530">
            <v>3214500000</v>
          </cell>
          <cell r="H530" t="str">
            <v>Badung</v>
          </cell>
          <cell r="I530" t="str">
            <v>Offline</v>
          </cell>
          <cell r="L530" t="str">
            <v>082264525818/helmi</v>
          </cell>
          <cell r="M530" t="str">
            <v>g</v>
          </cell>
          <cell r="O530" t="e">
            <v>#N/A</v>
          </cell>
          <cell r="P530">
            <v>0</v>
          </cell>
        </row>
        <row r="531">
          <cell r="D531" t="str">
            <v>Bubaa</v>
          </cell>
          <cell r="E531" t="str">
            <v>PT. Inovasi Multi Kreasindo (Kecil)</v>
          </cell>
          <cell r="F531">
            <v>4500000000</v>
          </cell>
          <cell r="H531" t="str">
            <v>Manado</v>
          </cell>
          <cell r="I531" t="str">
            <v>Online</v>
          </cell>
          <cell r="L531" t="str">
            <v>085197324265/maikel</v>
          </cell>
          <cell r="M531" t="str">
            <v>TK</v>
          </cell>
          <cell r="O531" t="e">
            <v>#N/A</v>
          </cell>
          <cell r="P531" t="str">
            <v>sudah</v>
          </cell>
        </row>
        <row r="532">
          <cell r="D532" t="str">
            <v>Girisa</v>
          </cell>
          <cell r="E532" t="str">
            <v>PT. Kelman Infra Perkasa</v>
          </cell>
          <cell r="F532">
            <v>4567200000</v>
          </cell>
          <cell r="I532" t="str">
            <v>Online</v>
          </cell>
          <cell r="L532" t="str">
            <v>081914588646/ridwan</v>
          </cell>
          <cell r="M532" t="str">
            <v>Arif Rah</v>
          </cell>
          <cell r="O532" t="e">
            <v>#N/A</v>
          </cell>
          <cell r="P532" t="str">
            <v>sudah</v>
          </cell>
        </row>
        <row r="533">
          <cell r="D533" t="str">
            <v>Limbatihu</v>
          </cell>
          <cell r="E533" t="str">
            <v>PT. Inovasi Multi Kreasindo (Kecil)</v>
          </cell>
          <cell r="F533">
            <v>4500000000</v>
          </cell>
          <cell r="H533" t="str">
            <v>Manado</v>
          </cell>
          <cell r="I533" t="str">
            <v>Online</v>
          </cell>
          <cell r="L533" t="str">
            <v>085197324265/maikel</v>
          </cell>
          <cell r="M533" t="str">
            <v>TK</v>
          </cell>
          <cell r="O533" t="e">
            <v>#N/A</v>
          </cell>
          <cell r="P533" t="str">
            <v>sudah</v>
          </cell>
        </row>
        <row r="534">
          <cell r="D534" t="str">
            <v>Olibu</v>
          </cell>
          <cell r="E534" t="str">
            <v>PT. Inovasi Multi Kreasindo (Kecil)</v>
          </cell>
          <cell r="F534">
            <v>4500000000</v>
          </cell>
          <cell r="H534" t="str">
            <v>Manado</v>
          </cell>
          <cell r="I534" t="str">
            <v>Online</v>
          </cell>
          <cell r="L534" t="str">
            <v>085197324265/maikel</v>
          </cell>
          <cell r="M534" t="str">
            <v>TK</v>
          </cell>
          <cell r="O534" t="e">
            <v>#N/A</v>
          </cell>
          <cell r="P534" t="str">
            <v>sudah</v>
          </cell>
        </row>
        <row r="535">
          <cell r="D535" t="str">
            <v>Patoameme</v>
          </cell>
          <cell r="E535" t="str">
            <v>PT. Kelman Infra Perkasa</v>
          </cell>
          <cell r="F535">
            <v>8066830000</v>
          </cell>
          <cell r="I535" t="str">
            <v>Online</v>
          </cell>
          <cell r="L535" t="str">
            <v>081914588646/ridwan</v>
          </cell>
          <cell r="M535" t="str">
            <v>Arif Rah</v>
          </cell>
          <cell r="O535" t="e">
            <v>#N/A</v>
          </cell>
          <cell r="P535" t="str">
            <v>sudah</v>
          </cell>
        </row>
        <row r="536">
          <cell r="D536" t="str">
            <v>Tabongo</v>
          </cell>
          <cell r="E536" t="str">
            <v>PT. Kelman Infra Perkasa</v>
          </cell>
          <cell r="F536">
            <v>4071361000</v>
          </cell>
          <cell r="I536" t="str">
            <v>Online</v>
          </cell>
          <cell r="L536" t="str">
            <v>081914588646/ridwan</v>
          </cell>
          <cell r="M536" t="str">
            <v>Arif Rah</v>
          </cell>
          <cell r="O536" t="e">
            <v>#N/A</v>
          </cell>
          <cell r="P536" t="str">
            <v>sudah</v>
          </cell>
        </row>
        <row r="537">
          <cell r="D537" t="str">
            <v>Bilato</v>
          </cell>
          <cell r="E537" t="str">
            <v>PT. Kelman Infra Perkasa</v>
          </cell>
          <cell r="F537">
            <v>4500000000</v>
          </cell>
          <cell r="I537" t="str">
            <v>Online</v>
          </cell>
          <cell r="L537" t="str">
            <v>081914588646/ridwan</v>
          </cell>
          <cell r="M537" t="str">
            <v>Arif Rah</v>
          </cell>
          <cell r="O537" t="e">
            <v>#N/A</v>
          </cell>
          <cell r="P537" t="str">
            <v>sudah</v>
          </cell>
        </row>
        <row r="538">
          <cell r="D538" t="str">
            <v>Gili Ketapang</v>
          </cell>
          <cell r="E538" t="str">
            <v>CV. Wapike Bali</v>
          </cell>
          <cell r="F538">
            <v>0</v>
          </cell>
          <cell r="M538" t="str">
            <v>g-drop</v>
          </cell>
          <cell r="O538" t="e">
            <v>#N/A</v>
          </cell>
          <cell r="P538" t="str">
            <v>lokasi batal</v>
          </cell>
        </row>
        <row r="539">
          <cell r="D539" t="str">
            <v>Kalibuntu</v>
          </cell>
          <cell r="E539" t="str">
            <v>CV. Mayang Jaya</v>
          </cell>
          <cell r="F539">
            <v>2084493000</v>
          </cell>
          <cell r="K539" t="str">
            <v>Proses Kontrak (Pokja)</v>
          </cell>
          <cell r="M539" t="str">
            <v>Put</v>
          </cell>
          <cell r="O539" t="e">
            <v>#N/A</v>
          </cell>
        </row>
        <row r="540">
          <cell r="D540" t="str">
            <v>Randuputih</v>
          </cell>
          <cell r="E540" t="str">
            <v>CV. Wapike Bali</v>
          </cell>
          <cell r="F540">
            <v>4878821000</v>
          </cell>
          <cell r="L540" t="str">
            <v>813-3035-4355/Siroj</v>
          </cell>
          <cell r="M540" t="str">
            <v>g</v>
          </cell>
          <cell r="O540" t="e">
            <v>#N/A</v>
          </cell>
          <cell r="P540" t="str">
            <v>sudah</v>
          </cell>
        </row>
        <row r="541">
          <cell r="D541" t="str">
            <v>Pesisir</v>
          </cell>
          <cell r="E541" t="str">
            <v>CV. Tosan</v>
          </cell>
          <cell r="F541">
            <v>4322097086</v>
          </cell>
          <cell r="G541" t="str">
            <v>Nodin PPK 9 Juni 2026</v>
          </cell>
          <cell r="H541" t="str">
            <v>Sumenep</v>
          </cell>
          <cell r="I541" t="str">
            <v>Offline</v>
          </cell>
          <cell r="K541" t="str">
            <v>Proses Kontrak (Pokja)</v>
          </cell>
          <cell r="M541" t="str">
            <v>g</v>
          </cell>
          <cell r="O541" t="e">
            <v>#N/A</v>
          </cell>
          <cell r="P541" t="str">
            <v>sudah</v>
          </cell>
        </row>
        <row r="542">
          <cell r="D542" t="str">
            <v>Wonorejo</v>
          </cell>
          <cell r="E542" t="str">
            <v>CV. Tosan</v>
          </cell>
          <cell r="F542">
            <v>4791933000</v>
          </cell>
          <cell r="G542" t="str">
            <v>Nodin PPK 9 Juni 2026</v>
          </cell>
          <cell r="H542" t="str">
            <v>Sumenep</v>
          </cell>
          <cell r="I542" t="str">
            <v>Offline</v>
          </cell>
          <cell r="K542" t="str">
            <v>Proses Kontrak (Pokja)</v>
          </cell>
          <cell r="M542" t="str">
            <v>g</v>
          </cell>
          <cell r="O542" t="e">
            <v>#N/A</v>
          </cell>
          <cell r="P542" t="str">
            <v>sudah</v>
          </cell>
        </row>
        <row r="543">
          <cell r="D543" t="str">
            <v>Piong</v>
          </cell>
          <cell r="E543" t="str">
            <v>CV. Terang Globalindo</v>
          </cell>
          <cell r="F543">
            <v>3214500000</v>
          </cell>
          <cell r="H543" t="str">
            <v>Jakarta</v>
          </cell>
          <cell r="I543" t="str">
            <v>Online</v>
          </cell>
          <cell r="L543" t="str">
            <v>081236590774/ jeffry</v>
          </cell>
          <cell r="M543" t="str">
            <v>Gal-Angga</v>
          </cell>
          <cell r="O543" t="e">
            <v>#N/A</v>
          </cell>
          <cell r="P543">
            <v>0</v>
          </cell>
        </row>
        <row r="544">
          <cell r="D544" t="str">
            <v>Bulalo</v>
          </cell>
          <cell r="E544" t="str">
            <v>PT. Nenci Citra Pratama Cabang Gorontalo</v>
          </cell>
          <cell r="F544">
            <v>4623459000</v>
          </cell>
          <cell r="J544" t="str">
            <v>085719545418/riky</v>
          </cell>
          <cell r="M544" t="str">
            <v>v</v>
          </cell>
          <cell r="O544" t="e">
            <v>#N/A</v>
          </cell>
          <cell r="P544" t="str">
            <v>sudah</v>
          </cell>
        </row>
        <row r="545">
          <cell r="D545" t="str">
            <v>Dudepo</v>
          </cell>
          <cell r="E545" t="str">
            <v>CV. Syeren Indah</v>
          </cell>
          <cell r="F545">
            <v>0</v>
          </cell>
          <cell r="L545" t="str">
            <v>081344929775/rukmana</v>
          </cell>
          <cell r="M545" t="str">
            <v>Hyl</v>
          </cell>
          <cell r="O545" t="str">
            <v>PT. PARAMITRA MULTI PERKASA</v>
          </cell>
          <cell r="P545" t="str">
            <v>sudah</v>
          </cell>
        </row>
        <row r="546">
          <cell r="D546" t="str">
            <v>Garapia</v>
          </cell>
          <cell r="E546" t="str">
            <v>CV. Syeren Indah</v>
          </cell>
          <cell r="F546">
            <v>0</v>
          </cell>
          <cell r="L546" t="str">
            <v>081344929775/rukmana</v>
          </cell>
          <cell r="M546" t="str">
            <v>Hyl</v>
          </cell>
          <cell r="O546" t="str">
            <v>PT. TATA SEJAHTERA INDONESIA</v>
          </cell>
          <cell r="P546" t="str">
            <v>sudah</v>
          </cell>
        </row>
        <row r="547">
          <cell r="D547" t="str">
            <v>Ilodulunga</v>
          </cell>
          <cell r="E547" t="str">
            <v>PT. Nenci Citra Pratama Cabang Gorontalo</v>
          </cell>
          <cell r="F547">
            <v>0</v>
          </cell>
          <cell r="J547" t="str">
            <v>085719545418/riky</v>
          </cell>
          <cell r="M547" t="str">
            <v>v</v>
          </cell>
          <cell r="O547" t="e">
            <v>#N/A</v>
          </cell>
          <cell r="P547" t="str">
            <v>sudah</v>
          </cell>
        </row>
        <row r="548">
          <cell r="D548" t="str">
            <v>Langge</v>
          </cell>
          <cell r="E548" t="str">
            <v>PT. Tata Sejatera Indonesia (Menengah)</v>
          </cell>
          <cell r="F548">
            <v>4500000000</v>
          </cell>
          <cell r="L548" t="str">
            <v>089624211934/ricky</v>
          </cell>
          <cell r="M548" t="str">
            <v>Hyl</v>
          </cell>
          <cell r="O548" t="str">
            <v>PT. PARAMITRA MULTI PERKASA</v>
          </cell>
          <cell r="P548" t="str">
            <v>sudah</v>
          </cell>
        </row>
        <row r="549">
          <cell r="D549" t="str">
            <v>Malambe</v>
          </cell>
          <cell r="E549" t="str">
            <v>PT. Nenci Citra Pratama Cabang Gorontalo</v>
          </cell>
          <cell r="F549">
            <v>0</v>
          </cell>
          <cell r="J549" t="str">
            <v>085719545418/riky</v>
          </cell>
          <cell r="M549" t="str">
            <v>v</v>
          </cell>
          <cell r="O549" t="e">
            <v>#N/A</v>
          </cell>
          <cell r="P549" t="str">
            <v>sudah</v>
          </cell>
        </row>
        <row r="550">
          <cell r="D550" t="str">
            <v>Ponelo</v>
          </cell>
          <cell r="E550" t="str">
            <v>CV. Syeren Indah</v>
          </cell>
          <cell r="F550">
            <v>0</v>
          </cell>
          <cell r="L550" t="str">
            <v>081344929775/rukmana</v>
          </cell>
          <cell r="M550" t="str">
            <v>Hyl</v>
          </cell>
          <cell r="O550" t="str">
            <v>PT. TATA SEJAHTERA INDONESIA</v>
          </cell>
          <cell r="P550" t="str">
            <v>sudah</v>
          </cell>
        </row>
        <row r="551">
          <cell r="D551" t="str">
            <v>Tihengo</v>
          </cell>
          <cell r="E551" t="str">
            <v>PT. Nenci Citra Pratama Cabang Gorontalo</v>
          </cell>
          <cell r="F551">
            <v>4500000000</v>
          </cell>
          <cell r="J551" t="str">
            <v>085719545418/riky</v>
          </cell>
          <cell r="M551" t="str">
            <v>v</v>
          </cell>
          <cell r="O551" t="e">
            <v>#N/A</v>
          </cell>
          <cell r="P551" t="str">
            <v>sudah</v>
          </cell>
        </row>
        <row r="552">
          <cell r="D552" t="str">
            <v>Belungkur</v>
          </cell>
          <cell r="E552" t="str">
            <v>Dinamika Bangun Mandiri</v>
          </cell>
          <cell r="F552">
            <v>4123000000</v>
          </cell>
          <cell r="M552" t="str">
            <v>Kopoksi-Rid</v>
          </cell>
          <cell r="O552" t="e">
            <v>#N/A</v>
          </cell>
          <cell r="P552">
            <v>0</v>
          </cell>
        </row>
        <row r="553">
          <cell r="D553" t="str">
            <v>Berlian</v>
          </cell>
          <cell r="E553" t="str">
            <v>Dinamika Bangun Mandiri</v>
          </cell>
          <cell r="F553">
            <v>4123000000</v>
          </cell>
          <cell r="M553" t="str">
            <v>Kopoksi-Rid</v>
          </cell>
          <cell r="O553" t="e">
            <v>#N/A</v>
          </cell>
          <cell r="P553">
            <v>0</v>
          </cell>
        </row>
        <row r="554">
          <cell r="D554" t="str">
            <v>Mepar</v>
          </cell>
          <cell r="E554" t="str">
            <v>Dinamika Bangun Mandiri</v>
          </cell>
          <cell r="F554">
            <v>0</v>
          </cell>
          <cell r="M554" t="str">
            <v>Kopoksi-Rid</v>
          </cell>
          <cell r="O554" t="e">
            <v>#N/A</v>
          </cell>
          <cell r="P554">
            <v>0</v>
          </cell>
        </row>
        <row r="555">
          <cell r="D555" t="str">
            <v>Posek</v>
          </cell>
          <cell r="E555" t="str">
            <v>Dinamika Bangun Mandiri</v>
          </cell>
          <cell r="F555">
            <v>0</v>
          </cell>
          <cell r="M555" t="str">
            <v>Kopoksi-Rid</v>
          </cell>
          <cell r="O555" t="e">
            <v>#N/A</v>
          </cell>
          <cell r="P555">
            <v>0</v>
          </cell>
        </row>
        <row r="556">
          <cell r="D556" t="str">
            <v>Reo</v>
          </cell>
          <cell r="E556" t="str">
            <v>PT. Garsi Jembar Niaga</v>
          </cell>
          <cell r="F556">
            <v>3214500000</v>
          </cell>
          <cell r="I556" t="str">
            <v>Offline</v>
          </cell>
          <cell r="M556" t="str">
            <v>fraksi roem</v>
          </cell>
          <cell r="O556" t="e">
            <v>#N/A</v>
          </cell>
          <cell r="P556">
            <v>0</v>
          </cell>
        </row>
        <row r="557">
          <cell r="D557" t="str">
            <v>Pota</v>
          </cell>
          <cell r="E557" t="str">
            <v>PT. Garsi Jembar Niaga</v>
          </cell>
          <cell r="F557">
            <v>3214500000</v>
          </cell>
          <cell r="I557" t="str">
            <v>Offline</v>
          </cell>
          <cell r="M557" t="str">
            <v>fraksi roem</v>
          </cell>
          <cell r="O557" t="e">
            <v>#N/A</v>
          </cell>
          <cell r="P557">
            <v>0</v>
          </cell>
        </row>
        <row r="558">
          <cell r="D558" t="str">
            <v>Labuhan Lalar</v>
          </cell>
          <cell r="E558" t="str">
            <v>PT. Lesindo Bersinar (menengah)</v>
          </cell>
          <cell r="F558">
            <v>3214500000</v>
          </cell>
          <cell r="L558" t="str">
            <v>082146481844/aris</v>
          </cell>
          <cell r="M558" t="str">
            <v>TK</v>
          </cell>
          <cell r="O558" t="e">
            <v>#N/A</v>
          </cell>
          <cell r="P558">
            <v>0</v>
          </cell>
        </row>
        <row r="559">
          <cell r="D559" t="str">
            <v>Poto Tano</v>
          </cell>
          <cell r="E559" t="str">
            <v>PT. Lesindo Bersinar (menengah)</v>
          </cell>
          <cell r="F559">
            <v>7342100000</v>
          </cell>
          <cell r="L559" t="str">
            <v>082146481844/aris</v>
          </cell>
          <cell r="M559" t="str">
            <v>TK</v>
          </cell>
          <cell r="O559" t="e">
            <v>#N/A</v>
          </cell>
          <cell r="P559">
            <v>0</v>
          </cell>
        </row>
        <row r="560">
          <cell r="D560" t="str">
            <v>Kersik</v>
          </cell>
          <cell r="E560" t="str">
            <v>PT. Anugerah Borneo Indonesia (Kecil-Menengah)</v>
          </cell>
          <cell r="F560">
            <v>0</v>
          </cell>
          <cell r="H560" t="str">
            <v>Kutai</v>
          </cell>
          <cell r="I560" t="str">
            <v>Online</v>
          </cell>
          <cell r="O560" t="e">
            <v>#N/A</v>
          </cell>
          <cell r="P560">
            <v>0</v>
          </cell>
        </row>
        <row r="561">
          <cell r="D561" t="str">
            <v>Tanjung Limau</v>
          </cell>
          <cell r="E561" t="str">
            <v>PT. Anugerah Borneo Indonesia (Kecil-Menengah)</v>
          </cell>
          <cell r="F561">
            <v>0</v>
          </cell>
          <cell r="H561" t="str">
            <v>Kutai</v>
          </cell>
          <cell r="I561" t="str">
            <v>Online</v>
          </cell>
          <cell r="O561" t="e">
            <v>#N/A</v>
          </cell>
          <cell r="P561">
            <v>0</v>
          </cell>
        </row>
        <row r="562">
          <cell r="D562" t="str">
            <v>Laha</v>
          </cell>
          <cell r="F562">
            <v>0</v>
          </cell>
          <cell r="O562" t="e">
            <v>#N/A</v>
          </cell>
          <cell r="P562">
            <v>0</v>
          </cell>
        </row>
        <row r="563">
          <cell r="D563" t="str">
            <v>Latuhalat</v>
          </cell>
          <cell r="F563">
            <v>0</v>
          </cell>
          <cell r="O563" t="e">
            <v>#N/A</v>
          </cell>
          <cell r="P563">
            <v>0</v>
          </cell>
        </row>
        <row r="564">
          <cell r="D564" t="str">
            <v>Rutong</v>
          </cell>
          <cell r="F564">
            <v>0</v>
          </cell>
          <cell r="O564" t="e">
            <v>#N/A</v>
          </cell>
          <cell r="P564">
            <v>0</v>
          </cell>
        </row>
        <row r="565">
          <cell r="D565" t="str">
            <v>Urimessing</v>
          </cell>
          <cell r="F565">
            <v>0</v>
          </cell>
          <cell r="O565" t="e">
            <v>#N/A</v>
          </cell>
          <cell r="P565">
            <v>0</v>
          </cell>
        </row>
        <row r="566">
          <cell r="D566" t="str">
            <v>Dusun Kecil</v>
          </cell>
          <cell r="E566" t="str">
            <v>PT. Savar Bikuro Sejahtera (Menengah)</v>
          </cell>
          <cell r="F566">
            <v>4320000000</v>
          </cell>
          <cell r="H566" t="str">
            <v>Jakarta</v>
          </cell>
          <cell r="I566" t="str">
            <v>Online</v>
          </cell>
          <cell r="O566" t="e">
            <v>#N/A</v>
          </cell>
          <cell r="P566">
            <v>0</v>
          </cell>
        </row>
        <row r="567">
          <cell r="D567" t="str">
            <v>Pelapis</v>
          </cell>
          <cell r="E567" t="str">
            <v>PT. Savar Bikuro Sejahtera (Menengah)</v>
          </cell>
          <cell r="F567">
            <v>4320000000</v>
          </cell>
          <cell r="H567" t="str">
            <v>Jakarta</v>
          </cell>
          <cell r="I567" t="str">
            <v>Online</v>
          </cell>
          <cell r="O567" t="e">
            <v>#N/A</v>
          </cell>
          <cell r="P567">
            <v>0</v>
          </cell>
        </row>
        <row r="568">
          <cell r="D568" t="str">
            <v>Telukbatang Utara</v>
          </cell>
          <cell r="E568" t="str">
            <v>PT. Savar Bikuro Sejahtera (Menengah)</v>
          </cell>
          <cell r="F568">
            <v>0</v>
          </cell>
          <cell r="H568" t="str">
            <v>Jakarta</v>
          </cell>
          <cell r="I568" t="str">
            <v>Online</v>
          </cell>
          <cell r="O568" t="e">
            <v>#N/A</v>
          </cell>
          <cell r="P568">
            <v>0</v>
          </cell>
        </row>
        <row r="569">
          <cell r="D569" t="str">
            <v>Praisalura</v>
          </cell>
          <cell r="E569" t="str">
            <v>PT. Winata Jaya Utama (Kecil)</v>
          </cell>
          <cell r="F569">
            <v>3214500000</v>
          </cell>
          <cell r="L569" t="str">
            <v>08111766012/finu</v>
          </cell>
          <cell r="M569" t="str">
            <v>pandu</v>
          </cell>
          <cell r="O569" t="e">
            <v>#N/A</v>
          </cell>
          <cell r="P569">
            <v>0</v>
          </cell>
        </row>
        <row r="570">
          <cell r="D570" t="str">
            <v>Sumberejo</v>
          </cell>
          <cell r="E570" t="str">
            <v>CV. Wapike Bali</v>
          </cell>
          <cell r="F570">
            <v>2432317000</v>
          </cell>
          <cell r="H570" t="str">
            <v>Sidoarjo (Kecil)</v>
          </cell>
          <cell r="I570" t="str">
            <v>Online</v>
          </cell>
          <cell r="L570" t="str">
            <v>813-3035-4355/Siroj</v>
          </cell>
          <cell r="M570" t="str">
            <v>g</v>
          </cell>
          <cell r="O570" t="e">
            <v>#N/A</v>
          </cell>
          <cell r="P570" t="str">
            <v>sudah</v>
          </cell>
        </row>
        <row r="571">
          <cell r="D571" t="str">
            <v>Paseban</v>
          </cell>
          <cell r="E571" t="str">
            <v>CV. Wapike Bali</v>
          </cell>
          <cell r="F571">
            <v>2314000000</v>
          </cell>
          <cell r="H571" t="str">
            <v>Jakarta (Besar)</v>
          </cell>
          <cell r="I571" t="str">
            <v>Online</v>
          </cell>
          <cell r="L571" t="str">
            <v>813-3035-4355/Siroj</v>
          </cell>
          <cell r="M571" t="str">
            <v>g</v>
          </cell>
          <cell r="O571" t="e">
            <v>#N/A</v>
          </cell>
          <cell r="P571" t="str">
            <v>sudah</v>
          </cell>
        </row>
        <row r="572">
          <cell r="D572" t="str">
            <v>Pugerkulon</v>
          </cell>
          <cell r="E572" t="str">
            <v>CV. Pandunawi</v>
          </cell>
          <cell r="F572">
            <v>4849599000</v>
          </cell>
          <cell r="L572" t="str">
            <v>085232356269/ghosi</v>
          </cell>
          <cell r="M572" t="str">
            <v>Put</v>
          </cell>
          <cell r="O572" t="e">
            <v>#N/A</v>
          </cell>
          <cell r="P572" t="str">
            <v>sudah</v>
          </cell>
        </row>
        <row r="573">
          <cell r="D573" t="str">
            <v>Kedungsalam</v>
          </cell>
          <cell r="E573" t="str">
            <v>CV. Astana Mas</v>
          </cell>
          <cell r="F573">
            <v>2314000000</v>
          </cell>
          <cell r="I573" t="str">
            <v>Online</v>
          </cell>
          <cell r="L573" t="str">
            <v>081330065040/ARI</v>
          </cell>
          <cell r="M573" t="str">
            <v>g</v>
          </cell>
          <cell r="O573" t="e">
            <v>#N/A</v>
          </cell>
          <cell r="P573" t="str">
            <v>sudah</v>
          </cell>
        </row>
        <row r="574">
          <cell r="D574" t="str">
            <v>Sidoasri</v>
          </cell>
          <cell r="E574" t="str">
            <v>CV. Astana Mas</v>
          </cell>
          <cell r="F574">
            <v>0</v>
          </cell>
          <cell r="I574" t="str">
            <v>Online</v>
          </cell>
          <cell r="L574" t="str">
            <v>081330065040/ARI</v>
          </cell>
          <cell r="M574" t="str">
            <v>g-drop sosek</v>
          </cell>
          <cell r="O574" t="e">
            <v>#N/A</v>
          </cell>
          <cell r="P574" t="str">
            <v>lokasi batal</v>
          </cell>
        </row>
        <row r="575">
          <cell r="D575" t="str">
            <v>Tambakrejo</v>
          </cell>
          <cell r="E575" t="str">
            <v>CV. Astana Mas</v>
          </cell>
          <cell r="F575">
            <v>0</v>
          </cell>
          <cell r="I575" t="str">
            <v>Online</v>
          </cell>
          <cell r="L575" t="str">
            <v>081330065040/ARI</v>
          </cell>
          <cell r="M575" t="str">
            <v>g</v>
          </cell>
          <cell r="O575" t="e">
            <v>#N/A</v>
          </cell>
          <cell r="P575" t="str">
            <v>sudah</v>
          </cell>
        </row>
        <row r="576">
          <cell r="D576" t="str">
            <v>Dowora</v>
          </cell>
          <cell r="F576">
            <v>0</v>
          </cell>
          <cell r="O576" t="e">
            <v>#N/A</v>
          </cell>
          <cell r="P576">
            <v>0</v>
          </cell>
        </row>
        <row r="577">
          <cell r="D577" t="str">
            <v>Gonone</v>
          </cell>
          <cell r="F577">
            <v>0</v>
          </cell>
          <cell r="O577" t="e">
            <v>#N/A</v>
          </cell>
          <cell r="P577">
            <v>0</v>
          </cell>
        </row>
        <row r="578">
          <cell r="D578" t="str">
            <v>Kakupang</v>
          </cell>
          <cell r="F578">
            <v>0</v>
          </cell>
          <cell r="O578" t="e">
            <v>#N/A</v>
          </cell>
          <cell r="P578">
            <v>0</v>
          </cell>
        </row>
        <row r="579">
          <cell r="D579" t="str">
            <v>Mano</v>
          </cell>
          <cell r="F579">
            <v>0</v>
          </cell>
          <cell r="O579" t="e">
            <v>#N/A</v>
          </cell>
          <cell r="P579">
            <v>0</v>
          </cell>
        </row>
        <row r="580">
          <cell r="D580" t="str">
            <v>Pulau Gala</v>
          </cell>
          <cell r="F580">
            <v>0</v>
          </cell>
          <cell r="O580" t="e">
            <v>#N/A</v>
          </cell>
          <cell r="P580">
            <v>0</v>
          </cell>
        </row>
        <row r="581">
          <cell r="D581" t="str">
            <v>Silang</v>
          </cell>
          <cell r="F581">
            <v>0</v>
          </cell>
          <cell r="O581" t="e">
            <v>#N/A</v>
          </cell>
          <cell r="P581">
            <v>0</v>
          </cell>
        </row>
        <row r="582">
          <cell r="D582" t="str">
            <v>Tawabi</v>
          </cell>
          <cell r="F582">
            <v>0</v>
          </cell>
          <cell r="O582" t="e">
            <v>#N/A</v>
          </cell>
          <cell r="P582">
            <v>0</v>
          </cell>
        </row>
        <row r="583">
          <cell r="D583" t="str">
            <v>Air Haji Barat</v>
          </cell>
          <cell r="E583" t="str">
            <v>PT. Wijaya Karya Bangunan Gedung</v>
          </cell>
          <cell r="F583">
            <v>4123000000</v>
          </cell>
          <cell r="O583" t="e">
            <v>#N/A</v>
          </cell>
          <cell r="P583">
            <v>0</v>
          </cell>
        </row>
        <row r="584">
          <cell r="D584" t="str">
            <v>Pulau Rajo Inderapura</v>
          </cell>
          <cell r="E584" t="str">
            <v>PT. Wijaya Karya Bangunan Gedung</v>
          </cell>
          <cell r="F584">
            <v>7123100000</v>
          </cell>
          <cell r="O584" t="e">
            <v>#N/A</v>
          </cell>
          <cell r="P584">
            <v>0</v>
          </cell>
        </row>
        <row r="585">
          <cell r="D585" t="str">
            <v>Ledeunu</v>
          </cell>
          <cell r="E585" t="str">
            <v>PT. Aulia Berlian Konstruksi (Menengah)</v>
          </cell>
          <cell r="F585">
            <v>3214500000</v>
          </cell>
          <cell r="L585" t="str">
            <v>081293305027/iqbal</v>
          </cell>
          <cell r="M585" t="str">
            <v>Iqbal/AM</v>
          </cell>
          <cell r="O585" t="e">
            <v>#N/A</v>
          </cell>
          <cell r="P585">
            <v>0</v>
          </cell>
        </row>
        <row r="586">
          <cell r="D586" t="str">
            <v>Raemadia</v>
          </cell>
          <cell r="E586" t="str">
            <v>PT. Aulia Berlian Konstruksi (Menengah)</v>
          </cell>
          <cell r="F586">
            <v>4678000000</v>
          </cell>
          <cell r="L586" t="str">
            <v>081293305027/iqbal</v>
          </cell>
          <cell r="M586" t="str">
            <v>Iqbal/AM</v>
          </cell>
          <cell r="O586" t="e">
            <v>#N/A</v>
          </cell>
          <cell r="P586">
            <v>0</v>
          </cell>
        </row>
        <row r="587">
          <cell r="D587" t="str">
            <v>Moilong</v>
          </cell>
          <cell r="E587" t="str">
            <v>PT. Wahana Cipta Barakallaah</v>
          </cell>
          <cell r="F587">
            <v>4082859000</v>
          </cell>
          <cell r="G587" t="str">
            <v>Nodin PPK 8 Juni 2026</v>
          </cell>
          <cell r="H587" t="str">
            <v>Surabaya</v>
          </cell>
          <cell r="I587" t="str">
            <v>Online</v>
          </cell>
          <cell r="K587" t="str">
            <v>Proses Kontrak (Pokja)</v>
          </cell>
          <cell r="L587" t="str">
            <v>087806000006/Chandra</v>
          </cell>
          <cell r="M587" t="str">
            <v>Hyl</v>
          </cell>
          <cell r="O587" t="str">
            <v>PT. Wahana Cipta Barakallaah</v>
          </cell>
          <cell r="P587" t="str">
            <v>sudah</v>
          </cell>
        </row>
        <row r="588">
          <cell r="D588" t="str">
            <v>Rata</v>
          </cell>
          <cell r="E588" t="str">
            <v>PT. Wahana Cipta Barakallaah</v>
          </cell>
          <cell r="F588">
            <v>8104319000</v>
          </cell>
          <cell r="G588" t="str">
            <v>Nodin PPK 8 Juni 2026</v>
          </cell>
          <cell r="H588" t="str">
            <v>Surabaya</v>
          </cell>
          <cell r="I588" t="str">
            <v>Online</v>
          </cell>
          <cell r="K588" t="str">
            <v>Proses Kontrak (Pokja)</v>
          </cell>
          <cell r="L588" t="str">
            <v>087806000006/Chandra</v>
          </cell>
          <cell r="M588" t="str">
            <v>Hyl</v>
          </cell>
          <cell r="O588" t="str">
            <v>PT. Wahana Cipta Barakallaah</v>
          </cell>
          <cell r="P588" t="str">
            <v>sudah</v>
          </cell>
        </row>
        <row r="589">
          <cell r="D589" t="str">
            <v>Dumu</v>
          </cell>
          <cell r="E589" t="str">
            <v>PT. Daffa Buana Sakti (Menengah)</v>
          </cell>
          <cell r="F589">
            <v>3214500000</v>
          </cell>
          <cell r="H589" t="str">
            <v>Medan</v>
          </cell>
          <cell r="L589" t="str">
            <v>081370515855/azi</v>
          </cell>
          <cell r="M589" t="str">
            <v>Dedd</v>
          </cell>
          <cell r="O589" t="e">
            <v>#N/A</v>
          </cell>
          <cell r="P589">
            <v>0</v>
          </cell>
        </row>
        <row r="590">
          <cell r="D590" t="str">
            <v>Kangga</v>
          </cell>
          <cell r="E590" t="str">
            <v>PT. Daffa Buana Sakti (Menengah)</v>
          </cell>
          <cell r="F590">
            <v>3214500000</v>
          </cell>
          <cell r="H590" t="str">
            <v>Medan</v>
          </cell>
          <cell r="L590" t="str">
            <v>081370515855/azi</v>
          </cell>
          <cell r="M590" t="str">
            <v>Dedd</v>
          </cell>
          <cell r="O590" t="e">
            <v>#N/A</v>
          </cell>
          <cell r="P590">
            <v>0</v>
          </cell>
        </row>
        <row r="591">
          <cell r="D591" t="str">
            <v>Karampi</v>
          </cell>
          <cell r="E591" t="str">
            <v>PT. Daffa Buana Sakti (Menengah)</v>
          </cell>
          <cell r="F591">
            <v>3214500000</v>
          </cell>
          <cell r="H591" t="str">
            <v>Medan</v>
          </cell>
          <cell r="L591" t="str">
            <v>081370515855/azi</v>
          </cell>
          <cell r="M591" t="str">
            <v>Dedd</v>
          </cell>
          <cell r="O591" t="e">
            <v>#N/A</v>
          </cell>
          <cell r="P591">
            <v>0</v>
          </cell>
        </row>
        <row r="592">
          <cell r="D592" t="str">
            <v>Karumbu</v>
          </cell>
          <cell r="E592" t="str">
            <v>PT. Daffa Buana Sakti (Menengah)</v>
          </cell>
          <cell r="F592">
            <v>3214500000</v>
          </cell>
          <cell r="H592" t="str">
            <v>Medan</v>
          </cell>
          <cell r="L592" t="str">
            <v>081370515855/azi</v>
          </cell>
          <cell r="M592" t="str">
            <v>Dedd</v>
          </cell>
          <cell r="O592" t="e">
            <v>#N/A</v>
          </cell>
          <cell r="P592">
            <v>0</v>
          </cell>
        </row>
        <row r="593">
          <cell r="D593" t="str">
            <v>Rompo</v>
          </cell>
          <cell r="E593" t="str">
            <v>PT. Daffa Buana Sakti (Menengah)</v>
          </cell>
          <cell r="F593">
            <v>7342100000</v>
          </cell>
          <cell r="H593" t="str">
            <v>Medan</v>
          </cell>
          <cell r="L593" t="str">
            <v>081370515855/azi</v>
          </cell>
          <cell r="M593" t="str">
            <v>Dedd</v>
          </cell>
          <cell r="O593" t="e">
            <v>#N/A</v>
          </cell>
          <cell r="P593">
            <v>0</v>
          </cell>
        </row>
        <row r="594">
          <cell r="D594" t="str">
            <v>Sambane</v>
          </cell>
          <cell r="E594" t="str">
            <v>PT. Daffa Buana Sakti (Menengah)</v>
          </cell>
          <cell r="F594">
            <v>3214500000</v>
          </cell>
          <cell r="H594" t="str">
            <v>Medan</v>
          </cell>
          <cell r="L594" t="str">
            <v>081370515855/azi</v>
          </cell>
          <cell r="M594" t="str">
            <v>Dedd</v>
          </cell>
          <cell r="O594" t="e">
            <v>#N/A</v>
          </cell>
          <cell r="P594">
            <v>0</v>
          </cell>
        </row>
        <row r="595">
          <cell r="D595" t="str">
            <v>Sarae Ruma</v>
          </cell>
          <cell r="E595" t="str">
            <v>PT. Daffa Buana Sakti (Menengah)</v>
          </cell>
          <cell r="F595">
            <v>3214500000</v>
          </cell>
          <cell r="H595" t="str">
            <v>Medan</v>
          </cell>
          <cell r="L595" t="str">
            <v>081370515855/azi</v>
          </cell>
          <cell r="M595" t="str">
            <v>Dedd</v>
          </cell>
          <cell r="O595" t="e">
            <v>#N/A</v>
          </cell>
          <cell r="P595">
            <v>0</v>
          </cell>
        </row>
        <row r="596">
          <cell r="D596" t="str">
            <v>Pasir Putih</v>
          </cell>
          <cell r="E596" t="str">
            <v>Independent Fighter</v>
          </cell>
          <cell r="F596">
            <v>4035223444</v>
          </cell>
          <cell r="G596" t="str">
            <v>Nodin PPK 11 Juni 2026</v>
          </cell>
          <cell r="K596" t="str">
            <v>Proses Kontrak (Pokja)</v>
          </cell>
          <cell r="L596" t="str">
            <v>082393532279/supriyanto</v>
          </cell>
          <cell r="M596" t="str">
            <v>Galu BIN-independent fighter</v>
          </cell>
          <cell r="O596" t="e">
            <v>#N/A</v>
          </cell>
          <cell r="P596" t="str">
            <v>sudah</v>
          </cell>
        </row>
        <row r="597">
          <cell r="D597" t="str">
            <v>Saburano</v>
          </cell>
          <cell r="E597" t="str">
            <v>CV. Sedarah Sejahtera</v>
          </cell>
          <cell r="F597">
            <v>4889637000</v>
          </cell>
          <cell r="L597" t="str">
            <v>85241812495/+62 852-4181-2495</v>
          </cell>
          <cell r="M597" t="str">
            <v>Jaelani</v>
          </cell>
          <cell r="O597" t="e">
            <v>#N/A</v>
          </cell>
          <cell r="P597" t="str">
            <v>sudah</v>
          </cell>
        </row>
        <row r="598">
          <cell r="D598" t="str">
            <v>Sainoa Indah</v>
          </cell>
          <cell r="E598" t="str">
            <v>Independent Fighter</v>
          </cell>
          <cell r="F598">
            <v>3567381000</v>
          </cell>
          <cell r="G598" t="str">
            <v>Nodin PPK 11 Juni 2026</v>
          </cell>
          <cell r="K598" t="str">
            <v>Proses Kontrak (Pokja)</v>
          </cell>
          <cell r="L598" t="str">
            <v>082393532279/supriyanto</v>
          </cell>
          <cell r="M598" t="str">
            <v>Galu BIN-independent fighter</v>
          </cell>
          <cell r="O598" t="e">
            <v>#N/A</v>
          </cell>
          <cell r="P598" t="str">
            <v>sudah</v>
          </cell>
        </row>
        <row r="599">
          <cell r="D599" t="str">
            <v>Bilifitu</v>
          </cell>
          <cell r="F599">
            <v>0</v>
          </cell>
          <cell r="O599" t="e">
            <v>#N/A</v>
          </cell>
          <cell r="P599">
            <v>0</v>
          </cell>
        </row>
        <row r="600">
          <cell r="D600" t="str">
            <v>Messa</v>
          </cell>
          <cell r="F600">
            <v>0</v>
          </cell>
          <cell r="O600" t="e">
            <v>#N/A</v>
          </cell>
          <cell r="P600">
            <v>0</v>
          </cell>
        </row>
        <row r="601">
          <cell r="D601" t="str">
            <v>Sakam</v>
          </cell>
          <cell r="F601">
            <v>0</v>
          </cell>
          <cell r="O601" t="e">
            <v>#N/A</v>
          </cell>
          <cell r="P601">
            <v>0</v>
          </cell>
        </row>
        <row r="602">
          <cell r="D602" t="str">
            <v>Sil</v>
          </cell>
          <cell r="F602">
            <v>0</v>
          </cell>
          <cell r="O602" t="e">
            <v>#N/A</v>
          </cell>
          <cell r="P602">
            <v>0</v>
          </cell>
        </row>
        <row r="603">
          <cell r="D603" t="str">
            <v>Maileppet</v>
          </cell>
          <cell r="E603" t="str">
            <v>PT. Wijaya Karya Bangunan Gedung</v>
          </cell>
          <cell r="F603">
            <v>4123000000</v>
          </cell>
          <cell r="O603" t="e">
            <v>#N/A</v>
          </cell>
          <cell r="P603">
            <v>0</v>
          </cell>
        </row>
        <row r="604">
          <cell r="D604" t="str">
            <v>Muara Sikabaluan</v>
          </cell>
          <cell r="E604" t="str">
            <v>PT. Wijaya Karya Bangunan Gedung</v>
          </cell>
          <cell r="F604">
            <v>0</v>
          </cell>
          <cell r="O604" t="e">
            <v>#N/A</v>
          </cell>
          <cell r="P604">
            <v>0</v>
          </cell>
        </row>
        <row r="605">
          <cell r="D605" t="str">
            <v>Saliguma</v>
          </cell>
          <cell r="E605" t="str">
            <v>PT. Wijaya Karya Bangunan Gedung</v>
          </cell>
          <cell r="F605">
            <v>0</v>
          </cell>
          <cell r="O605" t="e">
            <v>#N/A</v>
          </cell>
          <cell r="P605">
            <v>0</v>
          </cell>
        </row>
        <row r="606">
          <cell r="D606" t="str">
            <v>Handil Terusan</v>
          </cell>
          <cell r="E606" t="str">
            <v>CV. Alam Semesta Mendukung</v>
          </cell>
          <cell r="F606">
            <v>0</v>
          </cell>
          <cell r="H606" t="str">
            <v>Kutai</v>
          </cell>
          <cell r="I606" t="str">
            <v>Online</v>
          </cell>
          <cell r="L606" t="str">
            <v>082396807749/ahmad</v>
          </cell>
          <cell r="M606" t="str">
            <v>Azim-Rin</v>
          </cell>
          <cell r="O606" t="e">
            <v>#N/A</v>
          </cell>
          <cell r="P606">
            <v>0</v>
          </cell>
        </row>
        <row r="607">
          <cell r="D607" t="str">
            <v>Samboja Kuala</v>
          </cell>
          <cell r="E607" t="str">
            <v>CV. Alam Semesta Mendukung</v>
          </cell>
          <cell r="F607">
            <v>0</v>
          </cell>
          <cell r="H607" t="str">
            <v>Kutai</v>
          </cell>
          <cell r="I607" t="str">
            <v>Online</v>
          </cell>
          <cell r="L607" t="str">
            <v>082396807749/ahmad</v>
          </cell>
          <cell r="M607" t="str">
            <v>Azim-Rin</v>
          </cell>
          <cell r="O607" t="e">
            <v>#N/A</v>
          </cell>
          <cell r="P607">
            <v>0</v>
          </cell>
        </row>
        <row r="608">
          <cell r="D608" t="str">
            <v>Boro</v>
          </cell>
          <cell r="E608" t="str">
            <v>PT. Masco Energi</v>
          </cell>
          <cell r="F608">
            <v>3214500000</v>
          </cell>
          <cell r="H608" t="str">
            <v>Bima</v>
          </cell>
          <cell r="I608" t="str">
            <v>Online</v>
          </cell>
          <cell r="L608" t="str">
            <v>081112300889/edi</v>
          </cell>
          <cell r="M608" t="str">
            <v>TK</v>
          </cell>
          <cell r="O608" t="e">
            <v>#N/A</v>
          </cell>
          <cell r="P608">
            <v>0</v>
          </cell>
        </row>
        <row r="609">
          <cell r="D609" t="str">
            <v>Sandue</v>
          </cell>
          <cell r="E609" t="str">
            <v>PT. Masco Energi</v>
          </cell>
          <cell r="F609">
            <v>3214500000</v>
          </cell>
          <cell r="H609" t="str">
            <v>Bima</v>
          </cell>
          <cell r="I609" t="str">
            <v>Online</v>
          </cell>
          <cell r="L609" t="str">
            <v>081112300889/edi</v>
          </cell>
          <cell r="M609" t="str">
            <v>TK</v>
          </cell>
          <cell r="O609" t="e">
            <v>#N/A</v>
          </cell>
          <cell r="P609">
            <v>0</v>
          </cell>
        </row>
        <row r="610">
          <cell r="D610" t="str">
            <v>Sangia</v>
          </cell>
          <cell r="E610" t="str">
            <v>CV. Terang Globalindo</v>
          </cell>
          <cell r="F610">
            <v>3214500000</v>
          </cell>
          <cell r="H610" t="str">
            <v>Jakarta</v>
          </cell>
          <cell r="I610" t="str">
            <v>Online</v>
          </cell>
          <cell r="L610" t="str">
            <v>081236590774/ jeffry</v>
          </cell>
          <cell r="M610" t="str">
            <v>Gal-Angga</v>
          </cell>
          <cell r="O610" t="e">
            <v>#N/A</v>
          </cell>
          <cell r="P610">
            <v>0</v>
          </cell>
        </row>
        <row r="611">
          <cell r="D611" t="str">
            <v>Gorua</v>
          </cell>
          <cell r="F611">
            <v>0</v>
          </cell>
          <cell r="O611" t="e">
            <v>#N/A</v>
          </cell>
          <cell r="P611">
            <v>0</v>
          </cell>
        </row>
        <row r="612">
          <cell r="D612" t="str">
            <v>Koloray</v>
          </cell>
          <cell r="F612">
            <v>0</v>
          </cell>
          <cell r="O612" t="e">
            <v>#N/A</v>
          </cell>
          <cell r="P612">
            <v>0</v>
          </cell>
        </row>
        <row r="613">
          <cell r="D613" t="str">
            <v>Loleo Jaya</v>
          </cell>
          <cell r="F613">
            <v>0</v>
          </cell>
          <cell r="O613" t="e">
            <v>#N/A</v>
          </cell>
          <cell r="P613">
            <v>0</v>
          </cell>
        </row>
        <row r="614">
          <cell r="D614" t="str">
            <v>Maba</v>
          </cell>
          <cell r="F614">
            <v>0</v>
          </cell>
          <cell r="O614" t="e">
            <v>#N/A</v>
          </cell>
          <cell r="P614">
            <v>0</v>
          </cell>
        </row>
        <row r="615">
          <cell r="D615" t="str">
            <v>Mira</v>
          </cell>
          <cell r="F615">
            <v>0</v>
          </cell>
          <cell r="O615" t="e">
            <v>#N/A</v>
          </cell>
          <cell r="P615">
            <v>0</v>
          </cell>
        </row>
        <row r="616">
          <cell r="D616" t="str">
            <v>Pangeo</v>
          </cell>
          <cell r="F616">
            <v>0</v>
          </cell>
          <cell r="O616" t="e">
            <v>#N/A</v>
          </cell>
          <cell r="P616">
            <v>0</v>
          </cell>
        </row>
        <row r="617">
          <cell r="D617" t="str">
            <v>Titigogoli</v>
          </cell>
          <cell r="F617">
            <v>0</v>
          </cell>
          <cell r="O617" t="e">
            <v>#N/A</v>
          </cell>
          <cell r="P617">
            <v>0</v>
          </cell>
        </row>
        <row r="618">
          <cell r="D618" t="str">
            <v>Batu Belanak</v>
          </cell>
          <cell r="E618" t="str">
            <v>PT. Duta Bangun Husaeni</v>
          </cell>
          <cell r="F618">
            <v>0</v>
          </cell>
          <cell r="H618" t="str">
            <v>Bogor</v>
          </cell>
          <cell r="I618" t="str">
            <v>Online</v>
          </cell>
          <cell r="L618">
            <v>82115115424</v>
          </cell>
          <cell r="M618" t="str">
            <v>Galuh-G</v>
          </cell>
          <cell r="O618" t="e">
            <v>#N/A</v>
          </cell>
          <cell r="P618">
            <v>0</v>
          </cell>
        </row>
        <row r="619">
          <cell r="D619" t="str">
            <v>Mekar Jaya</v>
          </cell>
          <cell r="E619" t="str">
            <v>PT. Ibnu Munsyir Dwi Guna</v>
          </cell>
          <cell r="F619">
            <v>0</v>
          </cell>
          <cell r="I619" t="str">
            <v>Offline</v>
          </cell>
          <cell r="M619" t="str">
            <v>TK</v>
          </cell>
          <cell r="O619" t="e">
            <v>#N/A</v>
          </cell>
          <cell r="P619">
            <v>0</v>
          </cell>
        </row>
        <row r="620">
          <cell r="D620" t="str">
            <v>Sabang Mawang</v>
          </cell>
          <cell r="E620" t="str">
            <v>PT. Ibnu Munsyir Dwi Guna</v>
          </cell>
          <cell r="F620">
            <v>0</v>
          </cell>
          <cell r="I620" t="str">
            <v>Offline</v>
          </cell>
          <cell r="M620" t="str">
            <v>TK</v>
          </cell>
          <cell r="O620" t="e">
            <v>#N/A</v>
          </cell>
          <cell r="P620">
            <v>0</v>
          </cell>
        </row>
        <row r="621">
          <cell r="D621" t="str">
            <v>Sedanau</v>
          </cell>
          <cell r="E621" t="str">
            <v>PT. Ibnu Munsyir Dwi Guna</v>
          </cell>
          <cell r="F621">
            <v>0</v>
          </cell>
          <cell r="I621" t="str">
            <v>Offline</v>
          </cell>
          <cell r="M621" t="str">
            <v>TK</v>
          </cell>
          <cell r="O621" t="e">
            <v>#N/A</v>
          </cell>
          <cell r="P621">
            <v>0</v>
          </cell>
        </row>
        <row r="622">
          <cell r="D622" t="str">
            <v>Sededap</v>
          </cell>
          <cell r="E622" t="str">
            <v>PT. Ibnu Munsyir Dwi Guna</v>
          </cell>
          <cell r="F622">
            <v>0</v>
          </cell>
          <cell r="I622" t="str">
            <v>Offline</v>
          </cell>
          <cell r="M622" t="str">
            <v>TK</v>
          </cell>
          <cell r="O622" t="e">
            <v>#N/A</v>
          </cell>
          <cell r="P622">
            <v>0</v>
          </cell>
        </row>
        <row r="623">
          <cell r="D623" t="str">
            <v>Selading</v>
          </cell>
          <cell r="E623" t="str">
            <v>PT. Duta Bangun Husaeni</v>
          </cell>
          <cell r="F623">
            <v>0</v>
          </cell>
          <cell r="H623" t="str">
            <v>Bogor</v>
          </cell>
          <cell r="I623" t="str">
            <v>Online</v>
          </cell>
          <cell r="L623">
            <v>82115115424</v>
          </cell>
          <cell r="M623" t="str">
            <v>Galuh-G</v>
          </cell>
          <cell r="O623" t="e">
            <v>#N/A</v>
          </cell>
          <cell r="P623">
            <v>0</v>
          </cell>
        </row>
        <row r="624">
          <cell r="D624" t="str">
            <v>Temoyong</v>
          </cell>
          <cell r="E624" t="str">
            <v>PT. Ibnu Munsyir Dwi Guna</v>
          </cell>
          <cell r="F624">
            <v>0</v>
          </cell>
          <cell r="L624" t="str">
            <v>8118881985/kiki</v>
          </cell>
          <cell r="M624" t="str">
            <v>TK - SBU habis masa berlaku</v>
          </cell>
          <cell r="O624" t="e">
            <v>#N/A</v>
          </cell>
          <cell r="P624">
            <v>0</v>
          </cell>
        </row>
        <row r="625">
          <cell r="D625" t="str">
            <v>Jantur Selatan</v>
          </cell>
          <cell r="E625" t="str">
            <v>PT. Global Tri Jaya</v>
          </cell>
          <cell r="F625">
            <v>0</v>
          </cell>
          <cell r="H625" t="str">
            <v xml:space="preserve"> Kutai Kartanegara</v>
          </cell>
          <cell r="I625" t="str">
            <v>Online</v>
          </cell>
          <cell r="L625" t="str">
            <v>081293305027/iqbal</v>
          </cell>
          <cell r="M625" t="str">
            <v>Iqbal/AM</v>
          </cell>
          <cell r="O625" t="e">
            <v>#N/A</v>
          </cell>
          <cell r="P625">
            <v>0</v>
          </cell>
        </row>
        <row r="626">
          <cell r="D626" t="str">
            <v>Pela</v>
          </cell>
          <cell r="E626" t="str">
            <v>PT. Global Tri Jaya</v>
          </cell>
          <cell r="F626">
            <v>4320000000</v>
          </cell>
          <cell r="H626" t="str">
            <v xml:space="preserve"> Kutai Kartanegara</v>
          </cell>
          <cell r="I626" t="str">
            <v>Online</v>
          </cell>
          <cell r="L626" t="str">
            <v>081293305027/iqbal</v>
          </cell>
          <cell r="M626" t="str">
            <v>Iqbal/AM</v>
          </cell>
          <cell r="O626" t="e">
            <v>#N/A</v>
          </cell>
          <cell r="P626">
            <v>0</v>
          </cell>
        </row>
        <row r="627">
          <cell r="D627" t="str">
            <v>Sangkuliman</v>
          </cell>
          <cell r="E627" t="str">
            <v>PT. Global Tri Jaya</v>
          </cell>
          <cell r="F627">
            <v>4320000000</v>
          </cell>
          <cell r="H627" t="str">
            <v xml:space="preserve"> Kutai Kartanegara</v>
          </cell>
          <cell r="I627" t="str">
            <v>Online</v>
          </cell>
          <cell r="L627" t="str">
            <v>081293305027/iqbal</v>
          </cell>
          <cell r="M627" t="str">
            <v>Iqbal/AM</v>
          </cell>
          <cell r="O627" t="e">
            <v>#N/A</v>
          </cell>
          <cell r="P627">
            <v>0</v>
          </cell>
        </row>
        <row r="628">
          <cell r="D628" t="str">
            <v>Semayang</v>
          </cell>
          <cell r="E628" t="str">
            <v>PT. Global Tri Jaya</v>
          </cell>
          <cell r="F628">
            <v>0</v>
          </cell>
          <cell r="H628" t="str">
            <v xml:space="preserve"> Kutai Kartanegara</v>
          </cell>
          <cell r="I628" t="str">
            <v>Online</v>
          </cell>
          <cell r="L628" t="str">
            <v>081293305027/iqbal</v>
          </cell>
          <cell r="M628" t="str">
            <v>Iqbal/AM</v>
          </cell>
          <cell r="O628" t="e">
            <v>#N/A</v>
          </cell>
          <cell r="P628">
            <v>0</v>
          </cell>
        </row>
        <row r="629">
          <cell r="D629" t="str">
            <v>Busung</v>
          </cell>
          <cell r="E629" t="str">
            <v>PT. Agung Kuck Lom Grub</v>
          </cell>
          <cell r="F629">
            <v>0</v>
          </cell>
          <cell r="L629" t="str">
            <v>082162261976/sastra</v>
          </cell>
          <cell r="M629" t="str">
            <v>Dedd</v>
          </cell>
          <cell r="O629" t="e">
            <v>#N/A</v>
          </cell>
          <cell r="P629">
            <v>0</v>
          </cell>
        </row>
        <row r="630">
          <cell r="D630" t="str">
            <v>Kuala Sempang</v>
          </cell>
          <cell r="E630" t="str">
            <v>PT. Agung Kuck Lom Grub</v>
          </cell>
          <cell r="F630">
            <v>0</v>
          </cell>
          <cell r="L630" t="str">
            <v>082162261976/sastra</v>
          </cell>
          <cell r="M630" t="str">
            <v>Dedd</v>
          </cell>
          <cell r="O630" t="e">
            <v>#N/A</v>
          </cell>
          <cell r="P630">
            <v>0</v>
          </cell>
        </row>
        <row r="631">
          <cell r="D631" t="str">
            <v>Kampung Bugis</v>
          </cell>
          <cell r="E631" t="str">
            <v>PT. Ibnu Munsyir Dwi Guna</v>
          </cell>
          <cell r="F631">
            <v>0</v>
          </cell>
          <cell r="L631" t="str">
            <v>8118881985/kiki</v>
          </cell>
          <cell r="M631" t="str">
            <v>TK - SBU habis masa berlaku</v>
          </cell>
          <cell r="O631" t="e">
            <v>#N/A</v>
          </cell>
          <cell r="P631">
            <v>0</v>
          </cell>
        </row>
        <row r="632">
          <cell r="D632" t="str">
            <v>Antiga Kelod</v>
          </cell>
          <cell r="E632" t="str">
            <v>PT. Sendang Dakara Nusantara</v>
          </cell>
          <cell r="F632">
            <v>3214500000</v>
          </cell>
          <cell r="H632" t="str">
            <v>Badung</v>
          </cell>
          <cell r="I632" t="str">
            <v>Offline</v>
          </cell>
          <cell r="L632" t="str">
            <v>082264525818/helmi</v>
          </cell>
          <cell r="M632" t="str">
            <v>g</v>
          </cell>
          <cell r="O632" t="e">
            <v>#N/A</v>
          </cell>
          <cell r="P632">
            <v>0</v>
          </cell>
        </row>
        <row r="633">
          <cell r="D633" t="str">
            <v>Burai</v>
          </cell>
          <cell r="E633" t="str">
            <v>PT. Karang Baru Pratama</v>
          </cell>
          <cell r="F633">
            <v>4123000000</v>
          </cell>
          <cell r="L633" t="str">
            <v>082175189977/ Ferial</v>
          </cell>
          <cell r="M633" t="str">
            <v>Usulan pak arlan-rid</v>
          </cell>
          <cell r="O633" t="e">
            <v>#N/A</v>
          </cell>
          <cell r="P633">
            <v>0</v>
          </cell>
        </row>
        <row r="634">
          <cell r="D634" t="str">
            <v>Seri Kembang</v>
          </cell>
          <cell r="E634" t="str">
            <v>PT. Karang Baru Pratama</v>
          </cell>
          <cell r="F634">
            <v>4123000000</v>
          </cell>
          <cell r="L634" t="str">
            <v>082175189977/ Ferial</v>
          </cell>
          <cell r="M634" t="str">
            <v>Usulan pak arlan-rid</v>
          </cell>
          <cell r="O634" t="e">
            <v>#N/A</v>
          </cell>
          <cell r="P634">
            <v>0</v>
          </cell>
        </row>
        <row r="635">
          <cell r="D635" t="str">
            <v>Sunur</v>
          </cell>
          <cell r="E635" t="str">
            <v>PT. Karang Baru Pratama</v>
          </cell>
          <cell r="F635">
            <v>0</v>
          </cell>
          <cell r="L635" t="str">
            <v>082175189977/ Ferial</v>
          </cell>
          <cell r="M635" t="str">
            <v>Usulan pak arlan-rid</v>
          </cell>
          <cell r="O635" t="e">
            <v>#N/A</v>
          </cell>
          <cell r="P635">
            <v>0</v>
          </cell>
        </row>
        <row r="636">
          <cell r="D636" t="str">
            <v>Setarap</v>
          </cell>
          <cell r="E636" t="str">
            <v>CV. Andalan Putra Bone Perkasa</v>
          </cell>
          <cell r="F636">
            <v>6932400000</v>
          </cell>
          <cell r="H636" t="str">
            <v>Tanah Bumbu</v>
          </cell>
          <cell r="I636" t="str">
            <v>Offline</v>
          </cell>
          <cell r="L636">
            <v>81345167215</v>
          </cell>
          <cell r="M636" t="str">
            <v>St</v>
          </cell>
          <cell r="O636" t="e">
            <v>#N/A</v>
          </cell>
          <cell r="P636">
            <v>0</v>
          </cell>
        </row>
        <row r="637">
          <cell r="D637" t="str">
            <v>Sungaicuka</v>
          </cell>
          <cell r="E637" t="str">
            <v>PT. Cita Prasada Konstruksi</v>
          </cell>
          <cell r="F637" t="e">
            <v>#N/A</v>
          </cell>
          <cell r="H637" t="str">
            <v>Tanah Bumbu</v>
          </cell>
          <cell r="I637" t="str">
            <v>Online</v>
          </cell>
          <cell r="L637" t="str">
            <v>082141344885/ Reika</v>
          </cell>
          <cell r="O637" t="e">
            <v>#N/A</v>
          </cell>
          <cell r="P637">
            <v>0</v>
          </cell>
        </row>
        <row r="638">
          <cell r="D638" t="str">
            <v>Sungaidua Laut</v>
          </cell>
          <cell r="E638" t="str">
            <v>PT. Cita Prasada Konstruksi</v>
          </cell>
          <cell r="F638">
            <v>0</v>
          </cell>
          <cell r="H638" t="str">
            <v>Tanah Bumbu</v>
          </cell>
          <cell r="I638" t="str">
            <v>Online</v>
          </cell>
          <cell r="L638" t="str">
            <v>082141344885/ Reika</v>
          </cell>
          <cell r="O638" t="e">
            <v>#N/A</v>
          </cell>
          <cell r="P638">
            <v>0</v>
          </cell>
        </row>
        <row r="639">
          <cell r="D639" t="str">
            <v>Sungai Pancang</v>
          </cell>
          <cell r="E639" t="str">
            <v>CV. Davindo Putra Perkasa</v>
          </cell>
          <cell r="F639">
            <v>0</v>
          </cell>
          <cell r="L639" t="str">
            <v>081289990188/andi</v>
          </cell>
          <cell r="M639" t="str">
            <v>Pandu-Andi</v>
          </cell>
          <cell r="O639" t="e">
            <v>#N/A</v>
          </cell>
          <cell r="P639">
            <v>0</v>
          </cell>
        </row>
        <row r="640">
          <cell r="D640" t="str">
            <v>Banjarejo</v>
          </cell>
          <cell r="E640" t="str">
            <v>PT. Kurnia Alam Sentosa</v>
          </cell>
          <cell r="F640">
            <v>2314000000</v>
          </cell>
          <cell r="G640" t="str">
            <v>Nodin PPK 9 Juni 2026</v>
          </cell>
          <cell r="H640" t="str">
            <v>Jakarta</v>
          </cell>
          <cell r="I640" t="str">
            <v>Online</v>
          </cell>
          <cell r="K640" t="str">
            <v>Proses Kontrak (Pokja)</v>
          </cell>
          <cell r="M640" t="str">
            <v>g</v>
          </cell>
          <cell r="O640" t="e">
            <v>#N/A</v>
          </cell>
          <cell r="P640" t="str">
            <v>sudah</v>
          </cell>
        </row>
        <row r="641">
          <cell r="D641" t="str">
            <v>Kanigoro</v>
          </cell>
          <cell r="E641" t="str">
            <v>PT. Kurnia Alam Sentosa</v>
          </cell>
          <cell r="F641">
            <v>2314000000</v>
          </cell>
          <cell r="G641" t="str">
            <v>Nodin PPK 9 Juni 2026</v>
          </cell>
          <cell r="H641" t="str">
            <v>Jakarta</v>
          </cell>
          <cell r="I641" t="str">
            <v>Online</v>
          </cell>
          <cell r="K641" t="str">
            <v>Proses Kontrak (Pokja)</v>
          </cell>
          <cell r="M641" t="str">
            <v>g</v>
          </cell>
          <cell r="O641" t="e">
            <v>#N/A</v>
          </cell>
          <cell r="P641" t="str">
            <v>sudah</v>
          </cell>
        </row>
        <row r="642">
          <cell r="D642" t="str">
            <v>Kemadang</v>
          </cell>
          <cell r="E642" t="str">
            <v>PT. Kurnia Alam Sentosa</v>
          </cell>
          <cell r="F642">
            <v>2314000000</v>
          </cell>
          <cell r="G642" t="str">
            <v>Nodin PPK 9 Juni 2026</v>
          </cell>
          <cell r="H642" t="str">
            <v>Jakarta</v>
          </cell>
          <cell r="I642" t="str">
            <v>Online</v>
          </cell>
          <cell r="K642" t="str">
            <v>Proses Kontrak (Pokja)</v>
          </cell>
          <cell r="M642" t="str">
            <v>g</v>
          </cell>
          <cell r="O642" t="e">
            <v>#N/A</v>
          </cell>
          <cell r="P642" t="str">
            <v>sudah</v>
          </cell>
        </row>
        <row r="643">
          <cell r="D643" t="str">
            <v>Sidoharjo</v>
          </cell>
          <cell r="E643" t="str">
            <v>PT. Kurnia Alam Sentosa</v>
          </cell>
          <cell r="F643">
            <v>2314000000</v>
          </cell>
          <cell r="G643" t="str">
            <v>Nodin PPK 9 Juni 2026</v>
          </cell>
          <cell r="H643" t="str">
            <v>Jakarta</v>
          </cell>
          <cell r="I643" t="str">
            <v>Online</v>
          </cell>
          <cell r="K643" t="str">
            <v>Proses Kontrak (Pokja)</v>
          </cell>
          <cell r="M643" t="str">
            <v>g</v>
          </cell>
          <cell r="O643" t="e">
            <v>#N/A</v>
          </cell>
          <cell r="P643" t="str">
            <v>sudah</v>
          </cell>
        </row>
        <row r="644">
          <cell r="D644" t="str">
            <v>Songbanyu</v>
          </cell>
          <cell r="E644" t="str">
            <v>PT. Kurnia Alam Sentosa</v>
          </cell>
          <cell r="F644">
            <v>5500000000</v>
          </cell>
          <cell r="G644" t="str">
            <v>Nodin PPK 9 Juni 2026</v>
          </cell>
          <cell r="H644" t="str">
            <v>Jakarta</v>
          </cell>
          <cell r="I644" t="str">
            <v>Online</v>
          </cell>
          <cell r="K644" t="str">
            <v>Proses Kontrak (Pokja)</v>
          </cell>
          <cell r="M644" t="str">
            <v>g</v>
          </cell>
          <cell r="O644" t="e">
            <v>#N/A</v>
          </cell>
          <cell r="P644" t="str">
            <v>sudah</v>
          </cell>
        </row>
        <row r="645">
          <cell r="D645" t="str">
            <v>Soro</v>
          </cell>
          <cell r="E645" t="str">
            <v>PT. Masco Energi</v>
          </cell>
          <cell r="F645">
            <v>3214500000</v>
          </cell>
          <cell r="H645" t="str">
            <v>Lombok Barat</v>
          </cell>
          <cell r="I645" t="str">
            <v>Online</v>
          </cell>
          <cell r="L645" t="str">
            <v>081112300889/edi</v>
          </cell>
          <cell r="M645" t="str">
            <v>TK</v>
          </cell>
          <cell r="O645" t="e">
            <v>#N/A</v>
          </cell>
          <cell r="P645">
            <v>0</v>
          </cell>
        </row>
        <row r="646">
          <cell r="D646" t="str">
            <v>Tolo Kalo</v>
          </cell>
          <cell r="E646" t="str">
            <v>PT. Lesindo Bersinar (menengah)</v>
          </cell>
          <cell r="F646">
            <v>3214500000</v>
          </cell>
          <cell r="H646" t="str">
            <v>Sumbawa</v>
          </cell>
          <cell r="I646" t="str">
            <v>Online</v>
          </cell>
          <cell r="L646" t="str">
            <v>081112300889/edi</v>
          </cell>
          <cell r="M646" t="str">
            <v>TK</v>
          </cell>
          <cell r="O646" t="e">
            <v>#N/A</v>
          </cell>
          <cell r="P646">
            <v>0</v>
          </cell>
        </row>
        <row r="647">
          <cell r="D647" t="str">
            <v>Puday</v>
          </cell>
          <cell r="E647" t="str">
            <v>CV. Utama Jaya Perkasa</v>
          </cell>
          <cell r="F647">
            <v>4040952000</v>
          </cell>
          <cell r="G647" t="str">
            <v>Nodin PPK 26 Mei 2026</v>
          </cell>
          <cell r="H647" t="str">
            <v>Kendari</v>
          </cell>
          <cell r="I647" t="str">
            <v>Online</v>
          </cell>
          <cell r="J647" t="str">
            <v xml:space="preserve">B.16301/DJPT.6/PI.420/PPK/VI/2026 </v>
          </cell>
          <cell r="K647" t="str">
            <v>Kontrak</v>
          </cell>
          <cell r="L647" t="str">
            <v>81242016234/sumaryono</v>
          </cell>
          <cell r="M647" t="str">
            <v>Put</v>
          </cell>
          <cell r="O647" t="e">
            <v>#N/A</v>
          </cell>
          <cell r="P647" t="str">
            <v>sudah</v>
          </cell>
        </row>
        <row r="648">
          <cell r="D648" t="str">
            <v>Sambuli</v>
          </cell>
          <cell r="E648" t="str">
            <v>CV. Utama Jaya Perkasa</v>
          </cell>
          <cell r="F648">
            <v>4753959000</v>
          </cell>
          <cell r="G648" t="str">
            <v>Nodin PPK 26 Mei 2026</v>
          </cell>
          <cell r="H648" t="str">
            <v>Kendari</v>
          </cell>
          <cell r="I648" t="str">
            <v>Online</v>
          </cell>
          <cell r="J648" t="str">
            <v xml:space="preserve">B.16301/DJPT.6/PI.420/PPK/VI/2026 </v>
          </cell>
          <cell r="K648" t="str">
            <v>Kontrak</v>
          </cell>
          <cell r="L648" t="str">
            <v>81242016234/sumaryono</v>
          </cell>
          <cell r="M648" t="str">
            <v>Put</v>
          </cell>
          <cell r="O648" t="e">
            <v>#N/A</v>
          </cell>
          <cell r="P648" t="str">
            <v>sudah</v>
          </cell>
        </row>
        <row r="649">
          <cell r="D649" t="str">
            <v>Tondonggeu</v>
          </cell>
          <cell r="E649" t="str">
            <v>CV. Utama Jaya Perkasa</v>
          </cell>
          <cell r="F649">
            <v>4883358000</v>
          </cell>
          <cell r="G649" t="str">
            <v>Nodin PPK 26 Mei 2026</v>
          </cell>
          <cell r="H649" t="str">
            <v>Kendari</v>
          </cell>
          <cell r="I649" t="str">
            <v>Online</v>
          </cell>
          <cell r="J649" t="str">
            <v>B.16301/DJPT.6/PI.420/PPK/VI/2026</v>
          </cell>
          <cell r="K649" t="str">
            <v>Kontrak</v>
          </cell>
          <cell r="L649" t="str">
            <v>81242016234/sumaryono</v>
          </cell>
          <cell r="M649" t="str">
            <v>Put</v>
          </cell>
          <cell r="O649" t="e">
            <v>#N/A</v>
          </cell>
          <cell r="P649" t="str">
            <v>sudah</v>
          </cell>
        </row>
        <row r="650">
          <cell r="D650" t="str">
            <v>Sugian</v>
          </cell>
          <cell r="E650" t="str">
            <v>PT. Asuka Engineering Indonesia</v>
          </cell>
          <cell r="F650">
            <v>3214500000</v>
          </cell>
          <cell r="H650" t="str">
            <v>Gresik</v>
          </cell>
          <cell r="L650" t="str">
            <v>081358005070/efendi</v>
          </cell>
          <cell r="M650" t="str">
            <v>g</v>
          </cell>
          <cell r="O650" t="e">
            <v>#N/A</v>
          </cell>
          <cell r="P650">
            <v>0</v>
          </cell>
        </row>
        <row r="651">
          <cell r="D651" t="str">
            <v>Klidang Lor</v>
          </cell>
          <cell r="E651" t="str">
            <v>CV. Bumi Jaya Berkah Abadi</v>
          </cell>
          <cell r="L651" t="str">
            <v>087776689958/iwan</v>
          </cell>
          <cell r="M651" t="str">
            <v>g</v>
          </cell>
          <cell r="O651" t="e">
            <v>#N/A</v>
          </cell>
          <cell r="P651" t="str">
            <v>sudah</v>
          </cell>
        </row>
        <row r="652">
          <cell r="D652" t="str">
            <v>Sidorejo</v>
          </cell>
          <cell r="E652" t="str">
            <v>CV. Bumi Jaya Berkah Abadi</v>
          </cell>
          <cell r="L652" t="str">
            <v>087776689958/iwan</v>
          </cell>
          <cell r="M652" t="str">
            <v>g</v>
          </cell>
          <cell r="O652" t="e">
            <v>#N/A</v>
          </cell>
          <cell r="P652" t="str">
            <v>sudah</v>
          </cell>
        </row>
        <row r="653">
          <cell r="D653" t="str">
            <v>Gempolsewu</v>
          </cell>
          <cell r="E653" t="str">
            <v>CV. Sinar Mulya</v>
          </cell>
          <cell r="F653">
            <v>4139572890</v>
          </cell>
          <cell r="G653" t="str">
            <v>Nodin PPK 8 Juni 2026</v>
          </cell>
          <cell r="H653" t="str">
            <v>Surabaya</v>
          </cell>
          <cell r="I653" t="str">
            <v>Online</v>
          </cell>
          <cell r="K653" t="str">
            <v>Proses Kontrak (Pokja)</v>
          </cell>
          <cell r="L653" t="str">
            <v>081330470795/kharis</v>
          </cell>
          <cell r="M653" t="str">
            <v>g</v>
          </cell>
          <cell r="O653" t="e">
            <v>#N/A</v>
          </cell>
          <cell r="P653" t="str">
            <v>sudah</v>
          </cell>
        </row>
        <row r="654">
          <cell r="D654" t="str">
            <v>Muarareja</v>
          </cell>
          <cell r="E654" t="str">
            <v>CV. Putera Fahlevi</v>
          </cell>
          <cell r="F654">
            <v>0</v>
          </cell>
          <cell r="H654" t="str">
            <v>Bekasi</v>
          </cell>
          <cell r="I654" t="str">
            <v>Online</v>
          </cell>
          <cell r="L654" t="str">
            <v>081286452407/prio</v>
          </cell>
          <cell r="M654" t="str">
            <v>g</v>
          </cell>
          <cell r="O654" t="e">
            <v>#N/A</v>
          </cell>
          <cell r="P654" t="str">
            <v>sudah</v>
          </cell>
        </row>
        <row r="655">
          <cell r="D655" t="str">
            <v>Tegalsari</v>
          </cell>
          <cell r="E655" t="str">
            <v>CV. Putera Fahlevi</v>
          </cell>
          <cell r="F655">
            <v>3250000000</v>
          </cell>
          <cell r="H655" t="str">
            <v>Bekasi</v>
          </cell>
          <cell r="I655" t="str">
            <v>Online</v>
          </cell>
          <cell r="L655" t="str">
            <v>081286452407/prio</v>
          </cell>
          <cell r="M655" t="str">
            <v>g</v>
          </cell>
          <cell r="O655" t="e">
            <v>#N/A</v>
          </cell>
          <cell r="P655" t="str">
            <v>sudah</v>
          </cell>
        </row>
        <row r="656">
          <cell r="D656" t="str">
            <v>Pecakaran</v>
          </cell>
          <cell r="E656" t="str">
            <v>PT. Mekar Mulia Contractor (Menengah)</v>
          </cell>
          <cell r="F656">
            <v>2314000000</v>
          </cell>
          <cell r="H656" t="str">
            <v>Pati</v>
          </cell>
          <cell r="I656" t="str">
            <v>Online</v>
          </cell>
          <cell r="M656" t="str">
            <v>haris</v>
          </cell>
          <cell r="O656" t="e">
            <v>#N/A</v>
          </cell>
          <cell r="P656">
            <v>0</v>
          </cell>
        </row>
        <row r="657">
          <cell r="D657" t="str">
            <v>Wonokertokulon</v>
          </cell>
          <cell r="E657" t="str">
            <v>PT. Mekar Mulia Contractor (Menengah)</v>
          </cell>
          <cell r="F657">
            <v>0</v>
          </cell>
          <cell r="H657" t="str">
            <v>Pati</v>
          </cell>
          <cell r="I657" t="str">
            <v>Online</v>
          </cell>
          <cell r="M657" t="str">
            <v>haris</v>
          </cell>
          <cell r="O657" t="e">
            <v>#N/A</v>
          </cell>
          <cell r="P657">
            <v>0</v>
          </cell>
        </row>
        <row r="658">
          <cell r="D658" t="str">
            <v>Asemdoyong</v>
          </cell>
          <cell r="E658" t="str">
            <v>CV. Putera Fahlevi</v>
          </cell>
          <cell r="F658">
            <v>3250000000</v>
          </cell>
          <cell r="H658" t="str">
            <v>Jakarta</v>
          </cell>
          <cell r="I658" t="str">
            <v>Online</v>
          </cell>
          <cell r="L658" t="str">
            <v>081286452407/prio</v>
          </cell>
          <cell r="M658" t="str">
            <v>g</v>
          </cell>
          <cell r="O658" t="e">
            <v>#N/A</v>
          </cell>
          <cell r="P658" t="str">
            <v>sudah</v>
          </cell>
        </row>
        <row r="659">
          <cell r="D659" t="str">
            <v>Danasari</v>
          </cell>
          <cell r="E659" t="str">
            <v>CV. Alkomber Karya</v>
          </cell>
          <cell r="F659">
            <v>2314000000</v>
          </cell>
          <cell r="H659" t="str">
            <v>Jakarta</v>
          </cell>
          <cell r="I659" t="str">
            <v>Online</v>
          </cell>
          <cell r="L659" t="str">
            <v>081286452407/prio</v>
          </cell>
          <cell r="M659" t="str">
            <v>g</v>
          </cell>
          <cell r="O659" t="e">
            <v>#N/A</v>
          </cell>
          <cell r="P659" t="str">
            <v>sudah</v>
          </cell>
        </row>
        <row r="660">
          <cell r="D660" t="str">
            <v>Mojo</v>
          </cell>
          <cell r="E660" t="str">
            <v>PT. Kurnia Alam Sentosa</v>
          </cell>
          <cell r="F660">
            <v>4385682527</v>
          </cell>
          <cell r="G660" t="str">
            <v>Nodin PPK 9 Juni 2026</v>
          </cell>
          <cell r="H660" t="str">
            <v>Jakarta</v>
          </cell>
          <cell r="I660" t="str">
            <v>Online</v>
          </cell>
          <cell r="K660" t="str">
            <v>Proses Kontrak (Pokja)</v>
          </cell>
          <cell r="M660" t="str">
            <v>g</v>
          </cell>
          <cell r="O660" t="e">
            <v>#N/A</v>
          </cell>
          <cell r="P660" t="str">
            <v>sudah</v>
          </cell>
        </row>
        <row r="661">
          <cell r="D661" t="str">
            <v>Nyamplungsari</v>
          </cell>
          <cell r="E661" t="str">
            <v>PT. Kurnia Alam Sentosa</v>
          </cell>
          <cell r="F661">
            <v>2774065679</v>
          </cell>
          <cell r="G661" t="str">
            <v>Nodin PPK 9 Juni 2026</v>
          </cell>
          <cell r="H661" t="str">
            <v>Jakarta</v>
          </cell>
          <cell r="I661" t="str">
            <v>Online</v>
          </cell>
          <cell r="K661" t="str">
            <v>Proses Kontrak (Pokja)</v>
          </cell>
          <cell r="M661" t="str">
            <v>g</v>
          </cell>
          <cell r="O661" t="e">
            <v>#N/A</v>
          </cell>
          <cell r="P661" t="str">
            <v>sudah</v>
          </cell>
        </row>
        <row r="662">
          <cell r="D662" t="str">
            <v>Sugihwaras</v>
          </cell>
          <cell r="E662" t="str">
            <v>PT. Kurnia Alam Sentosa</v>
          </cell>
          <cell r="F662">
            <v>4385682527</v>
          </cell>
          <cell r="G662" t="str">
            <v>Nodin PPK 9 Juni 2026</v>
          </cell>
          <cell r="H662" t="str">
            <v>Jakarta</v>
          </cell>
          <cell r="I662" t="str">
            <v>Online</v>
          </cell>
          <cell r="K662" t="str">
            <v>Proses Kontrak (Pokja)</v>
          </cell>
          <cell r="M662" t="str">
            <v>g</v>
          </cell>
          <cell r="O662" t="e">
            <v>#N/A</v>
          </cell>
          <cell r="P662" t="str">
            <v>sudah</v>
          </cell>
        </row>
        <row r="663">
          <cell r="D663" t="str">
            <v>Bojongsana</v>
          </cell>
          <cell r="E663" t="str">
            <v>PT. Indo Jaya Negara Abadi</v>
          </cell>
          <cell r="F663">
            <v>0</v>
          </cell>
          <cell r="L663" t="str">
            <v>officialindojayanegaraabadi@gmail.com/ 87731490688/087768911327/vikry</v>
          </cell>
          <cell r="M663" t="str">
            <v>vikry</v>
          </cell>
          <cell r="O663" t="e">
            <v>#N/A</v>
          </cell>
          <cell r="P663" t="str">
            <v>lokasi batal</v>
          </cell>
        </row>
        <row r="664">
          <cell r="D664" t="str">
            <v>Purwahamba</v>
          </cell>
          <cell r="E664" t="str">
            <v>CV. Putera Fahlevi</v>
          </cell>
          <cell r="F664">
            <v>2314000000</v>
          </cell>
          <cell r="H664" t="str">
            <v>Bekasi</v>
          </cell>
          <cell r="I664" t="str">
            <v>Online</v>
          </cell>
          <cell r="L664" t="str">
            <v>081286452407/prio</v>
          </cell>
          <cell r="M664" t="str">
            <v>g</v>
          </cell>
          <cell r="O664" t="e">
            <v>#N/A</v>
          </cell>
          <cell r="P664" t="str">
            <v>sudah</v>
          </cell>
        </row>
        <row r="665">
          <cell r="D665" t="str">
            <v>Suradadi</v>
          </cell>
          <cell r="E665" t="str">
            <v>CV. Alkomber Karya</v>
          </cell>
          <cell r="F665">
            <v>2314000000</v>
          </cell>
          <cell r="L665" t="str">
            <v>081286452407/prio</v>
          </cell>
          <cell r="M665" t="str">
            <v>g</v>
          </cell>
          <cell r="O665" t="e">
            <v>#N/A</v>
          </cell>
          <cell r="P665" t="str">
            <v>sudah</v>
          </cell>
        </row>
        <row r="666">
          <cell r="D666" t="str">
            <v>Suka Baru</v>
          </cell>
          <cell r="E666" t="str">
            <v>CV. Sonta Abadi</v>
          </cell>
          <cell r="F666">
            <v>4320000000</v>
          </cell>
          <cell r="H666" t="str">
            <v>Sekadau</v>
          </cell>
          <cell r="I666" t="str">
            <v>Offline</v>
          </cell>
          <cell r="L666" t="str">
            <v>082189262966/rudi</v>
          </cell>
          <cell r="O666" t="e">
            <v>#N/A</v>
          </cell>
          <cell r="P666">
            <v>0</v>
          </cell>
        </row>
        <row r="667">
          <cell r="D667" t="str">
            <v>Kasieh</v>
          </cell>
          <cell r="F667">
            <v>0</v>
          </cell>
          <cell r="O667" t="e">
            <v>#N/A</v>
          </cell>
          <cell r="P667">
            <v>0</v>
          </cell>
        </row>
        <row r="668">
          <cell r="D668" t="str">
            <v>Kawa</v>
          </cell>
          <cell r="F668">
            <v>0</v>
          </cell>
          <cell r="O668" t="e">
            <v>#N/A</v>
          </cell>
          <cell r="P668">
            <v>0</v>
          </cell>
        </row>
        <row r="669">
          <cell r="D669" t="str">
            <v>Sukaraja</v>
          </cell>
          <cell r="F669">
            <v>0</v>
          </cell>
          <cell r="O669" t="e">
            <v>#N/A</v>
          </cell>
          <cell r="P669">
            <v>0</v>
          </cell>
        </row>
        <row r="670">
          <cell r="D670" t="str">
            <v>Mekkatta Selatan</v>
          </cell>
          <cell r="E670" t="str">
            <v>CV. Lion Jaya Mandiri</v>
          </cell>
          <cell r="F670">
            <v>4910372489</v>
          </cell>
          <cell r="G670" t="str">
            <v>Nodin PPK 3 Juni 2026</v>
          </cell>
          <cell r="H670" t="str">
            <v>Toraja</v>
          </cell>
          <cell r="I670" t="str">
            <v>Offline</v>
          </cell>
          <cell r="K670" t="str">
            <v>Proses Kontrak (Pokja)</v>
          </cell>
          <cell r="L670">
            <v>82192324719</v>
          </cell>
          <cell r="M670" t="str">
            <v>Hyl</v>
          </cell>
          <cell r="O670" t="str">
            <v>CV. Lion Jaya Mandiri</v>
          </cell>
          <cell r="P670" t="str">
            <v>sudah</v>
          </cell>
        </row>
        <row r="671">
          <cell r="D671" t="str">
            <v>Tubo Poang</v>
          </cell>
          <cell r="E671" t="str">
            <v>CV. Lion Jaya Mandiri</v>
          </cell>
          <cell r="F671">
            <v>4185095000</v>
          </cell>
          <cell r="G671" t="str">
            <v>Nodin PPK 3 Juni 2026</v>
          </cell>
          <cell r="H671" t="str">
            <v>Toraja</v>
          </cell>
          <cell r="I671" t="str">
            <v>Offline</v>
          </cell>
          <cell r="K671" t="str">
            <v>Proses Kontrak (Pokja)</v>
          </cell>
          <cell r="L671">
            <v>82192324719</v>
          </cell>
          <cell r="M671" t="str">
            <v>Hyl</v>
          </cell>
          <cell r="O671" t="str">
            <v>CV. Lion Jaya Mandiri</v>
          </cell>
          <cell r="P671" t="str">
            <v>sudah</v>
          </cell>
        </row>
        <row r="672">
          <cell r="D672" t="str">
            <v>Tubo Selatan</v>
          </cell>
          <cell r="E672" t="str">
            <v>CV. Lion Jaya Mandiri</v>
          </cell>
          <cell r="F672">
            <v>4345426000</v>
          </cell>
          <cell r="G672" t="str">
            <v>Nodin PPK 3 Juni 2026</v>
          </cell>
          <cell r="H672" t="str">
            <v>Toraja</v>
          </cell>
          <cell r="I672" t="str">
            <v>Offline</v>
          </cell>
          <cell r="K672" t="str">
            <v>Proses Kontrak (Pokja)</v>
          </cell>
          <cell r="L672">
            <v>82192324719</v>
          </cell>
          <cell r="M672" t="str">
            <v>Hyl</v>
          </cell>
          <cell r="O672" t="str">
            <v>CV. Lion Jaya Mandiri</v>
          </cell>
          <cell r="P672" t="str">
            <v>sudah</v>
          </cell>
        </row>
        <row r="673">
          <cell r="D673" t="str">
            <v>Batang Tumu</v>
          </cell>
          <cell r="E673" t="str">
            <v>PT. Multi Gapura Pembangunan Semesta</v>
          </cell>
          <cell r="F673">
            <v>0</v>
          </cell>
          <cell r="M673" t="str">
            <v>kapoksi-Rid</v>
          </cell>
          <cell r="O673" t="e">
            <v>#N/A</v>
          </cell>
          <cell r="P673">
            <v>0</v>
          </cell>
        </row>
        <row r="674">
          <cell r="D674" t="str">
            <v>Bekawan</v>
          </cell>
          <cell r="E674" t="str">
            <v>PT. Multi Gapura Pembangunan Semesta</v>
          </cell>
          <cell r="F674">
            <v>0</v>
          </cell>
          <cell r="M674" t="str">
            <v>kapoksi-Rid</v>
          </cell>
          <cell r="O674" t="e">
            <v>#N/A</v>
          </cell>
          <cell r="P674">
            <v>0</v>
          </cell>
        </row>
        <row r="675">
          <cell r="D675" t="str">
            <v>Kuala Patah Parang</v>
          </cell>
          <cell r="E675" t="str">
            <v>PT. Sadatai Jaya Tama</v>
          </cell>
          <cell r="F675">
            <v>0</v>
          </cell>
          <cell r="L675">
            <v>81385036212</v>
          </cell>
          <cell r="M675" t="str">
            <v>galuh</v>
          </cell>
          <cell r="O675" t="e">
            <v>#N/A</v>
          </cell>
          <cell r="P675">
            <v>0</v>
          </cell>
        </row>
        <row r="676">
          <cell r="D676" t="str">
            <v>Panglima Raja</v>
          </cell>
          <cell r="E676" t="str">
            <v>PT. Sadatai Jaya Tama</v>
          </cell>
          <cell r="F676">
            <v>0</v>
          </cell>
          <cell r="L676">
            <v>81385036212</v>
          </cell>
          <cell r="M676" t="str">
            <v>galuh</v>
          </cell>
          <cell r="O676" t="e">
            <v>#N/A</v>
          </cell>
          <cell r="P676">
            <v>0</v>
          </cell>
        </row>
        <row r="677">
          <cell r="D677" t="str">
            <v>Sungaibuluh</v>
          </cell>
          <cell r="E677" t="str">
            <v>PT. Multi Gapura Pembangunan Semesta</v>
          </cell>
          <cell r="F677">
            <v>0</v>
          </cell>
          <cell r="M677" t="str">
            <v>kapoksi-Rid</v>
          </cell>
          <cell r="O677" t="e">
            <v>#N/A</v>
          </cell>
          <cell r="P677">
            <v>0</v>
          </cell>
        </row>
        <row r="678">
          <cell r="D678" t="str">
            <v>Tanjungpasir</v>
          </cell>
          <cell r="E678" t="str">
            <v>PT. Sadatai Jaya Tama</v>
          </cell>
          <cell r="F678" t="e">
            <v>#N/A</v>
          </cell>
          <cell r="L678">
            <v>81385036212</v>
          </cell>
          <cell r="M678" t="str">
            <v>galuh</v>
          </cell>
          <cell r="O678" t="e">
            <v>#N/A</v>
          </cell>
          <cell r="P678" t="e">
            <v>#N/A</v>
          </cell>
        </row>
        <row r="679">
          <cell r="D679" t="str">
            <v>Sungai Kupah</v>
          </cell>
          <cell r="E679" t="str">
            <v>PT. Elang Paksinusa</v>
          </cell>
          <cell r="F679">
            <v>6932400000</v>
          </cell>
          <cell r="I679" t="str">
            <v>Online</v>
          </cell>
          <cell r="O679" t="e">
            <v>#N/A</v>
          </cell>
          <cell r="P679">
            <v>0</v>
          </cell>
        </row>
        <row r="680">
          <cell r="D680" t="str">
            <v>Tanjung Saleh</v>
          </cell>
          <cell r="E680" t="str">
            <v>PT. Elang Paksinusa</v>
          </cell>
          <cell r="F680">
            <v>4320000000</v>
          </cell>
          <cell r="I680" t="str">
            <v>Online</v>
          </cell>
          <cell r="O680" t="e">
            <v>#N/A</v>
          </cell>
          <cell r="P680">
            <v>0</v>
          </cell>
        </row>
        <row r="681">
          <cell r="D681" t="str">
            <v>Kuala Sungai Pasir</v>
          </cell>
          <cell r="E681" t="str">
            <v>CV. Syeren Indah (Kecil)</v>
          </cell>
          <cell r="F681">
            <v>4123000000</v>
          </cell>
          <cell r="G681" t="str">
            <v>10 uli 2026</v>
          </cell>
          <cell r="L681" t="str">
            <v>081310405652/rukmana</v>
          </cell>
          <cell r="M681" t="str">
            <v>Iqbal/AM</v>
          </cell>
          <cell r="O681" t="e">
            <v>#N/A</v>
          </cell>
          <cell r="P681">
            <v>0</v>
          </cell>
        </row>
        <row r="682">
          <cell r="D682" t="str">
            <v>Simpang Tiga Jaya</v>
          </cell>
          <cell r="E682" t="str">
            <v>CV. Syeren Indah (Kecil)</v>
          </cell>
          <cell r="F682">
            <v>0</v>
          </cell>
          <cell r="L682" t="str">
            <v>081310405652/rukmana</v>
          </cell>
          <cell r="M682" t="str">
            <v>Iqbal/AM</v>
          </cell>
          <cell r="O682" t="e">
            <v>#N/A</v>
          </cell>
          <cell r="P682">
            <v>0</v>
          </cell>
        </row>
        <row r="683">
          <cell r="D683" t="str">
            <v>Simpang Tiga Makmur</v>
          </cell>
          <cell r="E683" t="str">
            <v>CV. Syeren Indah (Kecil)</v>
          </cell>
          <cell r="F683">
            <v>4123000000</v>
          </cell>
          <cell r="G683" t="str">
            <v>10 uli 2026</v>
          </cell>
          <cell r="L683" t="str">
            <v>081310405652/rukmana</v>
          </cell>
          <cell r="M683" t="str">
            <v>Iqbal/AM</v>
          </cell>
          <cell r="O683" t="e">
            <v>#N/A</v>
          </cell>
          <cell r="P683">
            <v>0</v>
          </cell>
        </row>
        <row r="684">
          <cell r="D684" t="str">
            <v>Sungai Lumpur</v>
          </cell>
          <cell r="E684" t="str">
            <v>CV. Syeren Indah (Kecil)</v>
          </cell>
          <cell r="F684">
            <v>7123100000</v>
          </cell>
          <cell r="G684" t="str">
            <v>10 uli 2026</v>
          </cell>
          <cell r="L684" t="str">
            <v>081310405652/rukmana</v>
          </cell>
          <cell r="M684" t="str">
            <v>Iqbal/AM</v>
          </cell>
          <cell r="O684" t="e">
            <v>#N/A</v>
          </cell>
          <cell r="P684">
            <v>0</v>
          </cell>
        </row>
        <row r="685">
          <cell r="D685" t="str">
            <v>Sentebang</v>
          </cell>
          <cell r="E685" t="str">
            <v>PT. Abadi Jasa Tama (Menengah)</v>
          </cell>
          <cell r="F685">
            <v>0</v>
          </cell>
          <cell r="H685" t="str">
            <v>Pontianak</v>
          </cell>
          <cell r="I685" t="str">
            <v>Online</v>
          </cell>
          <cell r="O685" t="e">
            <v>#N/A</v>
          </cell>
          <cell r="P685">
            <v>0</v>
          </cell>
        </row>
        <row r="686">
          <cell r="D686" t="str">
            <v>Baru</v>
          </cell>
          <cell r="E686" t="str">
            <v>CV. Ardis</v>
          </cell>
          <cell r="F686">
            <v>0</v>
          </cell>
          <cell r="L686" t="str">
            <v>081293305027/iqbal</v>
          </cell>
          <cell r="M686" t="str">
            <v>Iqbal/AM</v>
          </cell>
          <cell r="O686" t="e">
            <v>#N/A</v>
          </cell>
          <cell r="P686">
            <v>0</v>
          </cell>
        </row>
        <row r="687">
          <cell r="D687" t="str">
            <v>Mayang</v>
          </cell>
          <cell r="E687" t="str">
            <v>CV. Ardis</v>
          </cell>
          <cell r="F687">
            <v>0</v>
          </cell>
          <cell r="L687" t="str">
            <v>081293305027/iqbal</v>
          </cell>
          <cell r="M687" t="str">
            <v>Iqbal/AM</v>
          </cell>
          <cell r="O687" t="e">
            <v>#N/A</v>
          </cell>
          <cell r="P687">
            <v>0</v>
          </cell>
        </row>
        <row r="688">
          <cell r="D688" t="str">
            <v>Sidang Muara Jaya</v>
          </cell>
          <cell r="E688" t="str">
            <v>PT. Hage Primadi Konstruksi (Menengah)</v>
          </cell>
          <cell r="F688">
            <v>4123000000</v>
          </cell>
          <cell r="G688" t="str">
            <v>Pembatalan Usulan</v>
          </cell>
          <cell r="L688" t="str">
            <v>Banu : 081316450044/ Email : hage.konstruksi@gmail.com</v>
          </cell>
          <cell r="M688" t="str">
            <v>damar minta namba</v>
          </cell>
          <cell r="O688" t="e">
            <v>#N/A</v>
          </cell>
          <cell r="P688">
            <v>0</v>
          </cell>
        </row>
        <row r="689">
          <cell r="D689" t="str">
            <v>Kuala Teladas</v>
          </cell>
          <cell r="E689" t="str">
            <v>PT. Hage Primadi Konstruksi (Menengah)</v>
          </cell>
          <cell r="F689">
            <v>4123000000</v>
          </cell>
          <cell r="G689" t="str">
            <v>Pembatalan Usulan</v>
          </cell>
          <cell r="L689" t="str">
            <v>Banu : 081316450044/ Email : hage.konstruksi@gmail.com</v>
          </cell>
          <cell r="M689" t="str">
            <v>damar minta namba</v>
          </cell>
          <cell r="O689" t="e">
            <v>#N/A</v>
          </cell>
          <cell r="P689">
            <v>0</v>
          </cell>
        </row>
        <row r="690">
          <cell r="D690" t="str">
            <v>Sungai Sibur</v>
          </cell>
          <cell r="E690" t="str">
            <v>PT. Karang Baru Pratama</v>
          </cell>
          <cell r="F690">
            <v>0</v>
          </cell>
          <cell r="L690" t="str">
            <v>082175189977/ Ferial</v>
          </cell>
          <cell r="M690" t="str">
            <v>Usulan pak arlan-rid</v>
          </cell>
          <cell r="O690" t="e">
            <v>#N/A</v>
          </cell>
          <cell r="P690">
            <v>0</v>
          </cell>
        </row>
        <row r="691">
          <cell r="D691" t="str">
            <v>Sungai Bakau</v>
          </cell>
          <cell r="E691" t="str">
            <v>PT. Nusa Indah Permai</v>
          </cell>
          <cell r="F691">
            <v>4320000000</v>
          </cell>
          <cell r="I691" t="str">
            <v>Offline</v>
          </cell>
          <cell r="O691" t="e">
            <v>#N/A</v>
          </cell>
          <cell r="P691">
            <v>0</v>
          </cell>
        </row>
        <row r="692">
          <cell r="D692" t="str">
            <v>Sungai Undang</v>
          </cell>
          <cell r="E692" t="str">
            <v>PT. Nusa Indah Permai</v>
          </cell>
          <cell r="F692">
            <v>4567200000</v>
          </cell>
          <cell r="I692" t="str">
            <v>Offline</v>
          </cell>
          <cell r="O692" t="e">
            <v>#N/A</v>
          </cell>
          <cell r="P692">
            <v>0</v>
          </cell>
        </row>
        <row r="693">
          <cell r="D693" t="str">
            <v>Juru Taro</v>
          </cell>
          <cell r="E693" t="str">
            <v>PT. Cahaya Sriwijaya Abadi</v>
          </cell>
          <cell r="F693">
            <v>4123000000</v>
          </cell>
          <cell r="H693" t="str">
            <v>Palembang</v>
          </cell>
          <cell r="I693" t="str">
            <v>Online</v>
          </cell>
          <cell r="L693">
            <v>819686116</v>
          </cell>
          <cell r="O693" t="e">
            <v>#N/A</v>
          </cell>
          <cell r="P693">
            <v>0</v>
          </cell>
        </row>
        <row r="694">
          <cell r="D694" t="str">
            <v>Karang Anyar</v>
          </cell>
          <cell r="E694" t="str">
            <v>PT. Cahaya Sriwijaya Abadi</v>
          </cell>
          <cell r="F694">
            <v>4123000000</v>
          </cell>
          <cell r="H694" t="str">
            <v>Palembang</v>
          </cell>
          <cell r="I694" t="str">
            <v>Online</v>
          </cell>
          <cell r="L694">
            <v>819686116</v>
          </cell>
          <cell r="O694" t="e">
            <v>#N/A</v>
          </cell>
          <cell r="P694">
            <v>0</v>
          </cell>
        </row>
        <row r="695">
          <cell r="D695" t="str">
            <v>Upang Makmur</v>
          </cell>
          <cell r="E695" t="str">
            <v>PT. Cahaya Sriwijaya Abadi</v>
          </cell>
          <cell r="F695">
            <v>4123000000</v>
          </cell>
          <cell r="H695" t="str">
            <v>Palembang</v>
          </cell>
          <cell r="I695" t="str">
            <v>Online</v>
          </cell>
          <cell r="L695">
            <v>819686116</v>
          </cell>
          <cell r="O695" t="e">
            <v>#N/A</v>
          </cell>
          <cell r="P695">
            <v>0</v>
          </cell>
        </row>
        <row r="696">
          <cell r="D696" t="str">
            <v>Ringin Agung</v>
          </cell>
          <cell r="E696" t="str">
            <v>CV. Rayhan Aditya</v>
          </cell>
          <cell r="F696">
            <v>4123000000</v>
          </cell>
          <cell r="L696" t="str">
            <v>Febri /082281315200</v>
          </cell>
          <cell r="M696" t="str">
            <v>aufar</v>
          </cell>
          <cell r="O696" t="e">
            <v>#N/A</v>
          </cell>
          <cell r="P696">
            <v>0</v>
          </cell>
        </row>
        <row r="697">
          <cell r="D697" t="str">
            <v>Sungai Batang</v>
          </cell>
          <cell r="E697" t="str">
            <v>PT. Cahaya Sriwijaya Abadi</v>
          </cell>
          <cell r="F697">
            <v>4123000000</v>
          </cell>
          <cell r="H697" t="str">
            <v>Palembang</v>
          </cell>
          <cell r="I697" t="str">
            <v>Online</v>
          </cell>
          <cell r="L697">
            <v>819686116</v>
          </cell>
          <cell r="O697" t="e">
            <v>#N/A</v>
          </cell>
          <cell r="P697">
            <v>0</v>
          </cell>
        </row>
        <row r="698">
          <cell r="D698" t="str">
            <v>Daruba</v>
          </cell>
          <cell r="F698">
            <v>0</v>
          </cell>
          <cell r="O698" t="e">
            <v>#N/A</v>
          </cell>
          <cell r="P698">
            <v>0</v>
          </cell>
        </row>
        <row r="699">
          <cell r="D699" t="str">
            <v>Juanga</v>
          </cell>
          <cell r="F699">
            <v>0</v>
          </cell>
          <cell r="O699" t="e">
            <v>#N/A</v>
          </cell>
          <cell r="P699">
            <v>0</v>
          </cell>
        </row>
        <row r="700">
          <cell r="D700" t="str">
            <v>Mandiri</v>
          </cell>
          <cell r="F700">
            <v>0</v>
          </cell>
          <cell r="O700" t="e">
            <v>#N/A</v>
          </cell>
          <cell r="P700">
            <v>0</v>
          </cell>
        </row>
        <row r="701">
          <cell r="D701" t="str">
            <v>Posi-Posi</v>
          </cell>
          <cell r="F701">
            <v>0</v>
          </cell>
          <cell r="O701" t="e">
            <v>#N/A</v>
          </cell>
          <cell r="P701">
            <v>0</v>
          </cell>
        </row>
        <row r="702">
          <cell r="D702" t="str">
            <v>Tiley</v>
          </cell>
          <cell r="F702">
            <v>0</v>
          </cell>
          <cell r="O702" t="e">
            <v>#N/A</v>
          </cell>
          <cell r="P702">
            <v>0</v>
          </cell>
        </row>
        <row r="703">
          <cell r="D703" t="str">
            <v>Wayabula</v>
          </cell>
          <cell r="F703">
            <v>0</v>
          </cell>
          <cell r="O703" t="e">
            <v>#N/A</v>
          </cell>
          <cell r="P703">
            <v>0</v>
          </cell>
        </row>
        <row r="704">
          <cell r="D704" t="str">
            <v>Adaut</v>
          </cell>
          <cell r="F704">
            <v>0</v>
          </cell>
          <cell r="O704" t="e">
            <v>#N/A</v>
          </cell>
          <cell r="P704">
            <v>0</v>
          </cell>
        </row>
        <row r="705">
          <cell r="D705" t="str">
            <v>Benan</v>
          </cell>
          <cell r="E705" t="str">
            <v>PT. Ibnu Munsyir Dwi Guna</v>
          </cell>
          <cell r="F705">
            <v>4567200000</v>
          </cell>
          <cell r="L705" t="str">
            <v>8118881985/kiki</v>
          </cell>
          <cell r="M705" t="str">
            <v>TK</v>
          </cell>
          <cell r="O705" t="e">
            <v>#N/A</v>
          </cell>
          <cell r="P705">
            <v>0</v>
          </cell>
        </row>
        <row r="706">
          <cell r="D706" t="str">
            <v>Mensanak</v>
          </cell>
          <cell r="E706" t="str">
            <v>PT. Ibnu Munsyir Dwi Guna</v>
          </cell>
          <cell r="F706">
            <v>4567200000</v>
          </cell>
          <cell r="L706" t="str">
            <v>8118881985/kiki</v>
          </cell>
          <cell r="M706" t="str">
            <v>TK</v>
          </cell>
          <cell r="O706" t="e">
            <v>#N/A</v>
          </cell>
          <cell r="P706">
            <v>0</v>
          </cell>
        </row>
        <row r="707">
          <cell r="D707" t="str">
            <v>Tajur Biru</v>
          </cell>
          <cell r="E707" t="str">
            <v>PT. Ibnu Munsyir Dwi Guna</v>
          </cell>
          <cell r="F707">
            <v>4123000000</v>
          </cell>
          <cell r="L707" t="str">
            <v>8118881985/kiki</v>
          </cell>
          <cell r="M707" t="str">
            <v>TK</v>
          </cell>
          <cell r="O707" t="e">
            <v>#N/A</v>
          </cell>
          <cell r="P707">
            <v>0</v>
          </cell>
        </row>
        <row r="708">
          <cell r="D708" t="str">
            <v>Kwalabesar</v>
          </cell>
          <cell r="E708" t="str">
            <v>PT. Macini Raya Pratama</v>
          </cell>
          <cell r="F708">
            <v>4500000000</v>
          </cell>
          <cell r="N708" t="str">
            <v>?</v>
          </cell>
          <cell r="O708" t="e">
            <v>#N/A</v>
          </cell>
          <cell r="P708" t="str">
            <v>sudah</v>
          </cell>
        </row>
        <row r="709">
          <cell r="D709" t="str">
            <v>Taat</v>
          </cell>
          <cell r="E709" t="str">
            <v>PT. Macini Raya Pratama</v>
          </cell>
          <cell r="F709">
            <v>4500000000</v>
          </cell>
          <cell r="N709" t="str">
            <v>?</v>
          </cell>
          <cell r="O709" t="e">
            <v>#N/A</v>
          </cell>
          <cell r="P709" t="str">
            <v>sudah</v>
          </cell>
        </row>
        <row r="710">
          <cell r="D710" t="str">
            <v>Tamit</v>
          </cell>
          <cell r="E710" t="str">
            <v>PT. Macini Raya Pratama</v>
          </cell>
          <cell r="F710">
            <v>8231000000</v>
          </cell>
          <cell r="N710" t="str">
            <v>?</v>
          </cell>
          <cell r="O710" t="e">
            <v>#N/A</v>
          </cell>
          <cell r="P710" t="str">
            <v>sudah</v>
          </cell>
        </row>
        <row r="711">
          <cell r="D711" t="str">
            <v>Sumpang Binangae</v>
          </cell>
          <cell r="E711" t="str">
            <v>PT. PASELE KARYA PRATAMA</v>
          </cell>
          <cell r="F711">
            <v>4187442000</v>
          </cell>
          <cell r="L711" t="str">
            <v>081228107108/Victor</v>
          </cell>
          <cell r="M711" t="str">
            <v>Hyl</v>
          </cell>
          <cell r="O711" t="e">
            <v>#N/A</v>
          </cell>
          <cell r="P711" t="str">
            <v>sudah</v>
          </cell>
        </row>
        <row r="712">
          <cell r="D712" t="str">
            <v>Mattiro Bombang</v>
          </cell>
          <cell r="E712" t="str">
            <v>PT. Bunaken Inti Nusantara</v>
          </cell>
          <cell r="F712">
            <v>8495707000</v>
          </cell>
          <cell r="G712" t="str">
            <v>Nodin PPK 29 Mei 2026</v>
          </cell>
          <cell r="H712" t="str">
            <v>Bekasi</v>
          </cell>
          <cell r="I712" t="str">
            <v>Online</v>
          </cell>
          <cell r="K712" t="str">
            <v>SPPBJ</v>
          </cell>
          <cell r="M712" t="str">
            <v>Hyl</v>
          </cell>
          <cell r="O712" t="str">
            <v>PT. Bunaken Inti Nusantara</v>
          </cell>
          <cell r="P712" t="str">
            <v>sudah</v>
          </cell>
        </row>
        <row r="713">
          <cell r="D713" t="str">
            <v>Tamarupa</v>
          </cell>
          <cell r="E713" t="str">
            <v>PT. Bunaken Inti Nusantara</v>
          </cell>
          <cell r="F713">
            <v>6732095390</v>
          </cell>
          <cell r="G713" t="str">
            <v>Nodin PPK 29 Mei 2026</v>
          </cell>
          <cell r="H713" t="str">
            <v>Bekasi</v>
          </cell>
          <cell r="I713" t="str">
            <v>Online</v>
          </cell>
          <cell r="K713" t="str">
            <v>SPPBJ</v>
          </cell>
          <cell r="M713" t="str">
            <v>Hyl</v>
          </cell>
          <cell r="O713" t="str">
            <v>PT. Bunaken Inti Nusantara</v>
          </cell>
          <cell r="P713" t="str">
            <v>sudah</v>
          </cell>
        </row>
        <row r="714">
          <cell r="D714" t="str">
            <v>Tanjung</v>
          </cell>
          <cell r="E714" t="str">
            <v>PT. Masco Energi</v>
          </cell>
          <cell r="F714">
            <v>3214500000</v>
          </cell>
          <cell r="H714" t="str">
            <v>Lombok Barat</v>
          </cell>
          <cell r="I714" t="str">
            <v>Online</v>
          </cell>
          <cell r="L714" t="str">
            <v>081112300889/edi</v>
          </cell>
          <cell r="M714" t="str">
            <v>TK</v>
          </cell>
          <cell r="O714" t="e">
            <v>#N/A</v>
          </cell>
          <cell r="P714">
            <v>0</v>
          </cell>
        </row>
        <row r="715">
          <cell r="D715" t="str">
            <v>Pancur</v>
          </cell>
          <cell r="E715" t="str">
            <v>PT. Ibnu Munsyir Dwi Guna</v>
          </cell>
          <cell r="F715">
            <v>4123000000</v>
          </cell>
          <cell r="L715" t="str">
            <v>081283239090/yazid</v>
          </cell>
          <cell r="M715" t="str">
            <v>TK</v>
          </cell>
          <cell r="O715" t="e">
            <v>#N/A</v>
          </cell>
          <cell r="P715">
            <v>0</v>
          </cell>
        </row>
        <row r="716">
          <cell r="D716" t="str">
            <v>Penaah</v>
          </cell>
          <cell r="E716" t="str">
            <v>PT. Ibnu Munsyir Dwi Guna</v>
          </cell>
          <cell r="F716">
            <v>4123000000</v>
          </cell>
          <cell r="L716" t="str">
            <v>081283239090/yazid</v>
          </cell>
          <cell r="M716" t="str">
            <v>TK</v>
          </cell>
          <cell r="O716" t="e">
            <v>#N/A</v>
          </cell>
          <cell r="P716">
            <v>0</v>
          </cell>
        </row>
        <row r="717">
          <cell r="D717" t="str">
            <v>Sekanah</v>
          </cell>
          <cell r="E717" t="str">
            <v>PT. Ibnu Munsyir Dwi Guna</v>
          </cell>
          <cell r="F717">
            <v>4123000000</v>
          </cell>
          <cell r="L717" t="str">
            <v>081283239090/yazid</v>
          </cell>
          <cell r="M717" t="str">
            <v>TK</v>
          </cell>
          <cell r="O717" t="e">
            <v>#N/A</v>
          </cell>
          <cell r="P717">
            <v>0</v>
          </cell>
        </row>
        <row r="718">
          <cell r="D718" t="str">
            <v>Tanjung Kelit</v>
          </cell>
          <cell r="E718" t="str">
            <v>PT. Ibnu Munsyir Dwi Guna</v>
          </cell>
          <cell r="F718">
            <v>7123100000</v>
          </cell>
          <cell r="L718" t="str">
            <v>081283239090/yazid</v>
          </cell>
          <cell r="M718" t="str">
            <v>TK</v>
          </cell>
          <cell r="O718" t="e">
            <v>#N/A</v>
          </cell>
          <cell r="P718">
            <v>0</v>
          </cell>
        </row>
        <row r="719">
          <cell r="D719" t="str">
            <v>Muara Sampara</v>
          </cell>
          <cell r="E719" t="str">
            <v>CV. Sakti Mandiri</v>
          </cell>
          <cell r="F719">
            <v>4500000000</v>
          </cell>
          <cell r="I719" t="str">
            <v>Offline</v>
          </cell>
          <cell r="L719" t="str">
            <v>081243201532/rudi</v>
          </cell>
          <cell r="M719" t="str">
            <v>Hyl</v>
          </cell>
          <cell r="O719" t="str">
            <v>CV. Sakti Mandiri</v>
          </cell>
          <cell r="P719" t="str">
            <v>sudah</v>
          </cell>
        </row>
        <row r="720">
          <cell r="D720" t="str">
            <v>Muara Tinobu</v>
          </cell>
          <cell r="E720" t="str">
            <v>CV. Sakti Mandiri</v>
          </cell>
          <cell r="F720">
            <v>4500000000</v>
          </cell>
          <cell r="I720" t="str">
            <v>Offline</v>
          </cell>
          <cell r="L720" t="str">
            <v>081243201532/rudi</v>
          </cell>
          <cell r="M720" t="str">
            <v>Hyl</v>
          </cell>
          <cell r="O720" t="str">
            <v>CV. Sakti Mandiri</v>
          </cell>
          <cell r="P720" t="str">
            <v>sudah</v>
          </cell>
        </row>
        <row r="721">
          <cell r="D721" t="str">
            <v>Pasir Putih</v>
          </cell>
          <cell r="E721" t="str">
            <v>CV. Sedarah Sejahtera</v>
          </cell>
          <cell r="F721">
            <v>4035223444</v>
          </cell>
          <cell r="L721" t="str">
            <v>85241812495/+62 852-4181-2495</v>
          </cell>
          <cell r="M721" t="str">
            <v>Jaelani</v>
          </cell>
          <cell r="O721" t="e">
            <v>#N/A</v>
          </cell>
          <cell r="P721" t="str">
            <v>sudah</v>
          </cell>
        </row>
        <row r="722">
          <cell r="D722" t="str">
            <v>Tanjung Bunga</v>
          </cell>
          <cell r="E722" t="str">
            <v>CV. Sakti Mandiri</v>
          </cell>
          <cell r="F722">
            <v>4500000000</v>
          </cell>
          <cell r="I722" t="str">
            <v>Offline</v>
          </cell>
          <cell r="L722" t="str">
            <v>081243201532/rudi</v>
          </cell>
          <cell r="M722" t="str">
            <v>Hyl</v>
          </cell>
          <cell r="O722" t="str">
            <v>CV. Sakti Mandiri</v>
          </cell>
          <cell r="P722" t="str">
            <v>sudah</v>
          </cell>
        </row>
        <row r="723">
          <cell r="D723" t="str">
            <v>Tanjung Laimeo</v>
          </cell>
          <cell r="E723" t="str">
            <v>CV. Sakti Mandiri</v>
          </cell>
          <cell r="F723">
            <v>6758220000</v>
          </cell>
          <cell r="G723" t="str">
            <v>Nodin PPK 9 Juni 2026</v>
          </cell>
          <cell r="I723" t="str">
            <v>Offline</v>
          </cell>
          <cell r="K723" t="str">
            <v>Proses Kontrak (Pokja)</v>
          </cell>
          <cell r="L723" t="str">
            <v>081243201532/rudi</v>
          </cell>
          <cell r="M723" t="str">
            <v>Hyl</v>
          </cell>
          <cell r="O723" t="str">
            <v>CV. Sakti Mandiri</v>
          </cell>
          <cell r="P723" t="str">
            <v>sudah</v>
          </cell>
        </row>
        <row r="724">
          <cell r="D724" t="str">
            <v>Ulu Sawa</v>
          </cell>
          <cell r="E724" t="str">
            <v>CV. Sakti Mandiri</v>
          </cell>
          <cell r="F724">
            <v>4085556419</v>
          </cell>
          <cell r="G724" t="str">
            <v>Nodin PPK 9 Juni 2026</v>
          </cell>
          <cell r="I724" t="str">
            <v>Offline</v>
          </cell>
          <cell r="K724" t="str">
            <v>Proses Kontrak (Pokja)</v>
          </cell>
          <cell r="L724" t="str">
            <v>081243201532/rudi</v>
          </cell>
          <cell r="M724" t="str">
            <v>Hyl</v>
          </cell>
          <cell r="O724" t="str">
            <v>CV. Sakti Mandiri</v>
          </cell>
          <cell r="P724" t="str">
            <v>sudah</v>
          </cell>
        </row>
        <row r="725">
          <cell r="D725" t="str">
            <v>Pulau Kerayaan</v>
          </cell>
          <cell r="E725" t="str">
            <v>PT. Beringin Jaya Perkasa (Kotabaru)</v>
          </cell>
          <cell r="F725">
            <v>4320000000</v>
          </cell>
          <cell r="O725" t="e">
            <v>#N/A</v>
          </cell>
          <cell r="P725">
            <v>0</v>
          </cell>
        </row>
        <row r="726">
          <cell r="D726" t="str">
            <v>Tanjung Lalak Selatan</v>
          </cell>
          <cell r="E726" t="str">
            <v>PT. Beringin Jaya Perkasa (Kotabaru)</v>
          </cell>
          <cell r="F726">
            <v>6932400000</v>
          </cell>
          <cell r="O726" t="e">
            <v>#N/A</v>
          </cell>
          <cell r="P726">
            <v>0</v>
          </cell>
        </row>
        <row r="727">
          <cell r="D727" t="str">
            <v>Tanjung Seloka</v>
          </cell>
          <cell r="E727" t="str">
            <v>PT. Beringin Jaya Perkasa (Kotabaru)</v>
          </cell>
          <cell r="F727">
            <v>4320000000</v>
          </cell>
          <cell r="O727" t="e">
            <v>#N/A</v>
          </cell>
          <cell r="P727">
            <v>0</v>
          </cell>
        </row>
        <row r="728">
          <cell r="D728" t="str">
            <v>Sabuai</v>
          </cell>
          <cell r="E728" t="str">
            <v>PT. Bangun Mataram Jaya (Menengah)</v>
          </cell>
          <cell r="F728">
            <v>0</v>
          </cell>
          <cell r="H728" t="str">
            <v>Bontang</v>
          </cell>
          <cell r="I728" t="str">
            <v>Online</v>
          </cell>
          <cell r="L728">
            <v>818838095</v>
          </cell>
          <cell r="M728" t="str">
            <v>Galuh P3 di ganti karena tidak ada SBU</v>
          </cell>
          <cell r="O728" t="e">
            <v>#N/A</v>
          </cell>
          <cell r="P728">
            <v>0</v>
          </cell>
        </row>
        <row r="729">
          <cell r="D729" t="str">
            <v>Sungai Bakau</v>
          </cell>
          <cell r="E729" t="str">
            <v>PT. Bangun Mataram Jaya (Menengah)</v>
          </cell>
          <cell r="F729">
            <v>4320000000</v>
          </cell>
          <cell r="H729" t="str">
            <v>Bontang</v>
          </cell>
          <cell r="I729" t="str">
            <v>Online</v>
          </cell>
          <cell r="L729">
            <v>818838095</v>
          </cell>
          <cell r="M729" t="str">
            <v>Galuh P3 di ganti karena tidak ada SBU</v>
          </cell>
          <cell r="O729" t="e">
            <v>#N/A</v>
          </cell>
          <cell r="P729">
            <v>0</v>
          </cell>
        </row>
        <row r="730">
          <cell r="D730" t="str">
            <v>Sungai Cabang Barat</v>
          </cell>
          <cell r="E730" t="str">
            <v>PT. Bangun Mataram Jaya (Menengah)</v>
          </cell>
          <cell r="F730">
            <v>4320000000</v>
          </cell>
          <cell r="H730" t="str">
            <v>Bontang</v>
          </cell>
          <cell r="I730" t="str">
            <v>Online</v>
          </cell>
          <cell r="L730">
            <v>818838095</v>
          </cell>
          <cell r="M730" t="str">
            <v>Galuh P3 di ganti karena tidak ada SBU</v>
          </cell>
          <cell r="O730" t="e">
            <v>#N/A</v>
          </cell>
          <cell r="P730">
            <v>0</v>
          </cell>
        </row>
        <row r="731">
          <cell r="D731" t="str">
            <v>Sungai Damar</v>
          </cell>
          <cell r="E731" t="str">
            <v>PT. Bangun Mataram Jaya (Menengah)</v>
          </cell>
          <cell r="F731">
            <v>6932400000</v>
          </cell>
          <cell r="H731" t="str">
            <v>Bontang</v>
          </cell>
          <cell r="I731" t="str">
            <v>Online</v>
          </cell>
          <cell r="L731">
            <v>818838095</v>
          </cell>
          <cell r="M731" t="str">
            <v>Galuh P3 di ganti karena tidak ada SBU</v>
          </cell>
          <cell r="O731" t="e">
            <v>#N/A</v>
          </cell>
          <cell r="P731">
            <v>0</v>
          </cell>
        </row>
        <row r="732">
          <cell r="D732" t="str">
            <v>Pulau Seliu</v>
          </cell>
          <cell r="E732" t="str">
            <v>PT. Maharani Citra Persada Indonesia</v>
          </cell>
          <cell r="F732">
            <v>0</v>
          </cell>
          <cell r="H732" t="str">
            <v>Pangkal Pinang</v>
          </cell>
          <cell r="I732" t="str">
            <v>Online</v>
          </cell>
          <cell r="O732" t="e">
            <v>#N/A</v>
          </cell>
          <cell r="P732">
            <v>0</v>
          </cell>
        </row>
        <row r="733">
          <cell r="D733" t="str">
            <v>Tanjungrusa</v>
          </cell>
          <cell r="E733" t="str">
            <v>PT. Maharani Citra Persada Indonesia</v>
          </cell>
          <cell r="F733">
            <v>0</v>
          </cell>
          <cell r="H733" t="str">
            <v>Pangkal Pinang</v>
          </cell>
          <cell r="I733" t="str">
            <v>Online</v>
          </cell>
          <cell r="O733" t="e">
            <v>#N/A</v>
          </cell>
          <cell r="P733">
            <v>0</v>
          </cell>
        </row>
        <row r="734">
          <cell r="D734" t="str">
            <v>Pantai</v>
          </cell>
          <cell r="E734" t="str">
            <v>CV. Bumi Keerom Perkasa</v>
          </cell>
          <cell r="F734">
            <v>4567200000</v>
          </cell>
          <cell r="L734" t="str">
            <v>081344615922/aji</v>
          </cell>
          <cell r="M734" t="str">
            <v>Galuh-tambahan</v>
          </cell>
          <cell r="O734" t="e">
            <v>#N/A</v>
          </cell>
          <cell r="P734">
            <v>0</v>
          </cell>
        </row>
        <row r="735">
          <cell r="D735" t="str">
            <v>Tanjung Samalantakan</v>
          </cell>
          <cell r="E735" t="str">
            <v>CV. Bumi Keerom Perkasa</v>
          </cell>
          <cell r="F735">
            <v>6932400000</v>
          </cell>
          <cell r="L735" t="str">
            <v>081344615922/aji</v>
          </cell>
          <cell r="M735" t="str">
            <v>Galuh-tambahan</v>
          </cell>
          <cell r="O735" t="e">
            <v>#N/A</v>
          </cell>
          <cell r="P735">
            <v>0</v>
          </cell>
        </row>
        <row r="736">
          <cell r="D736" t="str">
            <v>Betung</v>
          </cell>
          <cell r="E736" t="str">
            <v>PT. Yuniarto Sejahtera Abadi</v>
          </cell>
          <cell r="F736">
            <v>4123000000</v>
          </cell>
          <cell r="L736" t="str">
            <v>089663591345/soleh</v>
          </cell>
          <cell r="M736" t="str">
            <v>aufar</v>
          </cell>
          <cell r="O736" t="e">
            <v>#N/A</v>
          </cell>
          <cell r="P736">
            <v>0</v>
          </cell>
        </row>
        <row r="737">
          <cell r="D737" t="str">
            <v>Karang Anyar</v>
          </cell>
          <cell r="E737" t="str">
            <v>PT. Hage Primadi Konstruksi (Menengah)</v>
          </cell>
          <cell r="F737">
            <v>4123000000</v>
          </cell>
          <cell r="G737" t="str">
            <v>Pembatalan Usulan</v>
          </cell>
          <cell r="L737" t="str">
            <v>Banu : 081316450044/ Email : hage.konstruksi@gmail.com</v>
          </cell>
          <cell r="M737" t="str">
            <v>damar</v>
          </cell>
          <cell r="O737" t="e">
            <v>#N/A</v>
          </cell>
          <cell r="P737">
            <v>0</v>
          </cell>
        </row>
        <row r="738">
          <cell r="D738" t="str">
            <v>Karang Brak</v>
          </cell>
          <cell r="E738" t="str">
            <v>PT. Yuniarto Sejahtera Abadi</v>
          </cell>
          <cell r="F738">
            <v>0</v>
          </cell>
          <cell r="L738" t="str">
            <v>089663591345/soleh</v>
          </cell>
          <cell r="M738" t="str">
            <v>aufar</v>
          </cell>
          <cell r="O738" t="e">
            <v>#N/A</v>
          </cell>
          <cell r="P738">
            <v>0</v>
          </cell>
        </row>
        <row r="739">
          <cell r="D739" t="str">
            <v>Tala Gening</v>
          </cell>
          <cell r="E739" t="str">
            <v>PT. Hage Primadi Konstruksi (Menengah)</v>
          </cell>
          <cell r="F739">
            <v>6105695000</v>
          </cell>
          <cell r="G739" t="str">
            <v>Pembatalan Usulan</v>
          </cell>
          <cell r="H739" t="str">
            <v>Jakarta</v>
          </cell>
          <cell r="I739" t="str">
            <v>Online</v>
          </cell>
          <cell r="L739" t="str">
            <v>Banu : 081316450044/ Email : hage.konstruksi@gmail.com</v>
          </cell>
          <cell r="M739" t="str">
            <v>damar</v>
          </cell>
          <cell r="O739" t="e">
            <v>#N/A</v>
          </cell>
          <cell r="P739">
            <v>0</v>
          </cell>
        </row>
        <row r="740">
          <cell r="D740" t="str">
            <v>Tanjung Agung</v>
          </cell>
          <cell r="E740" t="str">
            <v>PT. Hage Primadi Konstruksi (Menengah)</v>
          </cell>
          <cell r="F740">
            <v>4123000000</v>
          </cell>
          <cell r="G740" t="str">
            <v>Pembatalan Usulan</v>
          </cell>
          <cell r="H740" t="str">
            <v>Jakarta</v>
          </cell>
          <cell r="I740" t="str">
            <v>Online</v>
          </cell>
          <cell r="L740" t="str">
            <v>Banu : 081316450044/ Email : hage.konstruksi@gmail.com</v>
          </cell>
          <cell r="M740" t="str">
            <v>damar</v>
          </cell>
          <cell r="O740" t="e">
            <v>#N/A</v>
          </cell>
          <cell r="P740">
            <v>0</v>
          </cell>
        </row>
        <row r="741">
          <cell r="D741" t="str">
            <v>Tanjungan</v>
          </cell>
          <cell r="E741" t="str">
            <v>PT. Yuniarto Sejahtera Abadi</v>
          </cell>
          <cell r="F741">
            <v>4123000000</v>
          </cell>
          <cell r="L741" t="str">
            <v>089663591345/soleh</v>
          </cell>
          <cell r="M741" t="str">
            <v>aufar</v>
          </cell>
          <cell r="O741" t="e">
            <v>#N/A</v>
          </cell>
          <cell r="P741">
            <v>0</v>
          </cell>
        </row>
        <row r="742">
          <cell r="D742" t="str">
            <v>Way Nipah</v>
          </cell>
          <cell r="E742" t="str">
            <v>PT. Yuniarto Sejahtera Abadi</v>
          </cell>
          <cell r="F742">
            <v>4123000000</v>
          </cell>
          <cell r="L742" t="str">
            <v>089663591345/soleh</v>
          </cell>
          <cell r="M742" t="str">
            <v>aufar</v>
          </cell>
          <cell r="O742" t="e">
            <v>#N/A</v>
          </cell>
          <cell r="P742">
            <v>0</v>
          </cell>
        </row>
        <row r="743">
          <cell r="D743" t="str">
            <v>Adodo Molu</v>
          </cell>
          <cell r="F743">
            <v>0</v>
          </cell>
          <cell r="O743" t="e">
            <v>#N/A</v>
          </cell>
          <cell r="P743">
            <v>0</v>
          </cell>
        </row>
        <row r="744">
          <cell r="D744" t="str">
            <v>Teineman</v>
          </cell>
          <cell r="F744">
            <v>0</v>
          </cell>
          <cell r="O744" t="e">
            <v>#N/A</v>
          </cell>
          <cell r="P744">
            <v>0</v>
          </cell>
        </row>
        <row r="745">
          <cell r="D745" t="str">
            <v>Tutunametal</v>
          </cell>
          <cell r="F745">
            <v>0</v>
          </cell>
          <cell r="O745" t="e">
            <v>#N/A</v>
          </cell>
          <cell r="P745">
            <v>0</v>
          </cell>
        </row>
        <row r="746">
          <cell r="D746" t="str">
            <v>Wabar</v>
          </cell>
          <cell r="F746">
            <v>0</v>
          </cell>
          <cell r="O746" t="e">
            <v>#N/A</v>
          </cell>
          <cell r="P746">
            <v>0</v>
          </cell>
        </row>
        <row r="747">
          <cell r="D747" t="str">
            <v>Semembang</v>
          </cell>
          <cell r="E747" t="str">
            <v>PT. Riden Jaya</v>
          </cell>
          <cell r="F747">
            <v>0</v>
          </cell>
          <cell r="L747" t="str">
            <v>081262151541/dani</v>
          </cell>
          <cell r="M747" t="str">
            <v>Usulan Tambahan V</v>
          </cell>
          <cell r="O747" t="e">
            <v>#N/A</v>
          </cell>
          <cell r="P747">
            <v>0</v>
          </cell>
        </row>
        <row r="748">
          <cell r="D748" t="str">
            <v>Telaga Tujuh</v>
          </cell>
          <cell r="E748" t="str">
            <v>PT. Riden Jaya</v>
          </cell>
          <cell r="F748">
            <v>0</v>
          </cell>
          <cell r="L748" t="str">
            <v>081262151541/dani</v>
          </cell>
          <cell r="M748" t="str">
            <v>Usulan Tambahan V</v>
          </cell>
          <cell r="O748" t="e">
            <v>#N/A</v>
          </cell>
          <cell r="P748">
            <v>0</v>
          </cell>
        </row>
        <row r="749">
          <cell r="D749" t="str">
            <v>Teluk Kabung Selatan</v>
          </cell>
          <cell r="E749" t="str">
            <v>PT. Wijaya Karya Bangunan Gedung</v>
          </cell>
          <cell r="F749">
            <v>7123100000</v>
          </cell>
          <cell r="O749" t="e">
            <v>#N/A</v>
          </cell>
          <cell r="P749">
            <v>0</v>
          </cell>
        </row>
        <row r="750">
          <cell r="D750" t="str">
            <v>Sungai Pinang</v>
          </cell>
          <cell r="E750" t="str">
            <v>PT. Wijaya Karya Bangunan Gedung</v>
          </cell>
          <cell r="F750">
            <v>4123000000</v>
          </cell>
          <cell r="O750" t="e">
            <v>#N/A</v>
          </cell>
          <cell r="P750">
            <v>0</v>
          </cell>
        </row>
        <row r="751">
          <cell r="D751" t="str">
            <v>Bintet</v>
          </cell>
          <cell r="E751" t="str">
            <v>CV. Marina Visi Tama</v>
          </cell>
          <cell r="F751">
            <v>0</v>
          </cell>
          <cell r="L751" t="str">
            <v>laksmana/081299898951</v>
          </cell>
          <cell r="M751" t="str">
            <v>GCP</v>
          </cell>
          <cell r="O751" t="e">
            <v>#N/A</v>
          </cell>
          <cell r="P751">
            <v>0</v>
          </cell>
        </row>
        <row r="752">
          <cell r="D752" t="str">
            <v>Rambat</v>
          </cell>
          <cell r="E752" t="str">
            <v>PT. Wimala Nusantara Jaya</v>
          </cell>
          <cell r="F752">
            <v>0</v>
          </cell>
          <cell r="O752" t="e">
            <v>#N/A</v>
          </cell>
          <cell r="P752">
            <v>0</v>
          </cell>
        </row>
        <row r="753">
          <cell r="D753" t="str">
            <v>Semulut</v>
          </cell>
          <cell r="E753" t="str">
            <v>PT. Wimala Nusantara Jaya</v>
          </cell>
          <cell r="F753">
            <v>0</v>
          </cell>
          <cell r="O753" t="e">
            <v>#N/A</v>
          </cell>
          <cell r="P753">
            <v>0</v>
          </cell>
        </row>
        <row r="754">
          <cell r="D754" t="str">
            <v>Tanjung Niur</v>
          </cell>
          <cell r="E754" t="str">
            <v>PT. Wimala Nusantara Jaya</v>
          </cell>
          <cell r="F754">
            <v>0</v>
          </cell>
          <cell r="O754" t="e">
            <v>#N/A</v>
          </cell>
          <cell r="P754">
            <v>0</v>
          </cell>
        </row>
        <row r="755">
          <cell r="D755" t="str">
            <v>Teluk Limau</v>
          </cell>
          <cell r="E755" t="str">
            <v>PT. Wimala Nusantara Jaya</v>
          </cell>
          <cell r="F755">
            <v>0</v>
          </cell>
          <cell r="O755" t="e">
            <v>#N/A</v>
          </cell>
          <cell r="P755">
            <v>0</v>
          </cell>
        </row>
        <row r="756">
          <cell r="D756" t="str">
            <v>Bagan Punak Pesisir</v>
          </cell>
          <cell r="E756" t="str">
            <v>PT. Ganesha Jaya</v>
          </cell>
          <cell r="F756">
            <v>0</v>
          </cell>
          <cell r="L756" t="str">
            <v>081283064488/eko</v>
          </cell>
          <cell r="M756" t="str">
            <v>Dedd</v>
          </cell>
          <cell r="O756" t="e">
            <v>#N/A</v>
          </cell>
          <cell r="P756" t="e">
            <v>#N/A</v>
          </cell>
        </row>
        <row r="757">
          <cell r="D757" t="str">
            <v>Panipahan</v>
          </cell>
          <cell r="E757" t="str">
            <v>PT. Ganesha Jaya</v>
          </cell>
          <cell r="F757">
            <v>0</v>
          </cell>
          <cell r="L757" t="str">
            <v>081283064488/eko</v>
          </cell>
          <cell r="M757" t="str">
            <v>Dedd</v>
          </cell>
          <cell r="O757" t="e">
            <v>#N/A</v>
          </cell>
          <cell r="P757">
            <v>0</v>
          </cell>
        </row>
        <row r="758">
          <cell r="D758" t="str">
            <v>Panipahan Darat</v>
          </cell>
          <cell r="E758" t="str">
            <v>PT. Ganesha Jaya</v>
          </cell>
          <cell r="F758">
            <v>0</v>
          </cell>
          <cell r="L758" t="str">
            <v>081283064488/eko</v>
          </cell>
          <cell r="M758" t="str">
            <v>Dedd</v>
          </cell>
          <cell r="O758" t="e">
            <v>#N/A</v>
          </cell>
          <cell r="P758">
            <v>0</v>
          </cell>
        </row>
        <row r="759">
          <cell r="D759" t="str">
            <v>Sinaboi</v>
          </cell>
          <cell r="E759" t="str">
            <v>PT. Ganesha Jaya</v>
          </cell>
          <cell r="F759">
            <v>0</v>
          </cell>
          <cell r="L759" t="str">
            <v>081283064488/eko</v>
          </cell>
          <cell r="M759" t="str">
            <v>Dedd</v>
          </cell>
          <cell r="O759" t="e">
            <v>#N/A</v>
          </cell>
          <cell r="P759">
            <v>0</v>
          </cell>
        </row>
        <row r="760">
          <cell r="D760" t="str">
            <v>Telukpulai</v>
          </cell>
          <cell r="E760" t="str">
            <v>PT. Ganesha Jaya</v>
          </cell>
          <cell r="F760">
            <v>0</v>
          </cell>
          <cell r="L760" t="str">
            <v>081283064488/eko</v>
          </cell>
          <cell r="M760" t="str">
            <v>Dedd</v>
          </cell>
          <cell r="O760" t="e">
            <v>#N/A</v>
          </cell>
          <cell r="P760">
            <v>0</v>
          </cell>
        </row>
        <row r="761">
          <cell r="D761" t="str">
            <v>Batah Timur</v>
          </cell>
          <cell r="E761" t="str">
            <v>PT. Elang Mas Berdikari</v>
          </cell>
          <cell r="F761">
            <v>2314000000</v>
          </cell>
          <cell r="L761" t="str">
            <v>085203533456/jibo</v>
          </cell>
          <cell r="M761" t="str">
            <v>g</v>
          </cell>
          <cell r="O761" t="e">
            <v>#N/A</v>
          </cell>
          <cell r="P761" t="str">
            <v>sudah</v>
          </cell>
        </row>
        <row r="762">
          <cell r="D762" t="str">
            <v>Junganyar</v>
          </cell>
          <cell r="E762" t="str">
            <v>PT. Elang Mas Berdikari</v>
          </cell>
          <cell r="F762">
            <v>2314000000</v>
          </cell>
          <cell r="I762" t="str">
            <v>Offline</v>
          </cell>
          <cell r="L762" t="str">
            <v>085203533456/jibo</v>
          </cell>
          <cell r="M762" t="str">
            <v>g</v>
          </cell>
          <cell r="O762" t="e">
            <v>#N/A</v>
          </cell>
          <cell r="P762" t="str">
            <v>sudah</v>
          </cell>
        </row>
        <row r="763">
          <cell r="D763" t="str">
            <v>Klampis Barat</v>
          </cell>
          <cell r="E763" t="str">
            <v>PT. Elang Mas Berdikari</v>
          </cell>
          <cell r="F763">
            <v>0</v>
          </cell>
          <cell r="I763" t="str">
            <v>Offline</v>
          </cell>
          <cell r="L763" t="str">
            <v>085203533456/jibo</v>
          </cell>
          <cell r="M763" t="str">
            <v>g</v>
          </cell>
          <cell r="O763" t="e">
            <v>#N/A</v>
          </cell>
          <cell r="P763" t="str">
            <v>sudah</v>
          </cell>
        </row>
        <row r="764">
          <cell r="D764" t="str">
            <v>Klampis Timur</v>
          </cell>
          <cell r="E764" t="str">
            <v>PT. Elang Mas Berdikari</v>
          </cell>
          <cell r="F764">
            <v>0</v>
          </cell>
          <cell r="I764" t="str">
            <v>Offline</v>
          </cell>
          <cell r="L764" t="str">
            <v>085203533456/jibo</v>
          </cell>
          <cell r="M764" t="str">
            <v>g</v>
          </cell>
          <cell r="O764" t="e">
            <v>#N/A</v>
          </cell>
          <cell r="P764" t="str">
            <v>sudah</v>
          </cell>
        </row>
        <row r="765">
          <cell r="D765" t="str">
            <v>Tengket</v>
          </cell>
          <cell r="E765" t="str">
            <v>PT. Elang Mas Berdikari</v>
          </cell>
          <cell r="F765">
            <v>0</v>
          </cell>
          <cell r="I765" t="str">
            <v>Offline</v>
          </cell>
          <cell r="L765" t="str">
            <v>085203533456/jibo</v>
          </cell>
          <cell r="M765" t="str">
            <v>g</v>
          </cell>
          <cell r="O765" t="e">
            <v>#N/A</v>
          </cell>
          <cell r="P765" t="str">
            <v>sudah</v>
          </cell>
        </row>
        <row r="766">
          <cell r="D766" t="str">
            <v>Jatra Timur</v>
          </cell>
          <cell r="E766" t="str">
            <v>PT. Puji Rahmad (Besar)</v>
          </cell>
          <cell r="F766">
            <v>0</v>
          </cell>
          <cell r="I766" t="str">
            <v>Online</v>
          </cell>
          <cell r="L766" t="str">
            <v>08170070040/sanidin</v>
          </cell>
          <cell r="M766" t="str">
            <v>Put</v>
          </cell>
          <cell r="O766" t="e">
            <v>#N/A</v>
          </cell>
          <cell r="P766">
            <v>0</v>
          </cell>
        </row>
        <row r="767">
          <cell r="D767" t="str">
            <v>P. Mandangin</v>
          </cell>
          <cell r="F767">
            <v>0</v>
          </cell>
          <cell r="M767" t="str">
            <v>g</v>
          </cell>
          <cell r="O767" t="e">
            <v>#N/A</v>
          </cell>
          <cell r="P767">
            <v>0</v>
          </cell>
        </row>
        <row r="768">
          <cell r="D768" t="str">
            <v>Tapuhahi</v>
          </cell>
          <cell r="E768" t="str">
            <v>CV. Radhika Pratama</v>
          </cell>
          <cell r="F768">
            <v>5040041000</v>
          </cell>
          <cell r="L768" t="str">
            <v>marhaeneka19@gmail.com/ 082271111277</v>
          </cell>
          <cell r="M768" t="str">
            <v>Jaelani</v>
          </cell>
          <cell r="N768" t="str">
            <v>?</v>
          </cell>
          <cell r="O768" t="e">
            <v>#N/A</v>
          </cell>
          <cell r="P768" t="str">
            <v>sudah</v>
          </cell>
        </row>
        <row r="769">
          <cell r="D769" t="str">
            <v>Terapung</v>
          </cell>
          <cell r="E769" t="str">
            <v>CV. RIDZAH ANANDA</v>
          </cell>
          <cell r="F769">
            <v>8231000000</v>
          </cell>
          <cell r="L769" t="str">
            <v>082296314769/ridwan</v>
          </cell>
          <cell r="M769" t="str">
            <v>Hyl</v>
          </cell>
          <cell r="O769" t="str">
            <v>CV. RIDZAH ANANDA</v>
          </cell>
          <cell r="P769" t="str">
            <v>sudah</v>
          </cell>
        </row>
        <row r="770">
          <cell r="D770" t="str">
            <v>Watolo</v>
          </cell>
          <cell r="E770" t="str">
            <v>CV. RIDZAH ANANDA</v>
          </cell>
          <cell r="F770">
            <v>4500000000</v>
          </cell>
          <cell r="L770" t="str">
            <v>082296314769/ridwan</v>
          </cell>
          <cell r="M770" t="str">
            <v>Hyl</v>
          </cell>
          <cell r="O770" t="str">
            <v>CV. RIDZAH ANANDA</v>
          </cell>
          <cell r="P770" t="str">
            <v>sudah</v>
          </cell>
        </row>
        <row r="771">
          <cell r="D771" t="str">
            <v>Rorurangga</v>
          </cell>
          <cell r="E771" t="str">
            <v>CV. Jawa Mai</v>
          </cell>
          <cell r="F771">
            <v>3214500000</v>
          </cell>
          <cell r="H771" t="str">
            <v>Ende</v>
          </cell>
          <cell r="I771" t="str">
            <v>Online</v>
          </cell>
          <cell r="L771">
            <v>81237969666</v>
          </cell>
          <cell r="M771" t="str">
            <v>Galuh-B</v>
          </cell>
          <cell r="O771" t="e">
            <v>#N/A</v>
          </cell>
          <cell r="P771">
            <v>0</v>
          </cell>
        </row>
        <row r="772">
          <cell r="D772" t="str">
            <v>Tetandara</v>
          </cell>
          <cell r="E772" t="str">
            <v>CV. Jawa Mai</v>
          </cell>
          <cell r="F772">
            <v>4678000000</v>
          </cell>
          <cell r="H772" t="str">
            <v>Ende</v>
          </cell>
          <cell r="I772" t="str">
            <v>Online</v>
          </cell>
          <cell r="L772">
            <v>81237969666</v>
          </cell>
          <cell r="M772" t="str">
            <v>Galuh-B</v>
          </cell>
          <cell r="O772" t="e">
            <v>#N/A</v>
          </cell>
          <cell r="P772">
            <v>0</v>
          </cell>
        </row>
        <row r="773">
          <cell r="D773" t="str">
            <v>Tiku Selatan</v>
          </cell>
          <cell r="E773" t="str">
            <v>PT. Segi Tiga Tambora</v>
          </cell>
          <cell r="F773">
            <v>7123100000</v>
          </cell>
          <cell r="L773" t="str">
            <v>anwar/082112111009</v>
          </cell>
          <cell r="M773" t="str">
            <v>Usulan pak arlan-rid</v>
          </cell>
          <cell r="O773" t="e">
            <v>#N/A</v>
          </cell>
          <cell r="P773">
            <v>0</v>
          </cell>
        </row>
        <row r="774">
          <cell r="D774" t="str">
            <v>Ampalu</v>
          </cell>
          <cell r="E774" t="str">
            <v>PT. Segi Tiga Tambora</v>
          </cell>
          <cell r="F774">
            <v>4123000000</v>
          </cell>
          <cell r="L774" t="str">
            <v>anwar/082112111009</v>
          </cell>
          <cell r="M774" t="str">
            <v>Usulan pak arlan-rid</v>
          </cell>
          <cell r="O774" t="e">
            <v>#N/A</v>
          </cell>
          <cell r="P774">
            <v>0</v>
          </cell>
        </row>
        <row r="775">
          <cell r="D775" t="str">
            <v>Marunggi</v>
          </cell>
          <cell r="E775" t="str">
            <v>PT. Segi Tiga Tambora</v>
          </cell>
          <cell r="F775">
            <v>4123000000</v>
          </cell>
          <cell r="L775" t="str">
            <v>anwar/082112111009</v>
          </cell>
          <cell r="M775" t="str">
            <v>Usulan pak arlan-rid</v>
          </cell>
          <cell r="O775" t="e">
            <v>#N/A</v>
          </cell>
          <cell r="P775">
            <v>0</v>
          </cell>
        </row>
        <row r="776">
          <cell r="D776" t="str">
            <v>Koto Tinggi Kuranji Hilir</v>
          </cell>
          <cell r="E776" t="str">
            <v>PT. Satria Bumi Sukawati</v>
          </cell>
          <cell r="F776">
            <v>4123000000</v>
          </cell>
          <cell r="O776" t="e">
            <v>#N/A</v>
          </cell>
          <cell r="P776">
            <v>0</v>
          </cell>
        </row>
        <row r="777">
          <cell r="D777" t="str">
            <v>Pilubang</v>
          </cell>
          <cell r="E777" t="str">
            <v>PT. Segi Tiga Tambora</v>
          </cell>
          <cell r="F777">
            <v>0</v>
          </cell>
          <cell r="L777" t="str">
            <v>anwar/082112111009</v>
          </cell>
          <cell r="M777" t="str">
            <v>Usulan pak arlan-rid</v>
          </cell>
          <cell r="O777" t="e">
            <v>#N/A</v>
          </cell>
          <cell r="P777">
            <v>0</v>
          </cell>
        </row>
        <row r="778">
          <cell r="D778" t="str">
            <v>Benteng</v>
          </cell>
          <cell r="E778" t="str">
            <v>PT. DARWIN KEMBAR JAYA</v>
          </cell>
          <cell r="F778">
            <v>4800573000</v>
          </cell>
          <cell r="L778" t="str">
            <v>082198005353/yacob</v>
          </cell>
          <cell r="M778" t="str">
            <v>Hyl</v>
          </cell>
          <cell r="O778" t="str">
            <v>CV. JAWARA KONSTRUKSI</v>
          </cell>
          <cell r="P778" t="str">
            <v>sudah</v>
          </cell>
        </row>
        <row r="779">
          <cell r="D779" t="str">
            <v>Ponjalae</v>
          </cell>
          <cell r="E779" t="str">
            <v>PT. Relis Sapindo Utama</v>
          </cell>
          <cell r="F779">
            <v>5131076000</v>
          </cell>
          <cell r="L779">
            <v>81341207077</v>
          </cell>
          <cell r="M779" t="str">
            <v>Hyl</v>
          </cell>
          <cell r="O779" t="str">
            <v>PT. Relis Sapindo Utama</v>
          </cell>
          <cell r="P779" t="str">
            <v>sudah</v>
          </cell>
        </row>
        <row r="780">
          <cell r="D780" t="str">
            <v>Songka</v>
          </cell>
          <cell r="E780" t="str">
            <v>PT. Relis Sapindo Utama</v>
          </cell>
          <cell r="F780">
            <v>5312429000</v>
          </cell>
          <cell r="L780">
            <v>81341207077</v>
          </cell>
          <cell r="M780" t="str">
            <v>Hyl</v>
          </cell>
          <cell r="O780" t="str">
            <v>PT. Relis Sapindo Utama</v>
          </cell>
          <cell r="P780" t="str">
            <v>sudah</v>
          </cell>
        </row>
        <row r="781">
          <cell r="D781" t="str">
            <v>Takkalala</v>
          </cell>
          <cell r="E781" t="str">
            <v>PT. Relis Sapindo Utama</v>
          </cell>
          <cell r="F781">
            <v>8096278000</v>
          </cell>
          <cell r="G781" t="str">
            <v>Nodin PPK 26 Mei 2026</v>
          </cell>
          <cell r="H781" t="str">
            <v>Makassar</v>
          </cell>
          <cell r="I781" t="str">
            <v>Online</v>
          </cell>
          <cell r="K781" t="str">
            <v>Proses Kontrak (Pokja)</v>
          </cell>
          <cell r="L781">
            <v>81341207077</v>
          </cell>
          <cell r="M781" t="str">
            <v>Hyl</v>
          </cell>
          <cell r="O781" t="str">
            <v>PT. Relis Sapindo Utama</v>
          </cell>
          <cell r="P781" t="str">
            <v>sudah</v>
          </cell>
        </row>
        <row r="782">
          <cell r="D782" t="str">
            <v>Bassiang Timur</v>
          </cell>
          <cell r="E782" t="str">
            <v>PT. Relis Sapindo Utama</v>
          </cell>
          <cell r="F782">
            <v>6414754000</v>
          </cell>
          <cell r="G782" t="str">
            <v>Nodin PPK 4 Juni 2026</v>
          </cell>
          <cell r="H782" t="str">
            <v>Makassar</v>
          </cell>
          <cell r="I782" t="str">
            <v>Online</v>
          </cell>
          <cell r="K782" t="str">
            <v>Proses Kontrak (Pokja)</v>
          </cell>
          <cell r="L782">
            <v>81341207077</v>
          </cell>
          <cell r="M782" t="str">
            <v>Hyl</v>
          </cell>
          <cell r="O782" t="str">
            <v>PT. Relis Sapindo Utama</v>
          </cell>
          <cell r="P782" t="str">
            <v>sudah</v>
          </cell>
        </row>
        <row r="783">
          <cell r="D783" t="str">
            <v>Karang-Karangan</v>
          </cell>
          <cell r="E783" t="str">
            <v>PT. Relis Sapindo Utama</v>
          </cell>
          <cell r="F783">
            <v>7428993000</v>
          </cell>
          <cell r="G783" t="str">
            <v>Nodin PPK 4 Juni 2026</v>
          </cell>
          <cell r="H783" t="str">
            <v>Makassar</v>
          </cell>
          <cell r="I783" t="str">
            <v>Online</v>
          </cell>
          <cell r="K783" t="str">
            <v>Proses Kontrak (Pokja)</v>
          </cell>
          <cell r="L783">
            <v>81341207077</v>
          </cell>
          <cell r="M783" t="str">
            <v>Hyl</v>
          </cell>
          <cell r="O783" t="str">
            <v>PT. Relis Sapindo Utama</v>
          </cell>
          <cell r="P783" t="str">
            <v>sudah</v>
          </cell>
        </row>
        <row r="784">
          <cell r="D784" t="str">
            <v>Padang Kalua</v>
          </cell>
          <cell r="E784" t="str">
            <v>PT. Relis Sapindo Utama</v>
          </cell>
          <cell r="F784">
            <v>9613483000</v>
          </cell>
          <cell r="G784" t="str">
            <v>Nodin PPK 4 Juni 2026</v>
          </cell>
          <cell r="H784" t="str">
            <v>Makassar</v>
          </cell>
          <cell r="I784" t="str">
            <v>Online</v>
          </cell>
          <cell r="K784" t="str">
            <v>Proses Kontrak (Pokja)</v>
          </cell>
          <cell r="L784">
            <v>81341207077</v>
          </cell>
          <cell r="M784" t="str">
            <v>Hyl</v>
          </cell>
          <cell r="O784" t="str">
            <v>PT. Relis Sapindo Utama</v>
          </cell>
          <cell r="P784" t="str">
            <v>sudah</v>
          </cell>
        </row>
        <row r="785">
          <cell r="D785" t="str">
            <v>Tirowali</v>
          </cell>
          <cell r="E785" t="str">
            <v>PT. Relis Sapindo Utama</v>
          </cell>
          <cell r="F785">
            <v>8350616000</v>
          </cell>
          <cell r="G785" t="str">
            <v>Nodin PPK 4 Juni 2026</v>
          </cell>
          <cell r="H785" t="str">
            <v>Makassar</v>
          </cell>
          <cell r="I785" t="str">
            <v>Online</v>
          </cell>
          <cell r="K785" t="str">
            <v>Proses Kontrak (Pokja)</v>
          </cell>
          <cell r="L785">
            <v>81341207077</v>
          </cell>
          <cell r="M785" t="str">
            <v>Hyl</v>
          </cell>
          <cell r="O785" t="str">
            <v>PT. Relis Sapindo Utama</v>
          </cell>
          <cell r="P785" t="str">
            <v>sudah</v>
          </cell>
        </row>
        <row r="786">
          <cell r="D786" t="str">
            <v>To'Bia</v>
          </cell>
          <cell r="E786" t="str">
            <v>PT. Relis Sapindo Utama</v>
          </cell>
          <cell r="F786">
            <v>7488372000</v>
          </cell>
          <cell r="G786" t="str">
            <v>Nodin PPK 4 Juni 2026</v>
          </cell>
          <cell r="H786" t="str">
            <v>Makassar</v>
          </cell>
          <cell r="I786" t="str">
            <v>Online</v>
          </cell>
          <cell r="K786" t="str">
            <v>Proses Kontrak (Pokja)</v>
          </cell>
          <cell r="L786">
            <v>81341207077</v>
          </cell>
          <cell r="M786" t="str">
            <v>Hyl</v>
          </cell>
          <cell r="O786" t="str">
            <v>PT. Relis Sapindo Utama</v>
          </cell>
          <cell r="P786" t="str">
            <v>sudah</v>
          </cell>
        </row>
        <row r="787">
          <cell r="D787" t="str">
            <v>Bulontiyo Barat</v>
          </cell>
          <cell r="E787" t="str">
            <v>CV. THERESIA PUTRI PERMATA</v>
          </cell>
          <cell r="F787">
            <v>4500000000</v>
          </cell>
          <cell r="L787" t="str">
            <v>085930953696/dani theresia</v>
          </cell>
          <cell r="M787" t="str">
            <v>Hyl</v>
          </cell>
          <cell r="O787" t="e">
            <v>#N/A</v>
          </cell>
          <cell r="P787" t="str">
            <v>sudah</v>
          </cell>
        </row>
        <row r="788">
          <cell r="D788" t="str">
            <v>Deme Ii</v>
          </cell>
          <cell r="E788" t="str">
            <v>PT. KARYA PALMALINDO ANUGERAH</v>
          </cell>
          <cell r="F788">
            <v>0</v>
          </cell>
          <cell r="L788" t="str">
            <v>0811946557/sutanto</v>
          </cell>
          <cell r="M788" t="str">
            <v>Hyl</v>
          </cell>
          <cell r="O788" t="e">
            <v>#N/A</v>
          </cell>
          <cell r="P788" t="str">
            <v>sudah</v>
          </cell>
        </row>
        <row r="789">
          <cell r="D789" t="str">
            <v>Hutakalo</v>
          </cell>
          <cell r="E789" t="str">
            <v>CV. THERESIA PUTRI PERMATA</v>
          </cell>
          <cell r="F789">
            <v>0</v>
          </cell>
          <cell r="L789" t="str">
            <v>081380045850/Manutur</v>
          </cell>
          <cell r="M789" t="str">
            <v>Hyl</v>
          </cell>
          <cell r="O789" t="str">
            <v>CV. THERESIA PUTRI PERMATA</v>
          </cell>
          <cell r="P789" t="str">
            <v>sudah</v>
          </cell>
        </row>
        <row r="790">
          <cell r="D790" t="str">
            <v>Kasia</v>
          </cell>
          <cell r="E790" t="str">
            <v>CV. THERESIA PUTRI PERMATA</v>
          </cell>
          <cell r="F790">
            <v>6312774000</v>
          </cell>
          <cell r="L790" t="str">
            <v>081380045850/Manutur</v>
          </cell>
          <cell r="M790" t="str">
            <v>Hyl</v>
          </cell>
          <cell r="O790" t="str">
            <v>CV. THERESIA PUTRI PERMATA</v>
          </cell>
          <cell r="P790" t="str">
            <v>sudah</v>
          </cell>
        </row>
        <row r="791">
          <cell r="D791" t="str">
            <v>Tolinggula Pantai</v>
          </cell>
          <cell r="E791" t="str">
            <v>CV. THERESIA PUTRI PERMATA</v>
          </cell>
          <cell r="F791">
            <v>0</v>
          </cell>
          <cell r="L791" t="str">
            <v>081380045850/Manutur</v>
          </cell>
          <cell r="M791" t="str">
            <v>Hyl</v>
          </cell>
          <cell r="O791" t="e">
            <v>#N/A</v>
          </cell>
          <cell r="P791" t="str">
            <v>sudah</v>
          </cell>
        </row>
        <row r="792">
          <cell r="D792" t="str">
            <v>Mootinelo</v>
          </cell>
          <cell r="E792" t="str">
            <v>CV. Cahaya Firatama</v>
          </cell>
          <cell r="F792">
            <v>4500000000</v>
          </cell>
          <cell r="K792" t="str">
            <v>Proses Kontrak (Pokja)</v>
          </cell>
          <cell r="L792">
            <v>81242648899</v>
          </cell>
          <cell r="M792" t="str">
            <v>Rohmi</v>
          </cell>
          <cell r="O792" t="e">
            <v>#N/A</v>
          </cell>
          <cell r="P792" t="str">
            <v>sudah</v>
          </cell>
        </row>
        <row r="793">
          <cell r="D793" t="str">
            <v>Mopuya</v>
          </cell>
          <cell r="E793" t="str">
            <v>CV. Koperu Sejahtera</v>
          </cell>
          <cell r="F793">
            <v>6312946000</v>
          </cell>
          <cell r="G793" t="str">
            <v>Nodin PPK 8 Juni 2026</v>
          </cell>
          <cell r="K793" t="str">
            <v>Proses Kontrak (Pokja)</v>
          </cell>
          <cell r="L793">
            <v>82353388135</v>
          </cell>
          <cell r="M793" t="str">
            <v>fraksi roem - new</v>
          </cell>
          <cell r="O793" t="e">
            <v>#N/A</v>
          </cell>
          <cell r="P793" t="str">
            <v>sudah</v>
          </cell>
        </row>
        <row r="794">
          <cell r="D794" t="str">
            <v>Bacu</v>
          </cell>
          <cell r="E794" t="str">
            <v>PT. Kamefeda Wijaya Indonesia</v>
          </cell>
          <cell r="F794">
            <v>5395645000</v>
          </cell>
          <cell r="G794" t="str">
            <v>Nodin PPK 29 Mei 2026</v>
          </cell>
          <cell r="H794" t="str">
            <v>Makassar</v>
          </cell>
          <cell r="I794" t="str">
            <v>Online</v>
          </cell>
          <cell r="K794" t="str">
            <v>Proses Kontrak (Pokja)</v>
          </cell>
          <cell r="L794" t="str">
            <v>081241979999/ANDI</v>
          </cell>
          <cell r="M794" t="str">
            <v>TK</v>
          </cell>
          <cell r="O794" t="e">
            <v>#N/A</v>
          </cell>
          <cell r="P794" t="str">
            <v>sudah</v>
          </cell>
        </row>
        <row r="795">
          <cell r="D795" t="str">
            <v>Bulu Bulu</v>
          </cell>
          <cell r="E795" t="str">
            <v>PT. Kamefeda Wijaya Indonesia</v>
          </cell>
          <cell r="F795">
            <v>5390312000</v>
          </cell>
          <cell r="G795" t="str">
            <v>Nodin PPK 29 Mei 2026</v>
          </cell>
          <cell r="H795" t="str">
            <v>Makassar</v>
          </cell>
          <cell r="I795" t="str">
            <v>Online</v>
          </cell>
          <cell r="K795" t="str">
            <v>Proses Kontrak (Pokja)</v>
          </cell>
          <cell r="L795" t="str">
            <v>081241979999/ANDI</v>
          </cell>
          <cell r="M795" t="str">
            <v>TK</v>
          </cell>
          <cell r="O795" t="e">
            <v>#N/A</v>
          </cell>
          <cell r="P795" t="str">
            <v>sudah</v>
          </cell>
        </row>
        <row r="796">
          <cell r="D796" t="str">
            <v>Manera</v>
          </cell>
          <cell r="E796" t="str">
            <v>PT Anugerah Karya Pesona (Kecil)</v>
          </cell>
          <cell r="F796">
            <v>6109870000</v>
          </cell>
          <cell r="H796" t="str">
            <v>Jakarta Barat</v>
          </cell>
          <cell r="L796" t="str">
            <v>082198005353/yacob</v>
          </cell>
          <cell r="M796" t="str">
            <v>R-Ibra Kuningan</v>
          </cell>
          <cell r="O796" t="e">
            <v>#N/A</v>
          </cell>
          <cell r="P796" t="str">
            <v>sudah</v>
          </cell>
        </row>
        <row r="797">
          <cell r="D797" t="str">
            <v>Ujung Salangketo</v>
          </cell>
          <cell r="E797" t="str">
            <v>PT. Kamefeda Wijaya Indonesia</v>
          </cell>
          <cell r="F797">
            <v>7290184000</v>
          </cell>
          <cell r="G797" t="str">
            <v>Nodin PPK 29 Mei 2026</v>
          </cell>
          <cell r="H797" t="str">
            <v>Makassar</v>
          </cell>
          <cell r="I797" t="str">
            <v>Online</v>
          </cell>
          <cell r="K797" t="str">
            <v>Proses Kontrak (Pokja)</v>
          </cell>
          <cell r="L797" t="str">
            <v>081241979999/ANDI</v>
          </cell>
          <cell r="M797" t="str">
            <v>TK</v>
          </cell>
          <cell r="O797" t="e">
            <v>#N/A</v>
          </cell>
          <cell r="P797" t="str">
            <v>sudah</v>
          </cell>
        </row>
        <row r="798">
          <cell r="D798" t="str">
            <v>Pulau Padaelo</v>
          </cell>
          <cell r="E798" t="str">
            <v>PT. Kamefeda Wijaya Indonesia</v>
          </cell>
          <cell r="F798">
            <v>0</v>
          </cell>
          <cell r="L798" t="str">
            <v>081241979999/ANDI</v>
          </cell>
          <cell r="M798" t="str">
            <v>TK</v>
          </cell>
          <cell r="O798" t="e">
            <v>#N/A</v>
          </cell>
          <cell r="P798" t="str">
            <v>Tim baru</v>
          </cell>
        </row>
        <row r="799">
          <cell r="D799" t="str">
            <v>Sanjai</v>
          </cell>
          <cell r="E799" t="str">
            <v>PT. Kamefeda Wijaya Indonesia</v>
          </cell>
          <cell r="F799">
            <v>6359802000</v>
          </cell>
          <cell r="G799" t="str">
            <v>Nodin PPK 29 Mei 2026</v>
          </cell>
          <cell r="H799" t="str">
            <v>Makassar</v>
          </cell>
          <cell r="I799" t="str">
            <v>Online</v>
          </cell>
          <cell r="K799" t="str">
            <v>Proses Kontrak (Pokja)</v>
          </cell>
          <cell r="L799" t="str">
            <v>081241979999/ANDI</v>
          </cell>
          <cell r="M799" t="str">
            <v>TK</v>
          </cell>
          <cell r="O799" t="e">
            <v>#N/A</v>
          </cell>
          <cell r="P799" t="str">
            <v>sudah</v>
          </cell>
        </row>
        <row r="800">
          <cell r="D800" t="str">
            <v>Dudewulo</v>
          </cell>
          <cell r="E800" t="str">
            <v>CV. Khayra Berkah Konstruksindo</v>
          </cell>
          <cell r="F800">
            <v>0</v>
          </cell>
          <cell r="H800" t="str">
            <v>Surabaya</v>
          </cell>
          <cell r="I800" t="str">
            <v>Online</v>
          </cell>
          <cell r="L800" t="str">
            <v>08212178693/khayra</v>
          </cell>
          <cell r="M800" t="str">
            <v>Sekgol-Put</v>
          </cell>
          <cell r="O800" t="e">
            <v>#N/A</v>
          </cell>
          <cell r="P800" t="str">
            <v>sudah</v>
          </cell>
        </row>
        <row r="801">
          <cell r="D801" t="str">
            <v>Lemito</v>
          </cell>
          <cell r="E801" t="str">
            <v>PT. Professional Construction Indonesia (Kecil)</v>
          </cell>
          <cell r="F801">
            <v>0</v>
          </cell>
          <cell r="I801" t="str">
            <v>Online</v>
          </cell>
          <cell r="L801" t="str">
            <v>082190571252/daud</v>
          </cell>
          <cell r="M801" t="str">
            <v>galuh</v>
          </cell>
          <cell r="O801" t="e">
            <v>#N/A</v>
          </cell>
          <cell r="P801" t="str">
            <v>Tim baru</v>
          </cell>
        </row>
        <row r="802">
          <cell r="D802" t="str">
            <v>Milangodaa</v>
          </cell>
          <cell r="E802" t="str">
            <v>CV. Khayra Berkah Konstruksindo</v>
          </cell>
          <cell r="F802">
            <v>0</v>
          </cell>
          <cell r="H802" t="str">
            <v>Surabaya</v>
          </cell>
          <cell r="I802" t="str">
            <v>Online</v>
          </cell>
          <cell r="L802" t="str">
            <v>08212178693/khayra</v>
          </cell>
          <cell r="M802" t="str">
            <v>Sekgol-Put</v>
          </cell>
          <cell r="O802" t="e">
            <v>#N/A</v>
          </cell>
          <cell r="P802" t="str">
            <v>sudah</v>
          </cell>
        </row>
        <row r="803">
          <cell r="D803" t="str">
            <v>Torosiaje Jaya</v>
          </cell>
          <cell r="E803" t="str">
            <v>CV. Khayra Berkah Konstruksindo</v>
          </cell>
          <cell r="F803">
            <v>8053817000</v>
          </cell>
          <cell r="H803" t="str">
            <v>Surabaya</v>
          </cell>
          <cell r="I803" t="str">
            <v>Online</v>
          </cell>
          <cell r="L803" t="str">
            <v>08212178693/khayra</v>
          </cell>
          <cell r="M803" t="str">
            <v>Sekgol-Put</v>
          </cell>
          <cell r="O803" t="e">
            <v>#N/A</v>
          </cell>
          <cell r="P803" t="str">
            <v>sudah</v>
          </cell>
        </row>
        <row r="804">
          <cell r="D804" t="str">
            <v>Wonggarasi Barat</v>
          </cell>
          <cell r="E804" t="str">
            <v>PT. Professional Construction Indonesia (Kecil)</v>
          </cell>
          <cell r="F804">
            <v>3185492000</v>
          </cell>
          <cell r="I804" t="str">
            <v>Online</v>
          </cell>
          <cell r="L804" t="str">
            <v>082190571252/daud</v>
          </cell>
          <cell r="M804" t="str">
            <v>galuh</v>
          </cell>
          <cell r="O804" t="e">
            <v>#N/A</v>
          </cell>
          <cell r="P804" t="str">
            <v>sudah</v>
          </cell>
        </row>
        <row r="805">
          <cell r="D805" t="str">
            <v>Wonggarasi Timur</v>
          </cell>
          <cell r="E805" t="str">
            <v>CV. Khayra Berkah Konstruksindo</v>
          </cell>
          <cell r="F805">
            <v>6312946000</v>
          </cell>
          <cell r="H805" t="str">
            <v>Surabaya</v>
          </cell>
          <cell r="I805" t="str">
            <v>Online</v>
          </cell>
          <cell r="L805" t="str">
            <v>08212178693/khayra</v>
          </cell>
          <cell r="M805" t="str">
            <v>Sekgol-Put</v>
          </cell>
          <cell r="O805" t="e">
            <v>#N/A</v>
          </cell>
          <cell r="P805" t="str">
            <v>sudah</v>
          </cell>
        </row>
        <row r="806">
          <cell r="D806" t="str">
            <v>Lakara</v>
          </cell>
          <cell r="E806" t="str">
            <v>CV. Sangkaropi Mandiri</v>
          </cell>
          <cell r="F806">
            <v>4500000000</v>
          </cell>
          <cell r="H806" t="str">
            <v>Kota Kendari</v>
          </cell>
          <cell r="I806" t="str">
            <v>Offline</v>
          </cell>
          <cell r="L806" t="str">
            <v>085340427609/ferry</v>
          </cell>
          <cell r="M806" t="str">
            <v>Hyl</v>
          </cell>
          <cell r="O806" t="str">
            <v>CV. Sangkaropi Mandiri</v>
          </cell>
          <cell r="P806" t="str">
            <v>sudah</v>
          </cell>
        </row>
        <row r="807">
          <cell r="D807" t="str">
            <v>Torokeku</v>
          </cell>
          <cell r="E807" t="str">
            <v>CV. Sangkaropi Mandiri</v>
          </cell>
          <cell r="F807">
            <v>8231000000</v>
          </cell>
          <cell r="H807" t="str">
            <v>Kota Kendari</v>
          </cell>
          <cell r="I807" t="str">
            <v>Offline</v>
          </cell>
          <cell r="L807" t="str">
            <v>085340427609/ferry</v>
          </cell>
          <cell r="M807" t="str">
            <v>Hyl</v>
          </cell>
          <cell r="O807" t="str">
            <v>CV. Sangkaropi Mandiri</v>
          </cell>
          <cell r="P807" t="str">
            <v>sudah</v>
          </cell>
        </row>
        <row r="808">
          <cell r="D808" t="str">
            <v>Molosipat</v>
          </cell>
          <cell r="E808" t="str">
            <v>CV. Koperu Sejahtera</v>
          </cell>
          <cell r="L808">
            <v>82353388135</v>
          </cell>
          <cell r="M808" t="str">
            <v>fraksi roem - new</v>
          </cell>
          <cell r="O808" t="e">
            <v>#N/A</v>
          </cell>
          <cell r="P808" t="str">
            <v>sudah</v>
          </cell>
        </row>
        <row r="809">
          <cell r="D809" t="str">
            <v>Torosiaje</v>
          </cell>
          <cell r="E809" t="str">
            <v>CV. Dharma Bakti (Kecil)</v>
          </cell>
          <cell r="L809" t="str">
            <v>081241215544/muhidin</v>
          </cell>
          <cell r="M809" t="str">
            <v>Pandu-muhidin</v>
          </cell>
          <cell r="O809" t="e">
            <v>#N/A</v>
          </cell>
          <cell r="P809" t="str">
            <v>sudah</v>
          </cell>
        </row>
        <row r="810">
          <cell r="D810" t="str">
            <v>Celagen</v>
          </cell>
          <cell r="E810" t="str">
            <v>PT. Laksana Aneka Sarana</v>
          </cell>
          <cell r="F810">
            <v>0</v>
          </cell>
          <cell r="I810" t="str">
            <v>Online</v>
          </cell>
          <cell r="L810" t="str">
            <v>08129674773/sidik</v>
          </cell>
          <cell r="M810" t="str">
            <v>Rid-Ongen</v>
          </cell>
          <cell r="O810" t="e">
            <v>#N/A</v>
          </cell>
          <cell r="P810">
            <v>0</v>
          </cell>
        </row>
        <row r="811">
          <cell r="D811" t="str">
            <v>Kepoh</v>
          </cell>
          <cell r="E811" t="str">
            <v>PT. Laksana Aneka Sarana</v>
          </cell>
          <cell r="F811">
            <v>0</v>
          </cell>
          <cell r="I811" t="str">
            <v>Online</v>
          </cell>
          <cell r="L811" t="str">
            <v>08129674773/sidik</v>
          </cell>
          <cell r="M811" t="str">
            <v>Rid-Ongen</v>
          </cell>
          <cell r="O811" t="e">
            <v>#N/A</v>
          </cell>
          <cell r="P811">
            <v>0</v>
          </cell>
        </row>
        <row r="812">
          <cell r="D812" t="str">
            <v>Pasir Putih</v>
          </cell>
          <cell r="E812" t="str">
            <v>PT. Central Tata Bangunan</v>
          </cell>
          <cell r="F812">
            <v>4035223444</v>
          </cell>
          <cell r="M812" t="str">
            <v>V</v>
          </cell>
          <cell r="O812" t="e">
            <v>#N/A</v>
          </cell>
          <cell r="P812" t="str">
            <v>sudah</v>
          </cell>
        </row>
        <row r="813">
          <cell r="D813" t="str">
            <v>Sadai</v>
          </cell>
          <cell r="E813" t="str">
            <v>PT. Laksana Aneka Sarana</v>
          </cell>
          <cell r="F813">
            <v>0</v>
          </cell>
          <cell r="I813" t="str">
            <v>Online</v>
          </cell>
          <cell r="L813" t="str">
            <v>08129674773/sidik</v>
          </cell>
          <cell r="M813" t="str">
            <v>Rid-Ongen</v>
          </cell>
          <cell r="O813" t="e">
            <v>#N/A</v>
          </cell>
          <cell r="P813">
            <v>0</v>
          </cell>
        </row>
        <row r="814">
          <cell r="D814" t="str">
            <v>Serdang</v>
          </cell>
          <cell r="E814" t="str">
            <v>PT. Laksana Aneka Sarana</v>
          </cell>
          <cell r="F814">
            <v>0</v>
          </cell>
          <cell r="I814" t="str">
            <v>Online</v>
          </cell>
          <cell r="L814" t="str">
            <v>08129674773/sidik</v>
          </cell>
          <cell r="M814" t="str">
            <v>Rid-Ongen</v>
          </cell>
          <cell r="O814" t="e">
            <v>#N/A</v>
          </cell>
          <cell r="P814">
            <v>0</v>
          </cell>
        </row>
        <row r="815">
          <cell r="D815" t="str">
            <v>Tanjung Ketapang</v>
          </cell>
          <cell r="E815" t="str">
            <v>PT. Laksana Aneka Sarana</v>
          </cell>
          <cell r="F815">
            <v>0</v>
          </cell>
          <cell r="I815" t="str">
            <v>Online</v>
          </cell>
          <cell r="L815" t="str">
            <v>08129674773/sidik</v>
          </cell>
          <cell r="M815" t="str">
            <v>Rid-Ongen</v>
          </cell>
          <cell r="O815" t="e">
            <v>#N/A</v>
          </cell>
          <cell r="P815">
            <v>0</v>
          </cell>
        </row>
        <row r="816">
          <cell r="D816" t="str">
            <v>Tanjung Sangkar</v>
          </cell>
          <cell r="E816" t="str">
            <v>PT. Laksana Aneka Sarana</v>
          </cell>
          <cell r="F816">
            <v>0</v>
          </cell>
          <cell r="I816" t="str">
            <v>Online</v>
          </cell>
          <cell r="L816" t="str">
            <v>08129674773/sidik</v>
          </cell>
          <cell r="M816" t="str">
            <v>Rid-Ongen</v>
          </cell>
          <cell r="O816" t="e">
            <v>#N/A</v>
          </cell>
          <cell r="P816">
            <v>0</v>
          </cell>
        </row>
        <row r="817">
          <cell r="D817" t="str">
            <v>Tungkal Ii</v>
          </cell>
          <cell r="E817" t="str">
            <v>PT. Indonesia Kerja Nyata</v>
          </cell>
          <cell r="F817">
            <v>0</v>
          </cell>
          <cell r="L817" t="str">
            <v>Yusuf</v>
          </cell>
          <cell r="M817" t="str">
            <v>yusfu-rid</v>
          </cell>
          <cell r="O817" t="e">
            <v>#N/A</v>
          </cell>
          <cell r="P817">
            <v>0</v>
          </cell>
        </row>
        <row r="818">
          <cell r="D818" t="str">
            <v>Batu Limau</v>
          </cell>
          <cell r="E818" t="str">
            <v>PT. Riden Jaya</v>
          </cell>
          <cell r="F818">
            <v>0</v>
          </cell>
          <cell r="L818" t="str">
            <v>081262151541/dani</v>
          </cell>
          <cell r="M818" t="str">
            <v>Usulan Tambahan V</v>
          </cell>
          <cell r="O818" t="e">
            <v>#N/A</v>
          </cell>
          <cell r="P818">
            <v>0</v>
          </cell>
        </row>
        <row r="819">
          <cell r="D819" t="str">
            <v>Teluk Uma</v>
          </cell>
          <cell r="E819" t="str">
            <v>PT. Riden Jaya</v>
          </cell>
          <cell r="F819">
            <v>0</v>
          </cell>
          <cell r="L819" t="str">
            <v>081262151541/dani</v>
          </cell>
          <cell r="M819" t="str">
            <v>Usulan Tambahan V</v>
          </cell>
          <cell r="O819" t="e">
            <v>#N/A</v>
          </cell>
          <cell r="P819">
            <v>0</v>
          </cell>
        </row>
        <row r="820">
          <cell r="D820" t="str">
            <v>Centai</v>
          </cell>
          <cell r="E820" t="str">
            <v>PT. Putra Meranti</v>
          </cell>
          <cell r="F820">
            <v>0</v>
          </cell>
          <cell r="L820" t="str">
            <v>081268231919/efendi saputra</v>
          </cell>
          <cell r="M820" t="str">
            <v>Dedd</v>
          </cell>
          <cell r="O820" t="e">
            <v>#N/A</v>
          </cell>
          <cell r="P820">
            <v>0</v>
          </cell>
        </row>
        <row r="821">
          <cell r="D821" t="str">
            <v>Mekar Sari</v>
          </cell>
          <cell r="E821" t="str">
            <v>PT. Putra Meranti</v>
          </cell>
          <cell r="F821">
            <v>0</v>
          </cell>
          <cell r="L821" t="str">
            <v>081268231919/efendi saputra</v>
          </cell>
          <cell r="M821" t="str">
            <v>Dedd</v>
          </cell>
          <cell r="O821" t="e">
            <v>#N/A</v>
          </cell>
          <cell r="P821">
            <v>0</v>
          </cell>
        </row>
        <row r="822">
          <cell r="D822" t="str">
            <v>Tanah Merah</v>
          </cell>
          <cell r="E822" t="str">
            <v>PT. Putra Meranti</v>
          </cell>
          <cell r="F822">
            <v>4320000000</v>
          </cell>
          <cell r="L822" t="str">
            <v>081268231919/efendi saputra</v>
          </cell>
          <cell r="M822" t="str">
            <v>Dedd</v>
          </cell>
          <cell r="O822" t="e">
            <v>#N/A</v>
          </cell>
          <cell r="P822">
            <v>0</v>
          </cell>
        </row>
        <row r="823">
          <cell r="D823" t="str">
            <v>Teluk</v>
          </cell>
          <cell r="E823" t="str">
            <v>PT. Putra Meranti</v>
          </cell>
          <cell r="F823">
            <v>0</v>
          </cell>
          <cell r="L823" t="str">
            <v>081268231919/efendi saputra</v>
          </cell>
          <cell r="M823" t="str">
            <v>Dedd</v>
          </cell>
          <cell r="O823" t="e">
            <v>#N/A</v>
          </cell>
          <cell r="P823">
            <v>0</v>
          </cell>
        </row>
        <row r="824">
          <cell r="D824" t="str">
            <v>Penyengat</v>
          </cell>
          <cell r="E824" t="str">
            <v>PT. Maringgerang Konstruksi Indonesia</v>
          </cell>
          <cell r="F824">
            <v>0</v>
          </cell>
          <cell r="I824" t="str">
            <v>Offline</v>
          </cell>
          <cell r="O824" t="e">
            <v>#N/A</v>
          </cell>
          <cell r="P824">
            <v>0</v>
          </cell>
        </row>
        <row r="825">
          <cell r="D825" t="str">
            <v>Nanga Embaloh</v>
          </cell>
          <cell r="E825" t="str">
            <v>PT. Abadi Jasa Tama (Menengah)</v>
          </cell>
          <cell r="F825">
            <v>4320000000</v>
          </cell>
          <cell r="H825" t="str">
            <v>Pontianak</v>
          </cell>
          <cell r="I825" t="str">
            <v>Online</v>
          </cell>
          <cell r="O825" t="e">
            <v>#N/A</v>
          </cell>
          <cell r="P825">
            <v>0</v>
          </cell>
        </row>
        <row r="826">
          <cell r="D826" t="str">
            <v>Nanga Leboyan</v>
          </cell>
          <cell r="E826" t="str">
            <v>PT. Abadi Jasa Tama (Menengah)</v>
          </cell>
          <cell r="F826">
            <v>4320000000</v>
          </cell>
          <cell r="H826" t="str">
            <v>Pontianak</v>
          </cell>
          <cell r="I826" t="str">
            <v>Online</v>
          </cell>
          <cell r="O826" t="e">
            <v>#N/A</v>
          </cell>
          <cell r="P826">
            <v>0</v>
          </cell>
        </row>
        <row r="827">
          <cell r="D827" t="str">
            <v>Nibung</v>
          </cell>
          <cell r="E827" t="str">
            <v>PT. Abadi Jasa Tama (Menengah)</v>
          </cell>
          <cell r="F827">
            <v>4567200000</v>
          </cell>
          <cell r="H827" t="str">
            <v>Pontianak</v>
          </cell>
          <cell r="I827" t="str">
            <v>Online</v>
          </cell>
          <cell r="O827" t="e">
            <v>#N/A</v>
          </cell>
          <cell r="P827">
            <v>0</v>
          </cell>
        </row>
        <row r="828">
          <cell r="D828" t="str">
            <v>Seith</v>
          </cell>
          <cell r="F828">
            <v>0</v>
          </cell>
          <cell r="O828" t="e">
            <v>#N/A</v>
          </cell>
          <cell r="P828">
            <v>0</v>
          </cell>
        </row>
        <row r="829">
          <cell r="D829" t="str">
            <v>Wamlana</v>
          </cell>
          <cell r="F829">
            <v>0</v>
          </cell>
          <cell r="O829" t="e">
            <v>#N/A</v>
          </cell>
          <cell r="P829">
            <v>0</v>
          </cell>
        </row>
        <row r="830">
          <cell r="D830" t="str">
            <v>Babokerong</v>
          </cell>
          <cell r="E830" t="str">
            <v>PT. Trisama Sakti Contractor</v>
          </cell>
          <cell r="F830">
            <v>4678000000</v>
          </cell>
          <cell r="M830" t="str">
            <v>fraksi roem</v>
          </cell>
          <cell r="O830" t="e">
            <v>#N/A</v>
          </cell>
          <cell r="P830">
            <v>0</v>
          </cell>
        </row>
        <row r="831">
          <cell r="D831" t="str">
            <v>Balauring</v>
          </cell>
          <cell r="E831" t="str">
            <v>PT. Trisama Sakti Contractor</v>
          </cell>
          <cell r="F831">
            <v>0</v>
          </cell>
          <cell r="M831" t="str">
            <v>fraksi roem</v>
          </cell>
          <cell r="O831" t="e">
            <v>#N/A</v>
          </cell>
          <cell r="P831">
            <v>0</v>
          </cell>
        </row>
        <row r="832">
          <cell r="D832" t="str">
            <v>Lewoleba Tengah</v>
          </cell>
          <cell r="E832" t="str">
            <v>PT. Trisama Sakti Contractor</v>
          </cell>
          <cell r="F832">
            <v>3214500000</v>
          </cell>
          <cell r="M832" t="str">
            <v>fraksi roem</v>
          </cell>
          <cell r="O832" t="e">
            <v>#N/A</v>
          </cell>
          <cell r="P832">
            <v>0</v>
          </cell>
        </row>
        <row r="833">
          <cell r="D833" t="str">
            <v>Pantai Harapan</v>
          </cell>
          <cell r="E833" t="str">
            <v>PT. Trisama Sakti Contractor</v>
          </cell>
          <cell r="F833">
            <v>3214500000</v>
          </cell>
          <cell r="M833" t="str">
            <v>fraksi roem</v>
          </cell>
          <cell r="O833" t="e">
            <v>#N/A</v>
          </cell>
          <cell r="P833">
            <v>0</v>
          </cell>
        </row>
        <row r="834">
          <cell r="D834" t="str">
            <v>Tapolangu</v>
          </cell>
          <cell r="E834" t="str">
            <v>PT. Trisama Sakti Contractor</v>
          </cell>
          <cell r="F834">
            <v>0</v>
          </cell>
          <cell r="M834" t="str">
            <v>fraksi roem</v>
          </cell>
          <cell r="O834" t="e">
            <v>#N/A</v>
          </cell>
          <cell r="P834">
            <v>0</v>
          </cell>
        </row>
        <row r="835">
          <cell r="D835" t="str">
            <v>Wailolong</v>
          </cell>
          <cell r="E835" t="str">
            <v>PT. Trisama Sakti Contractor</v>
          </cell>
          <cell r="F835">
            <v>7342100000</v>
          </cell>
          <cell r="M835" t="str">
            <v>fraksi roem</v>
          </cell>
          <cell r="O835" t="e">
            <v>#N/A</v>
          </cell>
          <cell r="P835">
            <v>0</v>
          </cell>
        </row>
        <row r="836">
          <cell r="D836" t="str">
            <v>Waka</v>
          </cell>
          <cell r="E836" t="str">
            <v>CV. Jawa Mai</v>
          </cell>
          <cell r="F836">
            <v>3214500000</v>
          </cell>
          <cell r="H836" t="str">
            <v>Ende</v>
          </cell>
          <cell r="I836" t="str">
            <v>Online</v>
          </cell>
          <cell r="L836">
            <v>81237969666</v>
          </cell>
          <cell r="M836" t="str">
            <v>Galuh-BIN</v>
          </cell>
          <cell r="O836" t="e">
            <v>#N/A</v>
          </cell>
          <cell r="P836">
            <v>0</v>
          </cell>
        </row>
        <row r="837">
          <cell r="D837" t="str">
            <v>Jayagiri</v>
          </cell>
          <cell r="E837" t="str">
            <v>PT. AMI Kamena Jaya</v>
          </cell>
          <cell r="F837">
            <v>1977014000</v>
          </cell>
          <cell r="H837" t="str">
            <v>Lampung</v>
          </cell>
          <cell r="I837" t="str">
            <v>Online</v>
          </cell>
          <cell r="L837" t="str">
            <v>081210805888/agus tobing</v>
          </cell>
          <cell r="M837" t="str">
            <v>TK - diusulkan ganti penyedia</v>
          </cell>
          <cell r="O837" t="e">
            <v>#N/A</v>
          </cell>
          <cell r="P837" t="str">
            <v>sudah</v>
          </cell>
        </row>
        <row r="838">
          <cell r="D838" t="str">
            <v>Jayapura</v>
          </cell>
          <cell r="E838" t="str">
            <v>PT. AMI Kamena Jaya</v>
          </cell>
          <cell r="F838">
            <v>2252162000</v>
          </cell>
          <cell r="H838" t="str">
            <v>Lampung</v>
          </cell>
          <cell r="I838" t="str">
            <v>Online</v>
          </cell>
          <cell r="L838" t="str">
            <v>081210805888/agus tobing</v>
          </cell>
          <cell r="M838" t="str">
            <v>TK - diusulkan ganti penyedia</v>
          </cell>
          <cell r="O838" t="e">
            <v>#N/A</v>
          </cell>
          <cell r="P838" t="str">
            <v>sudah</v>
          </cell>
        </row>
        <row r="839">
          <cell r="D839" t="str">
            <v>Majiko Tongone</v>
          </cell>
          <cell r="F839">
            <v>0</v>
          </cell>
          <cell r="O839" t="e">
            <v>#N/A</v>
          </cell>
          <cell r="P839">
            <v>0</v>
          </cell>
        </row>
        <row r="840">
          <cell r="D840" t="str">
            <v>Patlean</v>
          </cell>
          <cell r="F840">
            <v>0</v>
          </cell>
          <cell r="O840" t="e">
            <v>#N/A</v>
          </cell>
          <cell r="P840">
            <v>0</v>
          </cell>
        </row>
        <row r="841">
          <cell r="D841" t="str">
            <v>Dama</v>
          </cell>
          <cell r="F841">
            <v>0</v>
          </cell>
          <cell r="O841" t="e">
            <v>#N/A</v>
          </cell>
          <cell r="P841">
            <v>0</v>
          </cell>
        </row>
        <row r="842">
          <cell r="D842" t="str">
            <v>Hoor Kristen</v>
          </cell>
          <cell r="E842" t="str">
            <v>PT. Sapta Manuggal Karya (Menengah)</v>
          </cell>
          <cell r="F842">
            <v>0</v>
          </cell>
          <cell r="O842" t="e">
            <v>#N/A</v>
          </cell>
          <cell r="P842">
            <v>0</v>
          </cell>
        </row>
        <row r="843">
          <cell r="D843" t="str">
            <v>Tamangil Nuhuyanat</v>
          </cell>
          <cell r="E843" t="str">
            <v>PT. Sapta Manuggal Karya (Menengah)</v>
          </cell>
          <cell r="F843">
            <v>0</v>
          </cell>
          <cell r="O843" t="e">
            <v>#N/A</v>
          </cell>
          <cell r="P843">
            <v>0</v>
          </cell>
        </row>
        <row r="844">
          <cell r="D844" t="str">
            <v>Watuar</v>
          </cell>
          <cell r="E844" t="str">
            <v>PT. Sapta Manuggal Karya (Menengah)</v>
          </cell>
          <cell r="F844">
            <v>0</v>
          </cell>
          <cell r="O844" t="e">
            <v>#N/A</v>
          </cell>
          <cell r="P844">
            <v>0</v>
          </cell>
        </row>
        <row r="845">
          <cell r="D845" t="str">
            <v>Harapan</v>
          </cell>
          <cell r="E845" t="str">
            <v>CV. Putra Losa Konstruksi</v>
          </cell>
          <cell r="F845">
            <v>4435225000</v>
          </cell>
          <cell r="G845" t="str">
            <v>Nodin PPK 4 Juni 2026</v>
          </cell>
          <cell r="H845" t="str">
            <v>Toraja</v>
          </cell>
          <cell r="I845" t="str">
            <v>Offline</v>
          </cell>
          <cell r="K845" t="str">
            <v>SPPBJ</v>
          </cell>
          <cell r="M845" t="str">
            <v>Hyl</v>
          </cell>
          <cell r="O845" t="str">
            <v>CV. Putra Losa Konstruksi</v>
          </cell>
          <cell r="P845" t="str">
            <v>sudah</v>
          </cell>
        </row>
        <row r="846">
          <cell r="D846" t="str">
            <v>Lakawali Pantai</v>
          </cell>
          <cell r="E846" t="str">
            <v>CV. Sendana Karya</v>
          </cell>
          <cell r="F846">
            <v>6860687000</v>
          </cell>
          <cell r="G846" t="str">
            <v>Nodin PPK 4 Juni 2026</v>
          </cell>
          <cell r="H846" t="str">
            <v>Makassar</v>
          </cell>
          <cell r="I846" t="str">
            <v>Offline</v>
          </cell>
          <cell r="K846" t="str">
            <v>Proses Kontrak (Pokja)</v>
          </cell>
          <cell r="M846" t="str">
            <v>Hyl</v>
          </cell>
          <cell r="O846" t="str">
            <v>CV. Sendana Karya</v>
          </cell>
          <cell r="P846" t="str">
            <v>sudah</v>
          </cell>
        </row>
        <row r="847">
          <cell r="D847" t="str">
            <v>Pasi-Pasi</v>
          </cell>
          <cell r="E847" t="str">
            <v>CV. Sendana Karya</v>
          </cell>
          <cell r="F847">
            <v>3817779000</v>
          </cell>
          <cell r="G847" t="str">
            <v>Nodin PPK 4 Juni 2026</v>
          </cell>
          <cell r="H847" t="str">
            <v>Makassar</v>
          </cell>
          <cell r="I847" t="str">
            <v>Offline</v>
          </cell>
          <cell r="K847" t="str">
            <v>Proses Kontrak (Pokja)</v>
          </cell>
          <cell r="M847" t="str">
            <v>Hyl</v>
          </cell>
          <cell r="O847" t="str">
            <v>CV. Sendana Karya</v>
          </cell>
          <cell r="P847" t="str">
            <v>sudah</v>
          </cell>
        </row>
        <row r="848">
          <cell r="D848" t="str">
            <v>Wewangriu</v>
          </cell>
          <cell r="E848" t="str">
            <v>CV. Putra Losa Konstruksi</v>
          </cell>
          <cell r="F848">
            <v>8386434000</v>
          </cell>
          <cell r="G848" t="str">
            <v>Nodin PPK 4 Juni 2026</v>
          </cell>
          <cell r="H848" t="str">
            <v>Toraja</v>
          </cell>
          <cell r="I848" t="str">
            <v>Offline</v>
          </cell>
          <cell r="K848" t="str">
            <v>SPPBJ</v>
          </cell>
          <cell r="M848" t="str">
            <v>Hyl</v>
          </cell>
          <cell r="O848" t="str">
            <v>CV. Putra Losa Konstruksi</v>
          </cell>
          <cell r="P848" t="str">
            <v>sudah</v>
          </cell>
        </row>
        <row r="849">
          <cell r="D849" t="str">
            <v>Lawadia</v>
          </cell>
          <cell r="E849" t="str">
            <v>PT. ARCHITA GRAHA INDAH LESTARI</v>
          </cell>
          <cell r="F849">
            <v>4500000000</v>
          </cell>
          <cell r="L849" t="str">
            <v>085211119791/1122yakusa@gmail.com</v>
          </cell>
          <cell r="M849" t="str">
            <v>Jaelani</v>
          </cell>
          <cell r="O849" t="e">
            <v>#N/A</v>
          </cell>
          <cell r="P849" t="str">
            <v>sudah</v>
          </cell>
        </row>
        <row r="850">
          <cell r="D850" t="str">
            <v>Pakue</v>
          </cell>
          <cell r="E850" t="str">
            <v>PT. Tavoo Barakah Nusantara</v>
          </cell>
          <cell r="F850">
            <v>4500000000</v>
          </cell>
          <cell r="H850" t="str">
            <v>Makassar</v>
          </cell>
          <cell r="I850" t="str">
            <v>Offline</v>
          </cell>
          <cell r="L850">
            <v>81341942627</v>
          </cell>
          <cell r="M850" t="str">
            <v>fraksi roem</v>
          </cell>
          <cell r="O850" t="e">
            <v>#N/A</v>
          </cell>
          <cell r="P850" t="str">
            <v>sudah</v>
          </cell>
        </row>
        <row r="851">
          <cell r="D851" t="str">
            <v>Sipakainge</v>
          </cell>
          <cell r="E851" t="str">
            <v>PT. Tavoo Barakah Nusantara</v>
          </cell>
          <cell r="F851">
            <v>4500000000</v>
          </cell>
          <cell r="H851" t="str">
            <v>Makassar</v>
          </cell>
          <cell r="I851" t="str">
            <v>Offline</v>
          </cell>
          <cell r="L851">
            <v>81341942627</v>
          </cell>
          <cell r="M851" t="str">
            <v>fraksi roem</v>
          </cell>
          <cell r="O851" t="e">
            <v>#N/A</v>
          </cell>
          <cell r="P851" t="str">
            <v>sudah</v>
          </cell>
        </row>
        <row r="852">
          <cell r="D852" t="str">
            <v>Kojagete</v>
          </cell>
          <cell r="E852" t="str">
            <v>PT. Kartikasari Manunggal Putra</v>
          </cell>
          <cell r="F852">
            <v>7342100000</v>
          </cell>
          <cell r="O852" t="e">
            <v>#N/A</v>
          </cell>
          <cell r="P852">
            <v>0</v>
          </cell>
        </row>
        <row r="853">
          <cell r="D853" t="str">
            <v>Perumaan</v>
          </cell>
          <cell r="E853" t="str">
            <v>PT. Kartikasari Manunggal Putra</v>
          </cell>
          <cell r="F853">
            <v>0</v>
          </cell>
          <cell r="O853" t="e">
            <v>#N/A</v>
          </cell>
          <cell r="P853">
            <v>0</v>
          </cell>
        </row>
        <row r="854">
          <cell r="D854" t="str">
            <v>Woring</v>
          </cell>
          <cell r="E854" t="str">
            <v>PT. Kartikasari Manunggal Putra</v>
          </cell>
          <cell r="F854" t="e">
            <v>#N/A</v>
          </cell>
          <cell r="O854" t="e">
            <v>#N/A</v>
          </cell>
          <cell r="P854" t="e">
            <v>#N/A</v>
          </cell>
        </row>
        <row r="855">
          <cell r="D855" t="str">
            <v>Watumilo</v>
          </cell>
          <cell r="E855" t="str">
            <v>PT. Kartikasari Manunggal Putra</v>
          </cell>
          <cell r="F855" t="e">
            <v>#N/A</v>
          </cell>
          <cell r="O855" t="e">
            <v>#N/A</v>
          </cell>
          <cell r="P855" t="e">
            <v>#N/A</v>
          </cell>
        </row>
        <row r="856">
          <cell r="D856" t="str">
            <v>Geliting</v>
          </cell>
          <cell r="E856" t="str">
            <v>PT. Kartikasari Manunggal Putra</v>
          </cell>
          <cell r="F856">
            <v>3214500000</v>
          </cell>
          <cell r="O856" t="e">
            <v>#N/A</v>
          </cell>
          <cell r="P856">
            <v>0</v>
          </cell>
        </row>
        <row r="857">
          <cell r="D857" t="str">
            <v>Lowolabu</v>
          </cell>
          <cell r="E857" t="str">
            <v>PT. Kartikasari Manunggal Putra</v>
          </cell>
          <cell r="F857" t="e">
            <v>#N/A</v>
          </cell>
          <cell r="O857" t="e">
            <v>#N/A</v>
          </cell>
          <cell r="P857" t="e">
            <v>#N/A</v>
          </cell>
        </row>
        <row r="858">
          <cell r="D858" t="str">
            <v>Carita</v>
          </cell>
          <cell r="E858" t="str">
            <v>CV. Mirsel</v>
          </cell>
          <cell r="L858" t="str">
            <v>082311097406/dedi</v>
          </cell>
          <cell r="M858" t="str">
            <v>g</v>
          </cell>
        </row>
        <row r="864">
          <cell r="M864" t="str">
            <v>`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1">
          <cell r="E1" t="str">
            <v>KAMPUNG NELAYAN</v>
          </cell>
          <cell r="F1" t="str">
            <v>HASIL PLENO</v>
          </cell>
          <cell r="G1" t="str">
            <v>HPS</v>
          </cell>
          <cell r="H1" t="str">
            <v>PENYEDIA</v>
          </cell>
          <cell r="I1" t="str">
            <v>NOMOR PAKET</v>
          </cell>
          <cell r="J1" t="str">
            <v>NEGOSIASI</v>
          </cell>
          <cell r="K1" t="str">
            <v>PROGRES PAKET</v>
          </cell>
          <cell r="L1" t="str">
            <v>NILAI KONTRAK</v>
          </cell>
        </row>
        <row r="2">
          <cell r="E2" t="str">
            <v>Bonebone</v>
          </cell>
          <cell r="F2" t="str">
            <v>Hub</v>
          </cell>
          <cell r="G2">
            <v>7827365000</v>
          </cell>
          <cell r="H2" t="str">
            <v>SARJIS AGUNG INDRAJAYA</v>
          </cell>
          <cell r="I2">
            <v>1</v>
          </cell>
          <cell r="J2">
            <v>7528941696</v>
          </cell>
          <cell r="K2" t="str">
            <v>KONTRAK</v>
          </cell>
          <cell r="L2">
            <v>7528941696</v>
          </cell>
        </row>
        <row r="3">
          <cell r="E3" t="str">
            <v>Sulaa</v>
          </cell>
          <cell r="F3" t="str">
            <v>Penyangga</v>
          </cell>
          <cell r="G3">
            <v>4478245000</v>
          </cell>
          <cell r="H3" t="str">
            <v>SARJIS AGUNG INDRAJAYA</v>
          </cell>
          <cell r="I3">
            <v>1</v>
          </cell>
          <cell r="J3">
            <v>4449404274</v>
          </cell>
          <cell r="K3" t="str">
            <v>KONTRAK</v>
          </cell>
          <cell r="L3">
            <v>4449404274</v>
          </cell>
        </row>
        <row r="4">
          <cell r="E4" t="str">
            <v>Kaofe</v>
          </cell>
          <cell r="F4" t="str">
            <v>Penyangga</v>
          </cell>
          <cell r="G4">
            <v>3831151000</v>
          </cell>
          <cell r="H4" t="str">
            <v>SARJIS AGUNG INDRAJAYA</v>
          </cell>
          <cell r="I4">
            <v>1</v>
          </cell>
          <cell r="J4">
            <v>3632074332</v>
          </cell>
          <cell r="K4" t="str">
            <v>KONTRAK</v>
          </cell>
          <cell r="L4">
            <v>3632074332</v>
          </cell>
        </row>
        <row r="5">
          <cell r="E5" t="str">
            <v>Boddia</v>
          </cell>
          <cell r="F5" t="str">
            <v>Penyangga</v>
          </cell>
          <cell r="G5">
            <v>4354694000</v>
          </cell>
          <cell r="H5" t="str">
            <v>PT SINAR MOGILOLANG</v>
          </cell>
          <cell r="I5">
            <v>2</v>
          </cell>
          <cell r="J5">
            <v>4297853000</v>
          </cell>
          <cell r="K5" t="str">
            <v>KONTRAK</v>
          </cell>
          <cell r="L5">
            <v>4297853000</v>
          </cell>
        </row>
        <row r="6">
          <cell r="E6" t="str">
            <v>Sampulungan</v>
          </cell>
          <cell r="F6" t="str">
            <v>Penyangga</v>
          </cell>
          <cell r="G6">
            <v>4191083000</v>
          </cell>
          <cell r="H6" t="str">
            <v>PT SINAR MOGILOLANG</v>
          </cell>
          <cell r="I6">
            <v>2</v>
          </cell>
          <cell r="J6">
            <v>4091880000</v>
          </cell>
          <cell r="K6" t="str">
            <v>KONTRAK</v>
          </cell>
          <cell r="L6">
            <v>4091880000</v>
          </cell>
        </row>
        <row r="7">
          <cell r="E7" t="str">
            <v>Topejawa</v>
          </cell>
          <cell r="F7" t="str">
            <v>Penyangga</v>
          </cell>
          <cell r="G7">
            <v>5222018000</v>
          </cell>
          <cell r="H7" t="str">
            <v>PT SINAR MOGILOLANG</v>
          </cell>
          <cell r="I7">
            <v>2</v>
          </cell>
          <cell r="J7">
            <v>5118864000</v>
          </cell>
          <cell r="K7" t="str">
            <v>KONTRAK</v>
          </cell>
          <cell r="L7">
            <v>5118864000</v>
          </cell>
        </row>
        <row r="8">
          <cell r="E8" t="str">
            <v>Bonto Kanang</v>
          </cell>
          <cell r="F8" t="str">
            <v>Penyangga (+cs)</v>
          </cell>
          <cell r="G8">
            <v>4888213000</v>
          </cell>
          <cell r="H8" t="str">
            <v>PT SINAR MOGILOLANG</v>
          </cell>
          <cell r="I8">
            <v>2</v>
          </cell>
          <cell r="J8">
            <v>4841773000</v>
          </cell>
          <cell r="K8" t="str">
            <v>KONTRAK</v>
          </cell>
          <cell r="L8">
            <v>4841773000</v>
          </cell>
        </row>
        <row r="9">
          <cell r="E9" t="str">
            <v>Citemu</v>
          </cell>
          <cell r="F9" t="str">
            <v>Citemu</v>
          </cell>
          <cell r="G9">
            <v>4950042094.6899996</v>
          </cell>
          <cell r="H9" t="str">
            <v>PT. Citra Mutiara Bangun Persada</v>
          </cell>
          <cell r="I9">
            <v>3</v>
          </cell>
          <cell r="J9">
            <v>4651403489.6099997</v>
          </cell>
          <cell r="K9" t="str">
            <v>KONTRAK</v>
          </cell>
          <cell r="L9">
            <v>4651403489.6099997</v>
          </cell>
        </row>
        <row r="10">
          <cell r="E10" t="str">
            <v>Kesenden</v>
          </cell>
          <cell r="F10" t="str">
            <v>Kesenden</v>
          </cell>
          <cell r="G10">
            <v>3003821161.73</v>
          </cell>
          <cell r="H10" t="str">
            <v>PT. Citra Mutiara Bangun Persada</v>
          </cell>
          <cell r="I10">
            <v>3</v>
          </cell>
          <cell r="J10">
            <v>2819148883.8600001</v>
          </cell>
          <cell r="K10" t="str">
            <v>KONTRAK</v>
          </cell>
          <cell r="L10">
            <v>2819148883.8600001</v>
          </cell>
        </row>
        <row r="11">
          <cell r="E11" t="str">
            <v>Mundu Pesisir</v>
          </cell>
          <cell r="F11" t="str">
            <v>Mundu Pesisir</v>
          </cell>
          <cell r="G11">
            <v>2453159791.8200002</v>
          </cell>
          <cell r="H11" t="str">
            <v>PT. Citra Mutiara Bangun Persada</v>
          </cell>
          <cell r="I11">
            <v>3</v>
          </cell>
          <cell r="J11">
            <v>2201565507.8299999</v>
          </cell>
          <cell r="K11" t="str">
            <v>KONTRAK</v>
          </cell>
          <cell r="L11">
            <v>2201565507.8299999</v>
          </cell>
        </row>
        <row r="12">
          <cell r="E12" t="str">
            <v>Pabeanudik</v>
          </cell>
          <cell r="F12" t="str">
            <v>Pabeanudik</v>
          </cell>
          <cell r="G12">
            <v>5716039028.4499998</v>
          </cell>
          <cell r="H12" t="str">
            <v>PT. Citra Mutiara Bangun Persada</v>
          </cell>
          <cell r="I12">
            <v>3</v>
          </cell>
          <cell r="J12">
            <v>5441342966.8000002</v>
          </cell>
          <cell r="K12" t="str">
            <v>KONTRAK</v>
          </cell>
          <cell r="L12">
            <v>5441342966.8000002</v>
          </cell>
        </row>
        <row r="13">
          <cell r="E13" t="str">
            <v>Dadap</v>
          </cell>
          <cell r="F13" t="str">
            <v>Dadap</v>
          </cell>
          <cell r="G13">
            <v>2926880741.3499999</v>
          </cell>
          <cell r="H13" t="str">
            <v>PT. Citra Mutiara Bangun Persada</v>
          </cell>
          <cell r="I13">
            <v>3</v>
          </cell>
          <cell r="J13">
            <v>2628529772.5700002</v>
          </cell>
          <cell r="K13" t="str">
            <v>KONTRAK</v>
          </cell>
          <cell r="L13">
            <v>2628529772.5700002</v>
          </cell>
        </row>
        <row r="14">
          <cell r="E14" t="str">
            <v>Cemara kulon</v>
          </cell>
          <cell r="F14" t="str">
            <v>Cemara kulon</v>
          </cell>
          <cell r="G14">
            <v>2023672890.3699999</v>
          </cell>
          <cell r="H14" t="str">
            <v>PT. Citra Mutiara Bangun Persada</v>
          </cell>
          <cell r="I14">
            <v>3</v>
          </cell>
          <cell r="J14">
            <v>1748330958.71</v>
          </cell>
          <cell r="K14" t="str">
            <v>KONTRAK</v>
          </cell>
          <cell r="L14">
            <v>1748330958.71</v>
          </cell>
        </row>
        <row r="15">
          <cell r="E15" t="str">
            <v>Pareangirang</v>
          </cell>
          <cell r="F15" t="str">
            <v>Pareangirang</v>
          </cell>
          <cell r="G15">
            <v>2473804545.5300002</v>
          </cell>
          <cell r="H15" t="str">
            <v>PT. Citra Mutiara Bangun Persada</v>
          </cell>
          <cell r="I15">
            <v>3</v>
          </cell>
          <cell r="J15">
            <v>2200608552.5</v>
          </cell>
          <cell r="K15" t="str">
            <v>KONTRAK</v>
          </cell>
          <cell r="L15">
            <v>2200608552.5</v>
          </cell>
        </row>
        <row r="16">
          <cell r="E16" t="str">
            <v>Ciparagejaya</v>
          </cell>
          <cell r="F16" t="str">
            <v>Hub</v>
          </cell>
          <cell r="G16">
            <v>6204034652.5200005</v>
          </cell>
          <cell r="H16" t="str">
            <v>PT Medal Cipta Buana</v>
          </cell>
          <cell r="I16">
            <v>4</v>
          </cell>
          <cell r="J16">
            <v>6301046972.3400002</v>
          </cell>
          <cell r="K16" t="str">
            <v>KONTRAK</v>
          </cell>
          <cell r="L16">
            <v>6301046972.3400002</v>
          </cell>
        </row>
        <row r="17">
          <cell r="E17" t="str">
            <v>Sukakerta</v>
          </cell>
          <cell r="F17" t="str">
            <v>Penyangga</v>
          </cell>
          <cell r="G17">
            <v>4241877162.5999999</v>
          </cell>
          <cell r="H17" t="str">
            <v>PT Medal Cipta Buana</v>
          </cell>
          <cell r="I17">
            <v>4</v>
          </cell>
          <cell r="J17">
            <v>3693204172.2600002</v>
          </cell>
          <cell r="K17" t="str">
            <v>KONTRAK</v>
          </cell>
          <cell r="L17">
            <v>3693204172.2600002</v>
          </cell>
        </row>
        <row r="18">
          <cell r="E18" t="str">
            <v>Sungaibuntu</v>
          </cell>
          <cell r="F18" t="str">
            <v>Penyangga</v>
          </cell>
          <cell r="G18">
            <v>4298023433.1499996</v>
          </cell>
          <cell r="H18" t="str">
            <v>PT Medal Cipta Buana</v>
          </cell>
          <cell r="I18">
            <v>4</v>
          </cell>
          <cell r="J18">
            <v>4542684755.79</v>
          </cell>
          <cell r="K18" t="str">
            <v>KONTRAK</v>
          </cell>
          <cell r="L18">
            <v>4542684755.79</v>
          </cell>
        </row>
        <row r="19">
          <cell r="E19" t="str">
            <v>Anggasari</v>
          </cell>
          <cell r="F19" t="str">
            <v>Penyangga</v>
          </cell>
          <cell r="G19">
            <v>2052901703.3399999</v>
          </cell>
          <cell r="H19" t="str">
            <v>PT Medal Cipta Buana</v>
          </cell>
          <cell r="I19">
            <v>5</v>
          </cell>
          <cell r="J19">
            <v>1912565165.9100001</v>
          </cell>
          <cell r="K19" t="str">
            <v>KONTRAK</v>
          </cell>
          <cell r="L19">
            <v>1912565165.9100001</v>
          </cell>
        </row>
        <row r="20">
          <cell r="E20" t="str">
            <v>Rawameneng</v>
          </cell>
          <cell r="F20" t="str">
            <v>Penyangga</v>
          </cell>
          <cell r="G20">
            <v>2499956890.6500001</v>
          </cell>
          <cell r="H20" t="str">
            <v>PT Medal Cipta Buana</v>
          </cell>
          <cell r="I20">
            <v>5</v>
          </cell>
          <cell r="J20">
            <v>2397548541.5100002</v>
          </cell>
          <cell r="K20" t="str">
            <v>KONTRAK</v>
          </cell>
          <cell r="L20">
            <v>2397548541.5100002</v>
          </cell>
        </row>
        <row r="21">
          <cell r="E21" t="str">
            <v>Cikahuripan</v>
          </cell>
          <cell r="F21" t="str">
            <v>Hub</v>
          </cell>
          <cell r="G21">
            <v>4497118393.3900003</v>
          </cell>
          <cell r="H21" t="str">
            <v>PT AMBER HASYA</v>
          </cell>
          <cell r="I21">
            <v>6</v>
          </cell>
          <cell r="J21">
            <v>4686922473.6899996</v>
          </cell>
          <cell r="K21" t="str">
            <v>KONTRAK</v>
          </cell>
          <cell r="L21">
            <v>4686922473.6899996</v>
          </cell>
        </row>
        <row r="22">
          <cell r="E22" t="str">
            <v>Bayah Barat</v>
          </cell>
          <cell r="F22" t="str">
            <v>Penyangga</v>
          </cell>
          <cell r="G22">
            <v>2646089792.9000001</v>
          </cell>
          <cell r="H22" t="str">
            <v>PT AMBER HASYA</v>
          </cell>
          <cell r="I22">
            <v>6</v>
          </cell>
          <cell r="J22">
            <v>2215819319.3099999</v>
          </cell>
          <cell r="K22" t="str">
            <v>KONTRAK</v>
          </cell>
          <cell r="L22">
            <v>2215819319.3099999</v>
          </cell>
        </row>
        <row r="23">
          <cell r="E23" t="str">
            <v>Cireundeu</v>
          </cell>
          <cell r="F23" t="str">
            <v>Penyangga</v>
          </cell>
          <cell r="G23">
            <v>2153024062.77</v>
          </cell>
          <cell r="H23" t="str">
            <v>PT AMBER HASYA</v>
          </cell>
          <cell r="I23">
            <v>6</v>
          </cell>
          <cell r="J23">
            <v>2277232593.4499998</v>
          </cell>
          <cell r="K23" t="str">
            <v>KONTRAK</v>
          </cell>
          <cell r="L23">
            <v>2277232593.4499998</v>
          </cell>
        </row>
        <row r="24">
          <cell r="E24" t="str">
            <v>Darmasari</v>
          </cell>
          <cell r="F24" t="str">
            <v>Penyangga (+cs)</v>
          </cell>
          <cell r="G24">
            <v>3134469855.02</v>
          </cell>
          <cell r="H24" t="str">
            <v>PT AMBER HASYA</v>
          </cell>
          <cell r="I24">
            <v>6</v>
          </cell>
          <cell r="J24">
            <v>3123791540.4299998</v>
          </cell>
          <cell r="K24" t="str">
            <v>KONTRAK</v>
          </cell>
          <cell r="L24">
            <v>3123791540.4299998</v>
          </cell>
        </row>
        <row r="25">
          <cell r="E25" t="str">
            <v>Pasirbaru</v>
          </cell>
          <cell r="F25" t="str">
            <v>Penyangga (+cs)</v>
          </cell>
          <cell r="G25">
            <v>4545363295.6899996</v>
          </cell>
          <cell r="H25" t="str">
            <v>PT AMBER HASYA</v>
          </cell>
          <cell r="I25">
            <v>6</v>
          </cell>
          <cell r="J25">
            <v>4669078010.46</v>
          </cell>
          <cell r="K25" t="str">
            <v>KONTRAK</v>
          </cell>
          <cell r="L25">
            <v>4669078010.46</v>
          </cell>
        </row>
        <row r="26">
          <cell r="E26" t="str">
            <v>Panimbangjaya</v>
          </cell>
          <cell r="F26" t="str">
            <v>Penyangga (+cs)</v>
          </cell>
          <cell r="G26">
            <v>3407597719.3099999</v>
          </cell>
          <cell r="H26" t="str">
            <v>PT AMBER HASYA</v>
          </cell>
          <cell r="I26">
            <v>6</v>
          </cell>
          <cell r="J26">
            <v>2895283393.98</v>
          </cell>
          <cell r="K26" t="str">
            <v>KONTRAK</v>
          </cell>
          <cell r="L26">
            <v>2895283393.98</v>
          </cell>
        </row>
        <row r="27">
          <cell r="E27" t="str">
            <v>Kertamukti</v>
          </cell>
          <cell r="F27" t="str">
            <v>TADA</v>
          </cell>
          <cell r="G27">
            <v>2161504799.8699999</v>
          </cell>
          <cell r="H27" t="str">
            <v>PT AMBER HASYA</v>
          </cell>
          <cell r="I27">
            <v>6</v>
          </cell>
          <cell r="J27">
            <v>1903820019.8099999</v>
          </cell>
          <cell r="K27" t="str">
            <v>KONTRAK</v>
          </cell>
          <cell r="L27">
            <v>1903820019.8099999</v>
          </cell>
        </row>
        <row r="28">
          <cell r="E28" t="str">
            <v>Muara</v>
          </cell>
          <cell r="F28" t="str">
            <v>Penyangga</v>
          </cell>
          <cell r="G28">
            <v>2022076209.1500001</v>
          </cell>
          <cell r="H28" t="str">
            <v>PT AMBER HASYA</v>
          </cell>
          <cell r="I28">
            <v>6</v>
          </cell>
          <cell r="J28">
            <v>2040932480.0999999</v>
          </cell>
          <cell r="K28" t="str">
            <v>KONTRAK</v>
          </cell>
          <cell r="L28">
            <v>2040932480.0999999</v>
          </cell>
        </row>
        <row r="29">
          <cell r="E29" t="str">
            <v>Sumberjaya</v>
          </cell>
          <cell r="F29" t="str">
            <v>Penyangga</v>
          </cell>
          <cell r="G29">
            <v>2264676892.2800002</v>
          </cell>
          <cell r="H29" t="str">
            <v>PT AMBER HASYA</v>
          </cell>
          <cell r="I29">
            <v>6</v>
          </cell>
          <cell r="J29">
            <v>2280791467.6799998</v>
          </cell>
          <cell r="K29" t="str">
            <v>KONTRAK</v>
          </cell>
          <cell r="L29">
            <v>2280791467.6799998</v>
          </cell>
        </row>
        <row r="30">
          <cell r="E30" t="str">
            <v>Sawarna</v>
          </cell>
          <cell r="F30" t="str">
            <v>Penyangga</v>
          </cell>
          <cell r="G30">
            <v>2245292630.3699999</v>
          </cell>
          <cell r="H30" t="str">
            <v>PT AMBER HASYA</v>
          </cell>
          <cell r="I30">
            <v>6</v>
          </cell>
          <cell r="J30">
            <v>2162437522.3200002</v>
          </cell>
          <cell r="K30" t="str">
            <v>KONTRAK</v>
          </cell>
          <cell r="L30">
            <v>2162437522.3200002</v>
          </cell>
        </row>
        <row r="31">
          <cell r="E31" t="str">
            <v>Cikawungading</v>
          </cell>
          <cell r="F31" t="str">
            <v>Penyangga</v>
          </cell>
          <cell r="G31">
            <v>2285732896.1300001</v>
          </cell>
          <cell r="H31" t="str">
            <v>PT LEVIANA ABADI JAYA</v>
          </cell>
          <cell r="I31">
            <v>7</v>
          </cell>
          <cell r="J31">
            <v>2358287000</v>
          </cell>
          <cell r="K31" t="str">
            <v>KONTRAK</v>
          </cell>
          <cell r="L31">
            <v>2358287000</v>
          </cell>
        </row>
        <row r="32">
          <cell r="E32" t="str">
            <v>Legokjawa</v>
          </cell>
          <cell r="F32" t="str">
            <v>Penyangga</v>
          </cell>
          <cell r="G32">
            <v>2942145527.6799998</v>
          </cell>
          <cell r="H32" t="str">
            <v>PT LEVIANA ABADI JAYA</v>
          </cell>
          <cell r="I32">
            <v>7</v>
          </cell>
          <cell r="J32">
            <v>2809591000</v>
          </cell>
          <cell r="K32" t="str">
            <v>KONTRAK</v>
          </cell>
          <cell r="L32">
            <v>2809591000</v>
          </cell>
        </row>
        <row r="33">
          <cell r="E33" t="str">
            <v>Tondonggeu</v>
          </cell>
          <cell r="F33" t="str">
            <v>Penyangga</v>
          </cell>
          <cell r="G33">
            <v>4089708000</v>
          </cell>
          <cell r="H33" t="str">
            <v>UTAMA JAYA PERKASA</v>
          </cell>
          <cell r="I33">
            <v>9</v>
          </cell>
          <cell r="J33">
            <v>4032158146.77</v>
          </cell>
          <cell r="K33" t="str">
            <v>KONTRAK</v>
          </cell>
          <cell r="L33">
            <v>4032158146.77</v>
          </cell>
        </row>
        <row r="34">
          <cell r="E34" t="str">
            <v>Sambuli</v>
          </cell>
          <cell r="F34" t="str">
            <v>Penyangga</v>
          </cell>
          <cell r="G34">
            <v>4222986000</v>
          </cell>
          <cell r="H34" t="str">
            <v>UTAMA JAYA PERKASA</v>
          </cell>
          <cell r="I34">
            <v>9</v>
          </cell>
          <cell r="J34">
            <v>4184127596.3099999</v>
          </cell>
          <cell r="K34" t="str">
            <v>KONTRAK</v>
          </cell>
          <cell r="L34">
            <v>4184127596.3099999</v>
          </cell>
        </row>
        <row r="35">
          <cell r="E35" t="str">
            <v>Puday</v>
          </cell>
          <cell r="F35" t="str">
            <v>Penyangga</v>
          </cell>
          <cell r="G35">
            <v>3662803000</v>
          </cell>
          <cell r="H35" t="str">
            <v>UTAMA JAYA PERKASA</v>
          </cell>
          <cell r="I35">
            <v>9</v>
          </cell>
          <cell r="J35">
            <v>3594702259.4400001</v>
          </cell>
          <cell r="K35" t="str">
            <v>KONTRAK</v>
          </cell>
          <cell r="L35">
            <v>3594702259.4400001</v>
          </cell>
        </row>
        <row r="36">
          <cell r="E36" t="str">
            <v>Bone Pute</v>
          </cell>
          <cell r="F36" t="str">
            <v>Hub</v>
          </cell>
          <cell r="G36">
            <v>8512090000</v>
          </cell>
          <cell r="H36" t="str">
            <v>PT RELIS SAPINDO UTAMA</v>
          </cell>
          <cell r="I36">
            <v>10</v>
          </cell>
          <cell r="J36">
            <v>8084061180</v>
          </cell>
          <cell r="K36" t="str">
            <v>KONTRAK</v>
          </cell>
          <cell r="L36">
            <v>8084061180</v>
          </cell>
        </row>
        <row r="37">
          <cell r="E37" t="str">
            <v>Belopa</v>
          </cell>
          <cell r="F37" t="str">
            <v>Penyangga</v>
          </cell>
          <cell r="G37">
            <v>5223344000</v>
          </cell>
          <cell r="H37" t="str">
            <v>PT RELIS SAPINDO UTAMA</v>
          </cell>
          <cell r="I37">
            <v>10</v>
          </cell>
          <cell r="J37">
            <v>5010383490</v>
          </cell>
          <cell r="K37" t="str">
            <v>KONTRAK</v>
          </cell>
          <cell r="L37">
            <v>5010383490</v>
          </cell>
        </row>
        <row r="38">
          <cell r="E38" t="str">
            <v>Cimpu Utara</v>
          </cell>
          <cell r="F38" t="str">
            <v>Penyangga</v>
          </cell>
          <cell r="G38">
            <v>4967382000</v>
          </cell>
          <cell r="H38" t="str">
            <v>PT RELIS SAPINDO UTAMA</v>
          </cell>
          <cell r="I38">
            <v>10</v>
          </cell>
          <cell r="J38">
            <v>4653915870</v>
          </cell>
          <cell r="K38" t="str">
            <v>KONTRAK</v>
          </cell>
          <cell r="L38">
            <v>4653915870</v>
          </cell>
        </row>
        <row r="39">
          <cell r="E39" t="str">
            <v>Murante</v>
          </cell>
          <cell r="F39" t="str">
            <v>Penyangga</v>
          </cell>
          <cell r="G39">
            <v>4157122000</v>
          </cell>
          <cell r="H39" t="str">
            <v>PT RELIS SAPINDO UTAMA</v>
          </cell>
          <cell r="I39">
            <v>10</v>
          </cell>
          <cell r="J39">
            <v>3855230910</v>
          </cell>
          <cell r="K39" t="str">
            <v>KONTRAK</v>
          </cell>
          <cell r="L39">
            <v>3855230910</v>
          </cell>
        </row>
        <row r="40">
          <cell r="E40" t="str">
            <v>Rantebelu</v>
          </cell>
          <cell r="F40" t="str">
            <v>Penyangga</v>
          </cell>
          <cell r="G40">
            <v>5362014000</v>
          </cell>
          <cell r="H40" t="str">
            <v>PT RELIS SAPINDO UTAMA</v>
          </cell>
          <cell r="I40">
            <v>10</v>
          </cell>
          <cell r="J40">
            <v>4978858380</v>
          </cell>
          <cell r="K40" t="str">
            <v>KONTRAK</v>
          </cell>
          <cell r="L40">
            <v>4978858380</v>
          </cell>
        </row>
        <row r="41">
          <cell r="E41" t="str">
            <v>Bulete</v>
          </cell>
          <cell r="F41" t="str">
            <v>Penyangga</v>
          </cell>
          <cell r="G41">
            <v>3953109000</v>
          </cell>
          <cell r="H41" t="str">
            <v>PT RELIS SAPINDO UTAMA</v>
          </cell>
          <cell r="I41">
            <v>10</v>
          </cell>
          <cell r="J41">
            <v>3814502790</v>
          </cell>
          <cell r="K41" t="str">
            <v>KONTRAK</v>
          </cell>
          <cell r="L41">
            <v>3814502790</v>
          </cell>
        </row>
        <row r="42">
          <cell r="E42" t="str">
            <v>Tirowali</v>
          </cell>
          <cell r="F42" t="str">
            <v>Hub</v>
          </cell>
          <cell r="G42">
            <v>6483914000</v>
          </cell>
          <cell r="H42" t="str">
            <v>PT RELIS SAPINDO UTAMA</v>
          </cell>
          <cell r="I42">
            <v>10</v>
          </cell>
          <cell r="J42">
            <v>6245315100</v>
          </cell>
          <cell r="K42" t="str">
            <v>KONTRAK</v>
          </cell>
          <cell r="L42">
            <v>6245315100</v>
          </cell>
        </row>
        <row r="43">
          <cell r="E43" t="str">
            <v>Karang-Karangan</v>
          </cell>
          <cell r="F43" t="str">
            <v>Penyangga</v>
          </cell>
          <cell r="G43">
            <v>5945294000</v>
          </cell>
          <cell r="H43" t="str">
            <v>PT RELIS SAPINDO UTAMA</v>
          </cell>
          <cell r="I43">
            <v>10</v>
          </cell>
          <cell r="J43">
            <v>5769027420</v>
          </cell>
          <cell r="K43" t="str">
            <v>KONTRAK</v>
          </cell>
          <cell r="L43">
            <v>5769027420</v>
          </cell>
        </row>
        <row r="44">
          <cell r="E44" t="str">
            <v>Padang Kalua</v>
          </cell>
          <cell r="F44" t="str">
            <v>Penyangga</v>
          </cell>
          <cell r="G44">
            <v>4897334000</v>
          </cell>
          <cell r="H44" t="str">
            <v>PT RELIS SAPINDO UTAMA</v>
          </cell>
          <cell r="I44">
            <v>10</v>
          </cell>
          <cell r="J44">
            <v>4663307580</v>
          </cell>
          <cell r="K44" t="str">
            <v>KONTRAK</v>
          </cell>
          <cell r="L44">
            <v>4663307580</v>
          </cell>
        </row>
        <row r="45">
          <cell r="E45" t="str">
            <v>To'Bia</v>
          </cell>
          <cell r="F45" t="str">
            <v>Penyangga</v>
          </cell>
          <cell r="G45">
            <v>4719215000</v>
          </cell>
          <cell r="H45" t="str">
            <v>PT RELIS SAPINDO UTAMA</v>
          </cell>
          <cell r="I45">
            <v>10</v>
          </cell>
          <cell r="J45">
            <v>4627444590</v>
          </cell>
          <cell r="K45" t="str">
            <v>KONTRAK</v>
          </cell>
          <cell r="L45">
            <v>4627444590</v>
          </cell>
        </row>
        <row r="46">
          <cell r="E46" t="str">
            <v>Bassiang Timur</v>
          </cell>
          <cell r="F46" t="str">
            <v>Penyangga</v>
          </cell>
          <cell r="G46">
            <v>4550485000</v>
          </cell>
          <cell r="H46" t="str">
            <v>PT RELIS SAPINDO UTAMA</v>
          </cell>
          <cell r="I46">
            <v>10</v>
          </cell>
          <cell r="J46">
            <v>4486560060</v>
          </cell>
          <cell r="K46" t="str">
            <v>KONTRAK</v>
          </cell>
          <cell r="L46">
            <v>4486560060</v>
          </cell>
        </row>
        <row r="47">
          <cell r="E47" t="str">
            <v>Takkalala</v>
          </cell>
          <cell r="F47" t="str">
            <v>Penyangga</v>
          </cell>
          <cell r="G47">
            <v>5920958016.8100004</v>
          </cell>
          <cell r="H47" t="str">
            <v>PT RELIS SAPINDO UTAMA</v>
          </cell>
          <cell r="I47">
            <v>10</v>
          </cell>
          <cell r="J47">
            <v>5627208270</v>
          </cell>
          <cell r="K47" t="str">
            <v>KONTRAK</v>
          </cell>
          <cell r="L47">
            <v>5627208270</v>
          </cell>
        </row>
        <row r="48">
          <cell r="E48" t="str">
            <v>Mabonta</v>
          </cell>
          <cell r="F48" t="str">
            <v>Penyangga</v>
          </cell>
          <cell r="G48">
            <v>4029560000</v>
          </cell>
          <cell r="H48" t="str">
            <v>PT RELIS SAPINDO UTAMA</v>
          </cell>
          <cell r="I48">
            <v>10</v>
          </cell>
          <cell r="J48">
            <v>3927293220</v>
          </cell>
          <cell r="K48" t="str">
            <v>KONTRAK</v>
          </cell>
          <cell r="L48">
            <v>3927293220</v>
          </cell>
        </row>
        <row r="49">
          <cell r="E49" t="str">
            <v>Burau Pantai</v>
          </cell>
          <cell r="F49" t="str">
            <v>Penyangga</v>
          </cell>
          <cell r="G49">
            <v>2629368000</v>
          </cell>
          <cell r="H49" t="str">
            <v>PT RELIS SAPINDO UTAMA</v>
          </cell>
          <cell r="I49">
            <v>10</v>
          </cell>
          <cell r="J49">
            <v>2572628130</v>
          </cell>
          <cell r="K49" t="str">
            <v>KONTRAK</v>
          </cell>
          <cell r="L49">
            <v>2572628130</v>
          </cell>
        </row>
        <row r="50">
          <cell r="E50" t="str">
            <v>Lampenai</v>
          </cell>
          <cell r="F50" t="str">
            <v>Penyangga</v>
          </cell>
          <cell r="G50">
            <v>3332140000</v>
          </cell>
          <cell r="H50" t="str">
            <v>PT RELIS SAPINDO UTAMA</v>
          </cell>
          <cell r="I50">
            <v>10</v>
          </cell>
          <cell r="J50">
            <v>3236450310</v>
          </cell>
          <cell r="K50" t="str">
            <v>KONTRAK</v>
          </cell>
          <cell r="L50">
            <v>3236450310</v>
          </cell>
        </row>
        <row r="51">
          <cell r="E51" t="str">
            <v>Munte</v>
          </cell>
          <cell r="F51" t="str">
            <v>Hub</v>
          </cell>
          <cell r="G51">
            <v>8310710000</v>
          </cell>
          <cell r="H51" t="str">
            <v>PT RELIS SAPINDO UTAMA</v>
          </cell>
          <cell r="I51">
            <v>10</v>
          </cell>
          <cell r="J51">
            <v>8073147660</v>
          </cell>
          <cell r="K51" t="str">
            <v>KONTRAK</v>
          </cell>
          <cell r="L51">
            <v>8073147660</v>
          </cell>
        </row>
        <row r="52">
          <cell r="E52" t="str">
            <v>Bawalipu</v>
          </cell>
          <cell r="F52" t="str">
            <v>Penyangga</v>
          </cell>
          <cell r="G52">
            <v>2776456000</v>
          </cell>
          <cell r="H52" t="str">
            <v>PT RELIS SAPINDO UTAMA</v>
          </cell>
          <cell r="I52">
            <v>10</v>
          </cell>
          <cell r="J52">
            <v>2681128410</v>
          </cell>
          <cell r="K52" t="str">
            <v>KONTRAK</v>
          </cell>
          <cell r="L52">
            <v>2681128410</v>
          </cell>
        </row>
        <row r="53">
          <cell r="E53" t="str">
            <v>Balo-Balo</v>
          </cell>
          <cell r="F53" t="str">
            <v>Penyangga</v>
          </cell>
          <cell r="G53">
            <v>3864776000</v>
          </cell>
          <cell r="H53" t="str">
            <v>PT RELIS SAPINDO UTAMA</v>
          </cell>
          <cell r="I53">
            <v>10</v>
          </cell>
          <cell r="J53">
            <v>3666286710</v>
          </cell>
          <cell r="K53" t="str">
            <v>KONTRAK</v>
          </cell>
          <cell r="L53">
            <v>3666286710</v>
          </cell>
        </row>
        <row r="54">
          <cell r="E54" t="str">
            <v>Ponjalae</v>
          </cell>
          <cell r="F54" t="str">
            <v>Penyangga</v>
          </cell>
          <cell r="G54">
            <v>4597345000</v>
          </cell>
          <cell r="H54" t="str">
            <v>PT RELIS SAPINDO UTAMA</v>
          </cell>
          <cell r="I54">
            <v>10</v>
          </cell>
          <cell r="J54">
            <v>4381877070</v>
          </cell>
          <cell r="K54" t="str">
            <v>KONTRAK</v>
          </cell>
          <cell r="L54">
            <v>4381877070</v>
          </cell>
        </row>
        <row r="55">
          <cell r="E55" t="str">
            <v>Songka</v>
          </cell>
          <cell r="F55" t="str">
            <v>Penyangga</v>
          </cell>
          <cell r="G55">
            <v>4621897000</v>
          </cell>
          <cell r="H55" t="str">
            <v>PT RELIS SAPINDO UTAMA</v>
          </cell>
          <cell r="I55">
            <v>10</v>
          </cell>
          <cell r="J55">
            <v>4448367180</v>
          </cell>
          <cell r="K55" t="str">
            <v>KONTRAK</v>
          </cell>
          <cell r="L55">
            <v>4448367180</v>
          </cell>
        </row>
        <row r="56">
          <cell r="E56" t="str">
            <v>Lowu-Lowu</v>
          </cell>
          <cell r="F56" t="str">
            <v>Penyangga</v>
          </cell>
          <cell r="G56">
            <v>3956241000</v>
          </cell>
          <cell r="H56" t="str">
            <v>CV MUDABBIR</v>
          </cell>
          <cell r="I56">
            <v>11</v>
          </cell>
          <cell r="J56">
            <v>4003950000</v>
          </cell>
          <cell r="K56" t="str">
            <v>KONTRAK</v>
          </cell>
          <cell r="L56">
            <v>4003950000</v>
          </cell>
        </row>
        <row r="57">
          <cell r="E57" t="str">
            <v>Akkajeng</v>
          </cell>
          <cell r="F57" t="str">
            <v>Penyangga (+cs)</v>
          </cell>
          <cell r="G57">
            <v>4765458000</v>
          </cell>
          <cell r="H57" t="str">
            <v>PT MINA TRANSINDO TOTABUAN</v>
          </cell>
          <cell r="I57">
            <v>12</v>
          </cell>
          <cell r="J57">
            <v>4591437264.0500002</v>
          </cell>
          <cell r="K57" t="str">
            <v>KONTRAK</v>
          </cell>
          <cell r="L57">
            <v>4591437264.0500002</v>
          </cell>
        </row>
        <row r="58">
          <cell r="E58" t="str">
            <v>Pattangngae</v>
          </cell>
          <cell r="F58" t="str">
            <v>Penyangga</v>
          </cell>
          <cell r="G58">
            <v>3603529000</v>
          </cell>
          <cell r="H58" t="str">
            <v>PT MINA TRANSINDO TOTABUAN</v>
          </cell>
          <cell r="I58">
            <v>12</v>
          </cell>
          <cell r="J58">
            <v>3586878349.52</v>
          </cell>
          <cell r="K58" t="str">
            <v>KONTRAK</v>
          </cell>
          <cell r="L58">
            <v>3586878349.52</v>
          </cell>
        </row>
        <row r="59">
          <cell r="E59" t="str">
            <v>Bonto Jai</v>
          </cell>
          <cell r="F59" t="str">
            <v>Penyangga</v>
          </cell>
          <cell r="G59">
            <v>5123916000</v>
          </cell>
          <cell r="H59" t="str">
            <v>PT IFOS SATRIA MAHKOTA</v>
          </cell>
          <cell r="I59">
            <v>13</v>
          </cell>
          <cell r="J59">
            <v>5244348535.1999998</v>
          </cell>
          <cell r="K59" t="str">
            <v>KONTRAK</v>
          </cell>
          <cell r="L59">
            <v>5244348535.1999998</v>
          </cell>
        </row>
        <row r="60">
          <cell r="E60" t="str">
            <v>Pa'Jukukang</v>
          </cell>
          <cell r="F60" t="str">
            <v>Penyangga</v>
          </cell>
          <cell r="G60">
            <v>5460530000</v>
          </cell>
          <cell r="H60" t="str">
            <v>PT IFOS SATRIA MAHKOTA</v>
          </cell>
          <cell r="I60">
            <v>13</v>
          </cell>
          <cell r="J60">
            <v>5496754607.5799999</v>
          </cell>
          <cell r="K60" t="str">
            <v>KONTRAK</v>
          </cell>
          <cell r="L60">
            <v>5496754607.5799999</v>
          </cell>
        </row>
        <row r="61">
          <cell r="E61" t="str">
            <v>Lamalaka</v>
          </cell>
          <cell r="F61" t="str">
            <v>Penyangga (+cs)</v>
          </cell>
          <cell r="G61">
            <v>6733850000</v>
          </cell>
          <cell r="H61" t="str">
            <v>PT IFOS SATRIA MAHKOTA</v>
          </cell>
          <cell r="I61">
            <v>13</v>
          </cell>
          <cell r="J61">
            <v>6948056028.96</v>
          </cell>
          <cell r="K61" t="str">
            <v>KONTRAK</v>
          </cell>
          <cell r="L61">
            <v>6948056028.96</v>
          </cell>
        </row>
        <row r="62">
          <cell r="E62" t="str">
            <v>Bonto Lebang</v>
          </cell>
          <cell r="F62" t="str">
            <v>Penyangga (+cs)</v>
          </cell>
          <cell r="G62">
            <v>8363959000</v>
          </cell>
          <cell r="H62" t="str">
            <v>PT IFOS SATRIA MAHKOTA</v>
          </cell>
          <cell r="I62">
            <v>13</v>
          </cell>
          <cell r="J62">
            <v>7802068007.6700001</v>
          </cell>
          <cell r="K62" t="str">
            <v>KONTRAK</v>
          </cell>
          <cell r="L62">
            <v>7802068007.6700001</v>
          </cell>
        </row>
        <row r="63">
          <cell r="E63" t="str">
            <v>Mattiro Bombang</v>
          </cell>
          <cell r="F63" t="str">
            <v>Penyangga</v>
          </cell>
          <cell r="G63">
            <v>6443154000</v>
          </cell>
          <cell r="H63" t="str">
            <v>BUNAKEN INTI NUSANTARA</v>
          </cell>
          <cell r="I63">
            <v>14</v>
          </cell>
          <cell r="J63">
            <v>5456590000</v>
          </cell>
          <cell r="K63" t="str">
            <v>KONTRAK</v>
          </cell>
          <cell r="L63">
            <v>5456590000</v>
          </cell>
        </row>
        <row r="64">
          <cell r="E64" t="str">
            <v>Tamarupa</v>
          </cell>
          <cell r="F64" t="str">
            <v>Penyangga</v>
          </cell>
          <cell r="G64">
            <v>6732095000</v>
          </cell>
          <cell r="H64" t="str">
            <v>BUNAKEN INTI NUSANTARA</v>
          </cell>
          <cell r="I64">
            <v>14</v>
          </cell>
          <cell r="J64">
            <v>6381102000</v>
          </cell>
          <cell r="K64" t="str">
            <v>KONTRAK</v>
          </cell>
          <cell r="L64">
            <v>6381102000</v>
          </cell>
        </row>
        <row r="65">
          <cell r="E65" t="str">
            <v>Bababulo</v>
          </cell>
          <cell r="F65" t="str">
            <v>Penyangga</v>
          </cell>
          <cell r="G65">
            <v>3491932000</v>
          </cell>
          <cell r="H65" t="str">
            <v>CV. Lion Jaya Mandiri</v>
          </cell>
          <cell r="I65">
            <v>19</v>
          </cell>
          <cell r="J65">
            <v>3408954300</v>
          </cell>
          <cell r="K65" t="str">
            <v>KONTRAK</v>
          </cell>
          <cell r="L65">
            <v>3408954300</v>
          </cell>
        </row>
        <row r="66">
          <cell r="E66" t="str">
            <v>Limbua</v>
          </cell>
          <cell r="F66" t="str">
            <v>Penyangga</v>
          </cell>
          <cell r="G66">
            <v>2095591000</v>
          </cell>
          <cell r="H66" t="str">
            <v>CV. Lion Jaya Mandiri</v>
          </cell>
          <cell r="I66">
            <v>19</v>
          </cell>
          <cell r="J66">
            <v>2042509890</v>
          </cell>
          <cell r="K66" t="str">
            <v>KONTRAK</v>
          </cell>
          <cell r="L66">
            <v>2042509890</v>
          </cell>
        </row>
        <row r="67">
          <cell r="E67" t="str">
            <v>Bonde Utara</v>
          </cell>
          <cell r="F67" t="str">
            <v>Penyangga (+cs)</v>
          </cell>
          <cell r="G67">
            <v>4507851000</v>
          </cell>
          <cell r="H67" t="str">
            <v>CV. Lion Jaya Mandiri</v>
          </cell>
          <cell r="I67">
            <v>19</v>
          </cell>
          <cell r="J67">
            <v>4429988910</v>
          </cell>
          <cell r="K67" t="str">
            <v>KONTRAK</v>
          </cell>
          <cell r="L67">
            <v>4429988910</v>
          </cell>
        </row>
        <row r="68">
          <cell r="E68" t="str">
            <v>Mekkatta Selatan</v>
          </cell>
          <cell r="F68" t="str">
            <v>Penyangga</v>
          </cell>
          <cell r="G68">
            <v>4910372000</v>
          </cell>
          <cell r="H68" t="str">
            <v>CV. Lion Jaya Mandiri</v>
          </cell>
          <cell r="I68">
            <v>20</v>
          </cell>
          <cell r="J68">
            <v>4836126746.7299995</v>
          </cell>
          <cell r="K68" t="str">
            <v>KONTRAK</v>
          </cell>
          <cell r="L68">
            <v>4836126746.7299995</v>
          </cell>
        </row>
        <row r="69">
          <cell r="E69" t="str">
            <v>Tubo Poang</v>
          </cell>
          <cell r="F69" t="str">
            <v>Penyangga</v>
          </cell>
          <cell r="G69">
            <v>5269347000</v>
          </cell>
          <cell r="H69" t="str">
            <v>CV. Lion Jaya Mandiri</v>
          </cell>
          <cell r="I69">
            <v>20</v>
          </cell>
          <cell r="J69">
            <v>5180479653.5699997</v>
          </cell>
          <cell r="K69" t="str">
            <v>KONTRAK</v>
          </cell>
          <cell r="L69">
            <v>5180479653.5699997</v>
          </cell>
        </row>
        <row r="70">
          <cell r="E70" t="str">
            <v>Bontosunggu</v>
          </cell>
          <cell r="F70" t="str">
            <v>Hub</v>
          </cell>
          <cell r="G70">
            <v>4408443879.7399998</v>
          </cell>
          <cell r="H70" t="str">
            <v>PT. Murni Konstruksi Indonesia</v>
          </cell>
          <cell r="I70">
            <v>21</v>
          </cell>
          <cell r="J70">
            <v>4106056000</v>
          </cell>
          <cell r="K70" t="str">
            <v>KONTRAK</v>
          </cell>
          <cell r="L70">
            <v>4106056000</v>
          </cell>
        </row>
        <row r="71">
          <cell r="E71" t="str">
            <v>Bungaiya</v>
          </cell>
          <cell r="F71" t="str">
            <v>Penyangga</v>
          </cell>
          <cell r="G71">
            <v>5651729788.25</v>
          </cell>
          <cell r="H71" t="str">
            <v>PT. Murni Konstruksi Indonesia</v>
          </cell>
          <cell r="I71">
            <v>21</v>
          </cell>
          <cell r="J71">
            <v>5363267000</v>
          </cell>
          <cell r="K71" t="str">
            <v>KONTRAK</v>
          </cell>
          <cell r="L71">
            <v>5363267000</v>
          </cell>
        </row>
        <row r="72">
          <cell r="E72" t="str">
            <v>Lowa</v>
          </cell>
          <cell r="F72" t="str">
            <v>Penyangga</v>
          </cell>
          <cell r="G72">
            <v>6235651127.6000004</v>
          </cell>
          <cell r="H72" t="str">
            <v>PT. Murni Konstruksi Indonesia</v>
          </cell>
          <cell r="I72">
            <v>21</v>
          </cell>
          <cell r="J72">
            <v>6023781000</v>
          </cell>
          <cell r="K72" t="str">
            <v>KONTRAK</v>
          </cell>
          <cell r="L72">
            <v>6023781000</v>
          </cell>
        </row>
        <row r="73">
          <cell r="E73" t="str">
            <v>Buki</v>
          </cell>
          <cell r="F73" t="str">
            <v>Penyangga</v>
          </cell>
          <cell r="G73">
            <v>5380438149.0900002</v>
          </cell>
          <cell r="H73" t="str">
            <v>PT. Murni Konstruksi Indonesia</v>
          </cell>
          <cell r="I73">
            <v>21</v>
          </cell>
          <cell r="J73">
            <v>5076631000</v>
          </cell>
          <cell r="K73" t="str">
            <v>KONTRAK</v>
          </cell>
          <cell r="L73">
            <v>5076631000</v>
          </cell>
        </row>
        <row r="74">
          <cell r="E74" t="str">
            <v>Branta Tinggi</v>
          </cell>
          <cell r="F74" t="str">
            <v>Penyangga</v>
          </cell>
          <cell r="G74">
            <v>2454650000</v>
          </cell>
          <cell r="H74" t="str">
            <v>CV. Rizky Ilahi</v>
          </cell>
          <cell r="I74">
            <v>23</v>
          </cell>
          <cell r="J74">
            <v>2232784000</v>
          </cell>
          <cell r="K74" t="str">
            <v>KONTRAK</v>
          </cell>
          <cell r="L74">
            <v>2232784000</v>
          </cell>
        </row>
        <row r="75">
          <cell r="E75" t="str">
            <v>Dharma Camplong</v>
          </cell>
          <cell r="F75" t="str">
            <v>Penyangga</v>
          </cell>
          <cell r="G75">
            <v>3382248000</v>
          </cell>
          <cell r="H75" t="str">
            <v>CV. Ridho Karya</v>
          </cell>
          <cell r="I75">
            <v>24</v>
          </cell>
          <cell r="J75">
            <v>3179942000</v>
          </cell>
          <cell r="K75" t="str">
            <v>KONTRAK</v>
          </cell>
          <cell r="L75">
            <v>3179942000</v>
          </cell>
        </row>
        <row r="76">
          <cell r="E76" t="str">
            <v>Padelegan</v>
          </cell>
          <cell r="F76" t="str">
            <v>Penyangga</v>
          </cell>
          <cell r="G76">
            <v>2202575000</v>
          </cell>
          <cell r="H76" t="str">
            <v>PT. Ombulindo Multi Karya</v>
          </cell>
          <cell r="I76">
            <v>25</v>
          </cell>
          <cell r="J76">
            <v>2014943000</v>
          </cell>
          <cell r="K76" t="str">
            <v>KONTRAK</v>
          </cell>
          <cell r="L76">
            <v>2014943000</v>
          </cell>
        </row>
        <row r="77">
          <cell r="E77" t="str">
            <v>Wewangriu</v>
          </cell>
          <cell r="F77" t="str">
            <v>Hub</v>
          </cell>
          <cell r="G77">
            <v>7926298056.5799999</v>
          </cell>
          <cell r="H77" t="str">
            <v>CV. Putra Losa Konstruksi</v>
          </cell>
          <cell r="I77">
            <v>29</v>
          </cell>
          <cell r="J77">
            <v>7697089625.5799999</v>
          </cell>
          <cell r="K77" t="str">
            <v>KONTRAK</v>
          </cell>
          <cell r="L77">
            <v>7697089625.5799999</v>
          </cell>
        </row>
        <row r="78">
          <cell r="E78" t="str">
            <v>Harapan</v>
          </cell>
          <cell r="F78" t="str">
            <v>Penyangga</v>
          </cell>
          <cell r="G78">
            <v>4184582733.52</v>
          </cell>
          <cell r="H78" t="str">
            <v>CV. Putra Losa Konstruksi</v>
          </cell>
          <cell r="I78">
            <v>29</v>
          </cell>
          <cell r="J78">
            <v>3982120662.1199999</v>
          </cell>
          <cell r="K78" t="str">
            <v>KONTRAK</v>
          </cell>
          <cell r="L78">
            <v>3982120662.1199999</v>
          </cell>
        </row>
        <row r="79">
          <cell r="E79" t="str">
            <v>Pasi-Pasi</v>
          </cell>
          <cell r="F79" t="str">
            <v>Penyangga</v>
          </cell>
          <cell r="G79">
            <v>3587236421.6599998</v>
          </cell>
          <cell r="H79" t="str">
            <v>CV. Sendana Karya</v>
          </cell>
          <cell r="I79">
            <v>30</v>
          </cell>
          <cell r="J79">
            <v>3480317791.7399998</v>
          </cell>
          <cell r="K79" t="str">
            <v>KONTRAK</v>
          </cell>
          <cell r="L79">
            <v>3480317791.7399998</v>
          </cell>
        </row>
        <row r="80">
          <cell r="E80" t="str">
            <v>Lakawali Pantai</v>
          </cell>
          <cell r="F80" t="str">
            <v>Penyangga</v>
          </cell>
          <cell r="G80">
            <v>6778176606.3599997</v>
          </cell>
          <cell r="H80" t="str">
            <v>CV. Sendana Karya</v>
          </cell>
          <cell r="I80">
            <v>30</v>
          </cell>
          <cell r="J80">
            <v>6578962611.8400002</v>
          </cell>
          <cell r="K80" t="str">
            <v>KONTRAK</v>
          </cell>
          <cell r="L80">
            <v>6578962611.8400002</v>
          </cell>
        </row>
        <row r="81">
          <cell r="E81" t="str">
            <v>Sagara</v>
          </cell>
          <cell r="F81" t="str">
            <v>Penyangga (+cs)</v>
          </cell>
          <cell r="G81">
            <v>3259021874.48</v>
          </cell>
          <cell r="H81" t="str">
            <v>PT. Putra Ogan Cemerlang</v>
          </cell>
          <cell r="I81">
            <v>32</v>
          </cell>
          <cell r="J81">
            <v>3154127608.9000001</v>
          </cell>
          <cell r="K81" t="str">
            <v>KONTRAK</v>
          </cell>
          <cell r="L81">
            <v>3154127608.9000001</v>
          </cell>
        </row>
        <row r="82">
          <cell r="E82" t="str">
            <v>Indralayang</v>
          </cell>
          <cell r="F82" t="str">
            <v>Hub</v>
          </cell>
          <cell r="G82">
            <v>6497691973.8599997</v>
          </cell>
          <cell r="H82" t="str">
            <v>PT. Putra Ogan Cemerlang</v>
          </cell>
          <cell r="I82">
            <v>32</v>
          </cell>
          <cell r="J82">
            <v>6109673852.7700005</v>
          </cell>
          <cell r="K82" t="str">
            <v>KONTRAK</v>
          </cell>
          <cell r="L82">
            <v>6109673852.7700005</v>
          </cell>
        </row>
        <row r="83">
          <cell r="E83" t="str">
            <v>Cijayana</v>
          </cell>
          <cell r="F83" t="str">
            <v>Penyangga</v>
          </cell>
          <cell r="G83">
            <v>4003930800.5700002</v>
          </cell>
          <cell r="H83" t="str">
            <v>PT. Putra Ogan Cemerlang</v>
          </cell>
          <cell r="I83">
            <v>32</v>
          </cell>
          <cell r="J83">
            <v>3985858759.02</v>
          </cell>
          <cell r="K83" t="str">
            <v>KONTRAK</v>
          </cell>
          <cell r="L83">
            <v>3985858759.02</v>
          </cell>
        </row>
        <row r="84">
          <cell r="E84" t="str">
            <v>Argopeni</v>
          </cell>
          <cell r="F84" t="str">
            <v>Penyangga</v>
          </cell>
          <cell r="G84">
            <v>3985949000</v>
          </cell>
          <cell r="H84" t="str">
            <v>PT. Akusara Reksa Mulia</v>
          </cell>
          <cell r="I84">
            <v>33</v>
          </cell>
          <cell r="J84">
            <v>3762076000</v>
          </cell>
          <cell r="K84" t="str">
            <v>KONTRAK</v>
          </cell>
          <cell r="L84">
            <v>3762076000</v>
          </cell>
        </row>
        <row r="85">
          <cell r="E85" t="str">
            <v>Pesisir</v>
          </cell>
          <cell r="F85" t="str">
            <v>Pesisir</v>
          </cell>
          <cell r="G85">
            <v>4322097086.4799995</v>
          </cell>
          <cell r="H85" t="str">
            <v>CV. Tosan</v>
          </cell>
          <cell r="I85">
            <v>40</v>
          </cell>
          <cell r="J85">
            <v>4132828840.8600001</v>
          </cell>
          <cell r="K85" t="str">
            <v>KONTRAK</v>
          </cell>
          <cell r="L85">
            <v>4132828840.8600001</v>
          </cell>
        </row>
        <row r="86">
          <cell r="E86" t="str">
            <v>Wonorejo</v>
          </cell>
          <cell r="F86" t="str">
            <v>Wonorejo</v>
          </cell>
          <cell r="G86">
            <v>2483464420.9000001</v>
          </cell>
          <cell r="H86" t="str">
            <v>CV. Tosan</v>
          </cell>
          <cell r="I86">
            <v>40</v>
          </cell>
          <cell r="J86">
            <v>2372252311.9499998</v>
          </cell>
          <cell r="K86" t="str">
            <v>KONTRAK</v>
          </cell>
          <cell r="L86">
            <v>2372252311.9499998</v>
          </cell>
        </row>
        <row r="87">
          <cell r="E87" t="str">
            <v>Pasar Banggi</v>
          </cell>
          <cell r="F87" t="str">
            <v>Hub</v>
          </cell>
          <cell r="G87">
            <v>6658554505.75</v>
          </cell>
          <cell r="H87" t="str">
            <v>PT. Kurnia Alam Sentosa</v>
          </cell>
          <cell r="I87">
            <v>41</v>
          </cell>
          <cell r="J87">
            <v>6518300567.3000002</v>
          </cell>
          <cell r="K87" t="str">
            <v>KONTRAK</v>
          </cell>
          <cell r="L87">
            <v>6518300567.3000002</v>
          </cell>
        </row>
        <row r="88">
          <cell r="E88" t="str">
            <v>Karangmangu</v>
          </cell>
          <cell r="F88" t="str">
            <v>Penyangga</v>
          </cell>
          <cell r="G88">
            <v>4373766713.6099997</v>
          </cell>
          <cell r="H88" t="str">
            <v>PT. Kurnia Alam Sentosa</v>
          </cell>
          <cell r="I88">
            <v>41</v>
          </cell>
          <cell r="J88">
            <v>4257719141.3200002</v>
          </cell>
          <cell r="K88" t="str">
            <v>KONTRAK</v>
          </cell>
          <cell r="L88">
            <v>4257719141.3200002</v>
          </cell>
        </row>
        <row r="89">
          <cell r="E89" t="str">
            <v>Tambakagung</v>
          </cell>
          <cell r="F89" t="str">
            <v>Penyangga</v>
          </cell>
          <cell r="G89">
            <v>2613033872.3000002</v>
          </cell>
          <cell r="H89" t="str">
            <v>PT. Kurnia Alam Sentosa</v>
          </cell>
          <cell r="I89">
            <v>41</v>
          </cell>
          <cell r="J89">
            <v>2541084639.5100002</v>
          </cell>
          <cell r="K89" t="str">
            <v>KONTRAK</v>
          </cell>
          <cell r="L89">
            <v>2541084639.5100002</v>
          </cell>
        </row>
        <row r="90">
          <cell r="E90" t="str">
            <v>Songbanyu</v>
          </cell>
          <cell r="F90" t="str">
            <v>Hub</v>
          </cell>
          <cell r="G90">
            <v>6533162640.1499996</v>
          </cell>
          <cell r="H90" t="str">
            <v>PT. Kurnia Alam Sentosa</v>
          </cell>
          <cell r="I90">
            <v>41</v>
          </cell>
          <cell r="J90">
            <v>6411877642.3999996</v>
          </cell>
          <cell r="K90" t="str">
            <v>KONTRAK</v>
          </cell>
          <cell r="L90">
            <v>6411877642.3999996</v>
          </cell>
        </row>
        <row r="91">
          <cell r="E91" t="str">
            <v>Banjarejo</v>
          </cell>
          <cell r="F91" t="str">
            <v>Penyangga</v>
          </cell>
          <cell r="G91">
            <v>2762008360.6999998</v>
          </cell>
          <cell r="H91" t="str">
            <v>PT. Kurnia Alam Sentosa</v>
          </cell>
          <cell r="I91">
            <v>41</v>
          </cell>
          <cell r="J91">
            <v>2675594022.6300001</v>
          </cell>
          <cell r="K91" t="str">
            <v>KONTRAK</v>
          </cell>
          <cell r="L91">
            <v>2675594022.6300001</v>
          </cell>
        </row>
        <row r="92">
          <cell r="E92" t="str">
            <v>Kanigoro</v>
          </cell>
          <cell r="F92" t="str">
            <v>Penyangga</v>
          </cell>
          <cell r="G92">
            <v>2721692915.6300001</v>
          </cell>
          <cell r="H92" t="str">
            <v>PT. Kurnia Alam Sentosa</v>
          </cell>
          <cell r="I92">
            <v>41</v>
          </cell>
          <cell r="J92">
            <v>2643337649.3200002</v>
          </cell>
          <cell r="K92" t="str">
            <v>KONTRAK</v>
          </cell>
          <cell r="L92">
            <v>2643337649.3200002</v>
          </cell>
        </row>
        <row r="93">
          <cell r="E93" t="str">
            <v>Kemadang</v>
          </cell>
          <cell r="F93" t="str">
            <v>Penyangga</v>
          </cell>
          <cell r="G93">
            <v>4330546651.4200001</v>
          </cell>
          <cell r="H93" t="str">
            <v>PT. Kurnia Alam Sentosa</v>
          </cell>
          <cell r="I93">
            <v>41</v>
          </cell>
          <cell r="J93">
            <v>4246015437.2800002</v>
          </cell>
          <cell r="K93" t="str">
            <v>KONTRAK</v>
          </cell>
          <cell r="L93">
            <v>4246015437.2800002</v>
          </cell>
        </row>
        <row r="94">
          <cell r="E94" t="str">
            <v>Sidoharjo</v>
          </cell>
          <cell r="F94" t="str">
            <v>Penyangga</v>
          </cell>
          <cell r="G94">
            <v>2867945771.8499999</v>
          </cell>
          <cell r="H94" t="str">
            <v>PT. Kurnia Alam Sentosa</v>
          </cell>
          <cell r="I94">
            <v>41</v>
          </cell>
          <cell r="J94">
            <v>2776672422.1799998</v>
          </cell>
          <cell r="K94" t="str">
            <v>KONTRAK</v>
          </cell>
          <cell r="L94">
            <v>2776672422.1799998</v>
          </cell>
        </row>
        <row r="95">
          <cell r="E95" t="str">
            <v>Sugihwaras</v>
          </cell>
          <cell r="F95" t="str">
            <v>Hub</v>
          </cell>
          <cell r="G95">
            <v>6690194585.1000004</v>
          </cell>
          <cell r="H95" t="str">
            <v>PT. Kurnia Alam Sentosa</v>
          </cell>
          <cell r="I95">
            <v>41</v>
          </cell>
          <cell r="J95">
            <v>6539135191.5900002</v>
          </cell>
          <cell r="K95" t="str">
            <v>KONTRAK</v>
          </cell>
          <cell r="L95">
            <v>6539135191.5900002</v>
          </cell>
        </row>
        <row r="96">
          <cell r="E96" t="str">
            <v>Mojo</v>
          </cell>
          <cell r="F96" t="str">
            <v>Penyangga</v>
          </cell>
          <cell r="G96">
            <v>3211333000</v>
          </cell>
          <cell r="H96" t="str">
            <v>PT. Kurnia Alam Sentosa</v>
          </cell>
          <cell r="I96">
            <v>41</v>
          </cell>
          <cell r="J96">
            <v>3105942861.02</v>
          </cell>
          <cell r="K96" t="str">
            <v>KONTRAK</v>
          </cell>
          <cell r="L96">
            <v>3105942861.02</v>
          </cell>
        </row>
        <row r="97">
          <cell r="E97" t="str">
            <v>Nyamplungsari</v>
          </cell>
          <cell r="F97" t="str">
            <v>Penyangga</v>
          </cell>
          <cell r="G97">
            <v>2774065678.5599999</v>
          </cell>
          <cell r="H97" t="str">
            <v>PT. Kurnia Alam Sentosa</v>
          </cell>
          <cell r="I97">
            <v>41</v>
          </cell>
          <cell r="J97">
            <v>2643970726.8200002</v>
          </cell>
          <cell r="K97" t="str">
            <v>KONTRAK</v>
          </cell>
          <cell r="L97">
            <v>2643970726.8200002</v>
          </cell>
        </row>
        <row r="98">
          <cell r="E98" t="str">
            <v>Tanggulangin</v>
          </cell>
          <cell r="F98" t="str">
            <v>Penyangga</v>
          </cell>
          <cell r="G98">
            <v>2687822000</v>
          </cell>
          <cell r="H98" t="str">
            <v>CV Javanesia</v>
          </cell>
          <cell r="I98">
            <v>43</v>
          </cell>
          <cell r="J98">
            <v>2536149000</v>
          </cell>
          <cell r="K98" t="str">
            <v>KONTRAK</v>
          </cell>
          <cell r="L98">
            <v>2536149000</v>
          </cell>
        </row>
        <row r="99">
          <cell r="E99" t="str">
            <v>Tanjung Laimeo</v>
          </cell>
          <cell r="F99" t="str">
            <v>Hub</v>
          </cell>
          <cell r="G99">
            <v>6131914418.6400003</v>
          </cell>
          <cell r="H99" t="str">
            <v>CV. Sakti Mandiri</v>
          </cell>
          <cell r="I99">
            <v>45</v>
          </cell>
          <cell r="J99">
            <v>5868905000</v>
          </cell>
          <cell r="K99" t="str">
            <v>KONTRAK</v>
          </cell>
          <cell r="L99">
            <v>5868905000</v>
          </cell>
        </row>
        <row r="100">
          <cell r="E100" t="str">
            <v>Ulu Sawa</v>
          </cell>
          <cell r="F100" t="str">
            <v>Penyangga</v>
          </cell>
          <cell r="G100">
            <v>4085556418.8400002</v>
          </cell>
          <cell r="H100" t="str">
            <v>CV. Sakti Mandiri</v>
          </cell>
          <cell r="I100">
            <v>45</v>
          </cell>
          <cell r="J100">
            <v>3841516000</v>
          </cell>
          <cell r="K100" t="str">
            <v>KONTRAK</v>
          </cell>
          <cell r="L100">
            <v>3841516000</v>
          </cell>
        </row>
        <row r="101">
          <cell r="E101" t="str">
            <v>Latawe</v>
          </cell>
          <cell r="F101" t="str">
            <v>Penyangga</v>
          </cell>
          <cell r="G101">
            <v>3588529692.0500002</v>
          </cell>
          <cell r="H101" t="str">
            <v>CV. Lawa Raya</v>
          </cell>
          <cell r="I101">
            <v>49</v>
          </cell>
          <cell r="J101">
            <v>3417181358.71</v>
          </cell>
          <cell r="K101" t="str">
            <v>KONTRAK</v>
          </cell>
          <cell r="L101">
            <v>3417181358.71</v>
          </cell>
        </row>
        <row r="102">
          <cell r="E102" t="str">
            <v>Lasama</v>
          </cell>
          <cell r="F102" t="str">
            <v>Penyangga</v>
          </cell>
          <cell r="G102">
            <v>2917177000</v>
          </cell>
          <cell r="H102" t="str">
            <v>CV. Lawa Raya</v>
          </cell>
          <cell r="I102">
            <v>49</v>
          </cell>
          <cell r="J102">
            <v>2728068734.1399999</v>
          </cell>
          <cell r="K102" t="str">
            <v>KONTRAK</v>
          </cell>
          <cell r="L102">
            <v>2728068734.1399999</v>
          </cell>
        </row>
        <row r="103">
          <cell r="E103" t="str">
            <v>Tondasi</v>
          </cell>
          <cell r="F103" t="str">
            <v>Penyangga</v>
          </cell>
          <cell r="G103">
            <v>3637318352.21</v>
          </cell>
          <cell r="H103" t="str">
            <v>CV. Lawa Raya</v>
          </cell>
          <cell r="I103">
            <v>49</v>
          </cell>
          <cell r="J103">
            <v>3435715938.29</v>
          </cell>
          <cell r="K103" t="str">
            <v>KONTRAK</v>
          </cell>
          <cell r="L103">
            <v>3435715938.29</v>
          </cell>
        </row>
        <row r="104">
          <cell r="E104" t="str">
            <v>Lemahwungkuk</v>
          </cell>
          <cell r="F104" t="str">
            <v>Penyangga</v>
          </cell>
          <cell r="H104" t="str">
            <v>CV. Mekar Jaya</v>
          </cell>
          <cell r="I104">
            <v>50</v>
          </cell>
          <cell r="J104">
            <v>3664313000</v>
          </cell>
          <cell r="K104" t="str">
            <v>KONTRAK</v>
          </cell>
          <cell r="L104">
            <v>3664313000</v>
          </cell>
        </row>
        <row r="105">
          <cell r="E105" t="str">
            <v>Tamit</v>
          </cell>
          <cell r="F105" t="str">
            <v>Hub</v>
          </cell>
          <cell r="H105" t="str">
            <v>PT. Macini Raya Pratama</v>
          </cell>
          <cell r="I105">
            <v>51</v>
          </cell>
          <cell r="J105">
            <v>5639822000</v>
          </cell>
          <cell r="K105" t="str">
            <v>KONTRAK</v>
          </cell>
          <cell r="L105">
            <v>5639822000</v>
          </cell>
        </row>
        <row r="106">
          <cell r="E106" t="str">
            <v>Taat</v>
          </cell>
          <cell r="F106" t="str">
            <v>Penyangga</v>
          </cell>
          <cell r="H106" t="str">
            <v>PT. Macini Raya Pratama</v>
          </cell>
          <cell r="I106">
            <v>51</v>
          </cell>
          <cell r="J106">
            <v>4072870000</v>
          </cell>
          <cell r="K106" t="str">
            <v>KONTRAK</v>
          </cell>
          <cell r="L106">
            <v>4072870000</v>
          </cell>
        </row>
        <row r="107">
          <cell r="E107" t="str">
            <v>Kwalabesar</v>
          </cell>
          <cell r="F107" t="str">
            <v>Penyangga</v>
          </cell>
          <cell r="H107" t="str">
            <v>PT. Macini Raya Pratama</v>
          </cell>
          <cell r="I107">
            <v>51</v>
          </cell>
          <cell r="J107">
            <v>4321260000</v>
          </cell>
          <cell r="K107" t="str">
            <v>KONTRAK</v>
          </cell>
          <cell r="L107">
            <v>4321260000</v>
          </cell>
        </row>
        <row r="108">
          <cell r="E108" t="str">
            <v>Pelawa Baru</v>
          </cell>
          <cell r="F108" t="str">
            <v>Penyangga</v>
          </cell>
          <cell r="H108" t="str">
            <v>CV. Navigasi General Contractor</v>
          </cell>
          <cell r="I108">
            <v>53</v>
          </cell>
          <cell r="J108">
            <v>4239549434.8400002</v>
          </cell>
          <cell r="K108" t="str">
            <v>KONTRAK</v>
          </cell>
          <cell r="L108">
            <v>4239549434.8400002</v>
          </cell>
        </row>
        <row r="109">
          <cell r="E109" t="str">
            <v>Laemanta Utara</v>
          </cell>
          <cell r="F109" t="str">
            <v>Penyangga</v>
          </cell>
          <cell r="H109" t="str">
            <v>CV. Navigasi General Contractor</v>
          </cell>
          <cell r="I109">
            <v>53</v>
          </cell>
          <cell r="J109">
            <v>3981398212.1399999</v>
          </cell>
          <cell r="K109" t="str">
            <v>KONTRAK</v>
          </cell>
          <cell r="L109">
            <v>3981398212.1399999</v>
          </cell>
        </row>
        <row r="110">
          <cell r="E110" t="str">
            <v>Torokeku</v>
          </cell>
          <cell r="F110" t="str">
            <v>Hub</v>
          </cell>
          <cell r="H110" t="str">
            <v>CV. Sangkaropi Mandiri</v>
          </cell>
          <cell r="I110">
            <v>55</v>
          </cell>
          <cell r="J110">
            <v>7419963720</v>
          </cell>
          <cell r="K110" t="str">
            <v>KONTRAK</v>
          </cell>
          <cell r="L110">
            <v>7419963720</v>
          </cell>
        </row>
        <row r="111">
          <cell r="E111" t="str">
            <v>Lakara</v>
          </cell>
          <cell r="F111" t="str">
            <v>Penyangga</v>
          </cell>
          <cell r="H111" t="str">
            <v>CV. Sangkaropi Mandiri</v>
          </cell>
          <cell r="I111">
            <v>55</v>
          </cell>
          <cell r="J111">
            <v>5646881910</v>
          </cell>
          <cell r="K111" t="str">
            <v>KONTRAK</v>
          </cell>
          <cell r="L111">
            <v>5646881910</v>
          </cell>
        </row>
        <row r="112">
          <cell r="E112" t="str">
            <v>Jetak</v>
          </cell>
          <cell r="F112" t="str">
            <v>Penyangga</v>
          </cell>
          <cell r="H112" t="str">
            <v>PT. Gora Cipta Sarana</v>
          </cell>
          <cell r="I112">
            <v>56</v>
          </cell>
          <cell r="J112">
            <v>2467260000</v>
          </cell>
          <cell r="K112" t="str">
            <v>KONTRAK</v>
          </cell>
          <cell r="L112">
            <v>2467260000</v>
          </cell>
        </row>
        <row r="113">
          <cell r="E113" t="str">
            <v>Tubo Selatan</v>
          </cell>
          <cell r="F113" t="str">
            <v>Penyangga</v>
          </cell>
          <cell r="H113" t="str">
            <v>CV. Lion Jaya Mandiri</v>
          </cell>
          <cell r="I113">
            <v>57</v>
          </cell>
          <cell r="J113">
            <v>3680869000</v>
          </cell>
          <cell r="K113" t="str">
            <v>KONTRAK</v>
          </cell>
          <cell r="L113">
            <v>3680869000</v>
          </cell>
        </row>
        <row r="114">
          <cell r="E114" t="str">
            <v>Ujunggenteng</v>
          </cell>
          <cell r="F114" t="str">
            <v>Hub</v>
          </cell>
          <cell r="H114" t="str">
            <v>CV. Ardila</v>
          </cell>
          <cell r="I114">
            <v>58</v>
          </cell>
          <cell r="J114">
            <v>5888343000</v>
          </cell>
          <cell r="K114" t="str">
            <v>KONTRAK</v>
          </cell>
          <cell r="L114">
            <v>5888343000</v>
          </cell>
        </row>
        <row r="115">
          <cell r="E115" t="str">
            <v>Laulalang</v>
          </cell>
          <cell r="F115" t="str">
            <v>Penyangga (+cs)</v>
          </cell>
          <cell r="H115" t="str">
            <v>CV. Fajrin Pratama</v>
          </cell>
          <cell r="I115">
            <v>59</v>
          </cell>
          <cell r="J115">
            <v>5109514000</v>
          </cell>
          <cell r="K115" t="str">
            <v>KONTRAK</v>
          </cell>
          <cell r="L115">
            <v>5109514000</v>
          </cell>
        </row>
        <row r="116">
          <cell r="E116" t="str">
            <v>Boyantongo</v>
          </cell>
          <cell r="H116" t="str">
            <v>CV. Navigasi General Contractror</v>
          </cell>
          <cell r="J116">
            <v>6445202561</v>
          </cell>
          <cell r="K116" t="str">
            <v>KONTRAK</v>
          </cell>
          <cell r="L116">
            <v>6445202561</v>
          </cell>
        </row>
        <row r="117">
          <cell r="E117" t="str">
            <v>Sama Bahari</v>
          </cell>
          <cell r="H117" t="str">
            <v>CV. Navigasi General Contractror</v>
          </cell>
          <cell r="J117">
            <v>4288951227</v>
          </cell>
          <cell r="K117" t="str">
            <v>KONTRAK</v>
          </cell>
          <cell r="L117">
            <v>4288951227</v>
          </cell>
        </row>
        <row r="118">
          <cell r="E118" t="str">
            <v>Sausu Tambu</v>
          </cell>
          <cell r="H118" t="str">
            <v xml:space="preserve">CV. Triga Cipta Abadi </v>
          </cell>
          <cell r="J118">
            <v>4643799567</v>
          </cell>
          <cell r="K118" t="str">
            <v>KONTRAK</v>
          </cell>
          <cell r="L118">
            <v>4643799567</v>
          </cell>
        </row>
        <row r="119">
          <cell r="E119" t="str">
            <v>Tada</v>
          </cell>
          <cell r="H119" t="str">
            <v xml:space="preserve">CV. Triga Cipta Abadi </v>
          </cell>
          <cell r="J119">
            <v>4003390036</v>
          </cell>
          <cell r="K119" t="str">
            <v>KONTRAK</v>
          </cell>
          <cell r="L119">
            <v>4003390036</v>
          </cell>
        </row>
        <row r="120">
          <cell r="E120" t="str">
            <v>Lero</v>
          </cell>
          <cell r="H120" t="str">
            <v>CV. Buana Bahari</v>
          </cell>
          <cell r="J120">
            <v>7628422000</v>
          </cell>
          <cell r="K120" t="str">
            <v>KONTRAK</v>
          </cell>
          <cell r="L120">
            <v>7628422000</v>
          </cell>
        </row>
        <row r="121">
          <cell r="E121" t="str">
            <v>Binanga Karaeng</v>
          </cell>
          <cell r="H121" t="str">
            <v>CV. Buana Bahari</v>
          </cell>
          <cell r="J121">
            <v>5035186448</v>
          </cell>
          <cell r="K121" t="str">
            <v>KONTRAK</v>
          </cell>
          <cell r="L121">
            <v>5035186448</v>
          </cell>
        </row>
        <row r="122">
          <cell r="E122" t="str">
            <v>Kire</v>
          </cell>
          <cell r="H122" t="str">
            <v>CV. Danaztama</v>
          </cell>
          <cell r="J122">
            <v>3879085000</v>
          </cell>
          <cell r="K122" t="str">
            <v>KONTRAK</v>
          </cell>
          <cell r="L122">
            <v>3879085000</v>
          </cell>
        </row>
        <row r="123">
          <cell r="E123" t="str">
            <v>Kambunong</v>
          </cell>
          <cell r="H123" t="str">
            <v>CV. Danaztama</v>
          </cell>
          <cell r="J123">
            <v>4180959000</v>
          </cell>
          <cell r="K123" t="str">
            <v>KONTRAK</v>
          </cell>
          <cell r="L123">
            <v>4180959000</v>
          </cell>
        </row>
        <row r="124">
          <cell r="E124" t="str">
            <v>Rata</v>
          </cell>
          <cell r="H124" t="str">
            <v>PT. Wahana Cipta Barakallaah</v>
          </cell>
          <cell r="J124">
            <v>6739867000</v>
          </cell>
          <cell r="K124" t="str">
            <v>KONTRAK</v>
          </cell>
          <cell r="L124">
            <v>6739867000</v>
          </cell>
        </row>
        <row r="125">
          <cell r="E125" t="str">
            <v>Moilong</v>
          </cell>
          <cell r="H125" t="str">
            <v>PT. Wahana Cipta Barakallaah</v>
          </cell>
          <cell r="J125">
            <v>3198120000</v>
          </cell>
          <cell r="K125" t="str">
            <v>KONTRAK</v>
          </cell>
          <cell r="L125">
            <v>3198120000</v>
          </cell>
        </row>
        <row r="126">
          <cell r="E126" t="str">
            <v>Labone</v>
          </cell>
          <cell r="H126" t="str">
            <v xml:space="preserve">CV. Niscala Indo Raya </v>
          </cell>
          <cell r="J126">
            <v>4229783800</v>
          </cell>
          <cell r="K126" t="str">
            <v>KONTRAK</v>
          </cell>
          <cell r="L126">
            <v>4229783800</v>
          </cell>
        </row>
        <row r="127">
          <cell r="E127" t="str">
            <v>Kedungrejo</v>
          </cell>
          <cell r="F127" t="str">
            <v>Penyangga (+cs)</v>
          </cell>
          <cell r="H127" t="str">
            <v>CV. Megah Makmur Konstruksi</v>
          </cell>
          <cell r="I127">
            <v>60</v>
          </cell>
          <cell r="J127">
            <v>2781044000</v>
          </cell>
          <cell r="K127" t="str">
            <v>KONTRAK</v>
          </cell>
          <cell r="L127">
            <v>2781044000</v>
          </cell>
        </row>
        <row r="128">
          <cell r="E128" t="str">
            <v>Ketapang</v>
          </cell>
          <cell r="F128" t="str">
            <v>Penyangga</v>
          </cell>
          <cell r="H128" t="str">
            <v>CV. Putra Jaya Semesta</v>
          </cell>
          <cell r="I128">
            <v>62</v>
          </cell>
          <cell r="J128">
            <v>2336710000</v>
          </cell>
          <cell r="K128" t="str">
            <v>KONTRAK</v>
          </cell>
          <cell r="L128">
            <v>2336710000</v>
          </cell>
        </row>
        <row r="129">
          <cell r="E129" t="str">
            <v>Tihengo</v>
          </cell>
          <cell r="F129" t="str">
            <v>Penyangga</v>
          </cell>
          <cell r="H129" t="str">
            <v>PT. Nenci Citra Pratama</v>
          </cell>
          <cell r="I129">
            <v>65</v>
          </cell>
          <cell r="J129">
            <v>3796630765.4699998</v>
          </cell>
          <cell r="K129" t="str">
            <v>SPPBJ</v>
          </cell>
          <cell r="L129">
            <v>3796630765.4699998</v>
          </cell>
        </row>
        <row r="130">
          <cell r="E130" t="str">
            <v>Malambe</v>
          </cell>
          <cell r="F130" t="str">
            <v>Penyangga</v>
          </cell>
          <cell r="H130" t="str">
            <v>PT. Nenci Citra Pratama</v>
          </cell>
          <cell r="I130">
            <v>65</v>
          </cell>
          <cell r="J130">
            <v>3835468894.02</v>
          </cell>
          <cell r="K130" t="str">
            <v>SPPBJ</v>
          </cell>
          <cell r="L130">
            <v>3835468894.02</v>
          </cell>
        </row>
        <row r="131">
          <cell r="E131" t="str">
            <v>Bulalo</v>
          </cell>
          <cell r="F131" t="str">
            <v>Penyangga</v>
          </cell>
          <cell r="H131" t="str">
            <v>PT. Nenci Citra Pratama</v>
          </cell>
          <cell r="I131">
            <v>65</v>
          </cell>
          <cell r="J131">
            <v>4053844412.1300001</v>
          </cell>
          <cell r="K131" t="str">
            <v>SPPBJ</v>
          </cell>
          <cell r="L131">
            <v>4053844412.1300001</v>
          </cell>
        </row>
        <row r="132">
          <cell r="E132" t="str">
            <v>Ilodulunga</v>
          </cell>
          <cell r="F132" t="str">
            <v>Penyangga</v>
          </cell>
          <cell r="H132" t="str">
            <v>PT. Nenci Citra Pratama</v>
          </cell>
          <cell r="I132">
            <v>65</v>
          </cell>
          <cell r="J132">
            <v>2949510265.0500002</v>
          </cell>
          <cell r="K132" t="str">
            <v>SPPBJ</v>
          </cell>
          <cell r="L132">
            <v>2949510265.0500002</v>
          </cell>
        </row>
        <row r="133">
          <cell r="E133" t="str">
            <v>Podi</v>
          </cell>
          <cell r="F133" t="str">
            <v>Penyangga</v>
          </cell>
          <cell r="H133" t="str">
            <v>CV. Penggawa Raya</v>
          </cell>
          <cell r="I133">
            <v>72</v>
          </cell>
          <cell r="J133">
            <v>5780711912.5900002</v>
          </cell>
          <cell r="K133" t="str">
            <v>KONTRAK</v>
          </cell>
          <cell r="L133">
            <v>5780711912.5900002</v>
          </cell>
        </row>
        <row r="134">
          <cell r="E134" t="str">
            <v>Tete B</v>
          </cell>
          <cell r="F134" t="str">
            <v>Penyangga</v>
          </cell>
          <cell r="H134" t="str">
            <v>CV. Penggawa Raya</v>
          </cell>
          <cell r="I134">
            <v>72</v>
          </cell>
          <cell r="J134">
            <v>3982982064.3800001</v>
          </cell>
          <cell r="K134" t="str">
            <v>KONTRAK</v>
          </cell>
          <cell r="L134">
            <v>3982982064.3800001</v>
          </cell>
        </row>
        <row r="135">
          <cell r="E135" t="str">
            <v>Tonyaman</v>
          </cell>
          <cell r="H135" t="str">
            <v>CV. Roda</v>
          </cell>
          <cell r="J135">
            <v>4530275000</v>
          </cell>
          <cell r="K135" t="str">
            <v>SPPBJ</v>
          </cell>
          <cell r="L135">
            <v>4530275000</v>
          </cell>
        </row>
        <row r="136">
          <cell r="E136" t="str">
            <v>Tammangalle</v>
          </cell>
          <cell r="H136" t="str">
            <v>CV. Roda</v>
          </cell>
          <cell r="J136">
            <v>3958451000</v>
          </cell>
          <cell r="K136" t="str">
            <v>SPPBJ</v>
          </cell>
          <cell r="L136">
            <v>3958451000</v>
          </cell>
        </row>
        <row r="137">
          <cell r="E137" t="str">
            <v>Bungeng</v>
          </cell>
          <cell r="H137" t="str">
            <v>PT. Piranti Jagad Raya</v>
          </cell>
          <cell r="I137">
            <v>22</v>
          </cell>
          <cell r="J137">
            <v>4555684000</v>
          </cell>
          <cell r="K137" t="str">
            <v>KONTRAK</v>
          </cell>
          <cell r="L137">
            <v>4555684000</v>
          </cell>
        </row>
        <row r="138">
          <cell r="E138" t="str">
            <v>Arungkeke Pallantikang</v>
          </cell>
          <cell r="H138" t="str">
            <v>PT. Piranti Jagad Raya</v>
          </cell>
          <cell r="I138">
            <v>22</v>
          </cell>
          <cell r="J138">
            <v>4148332000</v>
          </cell>
          <cell r="K138" t="str">
            <v>KONTRAK</v>
          </cell>
          <cell r="L138">
            <v>4148332000</v>
          </cell>
        </row>
        <row r="139">
          <cell r="E139" t="str">
            <v>Pabiringa</v>
          </cell>
          <cell r="H139" t="str">
            <v>PT. Piranti Jagad Raya</v>
          </cell>
          <cell r="I139">
            <v>22</v>
          </cell>
          <cell r="J139">
            <v>7702268000</v>
          </cell>
          <cell r="K139" t="str">
            <v>KONTRAK</v>
          </cell>
          <cell r="L139">
            <v>7702268000</v>
          </cell>
        </row>
        <row r="140">
          <cell r="E140" t="str">
            <v>Punagaya</v>
          </cell>
          <cell r="H140" t="str">
            <v>PT. Piranti Jagad Raya</v>
          </cell>
          <cell r="I140">
            <v>22</v>
          </cell>
          <cell r="J140">
            <v>3570169000</v>
          </cell>
          <cell r="K140" t="str">
            <v>KONTRAK</v>
          </cell>
          <cell r="L140">
            <v>3570169000</v>
          </cell>
        </row>
        <row r="141">
          <cell r="E141" t="str">
            <v>Bontorannu</v>
          </cell>
          <cell r="H141" t="str">
            <v>PT. Piranti Jagad Raya</v>
          </cell>
          <cell r="I141">
            <v>22</v>
          </cell>
          <cell r="J141">
            <v>4913718000</v>
          </cell>
          <cell r="K141" t="str">
            <v>KONTRAK</v>
          </cell>
          <cell r="L141">
            <v>4913718000</v>
          </cell>
        </row>
        <row r="142">
          <cell r="E142" t="str">
            <v>Lumpue</v>
          </cell>
          <cell r="H142" t="str">
            <v>CV. Viqry Sanjaya Putra</v>
          </cell>
          <cell r="I142">
            <v>70</v>
          </cell>
          <cell r="J142">
            <v>4324242000</v>
          </cell>
          <cell r="K142" t="str">
            <v>KONTRAK</v>
          </cell>
          <cell r="L142">
            <v>4324242000</v>
          </cell>
        </row>
        <row r="143">
          <cell r="E143" t="str">
            <v>Watang Soreang</v>
          </cell>
          <cell r="H143" t="str">
            <v>CV. Viqry Sanjaya Putra</v>
          </cell>
          <cell r="I143">
            <v>70</v>
          </cell>
          <cell r="J143">
            <v>4265935000</v>
          </cell>
          <cell r="K143" t="str">
            <v>KONTRAK</v>
          </cell>
          <cell r="L143">
            <v>4265935000</v>
          </cell>
        </row>
        <row r="144">
          <cell r="E144" t="str">
            <v>Bacu</v>
          </cell>
          <cell r="H144" t="str">
            <v>PT. Karya Kamefada Wijaya Indonesia</v>
          </cell>
          <cell r="J144">
            <v>4659492000</v>
          </cell>
          <cell r="K144" t="str">
            <v>KONTRAK</v>
          </cell>
          <cell r="L144">
            <v>4659492000</v>
          </cell>
        </row>
        <row r="145">
          <cell r="E145" t="str">
            <v>Sanjai</v>
          </cell>
          <cell r="H145" t="str">
            <v>PT. Karya Kamefada Wijaya Indonesia</v>
          </cell>
          <cell r="J145">
            <v>5864784000</v>
          </cell>
          <cell r="K145" t="str">
            <v>KONTRAK</v>
          </cell>
          <cell r="L145">
            <v>5864784000</v>
          </cell>
        </row>
        <row r="146">
          <cell r="E146" t="str">
            <v>Bulu bulu</v>
          </cell>
          <cell r="H146" t="str">
            <v>PT. Karya Kamefada Wijaya Indonesia</v>
          </cell>
          <cell r="J146">
            <v>4700690000</v>
          </cell>
          <cell r="K146" t="str">
            <v>KONTRAK</v>
          </cell>
          <cell r="L146">
            <v>4700690000</v>
          </cell>
        </row>
        <row r="147">
          <cell r="E147" t="str">
            <v>Ujung Salangketo</v>
          </cell>
          <cell r="H147" t="str">
            <v>PT. Karya Kamefada Wijaya Indonesia</v>
          </cell>
          <cell r="J147">
            <v>5846610000</v>
          </cell>
          <cell r="K147" t="str">
            <v>KONTRAK</v>
          </cell>
          <cell r="L147">
            <v>5846610000</v>
          </cell>
        </row>
        <row r="148">
          <cell r="E148" t="str">
            <v>Lanosangia</v>
          </cell>
          <cell r="H148" t="str">
            <v xml:space="preserve">PT. VTB Jaya Makmur </v>
          </cell>
          <cell r="J148">
            <v>6601919000</v>
          </cell>
          <cell r="K148" t="str">
            <v>SPPBJ</v>
          </cell>
          <cell r="L148">
            <v>6601919000</v>
          </cell>
        </row>
        <row r="149">
          <cell r="E149" t="str">
            <v>Tadang Palie</v>
          </cell>
          <cell r="H149" t="str">
            <v>CV. Buana Bahari</v>
          </cell>
          <cell r="J149">
            <v>4189550480</v>
          </cell>
          <cell r="K149" t="str">
            <v>KONTRAK</v>
          </cell>
          <cell r="L149">
            <v>4189550480</v>
          </cell>
        </row>
        <row r="150">
          <cell r="E150" t="str">
            <v>Pallameang</v>
          </cell>
          <cell r="H150" t="str">
            <v>CV. Buana Bahari</v>
          </cell>
          <cell r="J150">
            <v>4080194292</v>
          </cell>
          <cell r="K150" t="str">
            <v>KONTRAK</v>
          </cell>
          <cell r="L150">
            <v>4080194292</v>
          </cell>
        </row>
        <row r="151">
          <cell r="E151" t="str">
            <v>Tanjung Bunga</v>
          </cell>
          <cell r="H151" t="str">
            <v>CV. SAKTI MANDIRI</v>
          </cell>
          <cell r="J151">
            <v>3356859000</v>
          </cell>
          <cell r="K151" t="str">
            <v>KONTRAK</v>
          </cell>
          <cell r="L151">
            <v>3356859000</v>
          </cell>
        </row>
        <row r="152">
          <cell r="E152" t="str">
            <v>Muara Tinobu</v>
          </cell>
          <cell r="H152" t="str">
            <v>CV. SAKTI MANDIRI</v>
          </cell>
          <cell r="J152">
            <v>4701596000</v>
          </cell>
          <cell r="K152" t="str">
            <v>KONTRAK</v>
          </cell>
          <cell r="L152">
            <v>4701596000</v>
          </cell>
        </row>
        <row r="153">
          <cell r="E153" t="str">
            <v>Muara Sampara</v>
          </cell>
          <cell r="H153" t="str">
            <v>CV. SAKTI MANDIRI</v>
          </cell>
          <cell r="J153">
            <v>4070172000</v>
          </cell>
          <cell r="K153" t="str">
            <v>KONTRAK</v>
          </cell>
          <cell r="L153">
            <v>4070172000</v>
          </cell>
        </row>
        <row r="154">
          <cell r="E154" t="str">
            <v>Tabulo Selatan</v>
          </cell>
          <cell r="F154" t="str">
            <v>Penyangga</v>
          </cell>
          <cell r="H154" t="str">
            <v>CV. Almaliku</v>
          </cell>
          <cell r="J154">
            <v>3863767523.73</v>
          </cell>
          <cell r="K154" t="str">
            <v>KONTRAK</v>
          </cell>
          <cell r="L154">
            <v>3863767523.73</v>
          </cell>
        </row>
        <row r="155">
          <cell r="E155" t="str">
            <v>Bumbulan</v>
          </cell>
          <cell r="F155" t="str">
            <v>Penyangga (+cs)</v>
          </cell>
          <cell r="H155" t="str">
            <v>CV. Almaliku</v>
          </cell>
          <cell r="J155">
            <v>4356363492.4499998</v>
          </cell>
          <cell r="K155" t="str">
            <v>KONTRAK</v>
          </cell>
          <cell r="L155">
            <v>4356363492.4499998</v>
          </cell>
        </row>
        <row r="156">
          <cell r="E156" t="str">
            <v>Bulili</v>
          </cell>
          <cell r="F156" t="str">
            <v>Penyangga</v>
          </cell>
          <cell r="H156" t="str">
            <v>CV. Almaliku</v>
          </cell>
          <cell r="J156">
            <v>4572496021.3500004</v>
          </cell>
          <cell r="K156" t="str">
            <v>KONTRAK</v>
          </cell>
          <cell r="L156">
            <v>4572496021.3500004</v>
          </cell>
        </row>
        <row r="157">
          <cell r="E157" t="str">
            <v>Bulontiyo Barat</v>
          </cell>
          <cell r="F157" t="str">
            <v>Penyangga</v>
          </cell>
          <cell r="H157" t="str">
            <v>CV. Theresia Putri Permata</v>
          </cell>
          <cell r="J157">
            <v>4410784617.96</v>
          </cell>
          <cell r="K157" t="str">
            <v>SPPBJ</v>
          </cell>
          <cell r="L157">
            <v>4410784617.96</v>
          </cell>
        </row>
        <row r="158">
          <cell r="E158" t="str">
            <v>Kasia</v>
          </cell>
          <cell r="F158" t="str">
            <v>Penyangga</v>
          </cell>
          <cell r="H158" t="str">
            <v>CV. Theresia Putri Permata</v>
          </cell>
          <cell r="J158">
            <v>4072431852.75</v>
          </cell>
          <cell r="K158" t="str">
            <v>SPPBJ</v>
          </cell>
          <cell r="L158">
            <v>4072431852.75</v>
          </cell>
        </row>
        <row r="159">
          <cell r="E159" t="str">
            <v>Hutakalo</v>
          </cell>
          <cell r="F159" t="str">
            <v>Penyangga</v>
          </cell>
          <cell r="H159" t="str">
            <v>CV. Theresia Putri Permata</v>
          </cell>
          <cell r="J159">
            <v>4082799662.3400002</v>
          </cell>
          <cell r="K159" t="str">
            <v>SPPBJ</v>
          </cell>
          <cell r="L159">
            <v>4082799662.3400002</v>
          </cell>
        </row>
        <row r="160">
          <cell r="E160" t="str">
            <v>Bubaa</v>
          </cell>
          <cell r="F160" t="str">
            <v>Penyangga</v>
          </cell>
          <cell r="H160" t="str">
            <v>PT. Inovasi Multi Kreasi</v>
          </cell>
          <cell r="J160">
            <v>3600485186.2800002</v>
          </cell>
          <cell r="K160" t="str">
            <v>KONTRAK</v>
          </cell>
          <cell r="L160">
            <v>3600485186.2800002</v>
          </cell>
        </row>
        <row r="161">
          <cell r="E161" t="str">
            <v>Olibu</v>
          </cell>
          <cell r="F161" t="str">
            <v>Penyangga</v>
          </cell>
          <cell r="H161" t="str">
            <v>PT. Inovasi Multi Kreasi</v>
          </cell>
          <cell r="J161">
            <v>2601716768.9099998</v>
          </cell>
          <cell r="K161" t="str">
            <v>KONTRAK</v>
          </cell>
          <cell r="L161">
            <v>2601716768.9099998</v>
          </cell>
        </row>
        <row r="162">
          <cell r="E162" t="str">
            <v>Limbatihu</v>
          </cell>
          <cell r="F162" t="str">
            <v>Penyangga</v>
          </cell>
          <cell r="H162" t="str">
            <v>PT. Inovasi Multi Kreasi</v>
          </cell>
          <cell r="J162">
            <v>3429328207.9200001</v>
          </cell>
          <cell r="K162" t="str">
            <v>KONTRAK</v>
          </cell>
          <cell r="L162">
            <v>3429328207.9200001</v>
          </cell>
        </row>
        <row r="163">
          <cell r="E163" t="str">
            <v>Tapuhahi</v>
          </cell>
          <cell r="H163" t="str">
            <v>CV. RADHIKA PRATAMA</v>
          </cell>
          <cell r="J163">
            <v>3667311000</v>
          </cell>
          <cell r="K163" t="str">
            <v>KONTRAK</v>
          </cell>
          <cell r="L163">
            <v>3667311000</v>
          </cell>
        </row>
        <row r="164">
          <cell r="E164" t="str">
            <v>Bilato</v>
          </cell>
          <cell r="H164" t="str">
            <v>PT. Kelman Infra Perkasa</v>
          </cell>
          <cell r="J164">
            <v>3631025680</v>
          </cell>
          <cell r="K164" t="str">
            <v>SPPBJ</v>
          </cell>
          <cell r="L164">
            <v>3631025680</v>
          </cell>
        </row>
        <row r="165">
          <cell r="E165" t="str">
            <v>Patoameme</v>
          </cell>
          <cell r="H165" t="str">
            <v>PT. Kelman Infra Perkasa</v>
          </cell>
          <cell r="J165">
            <v>3631780063.4099998</v>
          </cell>
          <cell r="K165" t="str">
            <v>SPPBJ</v>
          </cell>
          <cell r="L165">
            <v>3631780063.4099998</v>
          </cell>
        </row>
        <row r="166">
          <cell r="E166" t="str">
            <v>Tabongo</v>
          </cell>
          <cell r="H166" t="str">
            <v>PT. Kelman Infra Perkasa</v>
          </cell>
          <cell r="J166">
            <v>3758683649.46</v>
          </cell>
          <cell r="K166" t="str">
            <v>SPPBJ</v>
          </cell>
          <cell r="L166">
            <v>3758683649.46</v>
          </cell>
        </row>
        <row r="167">
          <cell r="E167" t="str">
            <v>Girisa</v>
          </cell>
          <cell r="H167" t="str">
            <v>PT. Kelman Infra Perkasa</v>
          </cell>
          <cell r="J167">
            <v>3426511000</v>
          </cell>
          <cell r="K167" t="str">
            <v>SPPBJ</v>
          </cell>
          <cell r="L167">
            <v>3426511000</v>
          </cell>
        </row>
        <row r="168">
          <cell r="E168" t="str">
            <v>Pasongsongan</v>
          </cell>
          <cell r="H168" t="str">
            <v xml:space="preserve">PT. Lancarjaya Karya Abadi Group </v>
          </cell>
          <cell r="J168">
            <v>2263622000</v>
          </cell>
          <cell r="K168" t="str">
            <v>SPPBJ</v>
          </cell>
          <cell r="L168">
            <v>2263622000</v>
          </cell>
        </row>
        <row r="169">
          <cell r="E169" t="str">
            <v>Slopeng</v>
          </cell>
          <cell r="H169" t="str">
            <v xml:space="preserve">PT. Lancarjaya Karya Abadi Group </v>
          </cell>
          <cell r="J169">
            <v>2374160000</v>
          </cell>
          <cell r="K169" t="str">
            <v>SPPBJ</v>
          </cell>
          <cell r="L169">
            <v>2374160000</v>
          </cell>
        </row>
        <row r="170">
          <cell r="E170" t="str">
            <v>Hakatutobu</v>
          </cell>
          <cell r="F170" t="str">
            <v>Penyangga</v>
          </cell>
          <cell r="H170" t="str">
            <v xml:space="preserve">PT. Archita Graha Indah Lestari </v>
          </cell>
          <cell r="J170">
            <v>5154691564.3699999</v>
          </cell>
          <cell r="K170" t="str">
            <v>KONTRAK</v>
          </cell>
          <cell r="L170">
            <v>5154691564.3699999</v>
          </cell>
        </row>
        <row r="171">
          <cell r="E171" t="str">
            <v>Tambea</v>
          </cell>
          <cell r="F171" t="str">
            <v>Penyangga</v>
          </cell>
          <cell r="H171" t="str">
            <v xml:space="preserve">PT. Archita Graha Indah Lestari </v>
          </cell>
          <cell r="J171">
            <v>4237812041.9099998</v>
          </cell>
          <cell r="K171" t="str">
            <v>KONTRAK</v>
          </cell>
          <cell r="L171">
            <v>4237812041.9099998</v>
          </cell>
        </row>
        <row r="172">
          <cell r="E172" t="str">
            <v>Iwoimendaa</v>
          </cell>
          <cell r="F172" t="str">
            <v>Penyangga</v>
          </cell>
          <cell r="H172" t="str">
            <v xml:space="preserve">PT. Archita Graha Indah Lestari </v>
          </cell>
          <cell r="J172">
            <v>4401382341.8599997</v>
          </cell>
          <cell r="K172" t="str">
            <v>KONTRAK</v>
          </cell>
          <cell r="L172">
            <v>4401382341.8599997</v>
          </cell>
        </row>
        <row r="173">
          <cell r="E173" t="str">
            <v>Wolo</v>
          </cell>
          <cell r="F173" t="str">
            <v>Penyangga</v>
          </cell>
          <cell r="H173" t="str">
            <v xml:space="preserve">PT. Archita Graha Indah Lestari </v>
          </cell>
          <cell r="J173">
            <v>3955258089.3000002</v>
          </cell>
          <cell r="K173" t="str">
            <v>KONTRAK</v>
          </cell>
          <cell r="L173">
            <v>3955258089.3000002</v>
          </cell>
        </row>
        <row r="174">
          <cell r="E174" t="str">
            <v>Lawadia</v>
          </cell>
          <cell r="F174" t="str">
            <v>Penyangga</v>
          </cell>
          <cell r="H174" t="str">
            <v xml:space="preserve">PT. Archita Graha Indah Lestari </v>
          </cell>
          <cell r="J174">
            <v>3731170139.4400001</v>
          </cell>
          <cell r="K174" t="str">
            <v>KONTRAK</v>
          </cell>
          <cell r="L174">
            <v>3731170139.4400001</v>
          </cell>
        </row>
        <row r="175">
          <cell r="E175" t="str">
            <v>Tasokko</v>
          </cell>
          <cell r="H175" t="str">
            <v xml:space="preserve">PT. Aditya Musdalifah </v>
          </cell>
          <cell r="J175">
            <v>3380691000</v>
          </cell>
          <cell r="K175" t="str">
            <v>SPPBJ</v>
          </cell>
          <cell r="L175">
            <v>3380691000</v>
          </cell>
        </row>
        <row r="176">
          <cell r="E176" t="str">
            <v>Wonggarasi Timur</v>
          </cell>
          <cell r="H176" t="str">
            <v>CV. Khayra Berkah Konstruksindo</v>
          </cell>
          <cell r="J176">
            <v>4320024779</v>
          </cell>
          <cell r="K176" t="str">
            <v>KONTRAK</v>
          </cell>
          <cell r="L176">
            <v>4320024779</v>
          </cell>
        </row>
        <row r="177">
          <cell r="E177" t="str">
            <v>Milangodaa</v>
          </cell>
          <cell r="H177" t="str">
            <v>CV. Khayra Berkah Konstruksindo</v>
          </cell>
          <cell r="J177">
            <v>2977701166.4200001</v>
          </cell>
          <cell r="K177" t="str">
            <v>KONTRAK</v>
          </cell>
          <cell r="L177">
            <v>2977701166.4200001</v>
          </cell>
        </row>
        <row r="178">
          <cell r="E178" t="str">
            <v>Dudewulo</v>
          </cell>
          <cell r="H178" t="str">
            <v>CV. Khayra Berkah Konstruksindo</v>
          </cell>
          <cell r="J178">
            <v>4208158512.8299999</v>
          </cell>
          <cell r="K178" t="str">
            <v>KONTRAK</v>
          </cell>
          <cell r="L178">
            <v>4208158512.8299999</v>
          </cell>
        </row>
        <row r="179">
          <cell r="E179" t="str">
            <v>Podi</v>
          </cell>
          <cell r="H179" t="str">
            <v>CV. Tavoo Barakah Nusantara</v>
          </cell>
          <cell r="J179">
            <v>3661138000</v>
          </cell>
          <cell r="K179" t="str">
            <v>KONTRAK</v>
          </cell>
          <cell r="L179">
            <v>3661138000</v>
          </cell>
        </row>
        <row r="180">
          <cell r="E180" t="str">
            <v>Kalibuntu</v>
          </cell>
          <cell r="F180" t="str">
            <v>Penyangga</v>
          </cell>
          <cell r="H180" t="str">
            <v xml:space="preserve">CV. Mayang Jaya </v>
          </cell>
          <cell r="J180">
            <v>2354374000</v>
          </cell>
          <cell r="K180" t="str">
            <v>SPPBJ</v>
          </cell>
          <cell r="L180">
            <v>2354374000</v>
          </cell>
        </row>
        <row r="181">
          <cell r="E181" t="str">
            <v>Takkalasi</v>
          </cell>
          <cell r="F181" t="str">
            <v>Penyangga</v>
          </cell>
          <cell r="H181" t="str">
            <v>CV. Lian</v>
          </cell>
          <cell r="J181">
            <v>2218425000</v>
          </cell>
          <cell r="K181" t="str">
            <v>KONTRAK</v>
          </cell>
          <cell r="L181">
            <v>2218425000</v>
          </cell>
        </row>
        <row r="182">
          <cell r="E182" t="str">
            <v>Kupa</v>
          </cell>
          <cell r="F182" t="str">
            <v>Penyangga</v>
          </cell>
          <cell r="H182" t="str">
            <v>CV. Lian</v>
          </cell>
          <cell r="J182">
            <v>4562879000</v>
          </cell>
          <cell r="K182" t="str">
            <v>KONTRAK</v>
          </cell>
          <cell r="L182">
            <v>4562879000</v>
          </cell>
        </row>
        <row r="183">
          <cell r="E183" t="str">
            <v>Kotajin Utara</v>
          </cell>
          <cell r="F183" t="str">
            <v>Penyangga</v>
          </cell>
          <cell r="H183" t="str">
            <v xml:space="preserve">PT. Tata Sejahtera Indonesia </v>
          </cell>
          <cell r="J183">
            <v>3333127756.8899999</v>
          </cell>
          <cell r="K183" t="str">
            <v>KONTRAK</v>
          </cell>
          <cell r="L183">
            <v>3333127756.8899999</v>
          </cell>
        </row>
        <row r="184">
          <cell r="E184" t="str">
            <v>Imana</v>
          </cell>
          <cell r="F184" t="str">
            <v>Penyangga</v>
          </cell>
          <cell r="H184" t="str">
            <v xml:space="preserve">PT. Tata Sejahtera Indonesia </v>
          </cell>
          <cell r="J184">
            <v>4355824971.5100002</v>
          </cell>
          <cell r="K184" t="str">
            <v>KONTRAK</v>
          </cell>
          <cell r="L184">
            <v>4355824971.5100002</v>
          </cell>
        </row>
        <row r="185">
          <cell r="E185" t="str">
            <v>Langge</v>
          </cell>
          <cell r="F185" t="str">
            <v>Penyangga</v>
          </cell>
          <cell r="H185" t="str">
            <v xml:space="preserve">PT. Tata Sejahtera Indonesia </v>
          </cell>
          <cell r="J185">
            <v>3798909514.4400001</v>
          </cell>
          <cell r="K185" t="str">
            <v>KONTRAK</v>
          </cell>
          <cell r="L185">
            <v>3798909514.4400001</v>
          </cell>
        </row>
        <row r="186">
          <cell r="E186" t="str">
            <v>Dumolodo</v>
          </cell>
          <cell r="F186" t="str">
            <v>Penyangga</v>
          </cell>
          <cell r="H186" t="str">
            <v xml:space="preserve">PT. Tata Sejahtera Indonesia </v>
          </cell>
          <cell r="J186">
            <v>3527152757.6700001</v>
          </cell>
          <cell r="K186" t="str">
            <v>KONTRAK</v>
          </cell>
          <cell r="L186">
            <v>3527152757.6700001</v>
          </cell>
        </row>
        <row r="187">
          <cell r="E187" t="str">
            <v>Pajjukukang</v>
          </cell>
          <cell r="F187" t="str">
            <v>Penyangga</v>
          </cell>
          <cell r="H187" t="str">
            <v>PT. Pasele Karya Pratama</v>
          </cell>
          <cell r="J187">
            <v>1978687000</v>
          </cell>
          <cell r="K187" t="str">
            <v>KONTRAK</v>
          </cell>
          <cell r="L187">
            <v>1978687000</v>
          </cell>
        </row>
        <row r="188">
          <cell r="E188" t="str">
            <v>Borimasunggu</v>
          </cell>
          <cell r="F188" t="str">
            <v>Penyangga</v>
          </cell>
          <cell r="H188" t="str">
            <v>PT. Pasele Karya Pratama</v>
          </cell>
          <cell r="J188">
            <v>3113702000</v>
          </cell>
          <cell r="K188" t="str">
            <v>KONTRAK</v>
          </cell>
          <cell r="L188">
            <v>3113702000</v>
          </cell>
        </row>
        <row r="189">
          <cell r="E189" t="str">
            <v>Torosiaje Jaya</v>
          </cell>
          <cell r="F189" t="str">
            <v>Hub</v>
          </cell>
          <cell r="H189" t="str">
            <v xml:space="preserve">CV. Khayra Berkah Konstruksindo  </v>
          </cell>
          <cell r="J189">
            <v>6410301000</v>
          </cell>
          <cell r="K189" t="str">
            <v>KONTRAK</v>
          </cell>
          <cell r="L189">
            <v>6410301000</v>
          </cell>
        </row>
        <row r="190">
          <cell r="E190" t="str">
            <v>Letta</v>
          </cell>
          <cell r="F190" t="str">
            <v>Penyangga</v>
          </cell>
          <cell r="H190" t="str">
            <v>PT. Darwin Kembar Jaya</v>
          </cell>
          <cell r="J190">
            <v>4158589622.9099998</v>
          </cell>
          <cell r="K190" t="str">
            <v>SPPBJ</v>
          </cell>
          <cell r="L190">
            <v>4158589622.9099998</v>
          </cell>
        </row>
        <row r="191">
          <cell r="E191" t="str">
            <v>Dwitiro</v>
          </cell>
          <cell r="F191" t="str">
            <v>Penyangga</v>
          </cell>
          <cell r="H191" t="str">
            <v>PT. Darwin Kembar Jaya</v>
          </cell>
          <cell r="J191">
            <v>4982847601.3599997</v>
          </cell>
          <cell r="K191" t="str">
            <v>SPPBJ</v>
          </cell>
          <cell r="L191">
            <v>4982847601.3599997</v>
          </cell>
        </row>
        <row r="192">
          <cell r="E192" t="str">
            <v>Darubiah</v>
          </cell>
          <cell r="F192" t="str">
            <v>Penyangga</v>
          </cell>
          <cell r="H192" t="str">
            <v>PT. Darwin Kembar Jaya</v>
          </cell>
          <cell r="J192">
            <v>4973730356.6899996</v>
          </cell>
          <cell r="K192" t="str">
            <v>SPPBJ</v>
          </cell>
          <cell r="L192">
            <v>4973730356.6899996</v>
          </cell>
        </row>
        <row r="193">
          <cell r="E193" t="str">
            <v>Benteng</v>
          </cell>
          <cell r="F193" t="str">
            <v>Penyangga</v>
          </cell>
          <cell r="H193" t="str">
            <v>PT. Darwin Kembar Jaya</v>
          </cell>
          <cell r="J193">
            <v>2895226964.5700002</v>
          </cell>
          <cell r="K193" t="str">
            <v>SPPBJ</v>
          </cell>
          <cell r="L193">
            <v>2895226964.5700002</v>
          </cell>
        </row>
        <row r="194">
          <cell r="E194" t="str">
            <v>Wonggarasi Barat</v>
          </cell>
          <cell r="F194" t="str">
            <v>Penyangga</v>
          </cell>
          <cell r="H194" t="str">
            <v xml:space="preserve">PT. Professional Construction Indonesia </v>
          </cell>
          <cell r="J194">
            <v>4294992000</v>
          </cell>
          <cell r="K194" t="str">
            <v>SPPBJ</v>
          </cell>
          <cell r="L194">
            <v>4294992000</v>
          </cell>
        </row>
        <row r="195">
          <cell r="E195" t="str">
            <v>Lero</v>
          </cell>
          <cell r="F195" t="str">
            <v>Penyangga</v>
          </cell>
          <cell r="H195" t="str">
            <v xml:space="preserve">CV. Triga Cipta Abadi </v>
          </cell>
          <cell r="J195">
            <v>3559342000</v>
          </cell>
          <cell r="K195" t="str">
            <v>SPPBJ</v>
          </cell>
          <cell r="L195">
            <v>3559342000</v>
          </cell>
        </row>
        <row r="196">
          <cell r="E196" t="str">
            <v>Bangko</v>
          </cell>
          <cell r="F196" t="str">
            <v>Hub</v>
          </cell>
          <cell r="H196" t="str">
            <v>CV. Ghaniyyu Qootahu Mandiri</v>
          </cell>
          <cell r="J196">
            <v>10055762187.540001</v>
          </cell>
          <cell r="K196" t="str">
            <v>SPPBJ</v>
          </cell>
          <cell r="L196">
            <v>10055762187.540001</v>
          </cell>
        </row>
        <row r="197">
          <cell r="E197" t="str">
            <v>Tanjung Pinang</v>
          </cell>
          <cell r="F197" t="str">
            <v>Penyangga</v>
          </cell>
          <cell r="H197" t="str">
            <v>CV. Ghaniyyu Qootahu Mandiri</v>
          </cell>
          <cell r="J197">
            <v>4264842108.7800002</v>
          </cell>
          <cell r="K197" t="str">
            <v>SPPBJ</v>
          </cell>
          <cell r="L197">
            <v>4264842108.7800002</v>
          </cell>
        </row>
        <row r="198">
          <cell r="E198" t="str">
            <v>Tanjung Mas</v>
          </cell>
          <cell r="F198" t="str">
            <v>Penyangga</v>
          </cell>
          <cell r="H198" t="str">
            <v>CV. Sinar Mulya</v>
          </cell>
          <cell r="J198">
            <v>4011005045.4899998</v>
          </cell>
          <cell r="K198" t="str">
            <v>SPPBJ</v>
          </cell>
          <cell r="L198">
            <v>4011005045.4899998</v>
          </cell>
        </row>
        <row r="199">
          <cell r="E199" t="str">
            <v>Gempolsewu</v>
          </cell>
          <cell r="F199" t="str">
            <v>Penyangga</v>
          </cell>
          <cell r="H199" t="str">
            <v>CV. Sinar Mulya</v>
          </cell>
          <cell r="J199">
            <v>4073472317.9099998</v>
          </cell>
          <cell r="K199" t="str">
            <v>SPPBJ</v>
          </cell>
          <cell r="L199">
            <v>4073472317.9099998</v>
          </cell>
        </row>
        <row r="200">
          <cell r="E200" t="str">
            <v>Junganyar</v>
          </cell>
          <cell r="F200" t="str">
            <v>Penyangga</v>
          </cell>
          <cell r="H200" t="str">
            <v>PT. Elang Mas Berdikari</v>
          </cell>
          <cell r="J200">
            <v>4214598494.9099998</v>
          </cell>
          <cell r="K200" t="str">
            <v>SPPBJ</v>
          </cell>
          <cell r="L200">
            <v>4214598494.9099998</v>
          </cell>
        </row>
        <row r="201">
          <cell r="E201" t="str">
            <v>Klampis Barat</v>
          </cell>
          <cell r="F201" t="str">
            <v>Penyangga</v>
          </cell>
          <cell r="H201" t="str">
            <v>PT. Elang Mas Berdikari</v>
          </cell>
          <cell r="J201">
            <v>2311137856.4699998</v>
          </cell>
          <cell r="K201" t="str">
            <v>SPPBJ</v>
          </cell>
          <cell r="L201">
            <v>2311137856.4699998</v>
          </cell>
        </row>
        <row r="202">
          <cell r="E202" t="str">
            <v>Klampis Timur</v>
          </cell>
          <cell r="F202" t="str">
            <v>Penyangga</v>
          </cell>
          <cell r="H202" t="str">
            <v>PT. Elang Mas Berdikari</v>
          </cell>
          <cell r="J202">
            <v>3254890585.71</v>
          </cell>
          <cell r="K202" t="str">
            <v>SPPBJ</v>
          </cell>
          <cell r="L202">
            <v>3254890585.71</v>
          </cell>
        </row>
        <row r="203">
          <cell r="E203" t="str">
            <v>Klesem</v>
          </cell>
          <cell r="F203" t="str">
            <v>Penyangga</v>
          </cell>
          <cell r="H203" t="str">
            <v xml:space="preserve">CV. Sinar Surya </v>
          </cell>
          <cell r="J203">
            <v>3549563000</v>
          </cell>
          <cell r="K203" t="str">
            <v>KONTRAK</v>
          </cell>
          <cell r="L203">
            <v>3549563000</v>
          </cell>
        </row>
        <row r="204">
          <cell r="E204" t="str">
            <v>Betahwalang</v>
          </cell>
          <cell r="F204" t="str">
            <v>Penyangga</v>
          </cell>
          <cell r="H204" t="str">
            <v xml:space="preserve">CV. SINAR MULYA </v>
          </cell>
          <cell r="J204">
            <v>2968677537.71</v>
          </cell>
          <cell r="K204" t="str">
            <v>SPPBJ</v>
          </cell>
          <cell r="L204">
            <v>2968677537.71</v>
          </cell>
        </row>
        <row r="205">
          <cell r="E205" t="str">
            <v>Purworejo</v>
          </cell>
          <cell r="F205" t="str">
            <v>Hub</v>
          </cell>
          <cell r="H205" t="str">
            <v xml:space="preserve">CV. SINAR MULYA </v>
          </cell>
          <cell r="J205">
            <v>6948346321.71</v>
          </cell>
          <cell r="K205" t="str">
            <v>SPPBJ</v>
          </cell>
          <cell r="L205">
            <v>6948346321.71</v>
          </cell>
        </row>
        <row r="206">
          <cell r="E206" t="str">
            <v>Kedungmutih</v>
          </cell>
          <cell r="F206" t="str">
            <v>Penyangga (+cs)</v>
          </cell>
          <cell r="H206" t="str">
            <v xml:space="preserve">CV. SINAR MULYA </v>
          </cell>
          <cell r="J206">
            <v>3331007246.1900001</v>
          </cell>
          <cell r="K206" t="str">
            <v>SPPBJ</v>
          </cell>
          <cell r="L206">
            <v>3331007246.1900001</v>
          </cell>
        </row>
        <row r="207">
          <cell r="E207" t="str">
            <v>Asemdoyong</v>
          </cell>
          <cell r="F207" t="str">
            <v>Penyangga (+cs)</v>
          </cell>
          <cell r="H207" t="str">
            <v>CV. Putera Fahlevi</v>
          </cell>
          <cell r="J207">
            <v>3595336748.7399998</v>
          </cell>
          <cell r="K207" t="str">
            <v>KONTRAK</v>
          </cell>
          <cell r="L207">
            <v>3595336748.7399998</v>
          </cell>
        </row>
        <row r="208">
          <cell r="E208" t="str">
            <v>Tegalsari</v>
          </cell>
          <cell r="F208" t="str">
            <v>Penyangga (+cs)</v>
          </cell>
          <cell r="H208" t="str">
            <v>CV. Putera Fahlevi</v>
          </cell>
          <cell r="J208">
            <v>3486186186.7199998</v>
          </cell>
          <cell r="K208" t="str">
            <v>KONTRAK</v>
          </cell>
          <cell r="L208">
            <v>3486186186.7199998</v>
          </cell>
        </row>
        <row r="209">
          <cell r="E209" t="str">
            <v>Muarareja</v>
          </cell>
          <cell r="F209" t="str">
            <v>Penyangga</v>
          </cell>
          <cell r="H209" t="str">
            <v>CV. Putera Fahlevi</v>
          </cell>
          <cell r="J209">
            <v>2603363811.6999998</v>
          </cell>
          <cell r="K209" t="str">
            <v>KONTRAK</v>
          </cell>
          <cell r="L209">
            <v>2603363811.6999998</v>
          </cell>
        </row>
        <row r="210">
          <cell r="E210" t="str">
            <v>Purwahamba</v>
          </cell>
          <cell r="F210" t="str">
            <v>Penyangga</v>
          </cell>
          <cell r="H210" t="str">
            <v>CV. Putera Fahlevi</v>
          </cell>
          <cell r="J210">
            <v>3803107336.7399998</v>
          </cell>
          <cell r="K210" t="str">
            <v>KONTRAK</v>
          </cell>
          <cell r="L210">
            <v>3803107336.7399998</v>
          </cell>
        </row>
        <row r="211">
          <cell r="E211" t="str">
            <v>Tengket</v>
          </cell>
          <cell r="F211" t="str">
            <v>Hub</v>
          </cell>
          <cell r="H211" t="str">
            <v>PT. Elang Mas Berdikari</v>
          </cell>
          <cell r="J211">
            <v>6249618145.9799995</v>
          </cell>
          <cell r="K211" t="str">
            <v>SPPBJ</v>
          </cell>
          <cell r="L211">
            <v>6249618145.9799995</v>
          </cell>
        </row>
        <row r="212">
          <cell r="E212" t="str">
            <v>Batah Timur</v>
          </cell>
          <cell r="F212" t="str">
            <v>Penyangga</v>
          </cell>
          <cell r="H212" t="str">
            <v>PT. Elang Mas Berdikari</v>
          </cell>
          <cell r="J212">
            <v>4609789873.5</v>
          </cell>
          <cell r="K212" t="str">
            <v>SPPBJ</v>
          </cell>
          <cell r="L212">
            <v>4609789873.5</v>
          </cell>
        </row>
        <row r="213">
          <cell r="E213" t="str">
            <v>Kemantren</v>
          </cell>
          <cell r="F213" t="str">
            <v>Hub</v>
          </cell>
          <cell r="H213" t="str">
            <v>CV. Sapta Manunggal Lestari</v>
          </cell>
          <cell r="J213">
            <v>9482314693.9200001</v>
          </cell>
          <cell r="K213" t="str">
            <v>SPPBJ</v>
          </cell>
          <cell r="L213">
            <v>9482314693.9200001</v>
          </cell>
        </row>
        <row r="214">
          <cell r="E214" t="str">
            <v>Kranji</v>
          </cell>
          <cell r="F214" t="str">
            <v>Penyangga</v>
          </cell>
          <cell r="H214" t="str">
            <v>CV. Sapta Manunggal Lestari</v>
          </cell>
          <cell r="J214">
            <v>2896507535.7399998</v>
          </cell>
          <cell r="K214" t="str">
            <v>SPPBJ</v>
          </cell>
          <cell r="L214">
            <v>2896507535.7399998</v>
          </cell>
        </row>
        <row r="215">
          <cell r="E215" t="str">
            <v>Sienjo</v>
          </cell>
          <cell r="F215" t="str">
            <v>Penyangga</v>
          </cell>
          <cell r="H215" t="str">
            <v xml:space="preserve">CV. Triga Cipta Abadi </v>
          </cell>
          <cell r="J215">
            <v>4418779000</v>
          </cell>
          <cell r="K215" t="str">
            <v>KONTRAK</v>
          </cell>
          <cell r="L215">
            <v>4418779000</v>
          </cell>
        </row>
        <row r="216">
          <cell r="E216" t="str">
            <v>Dusunan</v>
          </cell>
          <cell r="F216" t="str">
            <v>Penyangga</v>
          </cell>
          <cell r="H216" t="str">
            <v xml:space="preserve">CV. Triga Cipta Abadi </v>
          </cell>
          <cell r="J216">
            <v>4700886000</v>
          </cell>
          <cell r="K216" t="str">
            <v>KONTRAK</v>
          </cell>
          <cell r="L216">
            <v>4700886000</v>
          </cell>
        </row>
        <row r="217">
          <cell r="E217" t="str">
            <v>Pasir Putih</v>
          </cell>
          <cell r="H217" t="str">
            <v>CV. Sedarah Sejahtera</v>
          </cell>
          <cell r="J217">
            <v>4511507000</v>
          </cell>
          <cell r="K217" t="str">
            <v>KONTRAK</v>
          </cell>
          <cell r="L217">
            <v>4511507000</v>
          </cell>
        </row>
        <row r="218">
          <cell r="E218" t="str">
            <v>Pasir Putih</v>
          </cell>
          <cell r="H218" t="str">
            <v>CV. Independent Fight Contractor</v>
          </cell>
          <cell r="J218">
            <v>4090777558.1300001</v>
          </cell>
          <cell r="K218" t="str">
            <v>KONTRAK</v>
          </cell>
          <cell r="L218">
            <v>4090777558.1300001</v>
          </cell>
        </row>
        <row r="219">
          <cell r="E219" t="str">
            <v xml:space="preserve">Saburano </v>
          </cell>
          <cell r="H219" t="str">
            <v>CV. Independent Fight Contractor</v>
          </cell>
          <cell r="J219">
            <v>6397793934.6700001</v>
          </cell>
          <cell r="K219" t="str">
            <v>KONTRAK</v>
          </cell>
          <cell r="L219">
            <v>6397793934.6700001</v>
          </cell>
        </row>
        <row r="220">
          <cell r="E220" t="str">
            <v>Sainoa Indah</v>
          </cell>
          <cell r="H220" t="str">
            <v>CV. Independent Fight Contractor</v>
          </cell>
          <cell r="J220">
            <v>3825590404.6199999</v>
          </cell>
          <cell r="K220" t="str">
            <v>KONTRAK</v>
          </cell>
          <cell r="L220">
            <v>3825590404.6199999</v>
          </cell>
        </row>
        <row r="221">
          <cell r="E221" t="str">
            <v>Pasangkayu</v>
          </cell>
          <cell r="F221" t="str">
            <v>Penyangga</v>
          </cell>
          <cell r="H221" t="str">
            <v>CV. Saleko Satu</v>
          </cell>
          <cell r="J221">
            <v>4981965385.4399996</v>
          </cell>
          <cell r="K221" t="str">
            <v>SPPBJ</v>
          </cell>
          <cell r="L221">
            <v>4981965385.4399996</v>
          </cell>
        </row>
        <row r="222">
          <cell r="E222" t="str">
            <v>Sarudu</v>
          </cell>
          <cell r="F222" t="str">
            <v>Penyangga</v>
          </cell>
          <cell r="H222" t="str">
            <v>CV. Saleko Satu</v>
          </cell>
          <cell r="J222">
            <v>4214827940.79</v>
          </cell>
          <cell r="K222" t="str">
            <v>SPPBJ</v>
          </cell>
          <cell r="L222">
            <v>4214827940.79</v>
          </cell>
        </row>
        <row r="223">
          <cell r="E223" t="str">
            <v>Gaya Baru</v>
          </cell>
          <cell r="F223" t="str">
            <v>Penyangga</v>
          </cell>
          <cell r="H223" t="str">
            <v>CV. Syafiqah Syabil Abadi</v>
          </cell>
          <cell r="J223">
            <v>4010573000</v>
          </cell>
          <cell r="K223" t="str">
            <v>SPPBJ</v>
          </cell>
          <cell r="L223">
            <v>4010573000</v>
          </cell>
        </row>
        <row r="224">
          <cell r="E224" t="str">
            <v>Gerongan</v>
          </cell>
          <cell r="F224" t="str">
            <v>Penyangga</v>
          </cell>
          <cell r="H224" t="str">
            <v>PT. Mandalika Indah Pratama</v>
          </cell>
          <cell r="J224">
            <v>3173170000</v>
          </cell>
          <cell r="K224" t="str">
            <v>SPPBJ</v>
          </cell>
          <cell r="L224">
            <v>3173170000</v>
          </cell>
        </row>
        <row r="225">
          <cell r="E225" t="str">
            <v>Sumberejo</v>
          </cell>
          <cell r="F225" t="str">
            <v>Penyangga (+cs)</v>
          </cell>
          <cell r="H225" t="str">
            <v>CV. Wapike Bali</v>
          </cell>
          <cell r="J225">
            <v>2202521529.3400002</v>
          </cell>
          <cell r="K225" t="str">
            <v>SPPBJ</v>
          </cell>
          <cell r="L225">
            <v>2202521529.3400002</v>
          </cell>
        </row>
        <row r="226">
          <cell r="E226" t="str">
            <v>Randuputih</v>
          </cell>
          <cell r="F226" t="str">
            <v>Penyangga</v>
          </cell>
          <cell r="H226" t="str">
            <v>CV. Wapike Bali</v>
          </cell>
          <cell r="J226">
            <v>3360416414.5900002</v>
          </cell>
          <cell r="K226" t="str">
            <v>SPPBJ</v>
          </cell>
          <cell r="L226">
            <v>3360416414.5900002</v>
          </cell>
        </row>
        <row r="227">
          <cell r="E227" t="str">
            <v>Besole</v>
          </cell>
          <cell r="F227" t="str">
            <v>Penyangga</v>
          </cell>
          <cell r="H227" t="str">
            <v>CV. Wapike Bali</v>
          </cell>
          <cell r="J227">
            <v>4483620743.6599998</v>
          </cell>
          <cell r="K227" t="str">
            <v>SPPBJ</v>
          </cell>
          <cell r="L227">
            <v>4483620743.6599998</v>
          </cell>
        </row>
        <row r="228">
          <cell r="E228" t="str">
            <v>Paseban</v>
          </cell>
          <cell r="F228" t="str">
            <v>Penyangga</v>
          </cell>
          <cell r="H228" t="str">
            <v>CV. Wapike Bali</v>
          </cell>
          <cell r="J228">
            <v>2330669162.3600001</v>
          </cell>
          <cell r="K228" t="str">
            <v>SPPBJ</v>
          </cell>
          <cell r="L228">
            <v>2330669162.3600001</v>
          </cell>
        </row>
      </sheetData>
      <sheetData sheetId="10"/>
      <sheetData sheetId="11"/>
      <sheetData sheetId="12"/>
      <sheetData sheetId="13"/>
      <sheetData sheetId="14"/>
      <sheetData sheetId="15">
        <row r="1">
          <cell r="A1" t="str">
            <v>Inobonto II</v>
          </cell>
          <cell r="B1" t="str">
            <v>revisi</v>
          </cell>
          <cell r="E1" t="str">
            <v>Lokasi</v>
          </cell>
          <cell r="F1" t="str">
            <v>Nilai</v>
          </cell>
          <cell r="I1" t="str">
            <v>DESA</v>
          </cell>
          <cell r="J1" t="str">
            <v>KABUPATEN</v>
          </cell>
          <cell r="K1" t="str">
            <v>PROVINSI</v>
          </cell>
          <cell r="M1" t="str">
            <v>3D LAY OUT</v>
          </cell>
          <cell r="N1" t="str">
            <v>NILAI EE + PPN 11%</v>
          </cell>
        </row>
        <row r="2">
          <cell r="A2" t="str">
            <v>Tandurusa</v>
          </cell>
          <cell r="B2">
            <v>4603059000</v>
          </cell>
          <cell r="E2" t="str">
            <v>TOMALOU</v>
          </cell>
          <cell r="F2">
            <v>3607753000</v>
          </cell>
          <cell r="I2" t="str">
            <v>AWAKI</v>
          </cell>
          <cell r="J2" t="str">
            <v>SUPIORI</v>
          </cell>
          <cell r="K2" t="str">
            <v>PAPUA</v>
          </cell>
          <cell r="L2" t="str">
            <v>HUB</v>
          </cell>
          <cell r="M2" t="str">
            <v>SELESAI</v>
          </cell>
          <cell r="N2">
            <v>16139768000</v>
          </cell>
        </row>
        <row r="3">
          <cell r="A3" t="str">
            <v>Molompar Timur</v>
          </cell>
          <cell r="B3" t="str">
            <v>revisi</v>
          </cell>
          <cell r="E3" t="str">
            <v>DOWARA</v>
          </cell>
          <cell r="F3">
            <v>5434205000</v>
          </cell>
          <cell r="I3" t="str">
            <v>ODORI</v>
          </cell>
          <cell r="J3" t="str">
            <v>SUPIORI</v>
          </cell>
          <cell r="K3" t="str">
            <v>PAPUA</v>
          </cell>
          <cell r="L3" t="str">
            <v>PENYANGGA</v>
          </cell>
          <cell r="M3" t="str">
            <v>SELESAI</v>
          </cell>
          <cell r="N3">
            <v>4456958000</v>
          </cell>
        </row>
        <row r="4">
          <cell r="A4" t="str">
            <v>Minanga Tiga</v>
          </cell>
          <cell r="B4" t="str">
            <v>belum ada</v>
          </cell>
          <cell r="E4" t="str">
            <v>RUA</v>
          </cell>
          <cell r="F4">
            <v>4159715000</v>
          </cell>
          <cell r="I4" t="str">
            <v>INSUMBREI</v>
          </cell>
          <cell r="J4" t="str">
            <v>SUPIORI</v>
          </cell>
          <cell r="K4" t="str">
            <v>PAPUA</v>
          </cell>
          <cell r="L4" t="str">
            <v>PENYANGGA</v>
          </cell>
          <cell r="M4" t="str">
            <v>SELESAI</v>
          </cell>
          <cell r="N4">
            <v>5480063000</v>
          </cell>
        </row>
        <row r="5">
          <cell r="A5" t="str">
            <v>Bentenan Satu</v>
          </cell>
          <cell r="B5">
            <v>4596519000</v>
          </cell>
          <cell r="E5" t="str">
            <v>KASTELA</v>
          </cell>
          <cell r="F5">
            <v>4652350000</v>
          </cell>
          <cell r="I5" t="str">
            <v>RAYORI</v>
          </cell>
          <cell r="J5" t="str">
            <v>SUPIORI</v>
          </cell>
          <cell r="K5" t="str">
            <v>PAPUA</v>
          </cell>
          <cell r="L5" t="str">
            <v>PENYANGGA</v>
          </cell>
          <cell r="M5" t="str">
            <v>SELESAI</v>
          </cell>
          <cell r="N5">
            <v>5022428000</v>
          </cell>
        </row>
        <row r="6">
          <cell r="A6" t="str">
            <v>Ratatotok Timur</v>
          </cell>
          <cell r="B6">
            <v>8489630000</v>
          </cell>
          <cell r="E6" t="str">
            <v>COBODOE</v>
          </cell>
          <cell r="F6">
            <v>4180487000</v>
          </cell>
          <cell r="I6" t="str">
            <v>FANINDI</v>
          </cell>
          <cell r="J6" t="str">
            <v>SUPIORI</v>
          </cell>
          <cell r="K6" t="str">
            <v>PAPUA</v>
          </cell>
          <cell r="L6" t="str">
            <v>PENYANGGA</v>
          </cell>
          <cell r="M6" t="str">
            <v>SELESAI</v>
          </cell>
          <cell r="N6">
            <v>3761358000</v>
          </cell>
        </row>
        <row r="7">
          <cell r="A7" t="str">
            <v>Rumbia</v>
          </cell>
          <cell r="B7" t="str">
            <v>revisi</v>
          </cell>
          <cell r="E7" t="str">
            <v>JUANGA</v>
          </cell>
          <cell r="F7">
            <v>4913777000</v>
          </cell>
          <cell r="I7" t="str">
            <v>ARURI</v>
          </cell>
          <cell r="J7" t="str">
            <v>SUPIORI</v>
          </cell>
          <cell r="K7" t="str">
            <v>PAPUA</v>
          </cell>
          <cell r="L7" t="str">
            <v>PENYANGGA</v>
          </cell>
          <cell r="M7" t="str">
            <v>SELESAI</v>
          </cell>
          <cell r="N7">
            <v>7655659000</v>
          </cell>
        </row>
        <row r="8">
          <cell r="A8" t="str">
            <v>Buyat tengah</v>
          </cell>
          <cell r="B8" t="str">
            <v>revisi</v>
          </cell>
          <cell r="E8" t="str">
            <v>MANDIRI</v>
          </cell>
          <cell r="F8" t="str">
            <v>belum ada</v>
          </cell>
          <cell r="I8" t="str">
            <v>YAMNAISU / RANI</v>
          </cell>
          <cell r="J8" t="str">
            <v>SUPIORI</v>
          </cell>
          <cell r="K8" t="str">
            <v>PAPUA</v>
          </cell>
          <cell r="L8" t="str">
            <v>PENYANGGA</v>
          </cell>
          <cell r="M8" t="str">
            <v>SELESAI</v>
          </cell>
          <cell r="N8">
            <v>6953465000</v>
          </cell>
        </row>
        <row r="9">
          <cell r="A9" t="str">
            <v>Santiago</v>
          </cell>
          <cell r="B9">
            <v>6908915000</v>
          </cell>
          <cell r="E9" t="str">
            <v>MAFFA</v>
          </cell>
          <cell r="F9" t="str">
            <v>belum ada</v>
          </cell>
          <cell r="I9" t="str">
            <v>WARYEI</v>
          </cell>
          <cell r="J9" t="str">
            <v>SUPIORI</v>
          </cell>
          <cell r="K9" t="str">
            <v>PAPUA</v>
          </cell>
          <cell r="L9" t="str">
            <v>PENYANGGA</v>
          </cell>
          <cell r="M9" t="str">
            <v>SELESAI</v>
          </cell>
          <cell r="N9">
            <v>6390157000</v>
          </cell>
        </row>
        <row r="10">
          <cell r="A10" t="str">
            <v>Kema III</v>
          </cell>
          <cell r="B10">
            <v>4642447000</v>
          </cell>
          <cell r="E10" t="str">
            <v>TONGUTE TERNATE</v>
          </cell>
          <cell r="F10" t="str">
            <v>belum ada</v>
          </cell>
          <cell r="I10" t="str">
            <v>WOMBONDA</v>
          </cell>
          <cell r="J10" t="str">
            <v>SUPIORI</v>
          </cell>
          <cell r="K10" t="str">
            <v>PAPUA</v>
          </cell>
          <cell r="L10" t="str">
            <v>PENYANGGA</v>
          </cell>
          <cell r="M10" t="str">
            <v>SELESAI</v>
          </cell>
          <cell r="N10">
            <v>5027158000</v>
          </cell>
        </row>
        <row r="11">
          <cell r="A11" t="str">
            <v>Palahanaeng</v>
          </cell>
          <cell r="B11">
            <v>3597800000</v>
          </cell>
          <cell r="E11" t="str">
            <v>SARIA</v>
          </cell>
          <cell r="F11">
            <v>4166123000</v>
          </cell>
          <cell r="I11" t="str">
            <v>MARSRAM</v>
          </cell>
          <cell r="J11" t="str">
            <v>SUPIORI</v>
          </cell>
          <cell r="K11" t="str">
            <v>PAPUA</v>
          </cell>
          <cell r="L11" t="str">
            <v>HUB</v>
          </cell>
          <cell r="M11" t="str">
            <v>SELESAI</v>
          </cell>
          <cell r="N11">
            <v>16168902000</v>
          </cell>
        </row>
        <row r="12">
          <cell r="A12" t="str">
            <v>Bulutui</v>
          </cell>
          <cell r="B12">
            <v>4977188000</v>
          </cell>
          <cell r="E12" t="str">
            <v>GORUA</v>
          </cell>
          <cell r="F12" t="str">
            <v>belum ada</v>
          </cell>
          <cell r="I12" t="str">
            <v>DUBER</v>
          </cell>
          <cell r="J12" t="str">
            <v>SUPIORI</v>
          </cell>
          <cell r="K12" t="str">
            <v>PAPUA</v>
          </cell>
          <cell r="L12" t="str">
            <v>PENYANGGA</v>
          </cell>
          <cell r="M12" t="str">
            <v>SELESAI</v>
          </cell>
          <cell r="N12">
            <v>4987920000</v>
          </cell>
        </row>
        <row r="13">
          <cell r="A13" t="str">
            <v>Kahuhu</v>
          </cell>
          <cell r="B13">
            <v>4192695000</v>
          </cell>
          <cell r="E13" t="str">
            <v>LOLEO JAYA</v>
          </cell>
          <cell r="F13" t="str">
            <v>belum ada</v>
          </cell>
          <cell r="I13" t="str">
            <v>WARYESI</v>
          </cell>
          <cell r="J13" t="str">
            <v>SUPIORI</v>
          </cell>
          <cell r="K13" t="str">
            <v>PAPUA</v>
          </cell>
          <cell r="L13" t="str">
            <v>PENYANGGA</v>
          </cell>
          <cell r="M13" t="str">
            <v>SELESAI</v>
          </cell>
          <cell r="N13">
            <v>7879345000</v>
          </cell>
        </row>
        <row r="14">
          <cell r="A14" t="str">
            <v>Gangga II</v>
          </cell>
          <cell r="B14">
            <v>4738593000</v>
          </cell>
          <cell r="E14" t="str">
            <v>LOLEO</v>
          </cell>
          <cell r="F14" t="str">
            <v>belum ada</v>
          </cell>
          <cell r="I14" t="str">
            <v>DOUWBO</v>
          </cell>
          <cell r="J14" t="str">
            <v>SUPIORI</v>
          </cell>
          <cell r="K14" t="str">
            <v>PAPUA</v>
          </cell>
          <cell r="L14" t="str">
            <v>PENYANGGA</v>
          </cell>
          <cell r="M14" t="str">
            <v>SELESAI</v>
          </cell>
          <cell r="N14">
            <v>6251858000</v>
          </cell>
        </row>
        <row r="15">
          <cell r="A15" t="str">
            <v>Lamanggo</v>
          </cell>
          <cell r="B15">
            <v>8465611000</v>
          </cell>
          <cell r="E15" t="str">
            <v>MADAPOLO BARAT</v>
          </cell>
          <cell r="F15" t="str">
            <v>belum ada</v>
          </cell>
          <cell r="I15" t="str">
            <v>PUWERI</v>
          </cell>
          <cell r="J15" t="str">
            <v>SUPIORI</v>
          </cell>
          <cell r="K15" t="str">
            <v>PAPUA</v>
          </cell>
          <cell r="L15" t="str">
            <v>PENYANGGA</v>
          </cell>
          <cell r="M15" t="str">
            <v>SELESAI</v>
          </cell>
          <cell r="N15">
            <v>7654199000</v>
          </cell>
        </row>
        <row r="16">
          <cell r="A16" t="str">
            <v>Naha I</v>
          </cell>
          <cell r="B16">
            <v>4113611000</v>
          </cell>
          <cell r="E16" t="str">
            <v>TONIKU</v>
          </cell>
          <cell r="F16">
            <v>3460112000</v>
          </cell>
          <cell r="I16" t="str">
            <v>MNUSFOR</v>
          </cell>
          <cell r="J16" t="str">
            <v>BIAK NUMFOR</v>
          </cell>
          <cell r="K16" t="str">
            <v>PAPUA</v>
          </cell>
          <cell r="L16" t="str">
            <v>HUB</v>
          </cell>
          <cell r="M16" t="str">
            <v>OK</v>
          </cell>
          <cell r="N16">
            <v>9322966000</v>
          </cell>
        </row>
        <row r="17">
          <cell r="A17" t="str">
            <v>Bandil</v>
          </cell>
          <cell r="B17">
            <v>6747798000</v>
          </cell>
          <cell r="E17" t="str">
            <v>CUCUMARE</v>
          </cell>
          <cell r="F17" t="str">
            <v>belum ada</v>
          </cell>
          <cell r="I17" t="str">
            <v>TANJUNG BARARI</v>
          </cell>
          <cell r="J17" t="str">
            <v>BIAK NUMFOR</v>
          </cell>
          <cell r="K17" t="str">
            <v>PAPUA</v>
          </cell>
          <cell r="L17" t="str">
            <v>HUB</v>
          </cell>
          <cell r="M17" t="str">
            <v>OK</v>
          </cell>
          <cell r="N17">
            <v>10964387000</v>
          </cell>
        </row>
        <row r="18">
          <cell r="A18" t="str">
            <v>Dalinsaheng</v>
          </cell>
          <cell r="B18" t="str">
            <v>revisi</v>
          </cell>
          <cell r="E18" t="str">
            <v>LELE</v>
          </cell>
          <cell r="F18" t="str">
            <v>belum ada</v>
          </cell>
          <cell r="I18" t="str">
            <v>ANIMI</v>
          </cell>
          <cell r="J18" t="str">
            <v>BIAK NUMFOR</v>
          </cell>
          <cell r="K18" t="str">
            <v>PAPUA</v>
          </cell>
          <cell r="L18" t="str">
            <v>PENYANGGA</v>
          </cell>
          <cell r="M18" t="str">
            <v>OK</v>
          </cell>
          <cell r="N18">
            <v>3023927000</v>
          </cell>
        </row>
        <row r="19">
          <cell r="A19" t="str">
            <v>Matabulu Timur</v>
          </cell>
          <cell r="B19">
            <v>7003592000</v>
          </cell>
          <cell r="E19" t="str">
            <v>GONONE</v>
          </cell>
          <cell r="F19" t="str">
            <v>belum ada</v>
          </cell>
          <cell r="I19" t="str">
            <v>SORYAR</v>
          </cell>
          <cell r="J19" t="str">
            <v>BIAK NUMFOR</v>
          </cell>
          <cell r="K19" t="str">
            <v>PAPUA</v>
          </cell>
          <cell r="L19" t="str">
            <v>PENYANGGA</v>
          </cell>
          <cell r="M19" t="str">
            <v>OK</v>
          </cell>
          <cell r="N19">
            <v>3185563000</v>
          </cell>
        </row>
        <row r="20">
          <cell r="A20" t="str">
            <v>Motongkad Selatan</v>
          </cell>
          <cell r="B20" t="str">
            <v>belum ada</v>
          </cell>
          <cell r="E20" t="str">
            <v>DOWORA</v>
          </cell>
          <cell r="F20" t="str">
            <v>belum ada</v>
          </cell>
          <cell r="I20" t="str">
            <v>YOBDI</v>
          </cell>
          <cell r="J20" t="str">
            <v>BIAK NUMFOR</v>
          </cell>
          <cell r="K20" t="str">
            <v>PAPUA</v>
          </cell>
          <cell r="L20" t="str">
            <v>PENYANGGA</v>
          </cell>
          <cell r="M20" t="str">
            <v>OK</v>
          </cell>
          <cell r="N20">
            <v>2947172000</v>
          </cell>
        </row>
        <row r="21">
          <cell r="A21" t="str">
            <v>Botuliodu</v>
          </cell>
          <cell r="B21">
            <v>7264792000</v>
          </cell>
          <cell r="E21" t="str">
            <v>KUSU LOFRA</v>
          </cell>
          <cell r="F21" t="str">
            <v>belum ada</v>
          </cell>
          <cell r="I21" t="str">
            <v>SAWAI</v>
          </cell>
          <cell r="J21" t="str">
            <v>BIAK NUMFOR</v>
          </cell>
          <cell r="K21" t="str">
            <v>PAPUA</v>
          </cell>
          <cell r="L21" t="str">
            <v>PENYANGGA</v>
          </cell>
          <cell r="M21" t="str">
            <v>OK</v>
          </cell>
          <cell r="N21">
            <v>3450422000</v>
          </cell>
        </row>
        <row r="22">
          <cell r="A22" t="str">
            <v>Minaesa</v>
          </cell>
          <cell r="B22" t="str">
            <v>belum ada</v>
          </cell>
          <cell r="E22" t="str">
            <v>TAWABI</v>
          </cell>
          <cell r="F22" t="str">
            <v>belum ada</v>
          </cell>
          <cell r="I22" t="str">
            <v>ANGGADUBER</v>
          </cell>
          <cell r="J22" t="str">
            <v>BIAK NUMFOR</v>
          </cell>
          <cell r="K22" t="str">
            <v>PAPUA</v>
          </cell>
          <cell r="L22" t="str">
            <v>PENYANGGA</v>
          </cell>
          <cell r="M22" t="str">
            <v>OK</v>
          </cell>
          <cell r="N22">
            <v>2635225000</v>
          </cell>
        </row>
        <row r="23">
          <cell r="A23" t="str">
            <v>Lirang</v>
          </cell>
          <cell r="B23">
            <v>4976871000</v>
          </cell>
          <cell r="E23" t="str">
            <v>KUKUPANG</v>
          </cell>
          <cell r="F23" t="str">
            <v>belum ada</v>
          </cell>
          <cell r="I23" t="str">
            <v>OPIAREF</v>
          </cell>
          <cell r="J23" t="str">
            <v>BIAK NUMFOR</v>
          </cell>
          <cell r="K23" t="str">
            <v>PAPUA</v>
          </cell>
          <cell r="L23" t="str">
            <v>PENYANGGA</v>
          </cell>
          <cell r="M23" t="str">
            <v>OK</v>
          </cell>
          <cell r="N23">
            <v>4782707000</v>
          </cell>
        </row>
        <row r="24">
          <cell r="A24" t="str">
            <v>Iligon</v>
          </cell>
          <cell r="B24">
            <v>4969578000</v>
          </cell>
          <cell r="E24" t="str">
            <v>LELEOTO</v>
          </cell>
          <cell r="F24" t="str">
            <v>belum ada</v>
          </cell>
          <cell r="I24" t="str">
            <v>SAUKOBYE</v>
          </cell>
          <cell r="J24" t="str">
            <v>BIAK NUMFOR</v>
          </cell>
          <cell r="K24" t="str">
            <v>PAPUA</v>
          </cell>
          <cell r="L24" t="str">
            <v>PENYANGGA</v>
          </cell>
          <cell r="M24" t="str">
            <v>OK</v>
          </cell>
          <cell r="N24">
            <v>2947172000</v>
          </cell>
        </row>
        <row r="25">
          <cell r="A25" t="str">
            <v>Pinolantungan</v>
          </cell>
          <cell r="B25" t="str">
            <v>Rp 4,732,640,000</v>
          </cell>
          <cell r="E25" t="str">
            <v>TILEY</v>
          </cell>
          <cell r="F25" t="str">
            <v>belum ada</v>
          </cell>
          <cell r="I25" t="str">
            <v>BOSNABRAIDI</v>
          </cell>
          <cell r="J25" t="str">
            <v>BIAK NUMFOR</v>
          </cell>
          <cell r="K25" t="str">
            <v>PAPUA</v>
          </cell>
          <cell r="L25" t="str">
            <v>PENYANGGA</v>
          </cell>
          <cell r="M25" t="str">
            <v>OK</v>
          </cell>
          <cell r="N25">
            <v>3298524000</v>
          </cell>
        </row>
        <row r="26">
          <cell r="A26" t="str">
            <v>Tanjung Bunga</v>
          </cell>
          <cell r="B26">
            <v>3625810000</v>
          </cell>
          <cell r="E26" t="str">
            <v>KOLORAY</v>
          </cell>
          <cell r="F26" t="str">
            <v>belum ada</v>
          </cell>
          <cell r="I26" t="str">
            <v>YENBEPIOPER</v>
          </cell>
          <cell r="J26" t="str">
            <v>BIAK NUMFOR</v>
          </cell>
          <cell r="K26" t="str">
            <v>PAPUA</v>
          </cell>
          <cell r="L26" t="str">
            <v>HUB</v>
          </cell>
          <cell r="M26" t="str">
            <v>OK</v>
          </cell>
          <cell r="N26">
            <v>14348029000</v>
          </cell>
        </row>
        <row r="27">
          <cell r="A27" t="str">
            <v>Motto (Konservasi)</v>
          </cell>
          <cell r="B27">
            <v>4643570000</v>
          </cell>
          <cell r="E27" t="str">
            <v>PANGEO</v>
          </cell>
          <cell r="F27" t="str">
            <v>belum ada</v>
          </cell>
          <cell r="I27" t="str">
            <v>FARUSI</v>
          </cell>
          <cell r="J27" t="str">
            <v>BIAK NUMFOR</v>
          </cell>
          <cell r="K27" t="str">
            <v>PAPUA</v>
          </cell>
          <cell r="L27" t="str">
            <v>PENYANGGA</v>
          </cell>
          <cell r="M27" t="str">
            <v>OK</v>
          </cell>
          <cell r="N27">
            <v>6535962000</v>
          </cell>
        </row>
        <row r="28">
          <cell r="A28" t="str">
            <v>Sauk</v>
          </cell>
          <cell r="B28">
            <v>9729463000</v>
          </cell>
          <cell r="E28" t="str">
            <v>MATUTING</v>
          </cell>
          <cell r="F28" t="str">
            <v>belum ada</v>
          </cell>
          <cell r="I28" t="str">
            <v>INSIRI</v>
          </cell>
          <cell r="J28" t="str">
            <v>BIAK NUMFOR</v>
          </cell>
          <cell r="K28" t="str">
            <v>PAPUA</v>
          </cell>
          <cell r="L28" t="str">
            <v>PENYANGGA</v>
          </cell>
          <cell r="M28" t="str">
            <v>OK</v>
          </cell>
          <cell r="N28">
            <v>2949980000</v>
          </cell>
        </row>
        <row r="29">
          <cell r="A29" t="str">
            <v>Bowombaru</v>
          </cell>
          <cell r="B29">
            <v>3755957000</v>
          </cell>
          <cell r="E29" t="str">
            <v>TITIGOLI</v>
          </cell>
          <cell r="F29" t="str">
            <v>belum ada</v>
          </cell>
          <cell r="I29" t="str">
            <v>RARSBARI</v>
          </cell>
          <cell r="J29" t="str">
            <v>BIAK NUMFOR</v>
          </cell>
          <cell r="K29" t="str">
            <v>PAPUA</v>
          </cell>
          <cell r="L29" t="str">
            <v>PENYANGGA</v>
          </cell>
          <cell r="M29" t="str">
            <v>OK</v>
          </cell>
          <cell r="N29">
            <v>5011633000</v>
          </cell>
        </row>
        <row r="30">
          <cell r="A30" t="str">
            <v>Bitunuris Selatan</v>
          </cell>
          <cell r="B30">
            <v>7094881000</v>
          </cell>
          <cell r="E30" t="str">
            <v>SIDANGOLI DEHE</v>
          </cell>
          <cell r="F30">
            <v>6055334000</v>
          </cell>
          <cell r="I30" t="str">
            <v>WAROI</v>
          </cell>
          <cell r="J30" t="str">
            <v>BIAK NUMFOR</v>
          </cell>
          <cell r="K30" t="str">
            <v>PAPUA</v>
          </cell>
          <cell r="L30" t="str">
            <v>PENYANGGA</v>
          </cell>
          <cell r="M30" t="str">
            <v>OK</v>
          </cell>
          <cell r="N30">
            <v>4615801000</v>
          </cell>
        </row>
        <row r="31">
          <cell r="A31" t="str">
            <v>Awit Selatan</v>
          </cell>
          <cell r="B31">
            <v>4926621000</v>
          </cell>
          <cell r="E31" t="str">
            <v>GOTOWASI</v>
          </cell>
          <cell r="F31" t="str">
            <v>belum ada</v>
          </cell>
          <cell r="I31" t="str">
            <v>URFU</v>
          </cell>
          <cell r="J31" t="str">
            <v>BIAK NUMFOR</v>
          </cell>
          <cell r="K31" t="str">
            <v>PAPUA</v>
          </cell>
          <cell r="L31" t="str">
            <v>PENYANGGA</v>
          </cell>
          <cell r="M31" t="str">
            <v>OK</v>
          </cell>
          <cell r="N31">
            <v>2943172000</v>
          </cell>
        </row>
        <row r="32">
          <cell r="A32" t="str">
            <v>Tombulang Pantai</v>
          </cell>
          <cell r="B32" t="str">
            <v>Rp 5,072,962,000</v>
          </cell>
          <cell r="E32" t="str">
            <v>MESA</v>
          </cell>
          <cell r="F32" t="str">
            <v>belum ada</v>
          </cell>
          <cell r="I32" t="str">
            <v>ADOKI</v>
          </cell>
          <cell r="J32" t="str">
            <v>BIAK NUMFOR</v>
          </cell>
          <cell r="K32" t="str">
            <v>PAPUA</v>
          </cell>
          <cell r="L32" t="str">
            <v>PENYANGGA</v>
          </cell>
          <cell r="M32" t="str">
            <v>OK</v>
          </cell>
          <cell r="N32">
            <v>6546561000</v>
          </cell>
        </row>
        <row r="33">
          <cell r="A33" t="str">
            <v>Tanjung Sidupa</v>
          </cell>
          <cell r="B33">
            <v>4476989000</v>
          </cell>
          <cell r="E33" t="str">
            <v>LELEO</v>
          </cell>
          <cell r="F33" t="str">
            <v>belum ada</v>
          </cell>
          <cell r="I33" t="str">
            <v>INPENDI</v>
          </cell>
          <cell r="J33" t="str">
            <v>BIAK NUMFOR</v>
          </cell>
          <cell r="K33" t="str">
            <v>PAPUA</v>
          </cell>
          <cell r="L33" t="str">
            <v>PENYANGGA</v>
          </cell>
          <cell r="M33" t="str">
            <v>OK</v>
          </cell>
          <cell r="N33">
            <v>6234028000</v>
          </cell>
        </row>
        <row r="34">
          <cell r="A34" t="str">
            <v>Pulau Miangas 1</v>
          </cell>
          <cell r="B34" t="str">
            <v>Tidak Jadi</v>
          </cell>
          <cell r="E34" t="str">
            <v>TOLONUO</v>
          </cell>
          <cell r="F34" t="str">
            <v>belum ada</v>
          </cell>
          <cell r="I34" t="str">
            <v>AMPOMBUKOR</v>
          </cell>
          <cell r="J34" t="str">
            <v>BIAK NUMFOR</v>
          </cell>
          <cell r="K34" t="str">
            <v>PAPUA</v>
          </cell>
          <cell r="L34" t="str">
            <v>PENYANGGA</v>
          </cell>
          <cell r="M34" t="str">
            <v>OK</v>
          </cell>
          <cell r="N34">
            <v>4463519000</v>
          </cell>
        </row>
        <row r="35">
          <cell r="A35" t="str">
            <v>Pulau Miangas 2</v>
          </cell>
          <cell r="B35">
            <v>5725280000</v>
          </cell>
          <cell r="E35" t="str">
            <v>BAJO</v>
          </cell>
          <cell r="F35" t="str">
            <v>belum ada</v>
          </cell>
          <cell r="I35" t="str">
            <v>INPENDI</v>
          </cell>
          <cell r="J35" t="str">
            <v>BIAK NUMFOR</v>
          </cell>
          <cell r="K35" t="str">
            <v>PAPUA</v>
          </cell>
          <cell r="L35" t="str">
            <v>PENYANGGA</v>
          </cell>
          <cell r="M35" t="str">
            <v>OK</v>
          </cell>
          <cell r="N35">
            <v>6234028000</v>
          </cell>
        </row>
        <row r="36">
          <cell r="A36" t="str">
            <v>Bolangitang I</v>
          </cell>
          <cell r="B36">
            <v>8520908000</v>
          </cell>
          <cell r="E36" t="str">
            <v>BIBINOI</v>
          </cell>
          <cell r="F36" t="str">
            <v>belum ada</v>
          </cell>
          <cell r="I36" t="str">
            <v>KORNASUREN</v>
          </cell>
          <cell r="J36" t="str">
            <v>BIAK NUMFOR</v>
          </cell>
          <cell r="K36" t="str">
            <v>PAPUA</v>
          </cell>
          <cell r="L36" t="str">
            <v>HUB</v>
          </cell>
          <cell r="M36" t="str">
            <v>OK</v>
          </cell>
          <cell r="N36">
            <v>10559810000</v>
          </cell>
        </row>
        <row r="37">
          <cell r="A37" t="str">
            <v>Bukit Tinggi</v>
          </cell>
          <cell r="B37" t="str">
            <v>belum ada</v>
          </cell>
          <cell r="E37" t="str">
            <v>INDARI</v>
          </cell>
          <cell r="F37" t="str">
            <v>belum ada</v>
          </cell>
          <cell r="I37" t="str">
            <v>SERBIN</v>
          </cell>
          <cell r="J37" t="str">
            <v>BIAK NUMFOR</v>
          </cell>
          <cell r="K37" t="str">
            <v>PAPUA</v>
          </cell>
          <cell r="L37" t="str">
            <v>PENYANGGA</v>
          </cell>
          <cell r="M37" t="str">
            <v>OK</v>
          </cell>
          <cell r="N37">
            <v>6299627000</v>
          </cell>
        </row>
        <row r="38">
          <cell r="A38" t="str">
            <v>Matani Satu</v>
          </cell>
          <cell r="B38">
            <v>4085010000</v>
          </cell>
          <cell r="E38" t="str">
            <v>LALUIN</v>
          </cell>
          <cell r="F38" t="str">
            <v>belum ada</v>
          </cell>
          <cell r="I38" t="str">
            <v>MANDORI</v>
          </cell>
          <cell r="J38" t="str">
            <v>BIAK NUMFOR</v>
          </cell>
          <cell r="K38" t="str">
            <v>PAPUA</v>
          </cell>
          <cell r="L38" t="str">
            <v>PENYANGGA</v>
          </cell>
          <cell r="M38" t="str">
            <v>OK</v>
          </cell>
          <cell r="N38">
            <v>3702394000</v>
          </cell>
        </row>
        <row r="39">
          <cell r="A39" t="str">
            <v>Ranomea</v>
          </cell>
          <cell r="B39">
            <v>3972484000</v>
          </cell>
          <cell r="E39" t="str">
            <v>MANO</v>
          </cell>
          <cell r="F39" t="str">
            <v>belum ada</v>
          </cell>
          <cell r="I39" t="str">
            <v>ANDEY</v>
          </cell>
          <cell r="J39" t="str">
            <v>BIAK NUMFOR</v>
          </cell>
          <cell r="K39" t="str">
            <v>PAPUA</v>
          </cell>
          <cell r="L39" t="str">
            <v>PENYANGGA</v>
          </cell>
          <cell r="M39" t="str">
            <v>OK</v>
          </cell>
          <cell r="N39">
            <v>4944355000</v>
          </cell>
        </row>
        <row r="40">
          <cell r="A40" t="str">
            <v>Jiko</v>
          </cell>
          <cell r="B40" t="str">
            <v>belum ada</v>
          </cell>
          <cell r="E40" t="str">
            <v>SILANG</v>
          </cell>
          <cell r="F40" t="str">
            <v>belum ada</v>
          </cell>
          <cell r="I40" t="str">
            <v>SAURIBRU</v>
          </cell>
          <cell r="J40" t="str">
            <v>BIAK NUMFOR</v>
          </cell>
          <cell r="K40" t="str">
            <v>PAPUA</v>
          </cell>
          <cell r="L40" t="str">
            <v>PENYANGGA</v>
          </cell>
          <cell r="M40" t="str">
            <v>OK</v>
          </cell>
          <cell r="N40">
            <v>4740384000</v>
          </cell>
        </row>
        <row r="41">
          <cell r="A41" t="str">
            <v>Iyok</v>
          </cell>
          <cell r="B41">
            <v>4480364000</v>
          </cell>
          <cell r="E41" t="str">
            <v>BAKA JAYA</v>
          </cell>
          <cell r="F41" t="str">
            <v>belum ada</v>
          </cell>
          <cell r="I41" t="str">
            <v>ASARYENDI</v>
          </cell>
          <cell r="J41" t="str">
            <v>BIAK NUMFOR</v>
          </cell>
          <cell r="K41" t="str">
            <v>PAPUA</v>
          </cell>
          <cell r="L41" t="str">
            <v>PENYANGGA</v>
          </cell>
          <cell r="M41" t="str">
            <v>OK</v>
          </cell>
          <cell r="N41">
            <v>6210293000</v>
          </cell>
        </row>
        <row r="42">
          <cell r="A42" t="str">
            <v>Loyow</v>
          </cell>
          <cell r="B42">
            <v>3938916000</v>
          </cell>
          <cell r="E42" t="str">
            <v>KOITITI</v>
          </cell>
          <cell r="F42" t="str">
            <v>belum ada</v>
          </cell>
          <cell r="I42" t="str">
            <v>MURIS KECIL</v>
          </cell>
          <cell r="J42" t="str">
            <v>JAYAPURA</v>
          </cell>
          <cell r="K42" t="str">
            <v>PAPUA</v>
          </cell>
          <cell r="L42" t="str">
            <v>HUB</v>
          </cell>
          <cell r="M42" t="str">
            <v>SELESAI</v>
          </cell>
          <cell r="N42">
            <v>15077222000</v>
          </cell>
        </row>
        <row r="43">
          <cell r="A43" t="str">
            <v>Modisi</v>
          </cell>
          <cell r="B43">
            <v>3587043000</v>
          </cell>
          <cell r="E43" t="str">
            <v>PULAU GALA</v>
          </cell>
          <cell r="F43" t="str">
            <v>belum ada</v>
          </cell>
          <cell r="I43" t="str">
            <v>KAMDERA</v>
          </cell>
          <cell r="J43" t="str">
            <v>JAYAPURA</v>
          </cell>
          <cell r="K43" t="str">
            <v>PAPUA</v>
          </cell>
          <cell r="L43" t="str">
            <v>PENYANGGA</v>
          </cell>
          <cell r="M43" t="str">
            <v>SELESAI</v>
          </cell>
          <cell r="N43">
            <v>6853739000</v>
          </cell>
        </row>
        <row r="44">
          <cell r="A44" t="str">
            <v>Deaga</v>
          </cell>
          <cell r="B44">
            <v>3471639000</v>
          </cell>
          <cell r="E44" t="str">
            <v>MAJIKO TONGONE</v>
          </cell>
          <cell r="F44" t="str">
            <v>belum ada</v>
          </cell>
          <cell r="I44" t="str">
            <v>AMBORA</v>
          </cell>
          <cell r="J44" t="str">
            <v>JAYAPURA</v>
          </cell>
          <cell r="K44" t="str">
            <v>PAPUA</v>
          </cell>
          <cell r="L44" t="str">
            <v>PENYANGGA</v>
          </cell>
          <cell r="M44" t="str">
            <v>SELESAI</v>
          </cell>
          <cell r="N44">
            <v>6776085000</v>
          </cell>
        </row>
        <row r="45">
          <cell r="A45" t="str">
            <v>Likupang Kampung Ambong</v>
          </cell>
          <cell r="B45" t="str">
            <v>belum ada</v>
          </cell>
          <cell r="E45" t="str">
            <v>MAMOLE</v>
          </cell>
          <cell r="F45" t="str">
            <v>belum ada</v>
          </cell>
          <cell r="I45" t="str">
            <v>MUAIF</v>
          </cell>
          <cell r="J45" t="str">
            <v>JAYAPURA</v>
          </cell>
          <cell r="K45" t="str">
            <v>PAPUA</v>
          </cell>
          <cell r="L45" t="str">
            <v>PENYANGGA</v>
          </cell>
          <cell r="M45" t="str">
            <v>SELESAI</v>
          </cell>
          <cell r="N45">
            <v>5482387000</v>
          </cell>
        </row>
        <row r="46">
          <cell r="A46" t="str">
            <v>Tabilaa</v>
          </cell>
          <cell r="B46" t="str">
            <v>Rp 5,599,181,000</v>
          </cell>
          <cell r="E46" t="str">
            <v>PATLEAN</v>
          </cell>
          <cell r="F46" t="str">
            <v>belum ada</v>
          </cell>
          <cell r="I46" t="str">
            <v>YAKORE</v>
          </cell>
          <cell r="J46" t="str">
            <v>JAYAPURA</v>
          </cell>
          <cell r="K46" t="str">
            <v>PAPUA</v>
          </cell>
          <cell r="L46" t="str">
            <v>PENYANGGA</v>
          </cell>
          <cell r="M46" t="str">
            <v>SELESAI</v>
          </cell>
          <cell r="N46">
            <v>5028979000</v>
          </cell>
        </row>
        <row r="47">
          <cell r="A47" t="str">
            <v>Momalia II</v>
          </cell>
          <cell r="B47" t="str">
            <v>belum ada</v>
          </cell>
          <cell r="E47" t="str">
            <v>SARAMAAKE</v>
          </cell>
          <cell r="F47" t="str">
            <v>belum ada</v>
          </cell>
          <cell r="I47" t="str">
            <v>MARUWI</v>
          </cell>
          <cell r="J47" t="str">
            <v>JAYAPURA</v>
          </cell>
          <cell r="K47" t="str">
            <v>PAPUA</v>
          </cell>
          <cell r="L47" t="str">
            <v>PENYANGGA</v>
          </cell>
          <cell r="M47" t="str">
            <v>SELESAI</v>
          </cell>
          <cell r="N47">
            <v>5585520000</v>
          </cell>
        </row>
        <row r="48">
          <cell r="A48" t="str">
            <v>Dalum</v>
          </cell>
          <cell r="B48" t="str">
            <v>belum ada</v>
          </cell>
          <cell r="E48" t="str">
            <v>SIL</v>
          </cell>
          <cell r="F48" t="str">
            <v>belum ada</v>
          </cell>
          <cell r="I48" t="str">
            <v>YOMGSU DESOYO</v>
          </cell>
          <cell r="J48" t="str">
            <v>JAYAPURA</v>
          </cell>
          <cell r="K48" t="str">
            <v>PAPUA</v>
          </cell>
          <cell r="L48" t="str">
            <v>PENYANGGA</v>
          </cell>
          <cell r="N48">
            <v>5474030000</v>
          </cell>
        </row>
        <row r="49">
          <cell r="E49" t="str">
            <v>SOAGIMALAHA</v>
          </cell>
          <cell r="F49" t="str">
            <v>belum ada</v>
          </cell>
          <cell r="I49" t="str">
            <v>KENDATE</v>
          </cell>
          <cell r="J49" t="str">
            <v>JAYAPURA</v>
          </cell>
          <cell r="K49" t="str">
            <v>PAPUA</v>
          </cell>
          <cell r="L49" t="str">
            <v>PENYANGGA</v>
          </cell>
          <cell r="M49" t="str">
            <v>OK</v>
          </cell>
          <cell r="N49">
            <v>6035688000</v>
          </cell>
        </row>
        <row r="50">
          <cell r="E50" t="str">
            <v>SUBAIM</v>
          </cell>
          <cell r="F50" t="str">
            <v>belum ada</v>
          </cell>
          <cell r="I50" t="str">
            <v>DOROMENA</v>
          </cell>
          <cell r="J50" t="str">
            <v>JAYAPURA</v>
          </cell>
          <cell r="K50" t="str">
            <v>PAPUA</v>
          </cell>
          <cell r="L50" t="str">
            <v>PENYANGGA</v>
          </cell>
          <cell r="M50" t="str">
            <v>OK</v>
          </cell>
          <cell r="N50">
            <v>4425551000</v>
          </cell>
        </row>
        <row r="51">
          <cell r="E51" t="str">
            <v>FALABISAHAYA</v>
          </cell>
          <cell r="F51" t="str">
            <v>belum ada</v>
          </cell>
          <cell r="I51" t="str">
            <v>MEUKISI</v>
          </cell>
          <cell r="J51" t="str">
            <v>JAYAPURA</v>
          </cell>
          <cell r="K51" t="str">
            <v>PAPUA</v>
          </cell>
          <cell r="L51" t="str">
            <v>PENYANGGA</v>
          </cell>
          <cell r="M51" t="str">
            <v>OK</v>
          </cell>
          <cell r="N51">
            <v>6222345000</v>
          </cell>
        </row>
        <row r="52">
          <cell r="E52" t="str">
            <v>KABAU PANTAI</v>
          </cell>
          <cell r="F52" t="str">
            <v>belum ada</v>
          </cell>
          <cell r="I52" t="str">
            <v>WAIYA</v>
          </cell>
          <cell r="J52" t="str">
            <v>JAYAPURA</v>
          </cell>
          <cell r="K52" t="str">
            <v>PAPUA</v>
          </cell>
          <cell r="L52" t="str">
            <v>PENYANGGA</v>
          </cell>
          <cell r="M52" t="str">
            <v>OK</v>
          </cell>
          <cell r="N52">
            <v>3051391000</v>
          </cell>
        </row>
        <row r="53">
          <cell r="E53" t="str">
            <v>LELYABA</v>
          </cell>
          <cell r="F53" t="str">
            <v>belum ada</v>
          </cell>
          <cell r="I53" t="str">
            <v>TABLASUPA</v>
          </cell>
          <cell r="J53" t="str">
            <v>JAYAPURA</v>
          </cell>
          <cell r="K53" t="str">
            <v>PAPUA</v>
          </cell>
          <cell r="L53" t="str">
            <v>PENYANGGA</v>
          </cell>
          <cell r="M53" t="str">
            <v>OK</v>
          </cell>
          <cell r="N53">
            <v>4225655000</v>
          </cell>
        </row>
        <row r="54">
          <cell r="E54" t="str">
            <v>MALBUFA</v>
          </cell>
          <cell r="F54" t="str">
            <v>belum ada</v>
          </cell>
          <cell r="I54" t="str">
            <v>YONGSU DOSOYO</v>
          </cell>
          <cell r="J54" t="str">
            <v>JAYAPURA</v>
          </cell>
          <cell r="K54" t="str">
            <v>PAPUA</v>
          </cell>
          <cell r="L54" t="str">
            <v>PENYANGGA</v>
          </cell>
          <cell r="M54" t="str">
            <v>OK</v>
          </cell>
          <cell r="N54">
            <v>5474030000</v>
          </cell>
        </row>
        <row r="55">
          <cell r="E55" t="str">
            <v>WAIBOGA</v>
          </cell>
          <cell r="F55" t="str">
            <v>belum ada</v>
          </cell>
          <cell r="I55" t="str">
            <v>KAYA BATO</v>
          </cell>
          <cell r="J55" t="str">
            <v>JAYAPURA</v>
          </cell>
          <cell r="K55" t="str">
            <v>PAPUA</v>
          </cell>
          <cell r="L55" t="str">
            <v>HUB</v>
          </cell>
          <cell r="M55" t="str">
            <v>OK</v>
          </cell>
          <cell r="N55">
            <v>11471555000</v>
          </cell>
        </row>
        <row r="56">
          <cell r="E56" t="str">
            <v>BOBALE</v>
          </cell>
          <cell r="F56" t="str">
            <v>belum ada</v>
          </cell>
          <cell r="I56" t="str">
            <v>SOROMASEM</v>
          </cell>
          <cell r="J56" t="str">
            <v>KEP. YAPEN</v>
          </cell>
          <cell r="K56" t="str">
            <v>PAPUA</v>
          </cell>
          <cell r="L56" t="str">
            <v>HUB</v>
          </cell>
          <cell r="M56" t="str">
            <v>SELESAI</v>
          </cell>
          <cell r="N56">
            <v>12485799000</v>
          </cell>
        </row>
        <row r="57">
          <cell r="E57" t="str">
            <v>DARUBA</v>
          </cell>
          <cell r="F57" t="str">
            <v>belum ada</v>
          </cell>
          <cell r="I57" t="str">
            <v>AMPOMOI</v>
          </cell>
          <cell r="J57" t="str">
            <v>KEP. YAPEN</v>
          </cell>
          <cell r="K57" t="str">
            <v>PAPUA</v>
          </cell>
          <cell r="L57" t="str">
            <v>PENYANGGA</v>
          </cell>
          <cell r="M57" t="str">
            <v>SELESAI</v>
          </cell>
          <cell r="N57">
            <v>6773767000</v>
          </cell>
        </row>
        <row r="58">
          <cell r="E58" t="str">
            <v>POSI POSI</v>
          </cell>
          <cell r="F58" t="str">
            <v>belum ada</v>
          </cell>
          <cell r="I58" t="str">
            <v>MUNGGUI</v>
          </cell>
          <cell r="J58" t="str">
            <v>KEP. YAPEN</v>
          </cell>
          <cell r="K58" t="str">
            <v>PAPUA</v>
          </cell>
          <cell r="L58" t="str">
            <v>PENYANGGA</v>
          </cell>
          <cell r="M58" t="str">
            <v>SELESAI</v>
          </cell>
          <cell r="N58">
            <v>5460444000</v>
          </cell>
        </row>
        <row r="59">
          <cell r="E59" t="str">
            <v>WAYABULA</v>
          </cell>
          <cell r="F59" t="str">
            <v>belum ada</v>
          </cell>
          <cell r="I59" t="str">
            <v>NUAWI</v>
          </cell>
          <cell r="J59" t="str">
            <v>KEP. YAPEN</v>
          </cell>
          <cell r="K59" t="str">
            <v>PAPUA</v>
          </cell>
          <cell r="L59" t="str">
            <v>PENYANGGA</v>
          </cell>
          <cell r="M59" t="str">
            <v>SELESAI</v>
          </cell>
          <cell r="N59">
            <v>6281070000</v>
          </cell>
        </row>
        <row r="60">
          <cell r="E60" t="str">
            <v>GALEBO</v>
          </cell>
          <cell r="F60" t="str">
            <v>belum ada</v>
          </cell>
          <cell r="I60" t="str">
            <v>KOROMBOBI</v>
          </cell>
          <cell r="J60" t="str">
            <v>KEP. YAPEN</v>
          </cell>
          <cell r="K60" t="str">
            <v>PAPUA</v>
          </cell>
          <cell r="L60" t="str">
            <v>HUB</v>
          </cell>
          <cell r="M60" t="str">
            <v>SELESAI</v>
          </cell>
          <cell r="N60">
            <v>11345677000</v>
          </cell>
        </row>
        <row r="61">
          <cell r="E61" t="str">
            <v>JORJOGA</v>
          </cell>
          <cell r="F61" t="str">
            <v>belum ada</v>
          </cell>
          <cell r="I61" t="str">
            <v>KAIPURI</v>
          </cell>
          <cell r="J61" t="str">
            <v>KEP. YAPEN</v>
          </cell>
          <cell r="K61" t="str">
            <v>PAPUA</v>
          </cell>
          <cell r="L61" t="str">
            <v>PENYANGGA</v>
          </cell>
          <cell r="M61" t="str">
            <v>SELESAI</v>
          </cell>
          <cell r="N61">
            <v>6086880000</v>
          </cell>
        </row>
        <row r="62">
          <cell r="E62" t="str">
            <v>LIMBO</v>
          </cell>
          <cell r="F62" t="str">
            <v>belum ada</v>
          </cell>
          <cell r="I62" t="str">
            <v>DAWAI</v>
          </cell>
          <cell r="J62" t="str">
            <v>KEP. YAPEN</v>
          </cell>
          <cell r="K62" t="str">
            <v>PAPUA</v>
          </cell>
          <cell r="L62" t="str">
            <v>PENYANGGA</v>
          </cell>
          <cell r="N62">
            <v>6903884000</v>
          </cell>
        </row>
        <row r="63">
          <cell r="E63" t="str">
            <v>LOSENG</v>
          </cell>
          <cell r="F63" t="str">
            <v>belum ada</v>
          </cell>
          <cell r="I63" t="str">
            <v>BARERAIF</v>
          </cell>
          <cell r="J63" t="str">
            <v>KEP. YAPEN</v>
          </cell>
          <cell r="K63" t="str">
            <v>PAPUA</v>
          </cell>
          <cell r="L63" t="str">
            <v>PENYANGGA</v>
          </cell>
          <cell r="M63" t="str">
            <v>SELESAI</v>
          </cell>
          <cell r="N63">
            <v>6903884000</v>
          </cell>
        </row>
        <row r="64">
          <cell r="E64" t="str">
            <v>NUNU</v>
          </cell>
          <cell r="F64" t="str">
            <v>belum ada</v>
          </cell>
          <cell r="I64" t="str">
            <v>MNUKWAR</v>
          </cell>
          <cell r="J64" t="str">
            <v>KEP. YAPEN</v>
          </cell>
          <cell r="K64" t="str">
            <v>PAPUA</v>
          </cell>
          <cell r="L64" t="str">
            <v>PENYANGGA</v>
          </cell>
          <cell r="M64" t="str">
            <v>SELESAI</v>
          </cell>
          <cell r="N64">
            <v>6224132000</v>
          </cell>
        </row>
        <row r="65">
          <cell r="E65" t="str">
            <v>SAMUYA</v>
          </cell>
          <cell r="F65" t="str">
            <v>belum ada</v>
          </cell>
          <cell r="I65" t="str">
            <v>MIOSNUM</v>
          </cell>
          <cell r="J65" t="str">
            <v>KEP. YAPEN</v>
          </cell>
          <cell r="K65" t="str">
            <v>PAPUA</v>
          </cell>
          <cell r="L65" t="str">
            <v>HUB</v>
          </cell>
          <cell r="M65" t="str">
            <v>SELESAI</v>
          </cell>
          <cell r="N65">
            <v>10902438000</v>
          </cell>
        </row>
        <row r="66">
          <cell r="E66" t="str">
            <v>TALO</v>
          </cell>
          <cell r="F66" t="str">
            <v>belum ada</v>
          </cell>
          <cell r="I66" t="str">
            <v>JAYMARIA</v>
          </cell>
          <cell r="J66" t="str">
            <v>KEP. YAPEN</v>
          </cell>
          <cell r="K66" t="str">
            <v>PAPUA</v>
          </cell>
          <cell r="L66" t="str">
            <v>PENYANGGA</v>
          </cell>
          <cell r="M66" t="str">
            <v>SELESAI</v>
          </cell>
          <cell r="N66">
            <v>6193249000</v>
          </cell>
        </row>
        <row r="67">
          <cell r="E67" t="str">
            <v>WAYO</v>
          </cell>
          <cell r="F67" t="str">
            <v>belum ada</v>
          </cell>
          <cell r="I67" t="str">
            <v>MANIRI</v>
          </cell>
          <cell r="J67" t="str">
            <v>KEP. YAPEN</v>
          </cell>
          <cell r="K67" t="str">
            <v>PAPUA</v>
          </cell>
          <cell r="L67" t="str">
            <v>PENYANGGA</v>
          </cell>
          <cell r="M67" t="str">
            <v>SELESAI</v>
          </cell>
          <cell r="N67">
            <v>6174909000</v>
          </cell>
        </row>
        <row r="68">
          <cell r="E68" t="str">
            <v>SAKAM</v>
          </cell>
          <cell r="F68" t="str">
            <v>belum ada</v>
          </cell>
          <cell r="I68" t="str">
            <v>INOWA</v>
          </cell>
          <cell r="J68" t="str">
            <v>KEP. YAPEN</v>
          </cell>
          <cell r="K68" t="str">
            <v>PAPUA</v>
          </cell>
          <cell r="L68" t="str">
            <v>PENYANGGA</v>
          </cell>
          <cell r="M68" t="str">
            <v>SELESAI</v>
          </cell>
          <cell r="N68">
            <v>5694456000</v>
          </cell>
        </row>
        <row r="69">
          <cell r="E69" t="str">
            <v>KASANGO</v>
          </cell>
          <cell r="F69" t="str">
            <v>belum ada</v>
          </cell>
          <cell r="I69" t="str">
            <v>MOIWANI</v>
          </cell>
          <cell r="J69" t="str">
            <v>KEP. YAPEN</v>
          </cell>
          <cell r="K69" t="str">
            <v>PAPUA</v>
          </cell>
          <cell r="L69" t="str">
            <v>PENYANGGA</v>
          </cell>
          <cell r="M69" t="str">
            <v>SELESAI</v>
          </cell>
          <cell r="N69">
            <v>6435671000</v>
          </cell>
        </row>
        <row r="70">
          <cell r="E70" t="str">
            <v>MABA</v>
          </cell>
          <cell r="F70" t="str">
            <v>belum ada</v>
          </cell>
          <cell r="I70" t="str">
            <v>KETUAPI</v>
          </cell>
          <cell r="J70" t="str">
            <v>KEP. YAPEN</v>
          </cell>
          <cell r="K70" t="str">
            <v>PAPUA</v>
          </cell>
          <cell r="L70" t="str">
            <v>PENYANGGA</v>
          </cell>
          <cell r="M70" t="str">
            <v>SELESAI</v>
          </cell>
          <cell r="N70">
            <v>5293533000</v>
          </cell>
        </row>
        <row r="71">
          <cell r="E71" t="str">
            <v>DAMA</v>
          </cell>
          <cell r="F71" t="str">
            <v>belum ada</v>
          </cell>
          <cell r="I71" t="str">
            <v>TATUI</v>
          </cell>
          <cell r="J71" t="str">
            <v>KEP. YAPEN</v>
          </cell>
          <cell r="K71" t="str">
            <v>PAPUA</v>
          </cell>
          <cell r="L71" t="str">
            <v>HUB</v>
          </cell>
          <cell r="M71" t="str">
            <v>SELESAI</v>
          </cell>
          <cell r="N71">
            <v>10767204000</v>
          </cell>
        </row>
        <row r="72">
          <cell r="I72" t="str">
            <v>RAMBAI</v>
          </cell>
          <cell r="J72" t="str">
            <v>KEP. YAPEN</v>
          </cell>
          <cell r="K72" t="str">
            <v>PAPUA</v>
          </cell>
          <cell r="L72" t="str">
            <v>PENYANGGA</v>
          </cell>
          <cell r="M72" t="str">
            <v>SELESAI</v>
          </cell>
          <cell r="N72">
            <v>5502207000</v>
          </cell>
        </row>
        <row r="73">
          <cell r="I73" t="str">
            <v>WADAPI</v>
          </cell>
          <cell r="J73" t="str">
            <v>KEP. YAPEN</v>
          </cell>
          <cell r="K73" t="str">
            <v>PAPUA</v>
          </cell>
          <cell r="L73" t="str">
            <v>PENYANGGA</v>
          </cell>
          <cell r="M73" t="str">
            <v>SELESAI</v>
          </cell>
          <cell r="N73">
            <v>5488808000</v>
          </cell>
        </row>
        <row r="74">
          <cell r="I74" t="str">
            <v>TOROA</v>
          </cell>
          <cell r="J74" t="str">
            <v>KEP. YAPEN</v>
          </cell>
          <cell r="K74" t="str">
            <v>PAPUA</v>
          </cell>
          <cell r="L74" t="str">
            <v>PENYANGGA</v>
          </cell>
          <cell r="M74" t="str">
            <v>SELESAI</v>
          </cell>
          <cell r="N74">
            <v>5403466000</v>
          </cell>
        </row>
        <row r="75">
          <cell r="I75" t="str">
            <v>MARAWI</v>
          </cell>
          <cell r="J75" t="str">
            <v>KEP. YAPEN</v>
          </cell>
          <cell r="K75" t="str">
            <v>PAPUA</v>
          </cell>
          <cell r="L75" t="str">
            <v>HUB</v>
          </cell>
          <cell r="M75" t="str">
            <v>SELESAI</v>
          </cell>
          <cell r="N75">
            <v>9783223000</v>
          </cell>
        </row>
      </sheetData>
      <sheetData sheetId="16"/>
      <sheetData sheetId="17">
        <row r="1">
          <cell r="D1" t="str">
            <v>DESA</v>
          </cell>
          <cell r="E1" t="str">
            <v>PAGU</v>
          </cell>
          <cell r="F1" t="str">
            <v>HPS</v>
          </cell>
          <cell r="G1" t="str">
            <v>STATUS USULAN</v>
          </cell>
        </row>
        <row r="2">
          <cell r="D2" t="str">
            <v>Muara Pagatan</v>
          </cell>
          <cell r="E2">
            <v>5126300000</v>
          </cell>
          <cell r="F2">
            <v>5125894000</v>
          </cell>
          <cell r="G2" t="str">
            <v>Nodin 11 Juli 2026</v>
          </cell>
        </row>
        <row r="3">
          <cell r="D3" t="str">
            <v>Setarap</v>
          </cell>
          <cell r="E3">
            <v>8868548000</v>
          </cell>
          <cell r="F3">
            <v>8868028000</v>
          </cell>
          <cell r="G3" t="str">
            <v>Nodin 11 Juli 2026</v>
          </cell>
        </row>
        <row r="4">
          <cell r="D4" t="str">
            <v>Belaras</v>
          </cell>
          <cell r="E4">
            <v>3153132000</v>
          </cell>
          <cell r="F4">
            <v>3153132000</v>
          </cell>
          <cell r="G4" t="str">
            <v>Nodin 11 Juli 2026</v>
          </cell>
        </row>
        <row r="5">
          <cell r="D5" t="str">
            <v>Tanjung Pasir</v>
          </cell>
          <cell r="E5">
            <v>4687566000</v>
          </cell>
          <cell r="F5">
            <v>4687450000</v>
          </cell>
          <cell r="G5" t="str">
            <v>Nodin 10 Juli 2026</v>
          </cell>
        </row>
        <row r="6">
          <cell r="D6" t="str">
            <v>Tanah Merah</v>
          </cell>
          <cell r="E6">
            <v>5076962000</v>
          </cell>
          <cell r="F6">
            <v>5076394000</v>
          </cell>
          <cell r="G6" t="str">
            <v>Nodin 10 Juli 2026</v>
          </cell>
        </row>
        <row r="7">
          <cell r="D7" t="str">
            <v>Buncu</v>
          </cell>
          <cell r="E7">
            <v>2838876000</v>
          </cell>
          <cell r="F7">
            <v>2838404000</v>
          </cell>
          <cell r="G7" t="str">
            <v>Nodin 10 Juli 2026</v>
          </cell>
        </row>
        <row r="8">
          <cell r="D8" t="str">
            <v>Kore</v>
          </cell>
          <cell r="E8">
            <v>2510688000</v>
          </cell>
          <cell r="F8">
            <v>2510201000</v>
          </cell>
          <cell r="G8" t="str">
            <v>Nodin 11 Juli 2026</v>
          </cell>
        </row>
        <row r="9">
          <cell r="D9" t="str">
            <v>Lamere</v>
          </cell>
          <cell r="E9">
            <v>4130181000</v>
          </cell>
          <cell r="F9">
            <v>4129699000</v>
          </cell>
          <cell r="G9" t="str">
            <v>Nodin 11 Juli 2026</v>
          </cell>
        </row>
        <row r="10">
          <cell r="D10" t="str">
            <v>Pasar Seluma</v>
          </cell>
          <cell r="E10">
            <v>4015716000</v>
          </cell>
          <cell r="F10">
            <v>4015716000</v>
          </cell>
          <cell r="G10" t="str">
            <v>Nodin 11 Juli 2026</v>
          </cell>
        </row>
        <row r="11">
          <cell r="D11" t="str">
            <v>Tanjung Pandan</v>
          </cell>
          <cell r="F11">
            <v>3660362000</v>
          </cell>
          <cell r="G11" t="str">
            <v>Nodin 10 Juli 2026</v>
          </cell>
        </row>
        <row r="12">
          <cell r="D12" t="str">
            <v>Koto Jaya</v>
          </cell>
          <cell r="F12">
            <v>3647533000</v>
          </cell>
          <cell r="G12" t="str">
            <v>Nodin 10 Juli 2026</v>
          </cell>
        </row>
        <row r="13">
          <cell r="D13" t="str">
            <v>Pasir Putih</v>
          </cell>
          <cell r="E13">
            <v>5324809000</v>
          </cell>
          <cell r="F13">
            <v>5324261000</v>
          </cell>
          <cell r="G13" t="str">
            <v>Nodin 10 Juli 2026</v>
          </cell>
        </row>
        <row r="14">
          <cell r="D14" t="str">
            <v>Ketapang Baru</v>
          </cell>
          <cell r="E14">
            <v>3775059000</v>
          </cell>
          <cell r="F14">
            <v>3775059000</v>
          </cell>
          <cell r="G14" t="str">
            <v>Nodin 10 Juli 2026</v>
          </cell>
        </row>
        <row r="15">
          <cell r="D15" t="str">
            <v>Kungkai Baru</v>
          </cell>
          <cell r="E15">
            <v>9684757000</v>
          </cell>
          <cell r="F15">
            <v>9684757000</v>
          </cell>
          <cell r="G15" t="str">
            <v>Nodin 10 Juli 2026</v>
          </cell>
        </row>
        <row r="16">
          <cell r="D16" t="str">
            <v>Batakan</v>
          </cell>
          <cell r="E16">
            <v>6911341000</v>
          </cell>
          <cell r="F16">
            <v>6910829000</v>
          </cell>
          <cell r="G16" t="str">
            <v>Nodin 11 Juli 2026</v>
          </cell>
        </row>
        <row r="17">
          <cell r="D17" t="str">
            <v>Kuala Tambangan</v>
          </cell>
          <cell r="E17">
            <v>11504593000</v>
          </cell>
          <cell r="F17">
            <v>11504121000</v>
          </cell>
          <cell r="G17" t="str">
            <v>Nodin 11 Juli 2026</v>
          </cell>
        </row>
        <row r="18">
          <cell r="D18" t="str">
            <v>Muara Asam-Asam</v>
          </cell>
          <cell r="E18">
            <v>6454707000</v>
          </cell>
          <cell r="F18">
            <v>6454571000</v>
          </cell>
        </row>
        <row r="19">
          <cell r="D19" t="str">
            <v>Pagatan Besar</v>
          </cell>
          <cell r="E19">
            <v>4450337000</v>
          </cell>
          <cell r="F19">
            <v>4450202000</v>
          </cell>
          <cell r="G19" t="str">
            <v>Nodin 10 Juli 2026</v>
          </cell>
        </row>
        <row r="20">
          <cell r="D20" t="str">
            <v>Muara Maras</v>
          </cell>
          <cell r="E20">
            <v>6154836000</v>
          </cell>
          <cell r="F20">
            <v>6154836000</v>
          </cell>
          <cell r="G20" t="str">
            <v>Nodin 10 Juli 2026</v>
          </cell>
        </row>
        <row r="21">
          <cell r="D21" t="str">
            <v>Ringin Agung</v>
          </cell>
          <cell r="E21">
            <v>2762580000</v>
          </cell>
          <cell r="F21">
            <v>2762580000</v>
          </cell>
          <cell r="G21" t="str">
            <v>Nodin 10 Juli 2026</v>
          </cell>
        </row>
        <row r="22">
          <cell r="D22" t="str">
            <v>Suka Baru</v>
          </cell>
          <cell r="E22">
            <v>2913436000</v>
          </cell>
          <cell r="F22">
            <v>2913048000</v>
          </cell>
          <cell r="G22" t="str">
            <v>Nodin 10 Juli 2026</v>
          </cell>
        </row>
        <row r="23">
          <cell r="D23" t="str">
            <v>Deluk</v>
          </cell>
          <cell r="E23">
            <v>6105695000</v>
          </cell>
          <cell r="F23">
            <v>4405873000</v>
          </cell>
          <cell r="G23" t="str">
            <v>Nodin 10 Juli 2026</v>
          </cell>
        </row>
        <row r="24">
          <cell r="D24" t="str">
            <v>Kuala Alam</v>
          </cell>
          <cell r="E24">
            <v>6105695000</v>
          </cell>
          <cell r="F24">
            <v>3232323000</v>
          </cell>
          <cell r="G24" t="str">
            <v>Nodin 6 Juli 2026</v>
          </cell>
        </row>
        <row r="25">
          <cell r="D25" t="str">
            <v>Meskom</v>
          </cell>
          <cell r="E25">
            <v>6105695000</v>
          </cell>
          <cell r="F25">
            <v>3747928000</v>
          </cell>
          <cell r="G25" t="str">
            <v>Nodin 6 Juli 2026</v>
          </cell>
        </row>
        <row r="26">
          <cell r="D26" t="str">
            <v>Muntai</v>
          </cell>
          <cell r="E26">
            <v>5068290000</v>
          </cell>
          <cell r="F26">
            <v>5076818000</v>
          </cell>
          <cell r="G26" t="str">
            <v>Nodin 6 Juli 2026</v>
          </cell>
        </row>
        <row r="27">
          <cell r="D27" t="str">
            <v>Lambu</v>
          </cell>
          <cell r="E27">
            <v>2625409000</v>
          </cell>
          <cell r="F27">
            <v>2624918000</v>
          </cell>
          <cell r="G27" t="str">
            <v>Nodin 6 Juli 2026</v>
          </cell>
        </row>
        <row r="28">
          <cell r="D28" t="str">
            <v>Piong</v>
          </cell>
          <cell r="E28">
            <v>2939612000</v>
          </cell>
          <cell r="F28">
            <v>2939152000</v>
          </cell>
          <cell r="G28" t="str">
            <v>Nodin 6 Juli 2026</v>
          </cell>
        </row>
        <row r="29">
          <cell r="D29" t="str">
            <v>Sangia</v>
          </cell>
          <cell r="E29">
            <v>2712864000</v>
          </cell>
          <cell r="F29">
            <v>2712398000</v>
          </cell>
          <cell r="G29" t="str">
            <v>Nodin 6 Juli 2026</v>
          </cell>
        </row>
        <row r="30">
          <cell r="D30" t="str">
            <v>Mekar Jaya</v>
          </cell>
          <cell r="E30">
            <v>5199579000</v>
          </cell>
          <cell r="F30">
            <v>5198938000</v>
          </cell>
          <cell r="G30" t="str">
            <v>Nodin 6 Juli 2026</v>
          </cell>
        </row>
        <row r="31">
          <cell r="D31" t="str">
            <v>Sabang Mawang</v>
          </cell>
          <cell r="E31">
            <v>4105094000</v>
          </cell>
          <cell r="F31">
            <v>4104569000</v>
          </cell>
          <cell r="G31" t="str">
            <v>Nodin 6 Juli 2026</v>
          </cell>
        </row>
        <row r="32">
          <cell r="D32" t="str">
            <v>Sededap</v>
          </cell>
          <cell r="E32">
            <v>3768868000</v>
          </cell>
          <cell r="F32">
            <v>3768406000</v>
          </cell>
          <cell r="G32" t="str">
            <v>Nodin 6 Juli 2026</v>
          </cell>
        </row>
        <row r="33">
          <cell r="D33" t="str">
            <v>Tanjung Pala</v>
          </cell>
          <cell r="E33">
            <v>4306609000</v>
          </cell>
          <cell r="F33">
            <v>4306084000</v>
          </cell>
          <cell r="G33" t="str">
            <v>Nodin 6 Juli 2026</v>
          </cell>
        </row>
        <row r="34">
          <cell r="D34" t="str">
            <v>Pangkalan Banteng</v>
          </cell>
          <cell r="E34">
            <v>3793046000</v>
          </cell>
          <cell r="F34">
            <v>3792370000</v>
          </cell>
          <cell r="G34" t="str">
            <v>Nodin 6 Juli 2026</v>
          </cell>
        </row>
        <row r="35">
          <cell r="D35" t="str">
            <v>Nanga Embaloh</v>
          </cell>
          <cell r="E35">
            <v>3621383000</v>
          </cell>
          <cell r="F35">
            <v>3543737000</v>
          </cell>
          <cell r="G35" t="str">
            <v>Nodin 6 Juli 2026</v>
          </cell>
        </row>
        <row r="36">
          <cell r="D36" t="str">
            <v>Nanga Leboyan</v>
          </cell>
          <cell r="E36">
            <v>3235563000</v>
          </cell>
          <cell r="F36">
            <v>3235169000</v>
          </cell>
          <cell r="G36" t="str">
            <v>Nodin 6 Juli 2026</v>
          </cell>
        </row>
        <row r="37">
          <cell r="D37" t="str">
            <v>Nibung</v>
          </cell>
          <cell r="E37">
            <v>6988969000</v>
          </cell>
          <cell r="F37">
            <v>6988761000</v>
          </cell>
          <cell r="G37" t="str">
            <v>Nodin 6 Juli 2026</v>
          </cell>
        </row>
        <row r="38">
          <cell r="D38" t="str">
            <v>Pasar Baru Batahan</v>
          </cell>
          <cell r="E38">
            <v>8493948000</v>
          </cell>
          <cell r="F38">
            <v>8493554000</v>
          </cell>
          <cell r="G38" t="str">
            <v>Nodin 6 Juli 2026</v>
          </cell>
        </row>
        <row r="39">
          <cell r="D39" t="str">
            <v>Pasar Bawah</v>
          </cell>
          <cell r="E39">
            <v>4382543000</v>
          </cell>
          <cell r="F39">
            <v>4382559000</v>
          </cell>
          <cell r="G39" t="str">
            <v>Nodin 11 Juli 2026</v>
          </cell>
        </row>
        <row r="40">
          <cell r="D40" t="str">
            <v>Pasar Pino</v>
          </cell>
          <cell r="E40">
            <v>3390912000</v>
          </cell>
          <cell r="F40">
            <v>3390613000</v>
          </cell>
          <cell r="G40" t="str">
            <v>Nodin 11 Juli 2026</v>
          </cell>
        </row>
        <row r="41">
          <cell r="D41" t="str">
            <v>Pekik Nyaring</v>
          </cell>
          <cell r="E41">
            <v>6204226000</v>
          </cell>
          <cell r="F41">
            <v>6204226000</v>
          </cell>
          <cell r="G41" t="str">
            <v>Nodin 11 Juli 2026</v>
          </cell>
        </row>
        <row r="42">
          <cell r="D42" t="str">
            <v>Pasar Palik</v>
          </cell>
          <cell r="E42">
            <v>3599234000</v>
          </cell>
          <cell r="F42">
            <v>3599234000</v>
          </cell>
          <cell r="G42" t="str">
            <v>Nodin 11 Juli 2026</v>
          </cell>
        </row>
        <row r="43">
          <cell r="D43" t="str">
            <v>Pasar Sebelat</v>
          </cell>
          <cell r="E43">
            <v>3389843000</v>
          </cell>
          <cell r="F43">
            <v>3389843000</v>
          </cell>
          <cell r="G43" t="str">
            <v>Nodin 11 Juli 2026</v>
          </cell>
        </row>
        <row r="44">
          <cell r="D44" t="str">
            <v>Serangai</v>
          </cell>
          <cell r="E44">
            <v>5000894000</v>
          </cell>
          <cell r="F44">
            <v>5000894000</v>
          </cell>
          <cell r="G44" t="str">
            <v>Nodin 11 Juli 2026</v>
          </cell>
        </row>
        <row r="45">
          <cell r="D45" t="str">
            <v>Pasar Ipuh</v>
          </cell>
          <cell r="E45">
            <v>4929839000</v>
          </cell>
          <cell r="F45">
            <v>4929839000</v>
          </cell>
        </row>
        <row r="46">
          <cell r="D46" t="str">
            <v>Hansisi</v>
          </cell>
          <cell r="E46">
            <v>3214500000</v>
          </cell>
          <cell r="F46">
            <v>5402188000</v>
          </cell>
        </row>
        <row r="47">
          <cell r="D47" t="str">
            <v>Uiasa</v>
          </cell>
          <cell r="E47">
            <v>4143563000</v>
          </cell>
          <cell r="F47">
            <v>4143207000</v>
          </cell>
        </row>
        <row r="48">
          <cell r="D48" t="str">
            <v>Umatoos</v>
          </cell>
          <cell r="E48">
            <v>6580000000</v>
          </cell>
          <cell r="F48">
            <v>3664722000</v>
          </cell>
          <cell r="G48" t="str">
            <v>Nodin 11 Juli 2026</v>
          </cell>
        </row>
        <row r="49">
          <cell r="D49" t="str">
            <v>Banjar</v>
          </cell>
          <cell r="E49">
            <v>2683937000</v>
          </cell>
          <cell r="F49">
            <v>2593842000</v>
          </cell>
          <cell r="G49" t="str">
            <v>Nodin 10 Juli 2026</v>
          </cell>
        </row>
        <row r="50">
          <cell r="D50" t="str">
            <v>Batu Putih</v>
          </cell>
          <cell r="E50">
            <v>2458506000</v>
          </cell>
          <cell r="F50">
            <v>2387990000</v>
          </cell>
          <cell r="G50" t="str">
            <v>Nodin 10 Juli 2026</v>
          </cell>
        </row>
        <row r="51">
          <cell r="D51" t="str">
            <v>Buwun Mas</v>
          </cell>
          <cell r="E51">
            <v>2708892000</v>
          </cell>
          <cell r="F51">
            <v>2626954000</v>
          </cell>
          <cell r="G51" t="str">
            <v>Nodin 10 Juli 2026</v>
          </cell>
        </row>
        <row r="52">
          <cell r="D52" t="str">
            <v>Kuranji Dalang</v>
          </cell>
          <cell r="E52">
            <v>7311071000</v>
          </cell>
          <cell r="F52">
            <v>7120566000</v>
          </cell>
          <cell r="G52" t="str">
            <v>Nodin 10 Juli 2026</v>
          </cell>
        </row>
        <row r="53">
          <cell r="D53" t="str">
            <v>Kuta</v>
          </cell>
          <cell r="E53">
            <v>3100334000</v>
          </cell>
          <cell r="F53">
            <v>3099881000</v>
          </cell>
          <cell r="G53" t="str">
            <v>Nodin 10 Juli 2026</v>
          </cell>
        </row>
        <row r="54">
          <cell r="D54" t="str">
            <v>Mertak</v>
          </cell>
          <cell r="E54">
            <v>2752173000</v>
          </cell>
          <cell r="F54">
            <v>2751681000</v>
          </cell>
          <cell r="G54" t="str">
            <v>Nodin 10 Juli 2026</v>
          </cell>
        </row>
        <row r="55">
          <cell r="D55" t="str">
            <v>Pemongkong</v>
          </cell>
          <cell r="E55">
            <v>2765964000</v>
          </cell>
          <cell r="F55">
            <v>2765499000</v>
          </cell>
          <cell r="G55" t="str">
            <v>Nodin 10 Juli 2026</v>
          </cell>
        </row>
        <row r="56">
          <cell r="D56" t="str">
            <v>Sugian</v>
          </cell>
          <cell r="E56">
            <v>2691415000</v>
          </cell>
          <cell r="F56">
            <v>2690941000</v>
          </cell>
          <cell r="G56" t="str">
            <v>Nodin 10 Juli 2026</v>
          </cell>
        </row>
        <row r="57">
          <cell r="D57" t="str">
            <v>Tanjung Luar</v>
          </cell>
          <cell r="E57">
            <v>2885664000</v>
          </cell>
          <cell r="F57">
            <v>2885189000</v>
          </cell>
          <cell r="G57" t="str">
            <v>Nodin 10 Juli 2026</v>
          </cell>
        </row>
        <row r="58">
          <cell r="D58" t="str">
            <v>Labuhan Alas</v>
          </cell>
          <cell r="E58">
            <v>2246685000</v>
          </cell>
          <cell r="F58">
            <v>2246210000</v>
          </cell>
          <cell r="G58" t="str">
            <v>Nodin 10 Juli 2026</v>
          </cell>
        </row>
        <row r="59">
          <cell r="D59" t="str">
            <v>Labuhan Burung</v>
          </cell>
          <cell r="E59">
            <v>3227422000</v>
          </cell>
          <cell r="F59">
            <v>3226815000</v>
          </cell>
          <cell r="G59" t="str">
            <v>Nodin 11 Juli 2026</v>
          </cell>
        </row>
        <row r="60">
          <cell r="D60" t="str">
            <v>Labuhan Jambu</v>
          </cell>
          <cell r="E60">
            <v>4597029000</v>
          </cell>
          <cell r="F60">
            <v>4596281000</v>
          </cell>
          <cell r="G60" t="str">
            <v>Nodin 11 Juli 2026</v>
          </cell>
        </row>
        <row r="61">
          <cell r="D61" t="str">
            <v>Labuhan Mapin</v>
          </cell>
          <cell r="E61">
            <v>2394892000</v>
          </cell>
          <cell r="F61">
            <v>2394449000</v>
          </cell>
          <cell r="G61" t="str">
            <v>Nodin 11 Juli 2026</v>
          </cell>
        </row>
        <row r="62">
          <cell r="D62" t="str">
            <v>Pulau Kaung</v>
          </cell>
          <cell r="E62">
            <v>2848910000</v>
          </cell>
          <cell r="F62">
            <v>2848846000</v>
          </cell>
          <cell r="G62" t="str">
            <v>Nodin 10 Juli 2026</v>
          </cell>
        </row>
        <row r="63">
          <cell r="D63" t="str">
            <v>Teluk Santong</v>
          </cell>
          <cell r="E63">
            <v>2637207000</v>
          </cell>
          <cell r="F63">
            <v>2637144000</v>
          </cell>
          <cell r="G63" t="str">
            <v>Nodin 10 Juli 2026</v>
          </cell>
        </row>
        <row r="64">
          <cell r="D64" t="str">
            <v>Oenggae</v>
          </cell>
          <cell r="E64">
            <v>3214500000</v>
          </cell>
          <cell r="F64">
            <v>10176472000</v>
          </cell>
          <cell r="G64" t="str">
            <v>Nodin 10 Juli 2026</v>
          </cell>
        </row>
        <row r="65">
          <cell r="D65" t="str">
            <v>Papela</v>
          </cell>
          <cell r="E65">
            <v>4958319000</v>
          </cell>
          <cell r="F65">
            <v>4957927000</v>
          </cell>
          <cell r="G65" t="str">
            <v>Nodin 10 Juli 2026</v>
          </cell>
        </row>
        <row r="66">
          <cell r="D66" t="str">
            <v>Papela</v>
          </cell>
          <cell r="E66">
            <v>4958319000</v>
          </cell>
          <cell r="F66">
            <v>4957927000</v>
          </cell>
          <cell r="G66" t="str">
            <v>Nodin 11 Juli 2026</v>
          </cell>
        </row>
        <row r="67">
          <cell r="D67" t="str">
            <v>Baru</v>
          </cell>
          <cell r="E67">
            <v>3791109000</v>
          </cell>
          <cell r="F67">
            <v>3790353000</v>
          </cell>
          <cell r="G67" t="str">
            <v>Nodin 11 Juli 2026</v>
          </cell>
        </row>
        <row r="68">
          <cell r="D68" t="str">
            <v>Baru</v>
          </cell>
          <cell r="E68">
            <v>3791109000</v>
          </cell>
          <cell r="F68">
            <v>3790353000</v>
          </cell>
        </row>
        <row r="69">
          <cell r="D69" t="str">
            <v>Mayang</v>
          </cell>
          <cell r="E69">
            <v>3750780000</v>
          </cell>
          <cell r="F69">
            <v>3750024000</v>
          </cell>
        </row>
        <row r="70">
          <cell r="D70" t="str">
            <v>Mayang</v>
          </cell>
          <cell r="E70">
            <v>3750780000</v>
          </cell>
          <cell r="F70">
            <v>3750024000</v>
          </cell>
          <cell r="G70" t="str">
            <v>Nodin 6 Juli 2026</v>
          </cell>
        </row>
        <row r="71">
          <cell r="D71" t="str">
            <v>Sungai Damar</v>
          </cell>
          <cell r="E71">
            <v>15948986000</v>
          </cell>
          <cell r="F71">
            <v>15947338000</v>
          </cell>
          <cell r="G71" t="str">
            <v>Nodin 6 Juli 2026</v>
          </cell>
        </row>
        <row r="72">
          <cell r="D72" t="str">
            <v>Kekatang</v>
          </cell>
          <cell r="E72">
            <v>3938056000</v>
          </cell>
          <cell r="F72">
            <v>3938056000</v>
          </cell>
          <cell r="G72" t="str">
            <v>Nodin 6 Juli 2026</v>
          </cell>
        </row>
        <row r="73">
          <cell r="D73" t="str">
            <v>Sukarame</v>
          </cell>
          <cell r="E73">
            <v>3696734000</v>
          </cell>
          <cell r="F73">
            <v>3696734000</v>
          </cell>
          <cell r="G73" t="str">
            <v>Nodin 6 Juli 2026</v>
          </cell>
        </row>
        <row r="74">
          <cell r="D74" t="str">
            <v>Karang Anyar</v>
          </cell>
          <cell r="E74">
            <v>5279302000</v>
          </cell>
          <cell r="F74">
            <v>5278938000</v>
          </cell>
          <cell r="G74" t="str">
            <v>Nodin 6 Juli 2026</v>
          </cell>
        </row>
        <row r="75">
          <cell r="D75" t="str">
            <v>Karang Anyar</v>
          </cell>
          <cell r="E75">
            <v>4123000000</v>
          </cell>
          <cell r="F75">
            <v>2596763000</v>
          </cell>
        </row>
        <row r="76">
          <cell r="D76" t="str">
            <v>Tanjung Lalak Selatan</v>
          </cell>
          <cell r="E76">
            <v>8929155000</v>
          </cell>
          <cell r="F76">
            <v>8929035000</v>
          </cell>
        </row>
        <row r="77">
          <cell r="D77" t="str">
            <v>Tanjung Seloka</v>
          </cell>
          <cell r="E77">
            <v>4798950000</v>
          </cell>
          <cell r="F77">
            <v>4798801000</v>
          </cell>
          <cell r="G77" t="str">
            <v>Nodin 10 Juli 2026</v>
          </cell>
        </row>
        <row r="78">
          <cell r="D78" t="str">
            <v>Sungai Burung</v>
          </cell>
          <cell r="E78">
            <v>4123000000</v>
          </cell>
          <cell r="F78">
            <v>7912834000</v>
          </cell>
          <cell r="G78" t="str">
            <v>Nodin 10 Juli 2026</v>
          </cell>
        </row>
        <row r="79">
          <cell r="D79" t="str">
            <v>Sei Ijum Raya</v>
          </cell>
          <cell r="E79">
            <v>3966624000</v>
          </cell>
          <cell r="F79">
            <v>3965764000</v>
          </cell>
          <cell r="G79" t="str">
            <v>Nodin 10 Juli 2026</v>
          </cell>
        </row>
        <row r="80">
          <cell r="D80" t="str">
            <v>Bale-Bale Sibohou</v>
          </cell>
          <cell r="E80">
            <v>9990735000</v>
          </cell>
          <cell r="F80">
            <v>9990646000</v>
          </cell>
          <cell r="G80" t="str">
            <v>Nodin 10 Juli 2026</v>
          </cell>
        </row>
        <row r="81">
          <cell r="D81" t="str">
            <v>Labuhan Bazau</v>
          </cell>
          <cell r="E81">
            <v>5155449000</v>
          </cell>
          <cell r="F81">
            <v>5155048000</v>
          </cell>
        </row>
        <row r="82">
          <cell r="D82" t="str">
            <v>Pasar Lama</v>
          </cell>
          <cell r="E82">
            <v>5769986000</v>
          </cell>
          <cell r="F82">
            <v>5769986000</v>
          </cell>
        </row>
        <row r="83">
          <cell r="D83" t="str">
            <v>Way Hawang</v>
          </cell>
          <cell r="E83">
            <v>5625876000</v>
          </cell>
          <cell r="F83">
            <v>5625876000</v>
          </cell>
        </row>
        <row r="84">
          <cell r="D84" t="str">
            <v>Balam</v>
          </cell>
          <cell r="E84">
            <v>6105695000</v>
          </cell>
          <cell r="F84">
            <v>3949041000</v>
          </cell>
          <cell r="G84" t="str">
            <v>Nodin 11 Juli 2026</v>
          </cell>
        </row>
        <row r="85">
          <cell r="D85" t="str">
            <v>Juru Taro</v>
          </cell>
          <cell r="E85">
            <v>2281869000</v>
          </cell>
          <cell r="F85">
            <v>2281869000</v>
          </cell>
          <cell r="G85" t="str">
            <v>Nodin 11 Juli 2026</v>
          </cell>
        </row>
        <row r="86">
          <cell r="D86" t="str">
            <v>Upang Makmur</v>
          </cell>
          <cell r="E86">
            <v>3048915000</v>
          </cell>
          <cell r="F86">
            <v>3048915000</v>
          </cell>
          <cell r="G86" t="str">
            <v>Nodin 11 Juli 2026</v>
          </cell>
        </row>
        <row r="87">
          <cell r="D87" t="str">
            <v>Sungai Batang</v>
          </cell>
          <cell r="E87">
            <v>2290492000</v>
          </cell>
          <cell r="F87">
            <v>2290492000</v>
          </cell>
          <cell r="G87" t="str">
            <v>Nodin 10 Juli 2026</v>
          </cell>
        </row>
        <row r="88">
          <cell r="D88" t="str">
            <v>Seulayat Ulakan</v>
          </cell>
          <cell r="E88">
            <v>4946990000</v>
          </cell>
          <cell r="F88">
            <v>4946941000</v>
          </cell>
          <cell r="G88" t="str">
            <v>Nodin 10 Juli 2026</v>
          </cell>
        </row>
        <row r="89">
          <cell r="D89" t="str">
            <v>Beringin</v>
          </cell>
          <cell r="E89">
            <v>10477750000</v>
          </cell>
          <cell r="F89">
            <v>10477480000</v>
          </cell>
          <cell r="G89" t="str">
            <v>Nodin 10 Juli 2026</v>
          </cell>
        </row>
        <row r="90">
          <cell r="D90" t="str">
            <v>Dualaus</v>
          </cell>
          <cell r="E90">
            <v>7342100000</v>
          </cell>
          <cell r="F90">
            <v>8273757000</v>
          </cell>
          <cell r="G90" t="str">
            <v>Nodin 10 Juli 2026</v>
          </cell>
        </row>
        <row r="91">
          <cell r="D91" t="str">
            <v>Dumu</v>
          </cell>
          <cell r="E91">
            <v>2529944000</v>
          </cell>
          <cell r="F91">
            <v>2529473000</v>
          </cell>
          <cell r="G91" t="str">
            <v>Nodin 10 Juli 2026</v>
          </cell>
        </row>
        <row r="92">
          <cell r="D92" t="str">
            <v>Kangga</v>
          </cell>
          <cell r="E92">
            <v>2365996000</v>
          </cell>
          <cell r="F92">
            <v>2365484000</v>
          </cell>
          <cell r="G92" t="str">
            <v>Nodin 10 Juli 2026</v>
          </cell>
        </row>
        <row r="93">
          <cell r="D93" t="str">
            <v>Karampi</v>
          </cell>
          <cell r="E93">
            <v>2692598000</v>
          </cell>
          <cell r="F93">
            <v>2692119000</v>
          </cell>
          <cell r="G93" t="str">
            <v>Nodin 10 Juli 2026</v>
          </cell>
        </row>
        <row r="94">
          <cell r="D94" t="str">
            <v>Karumbu</v>
          </cell>
          <cell r="E94">
            <v>3743482000</v>
          </cell>
          <cell r="F94">
            <v>3743046000</v>
          </cell>
          <cell r="G94" t="str">
            <v>Nodin 10 Juli 2026</v>
          </cell>
        </row>
        <row r="95">
          <cell r="D95" t="str">
            <v>Rompo</v>
          </cell>
          <cell r="E95">
            <v>9357286000</v>
          </cell>
          <cell r="F95">
            <v>9356614000</v>
          </cell>
          <cell r="G95" t="str">
            <v>Nodin 10 Juli 2026</v>
          </cell>
        </row>
        <row r="96">
          <cell r="D96" t="str">
            <v>Sambane</v>
          </cell>
          <cell r="E96">
            <v>2821496000</v>
          </cell>
          <cell r="F96">
            <v>2821029000</v>
          </cell>
          <cell r="G96" t="str">
            <v>Nodin 11 Juli 2026</v>
          </cell>
        </row>
        <row r="97">
          <cell r="D97" t="str">
            <v>Sarae Ruma</v>
          </cell>
          <cell r="E97">
            <v>2969503000</v>
          </cell>
          <cell r="F97">
            <v>2969071000</v>
          </cell>
          <cell r="G97" t="str">
            <v>Nodin 11 Juli 2026</v>
          </cell>
        </row>
        <row r="98">
          <cell r="D98" t="str">
            <v>Hu'U</v>
          </cell>
          <cell r="E98">
            <v>2893736000</v>
          </cell>
          <cell r="F98">
            <v>2893285000</v>
          </cell>
          <cell r="G98" t="str">
            <v>Nodin 11 Juli 2026</v>
          </cell>
        </row>
        <row r="99">
          <cell r="D99" t="str">
            <v>Jambu</v>
          </cell>
          <cell r="E99">
            <v>2825329000</v>
          </cell>
          <cell r="F99">
            <v>2824844000</v>
          </cell>
          <cell r="G99" t="str">
            <v>Nodin 11 Juli 2026</v>
          </cell>
        </row>
        <row r="100">
          <cell r="D100" t="str">
            <v>Karama</v>
          </cell>
          <cell r="E100">
            <v>2361708000</v>
          </cell>
          <cell r="F100">
            <v>2361237000</v>
          </cell>
          <cell r="G100" t="str">
            <v>Nodin 11 Juli 2026</v>
          </cell>
        </row>
        <row r="101">
          <cell r="D101" t="str">
            <v>Kwangko</v>
          </cell>
          <cell r="E101">
            <v>2695012000</v>
          </cell>
          <cell r="F101">
            <v>2694522000</v>
          </cell>
          <cell r="G101" t="str">
            <v>Nodin 11 Juli 2026</v>
          </cell>
        </row>
        <row r="102">
          <cell r="D102" t="str">
            <v>Kwala Serapuh</v>
          </cell>
          <cell r="E102">
            <v>5767997000</v>
          </cell>
          <cell r="F102">
            <v>5767541000</v>
          </cell>
        </row>
        <row r="103">
          <cell r="D103" t="str">
            <v>Selading</v>
          </cell>
          <cell r="E103">
            <v>4306609000</v>
          </cell>
          <cell r="F103">
            <v>4306084000</v>
          </cell>
          <cell r="G103" t="str">
            <v>Nodin 11 Juli 2026</v>
          </cell>
        </row>
        <row r="104">
          <cell r="D104" t="str">
            <v>Dabong</v>
          </cell>
          <cell r="E104">
            <v>3216216000</v>
          </cell>
          <cell r="F104">
            <v>3215274000</v>
          </cell>
          <cell r="G104" t="str">
            <v>Nodin 11 Juli 2026</v>
          </cell>
        </row>
        <row r="105">
          <cell r="D105" t="str">
            <v>Jeruju Besar</v>
          </cell>
          <cell r="E105">
            <v>3284693000</v>
          </cell>
          <cell r="F105">
            <v>3284158000</v>
          </cell>
          <cell r="G105" t="str">
            <v>Nodin 11 Juli 2026</v>
          </cell>
        </row>
        <row r="106">
          <cell r="D106" t="str">
            <v>Kuala Karang</v>
          </cell>
          <cell r="E106">
            <v>7241382000</v>
          </cell>
          <cell r="F106">
            <v>7240792000</v>
          </cell>
          <cell r="G106" t="str">
            <v>Nodin 11 Juli 2026</v>
          </cell>
        </row>
        <row r="107">
          <cell r="D107" t="str">
            <v>Sungai Kupah</v>
          </cell>
          <cell r="E107">
            <v>7499941000</v>
          </cell>
          <cell r="F107">
            <v>7499255000</v>
          </cell>
          <cell r="G107" t="str">
            <v>Nodin 11 Juli 2026</v>
          </cell>
        </row>
        <row r="108">
          <cell r="D108" t="str">
            <v>Tanjung Saleh</v>
          </cell>
          <cell r="E108">
            <v>3212331000</v>
          </cell>
          <cell r="F108">
            <v>3211797000</v>
          </cell>
          <cell r="G108" t="str">
            <v>Nodin 11 Juli 2026</v>
          </cell>
        </row>
        <row r="109">
          <cell r="D109" t="str">
            <v>Teluk Gelam</v>
          </cell>
          <cell r="E109">
            <v>3130747000</v>
          </cell>
          <cell r="F109">
            <v>3130358000</v>
          </cell>
          <cell r="G109" t="str">
            <v>Nodin 11 Juli 2026</v>
          </cell>
        </row>
        <row r="110">
          <cell r="D110" t="str">
            <v>Purus</v>
          </cell>
          <cell r="E110">
            <v>3046393000</v>
          </cell>
          <cell r="F110">
            <v>3046259000</v>
          </cell>
          <cell r="G110" t="str">
            <v>Nodin 11 Juli 2026</v>
          </cell>
        </row>
        <row r="111">
          <cell r="D111" t="str">
            <v>Gasan Gadang</v>
          </cell>
          <cell r="E111">
            <v>3996093000</v>
          </cell>
          <cell r="F111">
            <v>3995796000</v>
          </cell>
          <cell r="G111" t="str">
            <v>Nodin 11 Juli 2026</v>
          </cell>
        </row>
        <row r="112">
          <cell r="D112" t="str">
            <v>Manggopoh Palak Gadang Ulakan</v>
          </cell>
          <cell r="E112">
            <v>4823800000</v>
          </cell>
          <cell r="F112">
            <v>4823621000</v>
          </cell>
        </row>
        <row r="113">
          <cell r="D113" t="str">
            <v>Panipahan</v>
          </cell>
          <cell r="E113">
            <v>6105695000</v>
          </cell>
          <cell r="F113">
            <v>3363551000</v>
          </cell>
        </row>
        <row r="114">
          <cell r="D114" t="str">
            <v>Panipahan Darat</v>
          </cell>
          <cell r="E114">
            <v>2690862000</v>
          </cell>
          <cell r="F114">
            <v>2690841000</v>
          </cell>
        </row>
        <row r="115">
          <cell r="D115" t="str">
            <v>Sinaboi</v>
          </cell>
          <cell r="E115">
            <v>3354400000</v>
          </cell>
          <cell r="F115">
            <v>3354206000</v>
          </cell>
          <cell r="G115" t="str">
            <v>Nodin 11 Juli 2026</v>
          </cell>
        </row>
        <row r="116">
          <cell r="D116" t="str">
            <v>Kangkung</v>
          </cell>
          <cell r="E116">
            <v>4686128000</v>
          </cell>
          <cell r="F116">
            <v>4028277000</v>
          </cell>
          <cell r="G116" t="str">
            <v>Nodin 11 Juli 2026</v>
          </cell>
        </row>
        <row r="117">
          <cell r="D117" t="str">
            <v>Kota Karang Raya</v>
          </cell>
          <cell r="E117">
            <v>5250872000</v>
          </cell>
          <cell r="F117">
            <v>6270336000</v>
          </cell>
          <cell r="G117" t="e">
            <v>#N/A</v>
          </cell>
        </row>
        <row r="118">
          <cell r="D118" t="str">
            <v>Sidang Muara Jaya</v>
          </cell>
          <cell r="E118">
            <v>4199302000</v>
          </cell>
          <cell r="F118">
            <v>4198817000</v>
          </cell>
          <cell r="G118" t="e">
            <v>#N/A</v>
          </cell>
        </row>
        <row r="119">
          <cell r="D119" t="str">
            <v>Penyandingan</v>
          </cell>
          <cell r="E119">
            <v>4731192000</v>
          </cell>
          <cell r="F119">
            <v>4731192000</v>
          </cell>
          <cell r="G119" t="e">
            <v>#N/A</v>
          </cell>
        </row>
        <row r="120">
          <cell r="D120" t="str">
            <v>Tala Gening</v>
          </cell>
          <cell r="E120">
            <v>6105695000</v>
          </cell>
          <cell r="F120">
            <v>4284126000</v>
          </cell>
          <cell r="G120" t="e">
            <v>#N/A</v>
          </cell>
        </row>
        <row r="121">
          <cell r="D121" t="str">
            <v>Tanjung Agung</v>
          </cell>
          <cell r="E121">
            <v>4123000000</v>
          </cell>
          <cell r="F121" t="str">
            <v>Rp 5,278,865,000.00</v>
          </cell>
          <cell r="G121" t="e">
            <v>#N/A</v>
          </cell>
        </row>
        <row r="122">
          <cell r="D122" t="str">
            <v>Kuala Teladas</v>
          </cell>
          <cell r="E122">
            <v>4123000000</v>
          </cell>
          <cell r="F122">
            <v>4646819000</v>
          </cell>
          <cell r="G122" t="e">
            <v>#N/A</v>
          </cell>
        </row>
        <row r="123">
          <cell r="D123" t="str">
            <v>Batu Belubang</v>
          </cell>
          <cell r="E123">
            <v>3243827000</v>
          </cell>
          <cell r="F123">
            <v>3220658000</v>
          </cell>
          <cell r="G123" t="e">
            <v>#N/A</v>
          </cell>
        </row>
        <row r="124">
          <cell r="D124" t="str">
            <v>Kota Jawa</v>
          </cell>
          <cell r="E124">
            <v>4123000000</v>
          </cell>
          <cell r="F124">
            <v>4218770000</v>
          </cell>
          <cell r="G124" t="e">
            <v>#N/A</v>
          </cell>
        </row>
        <row r="125">
          <cell r="D125" t="str">
            <v>Marang</v>
          </cell>
          <cell r="E125">
            <v>8283872000</v>
          </cell>
          <cell r="F125">
            <v>8283743000</v>
          </cell>
          <cell r="G125" t="e">
            <v>#N/A</v>
          </cell>
        </row>
        <row r="126">
          <cell r="D126" t="str">
            <v>Pasar Kota Krui</v>
          </cell>
          <cell r="E126">
            <v>4204336000</v>
          </cell>
          <cell r="F126">
            <v>4204336000</v>
          </cell>
          <cell r="G126" t="e">
            <v>#N/A</v>
          </cell>
        </row>
        <row r="127">
          <cell r="D127" t="str">
            <v>Burai</v>
          </cell>
          <cell r="E127">
            <v>2275238000</v>
          </cell>
          <cell r="F127">
            <v>2275238000</v>
          </cell>
          <cell r="G127" t="e">
            <v>#N/A</v>
          </cell>
        </row>
        <row r="128">
          <cell r="D128" t="str">
            <v>Seri Kembang</v>
          </cell>
          <cell r="E128">
            <v>2978057000</v>
          </cell>
          <cell r="F128">
            <v>2978057000</v>
          </cell>
          <cell r="G128" t="e">
            <v>#N/A</v>
          </cell>
        </row>
        <row r="129">
          <cell r="D129" t="str">
            <v>Sunur</v>
          </cell>
          <cell r="E129">
            <v>2501068000</v>
          </cell>
          <cell r="F129">
            <v>2478904000</v>
          </cell>
          <cell r="G129" t="e">
            <v>#N/A</v>
          </cell>
        </row>
        <row r="130">
          <cell r="D130" t="str">
            <v>Sunur</v>
          </cell>
          <cell r="E130">
            <v>2501068000</v>
          </cell>
          <cell r="F130">
            <v>2478904000</v>
          </cell>
          <cell r="G130" t="e">
            <v>#N/A</v>
          </cell>
        </row>
        <row r="131">
          <cell r="D131" t="str">
            <v>Sungai Sibur</v>
          </cell>
          <cell r="E131">
            <v>8379063000</v>
          </cell>
          <cell r="F131">
            <v>8378684000</v>
          </cell>
          <cell r="G131" t="e">
            <v>#N/A</v>
          </cell>
        </row>
        <row r="132">
          <cell r="D132" t="str">
            <v>Sungai Sibur</v>
          </cell>
          <cell r="E132">
            <v>8379063000</v>
          </cell>
          <cell r="F132">
            <v>8378684000</v>
          </cell>
          <cell r="G132" t="e">
            <v>#N/A</v>
          </cell>
        </row>
        <row r="133">
          <cell r="D133" t="str">
            <v>Sepempang</v>
          </cell>
          <cell r="E133">
            <v>4306609000</v>
          </cell>
          <cell r="F133">
            <v>4306084000</v>
          </cell>
          <cell r="G133" t="e">
            <v>#N/A</v>
          </cell>
        </row>
        <row r="134">
          <cell r="D134" t="str">
            <v>Serasan</v>
          </cell>
          <cell r="E134">
            <v>4306609000</v>
          </cell>
          <cell r="F134">
            <v>4306084000</v>
          </cell>
          <cell r="G134" t="e">
            <v>#N/A</v>
          </cell>
        </row>
        <row r="135">
          <cell r="D135" t="str">
            <v>Celagen</v>
          </cell>
          <cell r="E135">
            <v>5379527000</v>
          </cell>
          <cell r="F135">
            <v>4645833000</v>
          </cell>
          <cell r="G135" t="e">
            <v>#N/A</v>
          </cell>
        </row>
        <row r="136">
          <cell r="D136" t="str">
            <v>Kepoh</v>
          </cell>
          <cell r="E136">
            <v>3274145000</v>
          </cell>
          <cell r="F136">
            <v>3274096000</v>
          </cell>
          <cell r="G136" t="e">
            <v>#N/A</v>
          </cell>
        </row>
        <row r="137">
          <cell r="D137" t="str">
            <v>Tanjung Sangkar</v>
          </cell>
          <cell r="E137">
            <v>4758378000</v>
          </cell>
          <cell r="F137">
            <v>4757937000</v>
          </cell>
          <cell r="G137" t="e">
            <v>#N/A</v>
          </cell>
        </row>
        <row r="138">
          <cell r="D138" t="str">
            <v>Nangamiro</v>
          </cell>
          <cell r="E138">
            <v>2640825000</v>
          </cell>
          <cell r="F138">
            <v>2640344000</v>
          </cell>
          <cell r="G138" t="e">
            <v>#N/A</v>
          </cell>
        </row>
        <row r="139">
          <cell r="D139" t="str">
            <v>Pekat</v>
          </cell>
          <cell r="E139">
            <v>2719344000</v>
          </cell>
          <cell r="F139">
            <v>2718853000</v>
          </cell>
          <cell r="G139" t="e">
            <v>#N/A</v>
          </cell>
        </row>
        <row r="140">
          <cell r="D140" t="str">
            <v>Tolo Kalo</v>
          </cell>
          <cell r="E140">
            <v>2505446000</v>
          </cell>
          <cell r="F140">
            <v>2504974000</v>
          </cell>
          <cell r="G140" t="e">
            <v>#N/A</v>
          </cell>
        </row>
        <row r="141">
          <cell r="D141" t="str">
            <v>Labuhan Lalar</v>
          </cell>
          <cell r="E141">
            <v>5084040000</v>
          </cell>
          <cell r="F141">
            <v>5083611000</v>
          </cell>
          <cell r="G141" t="e">
            <v>#N/A</v>
          </cell>
        </row>
        <row r="142">
          <cell r="D142" t="str">
            <v>Poto Tano</v>
          </cell>
          <cell r="E142">
            <v>7585143000</v>
          </cell>
          <cell r="F142">
            <v>7584383000</v>
          </cell>
          <cell r="G142" t="e">
            <v>#N/A</v>
          </cell>
        </row>
        <row r="143">
          <cell r="D143" t="str">
            <v>Pulau Seliu</v>
          </cell>
          <cell r="E143">
            <v>4326183000</v>
          </cell>
          <cell r="F143">
            <v>4325542000</v>
          </cell>
          <cell r="G143" t="e">
            <v>#N/A</v>
          </cell>
        </row>
        <row r="144">
          <cell r="D144" t="str">
            <v>Tanjungrusa</v>
          </cell>
          <cell r="E144">
            <v>7055920000</v>
          </cell>
          <cell r="F144">
            <v>7054952000</v>
          </cell>
          <cell r="G144" t="e">
            <v>#N/A</v>
          </cell>
        </row>
        <row r="145">
          <cell r="D145" t="str">
            <v>Penyengat</v>
          </cell>
          <cell r="E145">
            <v>6105695000</v>
          </cell>
          <cell r="F145">
            <v>4125130000</v>
          </cell>
          <cell r="G145" t="e">
            <v>#N/A</v>
          </cell>
        </row>
        <row r="146">
          <cell r="D146" t="str">
            <v>Penyengat</v>
          </cell>
          <cell r="E146">
            <v>6105695000</v>
          </cell>
          <cell r="F146">
            <v>4125130000</v>
          </cell>
          <cell r="G146" t="e">
            <v>#N/A</v>
          </cell>
        </row>
        <row r="147">
          <cell r="D147" t="str">
            <v>Boro</v>
          </cell>
          <cell r="E147">
            <v>2251853000</v>
          </cell>
          <cell r="F147">
            <v>2251339000</v>
          </cell>
          <cell r="G147" t="e">
            <v>#N/A</v>
          </cell>
        </row>
        <row r="148">
          <cell r="D148" t="str">
            <v>Sandue</v>
          </cell>
          <cell r="E148">
            <v>2341476000</v>
          </cell>
          <cell r="F148">
            <v>2341055000</v>
          </cell>
          <cell r="G148" t="e">
            <v>#N/A</v>
          </cell>
        </row>
        <row r="149">
          <cell r="D149" t="str">
            <v>Malaju</v>
          </cell>
          <cell r="E149">
            <v>8111946000</v>
          </cell>
          <cell r="F149">
            <v>8100491000</v>
          </cell>
          <cell r="G149" t="e">
            <v>#N/A</v>
          </cell>
        </row>
        <row r="150">
          <cell r="D150" t="str">
            <v>Soro</v>
          </cell>
          <cell r="E150">
            <v>2938592000</v>
          </cell>
          <cell r="F150">
            <v>2938167000</v>
          </cell>
          <cell r="G150" t="e">
            <v>#N/A</v>
          </cell>
        </row>
        <row r="151">
          <cell r="D151" t="str">
            <v>Kualin</v>
          </cell>
          <cell r="E151">
            <v>7821797000</v>
          </cell>
          <cell r="F151">
            <v>7821174000</v>
          </cell>
          <cell r="G151" t="e">
            <v>#N/A</v>
          </cell>
        </row>
        <row r="152">
          <cell r="D152" t="str">
            <v>Oetuke</v>
          </cell>
          <cell r="E152">
            <v>8398045000</v>
          </cell>
          <cell r="F152">
            <v>8397985000</v>
          </cell>
          <cell r="G152" t="e">
            <v>#N/A</v>
          </cell>
        </row>
        <row r="153">
          <cell r="D153" t="str">
            <v>Humusu Wini</v>
          </cell>
          <cell r="E153">
            <v>3214500000</v>
          </cell>
          <cell r="F153">
            <v>8299942000</v>
          </cell>
          <cell r="G153" t="e">
            <v>#N/A</v>
          </cell>
        </row>
        <row r="154">
          <cell r="D154" t="str">
            <v>Tasik Malaya</v>
          </cell>
          <cell r="E154">
            <v>2809480000</v>
          </cell>
          <cell r="F154">
            <v>2809081000</v>
          </cell>
          <cell r="G154" t="e">
            <v>#N/A</v>
          </cell>
        </row>
        <row r="155">
          <cell r="D155" t="str">
            <v>Meliah</v>
          </cell>
          <cell r="E155">
            <v>4306609000</v>
          </cell>
          <cell r="F155">
            <v>4306084000</v>
          </cell>
          <cell r="G155" t="e">
            <v>#N/A</v>
          </cell>
        </row>
        <row r="156">
          <cell r="D156" t="str">
            <v>Subi</v>
          </cell>
          <cell r="E156">
            <v>4306609000</v>
          </cell>
          <cell r="F156">
            <v>4306084000</v>
          </cell>
          <cell r="G156" t="e">
            <v>#N/A</v>
          </cell>
        </row>
        <row r="157">
          <cell r="D157" t="str">
            <v>Bumi Waras</v>
          </cell>
          <cell r="E157">
            <v>10470826000</v>
          </cell>
          <cell r="F157">
            <v>2942399000</v>
          </cell>
          <cell r="G157" t="e">
            <v>#N/A</v>
          </cell>
        </row>
        <row r="158">
          <cell r="D158" t="str">
            <v>Batang Tumu</v>
          </cell>
          <cell r="E158">
            <v>6105695000</v>
          </cell>
          <cell r="F158">
            <v>4063746000</v>
          </cell>
          <cell r="G158" t="e">
            <v>#N/A</v>
          </cell>
        </row>
        <row r="159">
          <cell r="D159" t="str">
            <v>Bekawan</v>
          </cell>
          <cell r="E159">
            <v>6105695000</v>
          </cell>
          <cell r="F159">
            <v>2698645000</v>
          </cell>
          <cell r="G159" t="e">
            <v>#N/A</v>
          </cell>
        </row>
        <row r="160">
          <cell r="D160" t="str">
            <v>Muara Kelingi</v>
          </cell>
          <cell r="E160">
            <v>2939846000</v>
          </cell>
          <cell r="F160">
            <v>2939814000</v>
          </cell>
          <cell r="G160" t="e">
            <v>#N/A</v>
          </cell>
        </row>
        <row r="161">
          <cell r="D161" t="str">
            <v>Muara Rengas</v>
          </cell>
          <cell r="E161">
            <v>2925382000</v>
          </cell>
          <cell r="F161">
            <v>2925186000</v>
          </cell>
          <cell r="G161" t="e">
            <v>#N/A</v>
          </cell>
        </row>
        <row r="162">
          <cell r="D162" t="str">
            <v>Sungai Bakau</v>
          </cell>
          <cell r="E162">
            <v>5071541000</v>
          </cell>
          <cell r="F162">
            <v>5070802000</v>
          </cell>
          <cell r="G162" t="e">
            <v>#N/A</v>
          </cell>
        </row>
        <row r="163">
          <cell r="D163" t="str">
            <v>Sungai Undang</v>
          </cell>
          <cell r="E163">
            <v>6498590000</v>
          </cell>
          <cell r="F163">
            <v>6474418000</v>
          </cell>
          <cell r="G163" t="e">
            <v>#N/A</v>
          </cell>
        </row>
        <row r="164">
          <cell r="D164" t="str">
            <v>Simpang Tiga Jaya</v>
          </cell>
          <cell r="E164">
            <v>2194665000</v>
          </cell>
          <cell r="F164">
            <v>2194456000</v>
          </cell>
          <cell r="G164" t="e">
            <v>#N/A</v>
          </cell>
        </row>
        <row r="165">
          <cell r="D165" t="str">
            <v>Kuala Sungai Pasir</v>
          </cell>
          <cell r="E165">
            <v>3131678000</v>
          </cell>
          <cell r="F165">
            <v>3131678000</v>
          </cell>
          <cell r="G165" t="e">
            <v>#N/A</v>
          </cell>
        </row>
        <row r="166">
          <cell r="D166" t="str">
            <v>Simpang Tiga Makmur</v>
          </cell>
          <cell r="E166">
            <v>2229351000</v>
          </cell>
          <cell r="F166">
            <v>2229156000</v>
          </cell>
          <cell r="G166" t="e">
            <v>#N/A</v>
          </cell>
        </row>
        <row r="167">
          <cell r="D167" t="str">
            <v>Sungai Lumpur</v>
          </cell>
          <cell r="E167">
            <v>2935958000</v>
          </cell>
          <cell r="F167">
            <v>2935958000</v>
          </cell>
          <cell r="G167" t="e">
            <v>#N/A</v>
          </cell>
        </row>
        <row r="168">
          <cell r="D168" t="str">
            <v>Kuala</v>
          </cell>
          <cell r="E168">
            <v>6932400000</v>
          </cell>
          <cell r="F168">
            <v>5289846000</v>
          </cell>
          <cell r="G168" t="e">
            <v>#N/A</v>
          </cell>
        </row>
        <row r="169">
          <cell r="D169" t="str">
            <v>Matobe</v>
          </cell>
          <cell r="E169">
            <v>4580392000</v>
          </cell>
          <cell r="F169">
            <v>4580392000</v>
          </cell>
          <cell r="G169" t="e">
            <v>#N/A</v>
          </cell>
        </row>
        <row r="170">
          <cell r="D170" t="str">
            <v>Sikakap</v>
          </cell>
          <cell r="E170">
            <v>3709636000</v>
          </cell>
          <cell r="F170">
            <v>3709223000</v>
          </cell>
          <cell r="G170" t="e">
            <v>#N/A</v>
          </cell>
        </row>
        <row r="171">
          <cell r="D171" t="str">
            <v>Centai</v>
          </cell>
          <cell r="E171">
            <v>6105695000</v>
          </cell>
          <cell r="F171">
            <v>4665585000</v>
          </cell>
          <cell r="G171" t="e">
            <v>#N/A</v>
          </cell>
        </row>
        <row r="172">
          <cell r="D172" t="str">
            <v>Tebing Tinggi Okura</v>
          </cell>
          <cell r="E172">
            <v>4815475000</v>
          </cell>
          <cell r="F172">
            <v>4815074000</v>
          </cell>
          <cell r="G172" t="e">
            <v>#N/A</v>
          </cell>
        </row>
        <row r="173">
          <cell r="D173" t="str">
            <v>Tebing Tinggi Okura</v>
          </cell>
          <cell r="E173">
            <v>4815475000</v>
          </cell>
          <cell r="F173">
            <v>4815074000</v>
          </cell>
          <cell r="G173" t="e">
            <v>#N/A</v>
          </cell>
        </row>
        <row r="174">
          <cell r="D174" t="str">
            <v>Teluk</v>
          </cell>
          <cell r="E174">
            <v>6105695000</v>
          </cell>
          <cell r="F174">
            <v>3880060000</v>
          </cell>
          <cell r="G174" t="e">
            <v>#N/A</v>
          </cell>
        </row>
        <row r="175">
          <cell r="D175" t="str">
            <v>Teluk Batil</v>
          </cell>
          <cell r="E175">
            <v>6105695000</v>
          </cell>
          <cell r="F175">
            <v>4694272000</v>
          </cell>
          <cell r="G175" t="e">
            <v>#N/A</v>
          </cell>
        </row>
        <row r="176">
          <cell r="D176" t="str">
            <v>Tanjung</v>
          </cell>
          <cell r="E176">
            <v>2431982000</v>
          </cell>
          <cell r="F176">
            <v>2431511000</v>
          </cell>
          <cell r="G176" t="e">
            <v>#N/A</v>
          </cell>
        </row>
        <row r="177">
          <cell r="D177" t="str">
            <v>Banding</v>
          </cell>
          <cell r="E177">
            <v>4123000000</v>
          </cell>
          <cell r="F177">
            <v>4180673000</v>
          </cell>
          <cell r="G177" t="e">
            <v>#N/A</v>
          </cell>
        </row>
        <row r="178">
          <cell r="D178" t="str">
            <v>Labuhan Ratu</v>
          </cell>
          <cell r="E178">
            <v>5282139000</v>
          </cell>
          <cell r="F178">
            <v>3938788000</v>
          </cell>
          <cell r="G178" t="e">
            <v>#N/A</v>
          </cell>
        </row>
        <row r="179">
          <cell r="D179" t="str">
            <v>Muara Gading Mas</v>
          </cell>
          <cell r="E179">
            <v>5355406000</v>
          </cell>
          <cell r="F179">
            <v>3867506000</v>
          </cell>
          <cell r="G179" t="e">
            <v>#N/A</v>
          </cell>
        </row>
        <row r="180">
          <cell r="D180" t="str">
            <v>Nenas Siam</v>
          </cell>
          <cell r="E180">
            <v>7876906000</v>
          </cell>
          <cell r="F180">
            <v>7876451000</v>
          </cell>
          <cell r="G180" t="e">
            <v>#N/A</v>
          </cell>
        </row>
        <row r="181">
          <cell r="D181" t="str">
            <v>Kuala Patah Parang</v>
          </cell>
          <cell r="E181">
            <v>6105695000</v>
          </cell>
          <cell r="F181">
            <v>4164863000</v>
          </cell>
          <cell r="G181" t="e">
            <v>#N/A</v>
          </cell>
        </row>
        <row r="182">
          <cell r="D182" t="str">
            <v>Panglima Raja</v>
          </cell>
          <cell r="E182">
            <v>6105695000</v>
          </cell>
          <cell r="F182">
            <v>4547714000</v>
          </cell>
          <cell r="G182" t="e">
            <v>#N/A</v>
          </cell>
        </row>
        <row r="183">
          <cell r="D183" t="str">
            <v>Koto Tinggi Kuranji Hilir</v>
          </cell>
          <cell r="E183">
            <v>4039246000</v>
          </cell>
          <cell r="F183">
            <v>4038894000</v>
          </cell>
          <cell r="G183" t="e">
            <v>#N/A</v>
          </cell>
        </row>
        <row r="184">
          <cell r="D184" t="str">
            <v>Dusun Kecil</v>
          </cell>
          <cell r="E184">
            <v>4114178000</v>
          </cell>
          <cell r="F184">
            <v>4113545000</v>
          </cell>
          <cell r="G184" t="e">
            <v>#N/A</v>
          </cell>
        </row>
        <row r="185">
          <cell r="D185" t="str">
            <v>Pelapis</v>
          </cell>
          <cell r="E185">
            <v>5597264000</v>
          </cell>
          <cell r="F185">
            <v>5597067000</v>
          </cell>
          <cell r="G185" t="e">
            <v>#N/A</v>
          </cell>
        </row>
        <row r="186">
          <cell r="D186" t="str">
            <v>Telukbatang Utara</v>
          </cell>
          <cell r="E186">
            <v>3130570000</v>
          </cell>
          <cell r="F186">
            <v>3130171000</v>
          </cell>
          <cell r="G186" t="e">
            <v>#N/A</v>
          </cell>
        </row>
        <row r="187">
          <cell r="D187" t="str">
            <v>Tiku Selatan</v>
          </cell>
          <cell r="E187">
            <v>6852278000</v>
          </cell>
          <cell r="F187">
            <v>6851724000</v>
          </cell>
          <cell r="G187" t="e">
            <v>#N/A</v>
          </cell>
        </row>
        <row r="188">
          <cell r="D188" t="str">
            <v>Ampalu</v>
          </cell>
          <cell r="E188">
            <v>3796385000</v>
          </cell>
          <cell r="F188">
            <v>3796232000</v>
          </cell>
          <cell r="G188" t="e">
            <v>#N/A</v>
          </cell>
        </row>
        <row r="189">
          <cell r="D189" t="str">
            <v>Marunggi</v>
          </cell>
          <cell r="E189">
            <v>4116970000</v>
          </cell>
          <cell r="F189">
            <v>4116812000</v>
          </cell>
          <cell r="G189" t="e">
            <v>#N/A</v>
          </cell>
        </row>
        <row r="190">
          <cell r="D190" t="str">
            <v>Pilubang</v>
          </cell>
          <cell r="E190">
            <v>2851058000</v>
          </cell>
          <cell r="F190">
            <v>2850701000</v>
          </cell>
          <cell r="G190" t="e">
            <v>#N/A</v>
          </cell>
        </row>
        <row r="191">
          <cell r="D191" t="str">
            <v>Sumberkima</v>
          </cell>
          <cell r="E191">
            <v>2921092000</v>
          </cell>
          <cell r="F191">
            <v>2920469000</v>
          </cell>
          <cell r="G191" t="e">
            <v>#N/A</v>
          </cell>
        </row>
        <row r="192">
          <cell r="D192" t="str">
            <v>Air Kuning</v>
          </cell>
          <cell r="E192">
            <v>3177296000</v>
          </cell>
          <cell r="F192">
            <v>3176685000</v>
          </cell>
          <cell r="G192" t="e">
            <v>#N/A</v>
          </cell>
        </row>
        <row r="193">
          <cell r="D193" t="str">
            <v>Candikusuma</v>
          </cell>
          <cell r="E193">
            <v>2282935000</v>
          </cell>
          <cell r="F193">
            <v>2282293000</v>
          </cell>
          <cell r="G193" t="e">
            <v>#N/A</v>
          </cell>
        </row>
        <row r="194">
          <cell r="D194" t="str">
            <v>Antiga Kelod</v>
          </cell>
          <cell r="E194">
            <v>2363527000</v>
          </cell>
          <cell r="F194">
            <v>2362904000</v>
          </cell>
          <cell r="G194" t="e">
            <v>#N/A</v>
          </cell>
        </row>
        <row r="195">
          <cell r="D195" t="str">
            <v>Ampang Pulai</v>
          </cell>
          <cell r="E195">
            <v>2849859000</v>
          </cell>
          <cell r="F195">
            <v>2849667000</v>
          </cell>
          <cell r="G195" t="e">
            <v>#N/A</v>
          </cell>
        </row>
        <row r="196">
          <cell r="D196" t="str">
            <v>Koto Nan Duo Iv Koto Hilie</v>
          </cell>
          <cell r="E196">
            <v>4458177000</v>
          </cell>
          <cell r="F196">
            <v>4457998000</v>
          </cell>
          <cell r="G196" t="e">
            <v>#N/A</v>
          </cell>
        </row>
        <row r="197">
          <cell r="D197" t="str">
            <v>Maileppet</v>
          </cell>
          <cell r="E197">
            <v>4575218000</v>
          </cell>
          <cell r="F197">
            <v>4574811000</v>
          </cell>
          <cell r="G197" t="e">
            <v>#N/A</v>
          </cell>
        </row>
        <row r="198">
          <cell r="D198" t="str">
            <v>Muara Sikabaluan</v>
          </cell>
          <cell r="E198">
            <v>6105695000</v>
          </cell>
          <cell r="F198">
            <v>3438042000</v>
          </cell>
          <cell r="G198" t="e">
            <v>#N/A</v>
          </cell>
        </row>
        <row r="199">
          <cell r="D199" t="str">
            <v>Saliguma</v>
          </cell>
          <cell r="E199">
            <v>6105695000</v>
          </cell>
          <cell r="F199">
            <v>7910332000</v>
          </cell>
          <cell r="G199" t="e">
            <v>#N/A</v>
          </cell>
        </row>
        <row r="200">
          <cell r="D200" t="str">
            <v>Aia Bangih</v>
          </cell>
          <cell r="E200">
            <v>3088530000</v>
          </cell>
          <cell r="F200">
            <v>3088462000</v>
          </cell>
          <cell r="G200" t="e">
            <v>#N/A</v>
          </cell>
        </row>
        <row r="201">
          <cell r="D201" t="str">
            <v>Maligi</v>
          </cell>
          <cell r="E201">
            <v>6983200000</v>
          </cell>
          <cell r="F201">
            <v>6982796000</v>
          </cell>
          <cell r="G201" t="e">
            <v>#N/A</v>
          </cell>
        </row>
        <row r="202">
          <cell r="D202" t="str">
            <v>Ranah Pasisie</v>
          </cell>
          <cell r="E202">
            <v>3472825000</v>
          </cell>
          <cell r="F202">
            <v>3472645000</v>
          </cell>
          <cell r="G202" t="e">
            <v>#N/A</v>
          </cell>
        </row>
        <row r="203">
          <cell r="D203" t="str">
            <v>Ranah Pasisie</v>
          </cell>
          <cell r="E203">
            <v>3472825000</v>
          </cell>
          <cell r="F203">
            <v>3472645000</v>
          </cell>
          <cell r="G203" t="e">
            <v>#N/A</v>
          </cell>
        </row>
        <row r="204">
          <cell r="D204" t="str">
            <v>Sasak</v>
          </cell>
          <cell r="E204">
            <v>3167897000</v>
          </cell>
          <cell r="F204">
            <v>3167705000</v>
          </cell>
          <cell r="G204" t="e">
            <v>#N/A</v>
          </cell>
        </row>
        <row r="205">
          <cell r="D205" t="str">
            <v>Air Haji Barat</v>
          </cell>
          <cell r="E205">
            <v>2833835000</v>
          </cell>
          <cell r="F205">
            <v>2833643000</v>
          </cell>
          <cell r="G205" t="e">
            <v>#N/A</v>
          </cell>
        </row>
        <row r="206">
          <cell r="D206" t="str">
            <v>Pulau Rajo Inderapura</v>
          </cell>
          <cell r="E206">
            <v>8020609000</v>
          </cell>
          <cell r="F206">
            <v>8020194000</v>
          </cell>
          <cell r="G206" t="e">
            <v>#N/A</v>
          </cell>
        </row>
        <row r="207">
          <cell r="D207" t="str">
            <v>Semulut</v>
          </cell>
          <cell r="E207">
            <v>4814184000</v>
          </cell>
          <cell r="F207">
            <v>4790418000</v>
          </cell>
        </row>
        <row r="208">
          <cell r="D208" t="str">
            <v>Betung</v>
          </cell>
          <cell r="E208">
            <v>5339164000</v>
          </cell>
          <cell r="F208">
            <v>5340144000</v>
          </cell>
        </row>
        <row r="209">
          <cell r="D209" t="str">
            <v>Karang Brak</v>
          </cell>
          <cell r="E209">
            <v>4421571000</v>
          </cell>
          <cell r="F209">
            <v>4421396000</v>
          </cell>
        </row>
        <row r="210">
          <cell r="D210" t="str">
            <v>Tanjungan</v>
          </cell>
          <cell r="E210">
            <v>4906379000</v>
          </cell>
          <cell r="F210">
            <v>4906379000</v>
          </cell>
        </row>
        <row r="211">
          <cell r="D211" t="str">
            <v>Way Nipah</v>
          </cell>
          <cell r="E211">
            <v>4123000000</v>
          </cell>
          <cell r="F211">
            <v>5340144000</v>
          </cell>
        </row>
        <row r="212">
          <cell r="D212" t="str">
            <v>Pulau Kerayaan</v>
          </cell>
          <cell r="E212">
            <v>5015635000</v>
          </cell>
          <cell r="F212">
            <v>5015487000</v>
          </cell>
        </row>
        <row r="213">
          <cell r="D213" t="str">
            <v>Kabola</v>
          </cell>
          <cell r="E213">
            <v>4606282000</v>
          </cell>
          <cell r="F213">
            <v>4577708000</v>
          </cell>
        </row>
        <row r="214">
          <cell r="D214" t="str">
            <v>Pantai</v>
          </cell>
          <cell r="E214">
            <v>5023211000</v>
          </cell>
          <cell r="F214">
            <v>5023061000</v>
          </cell>
        </row>
        <row r="215">
          <cell r="D215" t="str">
            <v>Tanjung Samalantakan</v>
          </cell>
          <cell r="E215">
            <v>7817652000</v>
          </cell>
          <cell r="F215">
            <v>7817119000</v>
          </cell>
        </row>
        <row r="216">
          <cell r="D216" t="str">
            <v>Bajo Pulau</v>
          </cell>
          <cell r="E216">
            <v>2303814000</v>
          </cell>
          <cell r="F216">
            <v>2303250000</v>
          </cell>
        </row>
        <row r="217">
          <cell r="D217" t="str">
            <v>Afia</v>
          </cell>
          <cell r="E217">
            <v>6434453000</v>
          </cell>
          <cell r="F217">
            <v>6434059000</v>
          </cell>
        </row>
        <row r="218">
          <cell r="D218" t="str">
            <v>Sedanau</v>
          </cell>
          <cell r="E218">
            <v>9436749000</v>
          </cell>
          <cell r="F218">
            <v>9435909000</v>
          </cell>
        </row>
        <row r="219">
          <cell r="D219" t="str">
            <v>Kojagete</v>
          </cell>
          <cell r="E219">
            <v>5756702000</v>
          </cell>
          <cell r="F219">
            <v>5606766000</v>
          </cell>
        </row>
        <row r="220">
          <cell r="D220" t="str">
            <v>Ledeunu</v>
          </cell>
          <cell r="E220">
            <v>7112456000</v>
          </cell>
          <cell r="F220">
            <v>7006326000</v>
          </cell>
        </row>
        <row r="221">
          <cell r="D221" t="str">
            <v>Sabuai</v>
          </cell>
          <cell r="E221">
            <v>6277630000</v>
          </cell>
          <cell r="F221">
            <v>6276815000</v>
          </cell>
        </row>
        <row r="222">
          <cell r="D222" t="str">
            <v>Sungai Cabang Barat</v>
          </cell>
          <cell r="F222">
            <v>5053338000</v>
          </cell>
        </row>
        <row r="223">
          <cell r="D223" t="str">
            <v>Pasar Sorkam</v>
          </cell>
          <cell r="E223">
            <v>8683449000</v>
          </cell>
          <cell r="F223">
            <v>8682977000</v>
          </cell>
        </row>
        <row r="224">
          <cell r="D224" t="str">
            <v>Silawan</v>
          </cell>
          <cell r="F224">
            <v>4372774000</v>
          </cell>
        </row>
        <row r="225">
          <cell r="D225" t="str">
            <v>Paluh Sibaji</v>
          </cell>
          <cell r="E225">
            <v>5548320000</v>
          </cell>
          <cell r="F225">
            <v>5547937000</v>
          </cell>
        </row>
        <row r="226">
          <cell r="D226" t="str">
            <v>Nelayan Indah</v>
          </cell>
          <cell r="E226">
            <v>8825965000</v>
          </cell>
          <cell r="F226">
            <v>8825572000</v>
          </cell>
        </row>
        <row r="227">
          <cell r="D227" t="str">
            <v>Semayang</v>
          </cell>
          <cell r="E227">
            <v>9015023000</v>
          </cell>
          <cell r="F227">
            <v>9014318000</v>
          </cell>
        </row>
        <row r="228">
          <cell r="D228" t="str">
            <v>Jantur Selatan</v>
          </cell>
          <cell r="E228">
            <v>5712262000</v>
          </cell>
          <cell r="F228">
            <v>5712016000</v>
          </cell>
        </row>
        <row r="229">
          <cell r="D229" t="str">
            <v>Rebo</v>
          </cell>
          <cell r="E229">
            <v>4163815000</v>
          </cell>
          <cell r="F229">
            <v>4163108000</v>
          </cell>
        </row>
        <row r="230">
          <cell r="D230" t="str">
            <v>Kurau</v>
          </cell>
          <cell r="E230">
            <v>8426148000</v>
          </cell>
          <cell r="F230">
            <v>8424892000</v>
          </cell>
        </row>
        <row r="231">
          <cell r="D231" t="str">
            <v>Air Ringau</v>
          </cell>
          <cell r="E231">
            <v>4323544000</v>
          </cell>
          <cell r="F231">
            <v>4322693000</v>
          </cell>
        </row>
        <row r="232">
          <cell r="D232" t="str">
            <v>Biduk-Biduk</v>
          </cell>
          <cell r="E232">
            <v>8641590000</v>
          </cell>
          <cell r="F232">
            <v>8640893000</v>
          </cell>
        </row>
        <row r="233">
          <cell r="D233" t="str">
            <v>Buyung-Buyung</v>
          </cell>
          <cell r="E233">
            <v>5632726000</v>
          </cell>
          <cell r="F233">
            <v>5632213000</v>
          </cell>
        </row>
        <row r="234">
          <cell r="D234" t="str">
            <v>Sungaibuluh</v>
          </cell>
          <cell r="E234">
            <v>8641929000</v>
          </cell>
          <cell r="F234">
            <v>8641404000</v>
          </cell>
        </row>
        <row r="235">
          <cell r="D235" t="str">
            <v>Mekar Sari</v>
          </cell>
          <cell r="E235">
            <v>3275416000</v>
          </cell>
          <cell r="F235">
            <v>3274849000</v>
          </cell>
        </row>
        <row r="236">
          <cell r="D236" t="str">
            <v>Siofa Banua</v>
          </cell>
          <cell r="E236">
            <v>5775578000</v>
          </cell>
          <cell r="F236">
            <v>5775095000</v>
          </cell>
        </row>
        <row r="237">
          <cell r="D237" t="str">
            <v>Teluk Kabung Selatan</v>
          </cell>
          <cell r="E237">
            <v>7123100000</v>
          </cell>
          <cell r="F237">
            <v>9194499000</v>
          </cell>
        </row>
        <row r="238">
          <cell r="D238" t="str">
            <v>Rambat</v>
          </cell>
          <cell r="E238">
            <v>3119433000</v>
          </cell>
          <cell r="F238">
            <v>3118913000</v>
          </cell>
        </row>
        <row r="239">
          <cell r="D239" t="str">
            <v>Teluk Sepang</v>
          </cell>
          <cell r="E239">
            <v>3994131000</v>
          </cell>
          <cell r="F239">
            <v>3994131000</v>
          </cell>
        </row>
        <row r="240">
          <cell r="D240" t="str">
            <v>Pasar Bantal</v>
          </cell>
          <cell r="E240">
            <v>4102798000</v>
          </cell>
          <cell r="F240">
            <v>4102798000</v>
          </cell>
        </row>
        <row r="241">
          <cell r="D241" t="str">
            <v>Lete Konda</v>
          </cell>
          <cell r="E241">
            <v>9180537000</v>
          </cell>
          <cell r="F241">
            <v>9130396000</v>
          </cell>
        </row>
        <row r="242">
          <cell r="D242" t="str">
            <v>Katiagan</v>
          </cell>
          <cell r="E242">
            <v>3034263000</v>
          </cell>
          <cell r="F242">
            <v>3033920000</v>
          </cell>
        </row>
      </sheetData>
      <sheetData sheetId="18"/>
      <sheetData sheetId="19">
        <row r="1">
          <cell r="F1" t="str">
            <v>DESA/KELURAHAN</v>
          </cell>
          <cell r="G1" t="str">
            <v>HASIL PLENO</v>
          </cell>
          <cell r="H1" t="str">
            <v>NILAI EE</v>
          </cell>
          <cell r="I1" t="str">
            <v>STATUS USULAN PL</v>
          </cell>
          <cell r="J1" t="str">
            <v>LUAS LAHAN (Ha)</v>
          </cell>
          <cell r="K1" t="str">
            <v>NELAYAN</v>
          </cell>
          <cell r="L1" t="str">
            <v>LATITUDE</v>
          </cell>
          <cell r="M1" t="str">
            <v>LONGITUDE</v>
          </cell>
          <cell r="N1" t="str">
            <v>STATUS KONTRAK</v>
          </cell>
          <cell r="O1" t="str">
            <v>TAHAP USULAN PL</v>
          </cell>
        </row>
        <row r="2">
          <cell r="F2" t="str">
            <v>Boddia</v>
          </cell>
          <cell r="G2" t="str">
            <v>Penyangga</v>
          </cell>
          <cell r="H2">
            <v>5197784000</v>
          </cell>
          <cell r="I2" t="str">
            <v>Nodin PPK 26 Mei 2026</v>
          </cell>
          <cell r="J2">
            <v>0.76</v>
          </cell>
          <cell r="K2">
            <v>656</v>
          </cell>
          <cell r="L2">
            <v>-5.3255889999999999</v>
          </cell>
          <cell r="M2">
            <v>119.35458300000001</v>
          </cell>
          <cell r="N2" t="str">
            <v>Kontrak</v>
          </cell>
          <cell r="O2" t="str">
            <v>Tahap I 208</v>
          </cell>
        </row>
        <row r="3">
          <cell r="F3" t="str">
            <v>Bonto Kanang</v>
          </cell>
          <cell r="G3" t="str">
            <v>Penyangga (+cs)</v>
          </cell>
          <cell r="H3">
            <v>4880000000</v>
          </cell>
          <cell r="I3" t="str">
            <v>Nodin PPK 26 Mei 2026</v>
          </cell>
          <cell r="J3">
            <v>0.65</v>
          </cell>
          <cell r="K3">
            <v>480</v>
          </cell>
          <cell r="L3">
            <v>-5.3562560000000001</v>
          </cell>
          <cell r="M3">
            <v>119.361774</v>
          </cell>
          <cell r="N3" t="str">
            <v>Kontrak</v>
          </cell>
          <cell r="O3" t="str">
            <v>Tahap I 208</v>
          </cell>
        </row>
        <row r="4">
          <cell r="F4" t="str">
            <v>Sampulungan</v>
          </cell>
          <cell r="G4" t="str">
            <v>Penyangga</v>
          </cell>
          <cell r="H4">
            <v>5040531000</v>
          </cell>
          <cell r="I4" t="str">
            <v>Nodin PPK 26 Mei 2026</v>
          </cell>
          <cell r="J4">
            <v>0.5</v>
          </cell>
          <cell r="K4">
            <v>678</v>
          </cell>
          <cell r="L4">
            <v>-5.24587</v>
          </cell>
          <cell r="M4">
            <v>119.379981</v>
          </cell>
          <cell r="N4" t="str">
            <v>Kontrak</v>
          </cell>
          <cell r="O4" t="str">
            <v>Tahap I 208</v>
          </cell>
        </row>
        <row r="5">
          <cell r="F5" t="str">
            <v>Topejawa</v>
          </cell>
          <cell r="G5" t="str">
            <v>Penyangga</v>
          </cell>
          <cell r="H5">
            <v>8793312000</v>
          </cell>
          <cell r="I5" t="str">
            <v>Nodin PPK 26 Mei 2026</v>
          </cell>
          <cell r="J5">
            <v>0.87</v>
          </cell>
          <cell r="K5">
            <v>876</v>
          </cell>
          <cell r="L5">
            <v>-5.4783590000000002</v>
          </cell>
          <cell r="M5">
            <v>119.42355499999999</v>
          </cell>
          <cell r="N5" t="str">
            <v>Kontrak</v>
          </cell>
          <cell r="O5" t="str">
            <v>Tahap I 208</v>
          </cell>
        </row>
        <row r="6">
          <cell r="F6" t="str">
            <v>Tandurusa</v>
          </cell>
          <cell r="G6" t="str">
            <v>Penyangga</v>
          </cell>
          <cell r="H6">
            <v>4603059000</v>
          </cell>
          <cell r="J6">
            <v>0.33</v>
          </cell>
          <cell r="K6">
            <v>135</v>
          </cell>
          <cell r="L6">
            <v>1.4608017</v>
          </cell>
          <cell r="M6">
            <v>125.22154829999999</v>
          </cell>
          <cell r="O6" t="e">
            <v>#N/A</v>
          </cell>
        </row>
        <row r="7">
          <cell r="F7" t="str">
            <v>Lirang</v>
          </cell>
          <cell r="G7" t="str">
            <v>Penyangga</v>
          </cell>
          <cell r="H7">
            <v>4976871000</v>
          </cell>
          <cell r="J7">
            <v>0.28000000000000003</v>
          </cell>
          <cell r="K7">
            <v>132</v>
          </cell>
          <cell r="L7">
            <v>1.541199</v>
          </cell>
          <cell r="M7">
            <v>125.291394</v>
          </cell>
          <cell r="O7" t="e">
            <v>#N/A</v>
          </cell>
        </row>
        <row r="8">
          <cell r="F8" t="str">
            <v>Kema III</v>
          </cell>
          <cell r="G8" t="str">
            <v>Penyangga</v>
          </cell>
          <cell r="H8">
            <v>4642447000</v>
          </cell>
          <cell r="J8">
            <v>1</v>
          </cell>
          <cell r="K8">
            <v>400</v>
          </cell>
          <cell r="L8">
            <v>1.3553999999999999</v>
          </cell>
          <cell r="M8">
            <v>125.07389999999999</v>
          </cell>
          <cell r="O8" t="e">
            <v>#N/A</v>
          </cell>
        </row>
        <row r="9">
          <cell r="F9" t="str">
            <v>Bula</v>
          </cell>
          <cell r="G9" t="str">
            <v>Penyangga</v>
          </cell>
          <cell r="J9">
            <v>2</v>
          </cell>
          <cell r="K9">
            <v>147</v>
          </cell>
          <cell r="L9">
            <v>-3.1006130000000001</v>
          </cell>
          <cell r="M9">
            <v>130.491985</v>
          </cell>
          <cell r="N9">
            <v>0</v>
          </cell>
          <cell r="O9" t="e">
            <v>#N/A</v>
          </cell>
        </row>
        <row r="10">
          <cell r="F10" t="str">
            <v>Englas</v>
          </cell>
          <cell r="G10" t="str">
            <v>Penyangga</v>
          </cell>
          <cell r="J10">
            <v>0.63</v>
          </cell>
          <cell r="K10">
            <v>166</v>
          </cell>
          <cell r="L10">
            <v>-3.0559940000000001</v>
          </cell>
          <cell r="M10">
            <v>130.44356500000001</v>
          </cell>
          <cell r="N10">
            <v>0</v>
          </cell>
          <cell r="O10" t="e">
            <v>#N/A</v>
          </cell>
        </row>
        <row r="11">
          <cell r="F11" t="str">
            <v>Aki Jaya</v>
          </cell>
          <cell r="G11" t="str">
            <v>Penyangga</v>
          </cell>
          <cell r="J11">
            <v>1.24</v>
          </cell>
          <cell r="K11">
            <v>80</v>
          </cell>
          <cell r="L11">
            <v>-3.0114399999999999</v>
          </cell>
          <cell r="M11">
            <v>130.133602</v>
          </cell>
          <cell r="N11">
            <v>0</v>
          </cell>
          <cell r="O11" t="e">
            <v>#N/A</v>
          </cell>
        </row>
        <row r="12">
          <cell r="F12" t="str">
            <v>Dawang</v>
          </cell>
          <cell r="G12" t="str">
            <v>Penyangga</v>
          </cell>
          <cell r="J12">
            <v>0.75</v>
          </cell>
          <cell r="K12">
            <v>100</v>
          </cell>
          <cell r="L12">
            <v>-3.31976</v>
          </cell>
          <cell r="M12">
            <v>130.63083800000001</v>
          </cell>
          <cell r="N12">
            <v>0</v>
          </cell>
          <cell r="O12" t="e">
            <v>#N/A</v>
          </cell>
        </row>
        <row r="13">
          <cell r="F13" t="str">
            <v>Waru</v>
          </cell>
          <cell r="G13" t="str">
            <v>Penyangga</v>
          </cell>
          <cell r="J13">
            <v>0.38</v>
          </cell>
          <cell r="K13">
            <v>82</v>
          </cell>
          <cell r="L13">
            <v>-3.4053499999999999</v>
          </cell>
          <cell r="M13">
            <v>130.68315999999999</v>
          </cell>
          <cell r="N13">
            <v>0</v>
          </cell>
          <cell r="O13" t="e">
            <v>#N/A</v>
          </cell>
        </row>
        <row r="14">
          <cell r="F14" t="str">
            <v>Pattangngae</v>
          </cell>
          <cell r="G14" t="str">
            <v>Penyangga</v>
          </cell>
          <cell r="H14">
            <v>4595074000</v>
          </cell>
          <cell r="I14" t="str">
            <v>Nodin PPK 29 Mei 2026</v>
          </cell>
          <cell r="J14">
            <v>0.08</v>
          </cell>
          <cell r="K14">
            <v>321</v>
          </cell>
          <cell r="L14">
            <v>-4.2208870000000003</v>
          </cell>
          <cell r="M14">
            <v>120.357732</v>
          </cell>
          <cell r="N14" t="str">
            <v>Kontrak</v>
          </cell>
          <cell r="O14" t="str">
            <v>Tahap I 208</v>
          </cell>
        </row>
        <row r="15">
          <cell r="F15" t="str">
            <v>Akkajeng</v>
          </cell>
          <cell r="G15" t="str">
            <v>Penyangga (+cs)</v>
          </cell>
          <cell r="H15">
            <v>5380606000</v>
          </cell>
          <cell r="I15" t="str">
            <v>Nodin PPK 29 Mei 2026</v>
          </cell>
          <cell r="J15">
            <v>2.78</v>
          </cell>
          <cell r="K15">
            <v>256</v>
          </cell>
          <cell r="L15">
            <v>-4.0458179999999997</v>
          </cell>
          <cell r="M15">
            <v>120.340157</v>
          </cell>
          <cell r="N15" t="str">
            <v>Kontrak</v>
          </cell>
          <cell r="O15" t="str">
            <v>Tahap I 208</v>
          </cell>
        </row>
        <row r="16">
          <cell r="F16" t="str">
            <v>Amarsekaru</v>
          </cell>
          <cell r="G16" t="str">
            <v>Hub</v>
          </cell>
          <cell r="J16">
            <v>0.35</v>
          </cell>
          <cell r="K16">
            <v>295</v>
          </cell>
          <cell r="L16">
            <v>-4.0714240000000004</v>
          </cell>
          <cell r="M16">
            <v>131.284403</v>
          </cell>
          <cell r="N16">
            <v>0</v>
          </cell>
          <cell r="O16" t="e">
            <v>#N/A</v>
          </cell>
        </row>
        <row r="17">
          <cell r="F17" t="str">
            <v>Kulugowa</v>
          </cell>
          <cell r="G17" t="str">
            <v>Penyangga</v>
          </cell>
          <cell r="J17">
            <v>0.54</v>
          </cell>
          <cell r="K17">
            <v>150</v>
          </cell>
          <cell r="L17">
            <v>-3.9676939999999998</v>
          </cell>
          <cell r="M17">
            <v>131.42230000000001</v>
          </cell>
          <cell r="N17">
            <v>0</v>
          </cell>
          <cell r="O17" t="e">
            <v>#N/A</v>
          </cell>
        </row>
        <row r="18">
          <cell r="F18" t="str">
            <v>Karlokin</v>
          </cell>
          <cell r="G18" t="str">
            <v>Penyangga (+cs)</v>
          </cell>
          <cell r="J18">
            <v>0.8</v>
          </cell>
          <cell r="K18">
            <v>200</v>
          </cell>
          <cell r="L18">
            <v>-4.7370809999999999</v>
          </cell>
          <cell r="M18">
            <v>131.72909999999999</v>
          </cell>
          <cell r="N18">
            <v>0</v>
          </cell>
          <cell r="O18" t="e">
            <v>#N/A</v>
          </cell>
        </row>
        <row r="19">
          <cell r="F19" t="str">
            <v>Amarlaut</v>
          </cell>
          <cell r="G19" t="str">
            <v>Penyangga</v>
          </cell>
          <cell r="J19">
            <v>7.0000000000000007E-2</v>
          </cell>
          <cell r="K19">
            <v>54</v>
          </cell>
          <cell r="L19">
            <v>-4.4542805999999997</v>
          </cell>
          <cell r="M19">
            <v>131.64096760000001</v>
          </cell>
          <cell r="N19">
            <v>0</v>
          </cell>
          <cell r="O19" t="e">
            <v>#N/A</v>
          </cell>
        </row>
        <row r="20">
          <cell r="F20" t="str">
            <v>Ilili</v>
          </cell>
          <cell r="G20" t="str">
            <v>Penyangga</v>
          </cell>
          <cell r="J20">
            <v>0.04</v>
          </cell>
          <cell r="K20">
            <v>36</v>
          </cell>
          <cell r="L20">
            <v>-4.3799400000000004</v>
          </cell>
          <cell r="M20">
            <v>131.58127999999999</v>
          </cell>
          <cell r="N20">
            <v>0</v>
          </cell>
          <cell r="O20" t="e">
            <v>#N/A</v>
          </cell>
        </row>
        <row r="21">
          <cell r="F21" t="str">
            <v>Kilbutak</v>
          </cell>
          <cell r="G21" t="str">
            <v>Penyangga</v>
          </cell>
          <cell r="J21">
            <v>0.09</v>
          </cell>
          <cell r="K21">
            <v>45</v>
          </cell>
          <cell r="L21">
            <v>-4.5263187</v>
          </cell>
          <cell r="M21">
            <v>131.679327</v>
          </cell>
          <cell r="N21">
            <v>0</v>
          </cell>
          <cell r="O21" t="e">
            <v>#N/A</v>
          </cell>
        </row>
        <row r="22">
          <cell r="F22" t="str">
            <v>Kurwara</v>
          </cell>
          <cell r="G22" t="str">
            <v>Penyangga</v>
          </cell>
          <cell r="J22">
            <v>0.09</v>
          </cell>
          <cell r="K22">
            <v>25</v>
          </cell>
          <cell r="L22">
            <v>-4.4815019999999999</v>
          </cell>
          <cell r="M22">
            <v>131.65931699999999</v>
          </cell>
          <cell r="N22">
            <v>0</v>
          </cell>
          <cell r="O22" t="e">
            <v>#N/A</v>
          </cell>
        </row>
        <row r="23">
          <cell r="F23" t="str">
            <v>Lahema</v>
          </cell>
          <cell r="G23" t="str">
            <v>Penyangga</v>
          </cell>
          <cell r="J23">
            <v>0.59</v>
          </cell>
          <cell r="K23">
            <v>635</v>
          </cell>
          <cell r="L23">
            <v>-4.4133329999999997</v>
          </cell>
          <cell r="M23">
            <v>131.606111</v>
          </cell>
          <cell r="N23">
            <v>0</v>
          </cell>
          <cell r="O23" t="e">
            <v>#N/A</v>
          </cell>
        </row>
        <row r="24">
          <cell r="F24" t="str">
            <v>Iwoimendaa</v>
          </cell>
          <cell r="G24" t="str">
            <v>Penyangga</v>
          </cell>
          <cell r="H24">
            <v>4295591000</v>
          </cell>
          <cell r="J24">
            <v>0.46</v>
          </cell>
          <cell r="K24">
            <v>70</v>
          </cell>
          <cell r="L24">
            <v>-3.8221886999999999</v>
          </cell>
          <cell r="M24">
            <v>121.1693444</v>
          </cell>
          <cell r="N24">
            <v>0</v>
          </cell>
          <cell r="O24" t="str">
            <v>Tahap I 208</v>
          </cell>
        </row>
        <row r="25">
          <cell r="F25" t="str">
            <v>Hakatutobu</v>
          </cell>
          <cell r="G25" t="str">
            <v>Penyangga</v>
          </cell>
          <cell r="H25">
            <v>4560936000</v>
          </cell>
          <cell r="J25">
            <v>1</v>
          </cell>
          <cell r="K25">
            <v>110</v>
          </cell>
          <cell r="L25">
            <v>-4.2494500999999998</v>
          </cell>
          <cell r="M25">
            <v>121.5751475</v>
          </cell>
          <cell r="N25">
            <v>0</v>
          </cell>
          <cell r="O25" t="str">
            <v>Tahap I 208</v>
          </cell>
        </row>
        <row r="26">
          <cell r="F26" t="str">
            <v>Tambea</v>
          </cell>
          <cell r="G26" t="str">
            <v>Penyangga</v>
          </cell>
          <cell r="H26">
            <v>4500000000</v>
          </cell>
          <cell r="J26">
            <v>0.37</v>
          </cell>
          <cell r="K26">
            <v>109</v>
          </cell>
          <cell r="L26">
            <v>-4.2030200000000004</v>
          </cell>
          <cell r="M26">
            <v>121.5858805</v>
          </cell>
          <cell r="N26">
            <v>0</v>
          </cell>
          <cell r="O26" t="str">
            <v>Tahap I 208</v>
          </cell>
        </row>
        <row r="27">
          <cell r="F27" t="str">
            <v>Wolo</v>
          </cell>
          <cell r="G27" t="str">
            <v>Penyangga</v>
          </cell>
          <cell r="H27">
            <v>4500000000</v>
          </cell>
          <cell r="J27">
            <v>0.2</v>
          </cell>
          <cell r="K27">
            <v>220</v>
          </cell>
          <cell r="L27">
            <v>-3.8492896999999999</v>
          </cell>
          <cell r="M27">
            <v>121.25854409999999</v>
          </cell>
          <cell r="N27">
            <v>0</v>
          </cell>
          <cell r="O27" t="str">
            <v>Tahap I 208</v>
          </cell>
        </row>
        <row r="28">
          <cell r="F28" t="str">
            <v>Rawameneng</v>
          </cell>
          <cell r="G28" t="str">
            <v>Penyangga</v>
          </cell>
          <cell r="H28">
            <v>3880426000</v>
          </cell>
          <cell r="I28" t="str">
            <v>Nodin PPK 26 Mei 2026</v>
          </cell>
          <cell r="J28">
            <v>0.2</v>
          </cell>
          <cell r="K28">
            <v>52</v>
          </cell>
          <cell r="L28">
            <v>-6.2419089999999997</v>
          </cell>
          <cell r="M28">
            <v>107.62862</v>
          </cell>
          <cell r="N28" t="str">
            <v>SPPBJ</v>
          </cell>
          <cell r="O28" t="str">
            <v>Tahap I 208</v>
          </cell>
        </row>
        <row r="29">
          <cell r="F29" t="str">
            <v>Anggasari</v>
          </cell>
          <cell r="G29" t="str">
            <v>Penyangga</v>
          </cell>
          <cell r="H29">
            <v>3591483000</v>
          </cell>
          <cell r="I29" t="str">
            <v>Nodin PPK 26 Mei 2026</v>
          </cell>
          <cell r="J29">
            <v>0.3</v>
          </cell>
          <cell r="K29">
            <v>100</v>
          </cell>
          <cell r="L29">
            <v>-6.2487950000000003</v>
          </cell>
          <cell r="M29">
            <v>107.749278</v>
          </cell>
          <cell r="N29" t="str">
            <v>SPPBJ</v>
          </cell>
          <cell r="O29" t="str">
            <v>Tahap I 208</v>
          </cell>
        </row>
        <row r="30">
          <cell r="F30" t="str">
            <v>Meyano Das</v>
          </cell>
          <cell r="G30" t="str">
            <v>Penyangga</v>
          </cell>
          <cell r="J30">
            <v>0.38</v>
          </cell>
          <cell r="K30">
            <v>45</v>
          </cell>
          <cell r="L30">
            <v>-7.6441089</v>
          </cell>
          <cell r="M30">
            <v>131.62135839999999</v>
          </cell>
          <cell r="N30">
            <v>0</v>
          </cell>
          <cell r="O30" t="e">
            <v>#N/A</v>
          </cell>
        </row>
        <row r="31">
          <cell r="F31" t="str">
            <v>Arma</v>
          </cell>
          <cell r="G31" t="str">
            <v>Hub</v>
          </cell>
          <cell r="J31">
            <v>0.2</v>
          </cell>
          <cell r="K31">
            <v>123</v>
          </cell>
          <cell r="L31">
            <v>-7.4223299999999997</v>
          </cell>
          <cell r="M31">
            <v>131.69323700000001</v>
          </cell>
          <cell r="N31">
            <v>0</v>
          </cell>
          <cell r="O31" t="e">
            <v>#N/A</v>
          </cell>
        </row>
        <row r="32">
          <cell r="F32" t="str">
            <v>Lelingluan</v>
          </cell>
          <cell r="G32" t="str">
            <v>Penyangga</v>
          </cell>
          <cell r="J32">
            <v>1.03</v>
          </cell>
          <cell r="K32">
            <v>101</v>
          </cell>
          <cell r="L32">
            <v>-7.1497289999999998</v>
          </cell>
          <cell r="M32">
            <v>131.709632</v>
          </cell>
          <cell r="N32">
            <v>0</v>
          </cell>
          <cell r="O32" t="e">
            <v>#N/A</v>
          </cell>
        </row>
        <row r="33">
          <cell r="F33" t="str">
            <v>Ritabel</v>
          </cell>
          <cell r="G33" t="str">
            <v>Penyangga</v>
          </cell>
          <cell r="J33">
            <v>0.2</v>
          </cell>
          <cell r="K33">
            <v>63</v>
          </cell>
          <cell r="L33">
            <v>-7.1587781000000001</v>
          </cell>
          <cell r="M33">
            <v>131.71580990000001</v>
          </cell>
          <cell r="N33">
            <v>0</v>
          </cell>
          <cell r="O33" t="e">
            <v>#N/A</v>
          </cell>
        </row>
        <row r="34">
          <cell r="F34" t="str">
            <v>Bonda</v>
          </cell>
          <cell r="G34" t="str">
            <v>Penyangga (+cs)</v>
          </cell>
          <cell r="H34">
            <v>7073042000</v>
          </cell>
          <cell r="I34" t="str">
            <v>Nodin PPK 29 Mei 2026</v>
          </cell>
          <cell r="J34">
            <v>0.7</v>
          </cell>
          <cell r="K34">
            <v>315</v>
          </cell>
          <cell r="L34">
            <v>-2.401043</v>
          </cell>
          <cell r="M34">
            <v>119.140838</v>
          </cell>
          <cell r="N34" t="str">
            <v>Proses Kontrak (Pokja)</v>
          </cell>
          <cell r="O34" t="str">
            <v>Tahap I 208</v>
          </cell>
        </row>
        <row r="35">
          <cell r="F35" t="str">
            <v>Sampaga</v>
          </cell>
          <cell r="G35" t="str">
            <v>Penyangga</v>
          </cell>
          <cell r="H35">
            <v>4237147000</v>
          </cell>
          <cell r="I35" t="str">
            <v>Nodin PPK 29 Mei 2026</v>
          </cell>
          <cell r="J35">
            <v>2.7</v>
          </cell>
          <cell r="K35">
            <v>154</v>
          </cell>
          <cell r="L35">
            <v>-2.3155860000000001</v>
          </cell>
          <cell r="M35">
            <v>119.13670500000001</v>
          </cell>
          <cell r="N35" t="str">
            <v>Proses Kontrak (Pokja)</v>
          </cell>
          <cell r="O35" t="str">
            <v>Tahap I 208</v>
          </cell>
        </row>
        <row r="36">
          <cell r="F36" t="str">
            <v>Kire</v>
          </cell>
          <cell r="G36" t="str">
            <v>Penyangga</v>
          </cell>
          <cell r="H36">
            <v>4573079000</v>
          </cell>
          <cell r="J36">
            <v>1</v>
          </cell>
          <cell r="K36">
            <v>198</v>
          </cell>
          <cell r="L36">
            <v>-2.1412650000000002</v>
          </cell>
          <cell r="M36">
            <v>119.18666399999999</v>
          </cell>
          <cell r="N36" t="str">
            <v>Proses Kontrak (Pokja)</v>
          </cell>
          <cell r="O36" t="str">
            <v>Tahap I 208</v>
          </cell>
        </row>
        <row r="37">
          <cell r="F37" t="str">
            <v>Kambunong</v>
          </cell>
          <cell r="G37" t="str">
            <v>Penyangga</v>
          </cell>
          <cell r="H37">
            <v>5528936000</v>
          </cell>
          <cell r="J37">
            <v>1.1000000000000001</v>
          </cell>
          <cell r="K37">
            <v>237</v>
          </cell>
          <cell r="L37">
            <v>-1.9545805999999999</v>
          </cell>
          <cell r="M37">
            <v>119.31513</v>
          </cell>
          <cell r="N37" t="str">
            <v>Proses Kontrak (Pokja)</v>
          </cell>
          <cell r="O37" t="str">
            <v>Tahap I 208</v>
          </cell>
        </row>
        <row r="38">
          <cell r="F38" t="str">
            <v>Tasokko</v>
          </cell>
          <cell r="G38" t="str">
            <v>Penyangga</v>
          </cell>
          <cell r="H38">
            <v>4652570000</v>
          </cell>
          <cell r="J38">
            <v>1</v>
          </cell>
          <cell r="K38">
            <v>139</v>
          </cell>
          <cell r="L38">
            <v>-1.8927099999999999</v>
          </cell>
          <cell r="M38">
            <v>119.3537</v>
          </cell>
          <cell r="N38" t="str">
            <v>Proses Kontrak (Pokja)</v>
          </cell>
          <cell r="O38" t="str">
            <v>Tahap I 208</v>
          </cell>
        </row>
        <row r="39">
          <cell r="F39" t="str">
            <v>Kombiling</v>
          </cell>
          <cell r="G39" t="str">
            <v>Penyangga</v>
          </cell>
          <cell r="H39">
            <v>4165818826</v>
          </cell>
          <cell r="J39">
            <v>1</v>
          </cell>
          <cell r="K39">
            <v>125</v>
          </cell>
          <cell r="L39">
            <v>-2.2507280000000001</v>
          </cell>
          <cell r="M39">
            <v>119.147378</v>
          </cell>
          <cell r="N39" t="str">
            <v>Proses Kontrak (Pokja)</v>
          </cell>
          <cell r="O39" t="str">
            <v>Tahap I 208</v>
          </cell>
        </row>
        <row r="40">
          <cell r="F40" t="str">
            <v>Lamba-Lamba</v>
          </cell>
          <cell r="G40" t="str">
            <v>Penyangga</v>
          </cell>
          <cell r="H40">
            <v>4780636000</v>
          </cell>
          <cell r="J40">
            <v>1</v>
          </cell>
          <cell r="K40">
            <v>250</v>
          </cell>
          <cell r="L40">
            <v>-2.2389999999999999</v>
          </cell>
          <cell r="M40">
            <v>119.1528</v>
          </cell>
          <cell r="N40" t="str">
            <v>Proses Kontrak (Pokja)</v>
          </cell>
          <cell r="O40" t="str">
            <v>Tahap I 208</v>
          </cell>
        </row>
        <row r="41">
          <cell r="F41" t="str">
            <v>Pangale</v>
          </cell>
          <cell r="G41" t="str">
            <v>Penyangga</v>
          </cell>
          <cell r="H41">
            <v>2996678000</v>
          </cell>
          <cell r="J41">
            <v>1</v>
          </cell>
          <cell r="K41">
            <v>211</v>
          </cell>
          <cell r="L41">
            <v>-2.288338</v>
          </cell>
          <cell r="M41">
            <v>119.13754</v>
          </cell>
          <cell r="N41" t="str">
            <v>Proses Kontrak (Pokja)</v>
          </cell>
          <cell r="O41" t="str">
            <v>Tahap I 208</v>
          </cell>
        </row>
        <row r="42">
          <cell r="F42" t="str">
            <v>Tumbu</v>
          </cell>
          <cell r="G42" t="str">
            <v>Penyangga</v>
          </cell>
          <cell r="H42">
            <v>4721180000</v>
          </cell>
          <cell r="J42">
            <v>1</v>
          </cell>
          <cell r="K42">
            <v>133</v>
          </cell>
          <cell r="L42">
            <v>-2.0173999999999999</v>
          </cell>
          <cell r="M42">
            <v>119.2212</v>
          </cell>
          <cell r="N42" t="str">
            <v>Proses Kontrak (Pokja)</v>
          </cell>
          <cell r="O42" t="str">
            <v>Tahap I 208</v>
          </cell>
        </row>
        <row r="43">
          <cell r="F43" t="str">
            <v>Indari</v>
          </cell>
          <cell r="G43" t="str">
            <v>Penyangga</v>
          </cell>
          <cell r="J43">
            <v>0.96</v>
          </cell>
          <cell r="K43">
            <v>250</v>
          </cell>
          <cell r="L43">
            <v>-0.43279800000000002</v>
          </cell>
          <cell r="M43">
            <v>127.306591</v>
          </cell>
          <cell r="N43">
            <v>0</v>
          </cell>
          <cell r="O43" t="e">
            <v>#N/A</v>
          </cell>
        </row>
        <row r="44">
          <cell r="F44" t="str">
            <v>Sidopo</v>
          </cell>
          <cell r="G44" t="str">
            <v>Penyangga</v>
          </cell>
          <cell r="J44">
            <v>0.06</v>
          </cell>
          <cell r="K44">
            <v>20</v>
          </cell>
          <cell r="L44">
            <v>-0.34953600000000001</v>
          </cell>
          <cell r="M44">
            <v>127.401533</v>
          </cell>
          <cell r="N44">
            <v>0</v>
          </cell>
          <cell r="O44" t="e">
            <v>#N/A</v>
          </cell>
        </row>
        <row r="45">
          <cell r="F45" t="str">
            <v>Panamboang</v>
          </cell>
          <cell r="G45" t="str">
            <v>Penyangga</v>
          </cell>
          <cell r="J45">
            <v>1</v>
          </cell>
          <cell r="K45">
            <v>40</v>
          </cell>
          <cell r="L45">
            <v>-0.69348299999999996</v>
          </cell>
          <cell r="M45">
            <v>127.454365</v>
          </cell>
          <cell r="N45">
            <v>0</v>
          </cell>
          <cell r="O45" t="e">
            <v>#N/A</v>
          </cell>
        </row>
        <row r="46">
          <cell r="F46" t="str">
            <v>Bibinoi</v>
          </cell>
          <cell r="G46" t="str">
            <v>Penyangga</v>
          </cell>
          <cell r="J46">
            <v>0.65</v>
          </cell>
          <cell r="K46">
            <v>158</v>
          </cell>
          <cell r="L46">
            <v>-0.69248699999999996</v>
          </cell>
          <cell r="M46">
            <v>127.72575999999999</v>
          </cell>
          <cell r="N46">
            <v>0</v>
          </cell>
          <cell r="O46" t="e">
            <v>#N/A</v>
          </cell>
        </row>
        <row r="47">
          <cell r="F47" t="str">
            <v>Matuting</v>
          </cell>
          <cell r="G47" t="str">
            <v>Penyangga</v>
          </cell>
          <cell r="J47">
            <v>0.6</v>
          </cell>
          <cell r="K47">
            <v>25</v>
          </cell>
          <cell r="L47">
            <v>-0.32264999999999999</v>
          </cell>
          <cell r="M47">
            <v>128.011798</v>
          </cell>
          <cell r="N47">
            <v>0</v>
          </cell>
          <cell r="O47" t="e">
            <v>#N/A</v>
          </cell>
        </row>
        <row r="48">
          <cell r="F48" t="str">
            <v>Loleo Jaya</v>
          </cell>
          <cell r="G48" t="str">
            <v>Penyangga</v>
          </cell>
          <cell r="J48">
            <v>0.06</v>
          </cell>
          <cell r="K48">
            <v>121</v>
          </cell>
          <cell r="L48">
            <v>-0.3534506</v>
          </cell>
          <cell r="M48">
            <v>127.266927</v>
          </cell>
          <cell r="N48">
            <v>0</v>
          </cell>
          <cell r="O48" t="e">
            <v>#N/A</v>
          </cell>
        </row>
        <row r="49">
          <cell r="F49" t="str">
            <v>Talimau</v>
          </cell>
          <cell r="G49" t="str">
            <v>Penyangga</v>
          </cell>
          <cell r="J49">
            <v>1</v>
          </cell>
          <cell r="K49">
            <v>225</v>
          </cell>
          <cell r="L49">
            <v>-2.0317999999999999E-2</v>
          </cell>
          <cell r="M49">
            <v>127.198487</v>
          </cell>
          <cell r="N49">
            <v>0</v>
          </cell>
          <cell r="O49" t="e">
            <v>#N/A</v>
          </cell>
        </row>
        <row r="50">
          <cell r="F50" t="str">
            <v>Bokimiake</v>
          </cell>
          <cell r="G50" t="str">
            <v>Penyangga</v>
          </cell>
          <cell r="J50">
            <v>0.6</v>
          </cell>
          <cell r="K50">
            <v>80</v>
          </cell>
          <cell r="L50">
            <v>-0.22817999999999999</v>
          </cell>
          <cell r="M50">
            <v>127.09775999999999</v>
          </cell>
          <cell r="N50">
            <v>0</v>
          </cell>
          <cell r="O50" t="e">
            <v>#N/A</v>
          </cell>
        </row>
        <row r="51">
          <cell r="F51" t="str">
            <v>Laluin</v>
          </cell>
          <cell r="G51" t="str">
            <v>Penyangga</v>
          </cell>
          <cell r="J51">
            <v>2.02</v>
          </cell>
          <cell r="K51">
            <v>521</v>
          </cell>
          <cell r="L51">
            <v>-4.0399999999999998E-2</v>
          </cell>
          <cell r="M51">
            <v>127.42570000000001</v>
          </cell>
          <cell r="N51">
            <v>0</v>
          </cell>
          <cell r="O51" t="e">
            <v>#N/A</v>
          </cell>
        </row>
        <row r="52">
          <cell r="F52" t="str">
            <v>Bajo</v>
          </cell>
          <cell r="G52" t="str">
            <v>Hub</v>
          </cell>
          <cell r="J52">
            <v>1.03</v>
          </cell>
          <cell r="K52">
            <v>1251</v>
          </cell>
          <cell r="L52">
            <v>-0.62698620000000005</v>
          </cell>
          <cell r="M52">
            <v>127.40111109999999</v>
          </cell>
          <cell r="N52">
            <v>0</v>
          </cell>
          <cell r="O52" t="str">
            <v>Tahap III 167</v>
          </cell>
        </row>
        <row r="53">
          <cell r="F53" t="str">
            <v>Kampung Baru</v>
          </cell>
          <cell r="G53" t="str">
            <v>Penyangga</v>
          </cell>
          <cell r="J53">
            <v>0.06</v>
          </cell>
          <cell r="K53">
            <v>76</v>
          </cell>
          <cell r="L53">
            <v>-0.63897999999999999</v>
          </cell>
          <cell r="M53">
            <v>127.30155999999999</v>
          </cell>
          <cell r="N53">
            <v>0</v>
          </cell>
          <cell r="O53" t="e">
            <v>#N/A</v>
          </cell>
        </row>
        <row r="54">
          <cell r="F54" t="str">
            <v>Lele</v>
          </cell>
          <cell r="G54" t="str">
            <v>Penyangga</v>
          </cell>
          <cell r="J54">
            <v>0.1</v>
          </cell>
          <cell r="K54">
            <v>225</v>
          </cell>
          <cell r="L54">
            <v>-0.76</v>
          </cell>
          <cell r="M54">
            <v>127.3</v>
          </cell>
          <cell r="N54">
            <v>0</v>
          </cell>
          <cell r="O54" t="e">
            <v>#N/A</v>
          </cell>
        </row>
        <row r="55">
          <cell r="F55" t="str">
            <v>Waya</v>
          </cell>
          <cell r="G55" t="str">
            <v>Penyangga</v>
          </cell>
          <cell r="J55">
            <v>0.06</v>
          </cell>
          <cell r="K55">
            <v>74</v>
          </cell>
          <cell r="L55">
            <v>-0.70877900000000005</v>
          </cell>
          <cell r="M55">
            <v>127.289497</v>
          </cell>
          <cell r="N55">
            <v>0</v>
          </cell>
          <cell r="O55" t="e">
            <v>#N/A</v>
          </cell>
        </row>
        <row r="56">
          <cell r="F56" t="str">
            <v>Lelyaba</v>
          </cell>
          <cell r="G56" t="str">
            <v>Penyangga</v>
          </cell>
          <cell r="J56">
            <v>1</v>
          </cell>
          <cell r="K56">
            <v>60</v>
          </cell>
          <cell r="L56">
            <v>-1.8693850000000001</v>
          </cell>
          <cell r="M56">
            <v>125.39652700000001</v>
          </cell>
          <cell r="N56">
            <v>0</v>
          </cell>
          <cell r="O56" t="e">
            <v>#N/A</v>
          </cell>
        </row>
        <row r="57">
          <cell r="F57" t="str">
            <v>Malbufa</v>
          </cell>
          <cell r="G57" t="str">
            <v>Penyangga</v>
          </cell>
          <cell r="J57">
            <v>1</v>
          </cell>
          <cell r="K57">
            <v>132</v>
          </cell>
          <cell r="L57">
            <v>-2.0064625</v>
          </cell>
          <cell r="M57">
            <v>125.8865533</v>
          </cell>
          <cell r="N57">
            <v>0</v>
          </cell>
          <cell r="O57" t="e">
            <v>#N/A</v>
          </cell>
        </row>
        <row r="58">
          <cell r="F58" t="str">
            <v>Kabau Pantai</v>
          </cell>
          <cell r="G58" t="str">
            <v>Penyangga</v>
          </cell>
          <cell r="J58">
            <v>0.47</v>
          </cell>
          <cell r="K58">
            <v>200</v>
          </cell>
          <cell r="L58">
            <v>-2.1980559999999998</v>
          </cell>
          <cell r="M58">
            <v>125.88</v>
          </cell>
          <cell r="N58">
            <v>0</v>
          </cell>
          <cell r="O58" t="e">
            <v>#N/A</v>
          </cell>
        </row>
        <row r="59">
          <cell r="F59" t="str">
            <v>Waiboga</v>
          </cell>
          <cell r="G59" t="str">
            <v>Penyangga</v>
          </cell>
          <cell r="J59">
            <v>0.32</v>
          </cell>
          <cell r="K59">
            <v>202</v>
          </cell>
          <cell r="L59">
            <v>-2.1806701999999998</v>
          </cell>
          <cell r="M59">
            <v>125.9621903</v>
          </cell>
          <cell r="N59">
            <v>0</v>
          </cell>
          <cell r="O59" t="e">
            <v>#N/A</v>
          </cell>
        </row>
        <row r="60">
          <cell r="F60" t="str">
            <v>Lamalaka</v>
          </cell>
          <cell r="G60" t="str">
            <v>Penyangga (+cs)</v>
          </cell>
          <cell r="H60">
            <v>8282464000</v>
          </cell>
          <cell r="I60" t="str">
            <v>Nodin PPK 29 Mei 2026</v>
          </cell>
          <cell r="J60">
            <v>0.85</v>
          </cell>
          <cell r="K60">
            <v>1.7849999999999999</v>
          </cell>
          <cell r="L60">
            <v>-5.5603933000000003</v>
          </cell>
          <cell r="M60">
            <v>119.9816883</v>
          </cell>
          <cell r="N60" t="str">
            <v>SPPBJ</v>
          </cell>
          <cell r="O60" t="str">
            <v>Tahap I 208</v>
          </cell>
        </row>
        <row r="61">
          <cell r="F61" t="str">
            <v>Letta</v>
          </cell>
          <cell r="G61" t="str">
            <v>Penyangga</v>
          </cell>
          <cell r="H61">
            <v>4500000000</v>
          </cell>
          <cell r="J61">
            <v>1</v>
          </cell>
          <cell r="K61">
            <v>120</v>
          </cell>
          <cell r="L61">
            <v>-5.551812</v>
          </cell>
          <cell r="M61">
            <v>119.951947</v>
          </cell>
          <cell r="N61">
            <v>0</v>
          </cell>
          <cell r="O61" t="str">
            <v>Tahap I 208</v>
          </cell>
        </row>
        <row r="62">
          <cell r="F62" t="str">
            <v>Bonto Jai</v>
          </cell>
          <cell r="G62" t="str">
            <v>Penyangga</v>
          </cell>
          <cell r="H62">
            <v>5123916747</v>
          </cell>
          <cell r="I62" t="str">
            <v>Nodin PPK 29 Mei 2026</v>
          </cell>
          <cell r="J62">
            <v>0.15</v>
          </cell>
          <cell r="K62">
            <v>300</v>
          </cell>
          <cell r="L62">
            <v>-5.5644109999999998</v>
          </cell>
          <cell r="M62">
            <v>119.917438</v>
          </cell>
          <cell r="N62" t="str">
            <v>SPPBJ</v>
          </cell>
          <cell r="O62" t="str">
            <v>Tahap I 208</v>
          </cell>
        </row>
        <row r="63">
          <cell r="F63" t="str">
            <v>Bonto Lebang</v>
          </cell>
          <cell r="G63" t="str">
            <v>Penyangga (+cs)</v>
          </cell>
          <cell r="H63">
            <v>8363959467</v>
          </cell>
          <cell r="I63" t="str">
            <v>Nodin PPK 29 Mei 2026</v>
          </cell>
          <cell r="J63">
            <v>0.54</v>
          </cell>
          <cell r="K63">
            <v>140</v>
          </cell>
          <cell r="L63">
            <v>-5.551806</v>
          </cell>
          <cell r="M63">
            <v>119.925341</v>
          </cell>
          <cell r="N63" t="str">
            <v>SPPBJ</v>
          </cell>
          <cell r="O63" t="str">
            <v>Tahap I 208</v>
          </cell>
        </row>
        <row r="64">
          <cell r="F64" t="str">
            <v>Pa'Jukukang</v>
          </cell>
          <cell r="G64" t="str">
            <v>Penyangga</v>
          </cell>
          <cell r="H64">
            <v>6236467000</v>
          </cell>
          <cell r="I64" t="str">
            <v>Nodin PPK 29 Mei 2026</v>
          </cell>
          <cell r="J64">
            <v>0.28000000000000003</v>
          </cell>
          <cell r="K64">
            <v>220</v>
          </cell>
          <cell r="L64">
            <v>-5.5705809999999998</v>
          </cell>
          <cell r="M64">
            <v>120.023704</v>
          </cell>
          <cell r="N64" t="str">
            <v>SPPBJ</v>
          </cell>
          <cell r="O64" t="str">
            <v>Tahap I 208</v>
          </cell>
        </row>
        <row r="65">
          <cell r="F65" t="str">
            <v>Arungkeke Pallantikang</v>
          </cell>
          <cell r="G65" t="str">
            <v>Penyangga</v>
          </cell>
          <cell r="H65">
            <v>5583550000</v>
          </cell>
          <cell r="J65">
            <v>0.2</v>
          </cell>
          <cell r="K65">
            <v>51</v>
          </cell>
          <cell r="L65">
            <v>-5.6383429999999999</v>
          </cell>
          <cell r="M65">
            <v>119.840238</v>
          </cell>
          <cell r="N65">
            <v>0</v>
          </cell>
          <cell r="O65" t="str">
            <v>Tahap III 166</v>
          </cell>
        </row>
        <row r="66">
          <cell r="F66" t="str">
            <v>Bungeng</v>
          </cell>
          <cell r="G66" t="str">
            <v>Penyangga</v>
          </cell>
          <cell r="H66">
            <v>5404670000</v>
          </cell>
          <cell r="J66">
            <v>0.3</v>
          </cell>
          <cell r="K66">
            <v>192</v>
          </cell>
          <cell r="L66">
            <v>-5.6323590000000001</v>
          </cell>
          <cell r="M66">
            <v>119.853713</v>
          </cell>
          <cell r="N66">
            <v>0</v>
          </cell>
          <cell r="O66" t="str">
            <v>Tahap III 166</v>
          </cell>
        </row>
        <row r="67">
          <cell r="F67" t="str">
            <v>Pasangkayu</v>
          </cell>
          <cell r="G67" t="str">
            <v>Penyangga</v>
          </cell>
          <cell r="H67">
            <v>5353061359</v>
          </cell>
          <cell r="J67">
            <v>1.6</v>
          </cell>
          <cell r="K67">
            <v>206</v>
          </cell>
          <cell r="L67">
            <v>-1.1776556</v>
          </cell>
          <cell r="M67">
            <v>119.3394139</v>
          </cell>
          <cell r="N67" t="str">
            <v>Proses Kontrak (Pokja)</v>
          </cell>
          <cell r="O67" t="str">
            <v>Tahap I 208</v>
          </cell>
        </row>
        <row r="68">
          <cell r="F68" t="str">
            <v>Sarudu</v>
          </cell>
          <cell r="G68" t="str">
            <v>Penyangga</v>
          </cell>
          <cell r="H68">
            <v>4586247640</v>
          </cell>
          <cell r="J68">
            <v>1.5</v>
          </cell>
          <cell r="K68">
            <v>105</v>
          </cell>
          <cell r="L68">
            <v>-1.71143</v>
          </cell>
          <cell r="M68">
            <v>119.3023444</v>
          </cell>
          <cell r="N68" t="str">
            <v>Proses Kontrak (Pokja)</v>
          </cell>
          <cell r="O68" t="str">
            <v>Tahap I 208</v>
          </cell>
        </row>
        <row r="69">
          <cell r="F69" t="str">
            <v>Laulalang</v>
          </cell>
          <cell r="G69" t="str">
            <v>Penyangga (+cs)</v>
          </cell>
          <cell r="H69">
            <v>8072493000</v>
          </cell>
          <cell r="J69">
            <v>0.97</v>
          </cell>
          <cell r="K69">
            <v>747</v>
          </cell>
          <cell r="L69">
            <v>1.33606</v>
          </cell>
          <cell r="M69">
            <v>120.9313733</v>
          </cell>
          <cell r="N69">
            <v>0</v>
          </cell>
          <cell r="O69" t="str">
            <v>Tahap I 208</v>
          </cell>
        </row>
        <row r="70">
          <cell r="F70" t="str">
            <v>Tanjung Pinang</v>
          </cell>
          <cell r="G70" t="str">
            <v>Penyangga</v>
          </cell>
          <cell r="H70">
            <v>4500000000</v>
          </cell>
          <cell r="J70">
            <v>0.9</v>
          </cell>
          <cell r="K70">
            <v>300</v>
          </cell>
          <cell r="L70">
            <v>-4.7093410000000002</v>
          </cell>
          <cell r="M70">
            <v>122.53840099999999</v>
          </cell>
          <cell r="N70">
            <v>0</v>
          </cell>
          <cell r="O70" t="str">
            <v>Tahap I 208</v>
          </cell>
        </row>
        <row r="71">
          <cell r="F71" t="str">
            <v>Bangko</v>
          </cell>
          <cell r="G71" t="str">
            <v>Hub</v>
          </cell>
          <cell r="H71">
            <v>8231000000</v>
          </cell>
          <cell r="J71">
            <v>1.5</v>
          </cell>
          <cell r="K71">
            <v>432</v>
          </cell>
          <cell r="L71">
            <v>-4.9107830000000003</v>
          </cell>
          <cell r="M71">
            <v>122.339765</v>
          </cell>
          <cell r="N71">
            <v>0</v>
          </cell>
          <cell r="O71" t="str">
            <v>Tahap I 208</v>
          </cell>
        </row>
        <row r="72">
          <cell r="F72" t="str">
            <v>Latawe</v>
          </cell>
          <cell r="G72" t="str">
            <v>Penyangga</v>
          </cell>
          <cell r="H72">
            <v>3588529692</v>
          </cell>
          <cell r="J72">
            <v>1</v>
          </cell>
          <cell r="K72">
            <v>198</v>
          </cell>
          <cell r="L72">
            <v>-4.642563</v>
          </cell>
          <cell r="M72">
            <v>122.60033199999999</v>
          </cell>
          <cell r="N72" t="str">
            <v>Proses Kontrak (Pokja)</v>
          </cell>
          <cell r="O72" t="str">
            <v>Tahap I 208</v>
          </cell>
        </row>
        <row r="73">
          <cell r="F73" t="str">
            <v>Lasama</v>
          </cell>
          <cell r="G73" t="str">
            <v>Penyangga</v>
          </cell>
          <cell r="H73">
            <v>2917177712</v>
          </cell>
          <cell r="J73">
            <v>1.01</v>
          </cell>
          <cell r="K73">
            <v>164</v>
          </cell>
          <cell r="L73">
            <v>-4.765091</v>
          </cell>
          <cell r="M73">
            <v>122.434325</v>
          </cell>
          <cell r="O73" t="str">
            <v>Tahap I 208</v>
          </cell>
        </row>
        <row r="74">
          <cell r="F74" t="str">
            <v>Tondasi</v>
          </cell>
          <cell r="G74" t="str">
            <v>Penyangga</v>
          </cell>
          <cell r="H74">
            <v>3637318352</v>
          </cell>
          <cell r="J74">
            <v>0.93</v>
          </cell>
          <cell r="K74">
            <v>187</v>
          </cell>
          <cell r="L74">
            <v>-4.7474720000000001</v>
          </cell>
          <cell r="M74">
            <v>122.371009</v>
          </cell>
          <cell r="N74" t="str">
            <v>Proses Kontrak (Pokja)</v>
          </cell>
          <cell r="O74" t="str">
            <v>Tahap I 208</v>
          </cell>
        </row>
        <row r="75">
          <cell r="F75" t="str">
            <v>Sagara</v>
          </cell>
          <cell r="G75" t="str">
            <v>Penyangga (+cs)</v>
          </cell>
          <cell r="H75">
            <v>3188856000</v>
          </cell>
          <cell r="J75">
            <v>1.55</v>
          </cell>
          <cell r="K75">
            <v>597</v>
          </cell>
          <cell r="L75">
            <v>-6.5404479999999996</v>
          </cell>
          <cell r="M75">
            <v>111.06122999999999</v>
          </cell>
          <cell r="N75" t="str">
            <v>Proses Kontrak (Pokja)</v>
          </cell>
          <cell r="O75" t="str">
            <v>Tahap I 208</v>
          </cell>
        </row>
        <row r="76">
          <cell r="F76" t="str">
            <v>Alasdowo</v>
          </cell>
          <cell r="G76" t="str">
            <v>Penyangga</v>
          </cell>
          <cell r="H76">
            <v>5437000000</v>
          </cell>
          <cell r="J76">
            <v>3.4500000000000003E-2</v>
          </cell>
          <cell r="K76">
            <v>78</v>
          </cell>
          <cell r="L76">
            <v>-6.4666329999999999</v>
          </cell>
          <cell r="M76">
            <v>111.047725</v>
          </cell>
          <cell r="N76">
            <v>0</v>
          </cell>
          <cell r="O76" t="str">
            <v>Tahap IV 200</v>
          </cell>
        </row>
        <row r="77">
          <cell r="F77" t="str">
            <v>Puncel</v>
          </cell>
          <cell r="G77" t="str">
            <v>Penyangga</v>
          </cell>
          <cell r="H77">
            <v>5437000000</v>
          </cell>
          <cell r="J77">
            <v>0.06</v>
          </cell>
          <cell r="K77">
            <v>204</v>
          </cell>
          <cell r="L77">
            <v>-6.4195123900000004</v>
          </cell>
          <cell r="M77">
            <v>110.9752537</v>
          </cell>
          <cell r="N77">
            <v>0</v>
          </cell>
          <cell r="O77" t="str">
            <v>Tahap IV 200</v>
          </cell>
        </row>
        <row r="78">
          <cell r="F78" t="str">
            <v>Dororejo</v>
          </cell>
          <cell r="G78" t="str">
            <v>Penyangga</v>
          </cell>
          <cell r="H78">
            <v>5437000000</v>
          </cell>
          <cell r="J78">
            <v>2.72</v>
          </cell>
          <cell r="K78">
            <v>10</v>
          </cell>
          <cell r="L78">
            <v>-6.5179489999999998</v>
          </cell>
          <cell r="M78">
            <v>111.053984</v>
          </cell>
          <cell r="N78">
            <v>0</v>
          </cell>
          <cell r="O78" t="str">
            <v>Tahap IV 200</v>
          </cell>
        </row>
        <row r="79">
          <cell r="F79" t="str">
            <v>Margomulyo</v>
          </cell>
          <cell r="G79" t="str">
            <v>Penyangga</v>
          </cell>
          <cell r="H79">
            <v>5437000000</v>
          </cell>
          <cell r="J79">
            <v>4.87E-2</v>
          </cell>
          <cell r="K79">
            <v>154</v>
          </cell>
          <cell r="L79">
            <v>-6.5684630000000004</v>
          </cell>
          <cell r="M79">
            <v>111.06926</v>
          </cell>
          <cell r="N79">
            <v>0</v>
          </cell>
          <cell r="O79" t="str">
            <v>Tahap IV 200</v>
          </cell>
        </row>
        <row r="80">
          <cell r="F80" t="str">
            <v>Batuasa</v>
          </cell>
          <cell r="G80" t="str">
            <v>Penyangga</v>
          </cell>
          <cell r="J80">
            <v>0.25</v>
          </cell>
          <cell r="K80">
            <v>125</v>
          </cell>
          <cell r="L80">
            <v>-3.5476999999999999</v>
          </cell>
          <cell r="M80">
            <v>130.17830000000001</v>
          </cell>
          <cell r="N80">
            <v>0</v>
          </cell>
          <cell r="O80" t="e">
            <v>#N/A</v>
          </cell>
        </row>
        <row r="81">
          <cell r="F81" t="str">
            <v>Batu Atas Timur</v>
          </cell>
          <cell r="G81" t="str">
            <v>Penyangga (+cs)</v>
          </cell>
          <cell r="H81">
            <v>4567200000</v>
          </cell>
          <cell r="J81">
            <v>0.36</v>
          </cell>
          <cell r="K81">
            <v>180</v>
          </cell>
          <cell r="L81">
            <v>-6.2051080000000001</v>
          </cell>
          <cell r="M81">
            <v>122.72387500000001</v>
          </cell>
          <cell r="N81">
            <v>0</v>
          </cell>
          <cell r="O81" t="str">
            <v>Tahap I 208</v>
          </cell>
        </row>
        <row r="82">
          <cell r="F82" t="str">
            <v>Bababulo</v>
          </cell>
          <cell r="G82" t="str">
            <v>Penyangga</v>
          </cell>
          <cell r="H82">
            <v>3966767000</v>
          </cell>
          <cell r="I82" t="str">
            <v>Nodin PPK 3 Juni 2026</v>
          </cell>
          <cell r="J82">
            <v>0.1</v>
          </cell>
          <cell r="K82">
            <v>314</v>
          </cell>
          <cell r="L82">
            <v>-3.510329</v>
          </cell>
          <cell r="M82">
            <v>118.90003609999999</v>
          </cell>
          <cell r="N82" t="str">
            <v>SPPBJ</v>
          </cell>
          <cell r="O82" t="str">
            <v>Tahap I 208</v>
          </cell>
        </row>
        <row r="83">
          <cell r="F83" t="str">
            <v>Bonde Utara</v>
          </cell>
          <cell r="G83" t="str">
            <v>Penyangga (+cs)</v>
          </cell>
          <cell r="H83">
            <v>4628291000</v>
          </cell>
          <cell r="I83" t="str">
            <v>Nodin PPK 3 Juni 2026</v>
          </cell>
          <cell r="J83">
            <v>0.12</v>
          </cell>
          <cell r="K83">
            <v>800</v>
          </cell>
          <cell r="L83">
            <v>-3.525112</v>
          </cell>
          <cell r="M83">
            <v>118.908192</v>
          </cell>
          <cell r="N83" t="str">
            <v>SPPBJ</v>
          </cell>
          <cell r="O83" t="str">
            <v>Tahap I 208</v>
          </cell>
        </row>
        <row r="84">
          <cell r="F84" t="str">
            <v>Limbua</v>
          </cell>
          <cell r="G84" t="str">
            <v>Penyangga</v>
          </cell>
          <cell r="H84">
            <v>3578598000</v>
          </cell>
          <cell r="I84" t="str">
            <v>Nodin PPK 3 Juni 2026</v>
          </cell>
          <cell r="J84">
            <v>1</v>
          </cell>
          <cell r="K84">
            <v>86</v>
          </cell>
          <cell r="L84">
            <v>-3.37358</v>
          </cell>
          <cell r="M84">
            <v>118.85176</v>
          </cell>
          <cell r="N84" t="str">
            <v>SPPBJ</v>
          </cell>
          <cell r="O84" t="str">
            <v>Tahap I 208</v>
          </cell>
        </row>
        <row r="85">
          <cell r="F85" t="str">
            <v>Tammangalle</v>
          </cell>
          <cell r="G85" t="str">
            <v>Penyangga</v>
          </cell>
          <cell r="H85">
            <v>4506250000</v>
          </cell>
          <cell r="J85">
            <v>0.51</v>
          </cell>
          <cell r="K85">
            <v>250</v>
          </cell>
          <cell r="L85">
            <v>-3.502265</v>
          </cell>
          <cell r="M85">
            <v>119.064796</v>
          </cell>
          <cell r="N85">
            <v>0</v>
          </cell>
          <cell r="O85" t="str">
            <v>Tahap III 166</v>
          </cell>
        </row>
        <row r="86">
          <cell r="F86" t="str">
            <v>Darubiah</v>
          </cell>
          <cell r="G86" t="str">
            <v>Penyangga</v>
          </cell>
          <cell r="H86">
            <v>4220843000</v>
          </cell>
          <cell r="J86">
            <v>1.4</v>
          </cell>
          <cell r="K86">
            <v>173</v>
          </cell>
          <cell r="L86">
            <v>-5.5548950000000001</v>
          </cell>
          <cell r="M86">
            <v>120.444684</v>
          </cell>
          <cell r="N86">
            <v>0</v>
          </cell>
          <cell r="O86" t="str">
            <v>Tahap III 166</v>
          </cell>
        </row>
        <row r="87">
          <cell r="F87" t="str">
            <v>Dwitiro</v>
          </cell>
          <cell r="G87" t="str">
            <v>Penyangga</v>
          </cell>
          <cell r="H87">
            <v>5192180223</v>
          </cell>
          <cell r="J87">
            <v>1.6</v>
          </cell>
          <cell r="K87">
            <v>107</v>
          </cell>
          <cell r="L87">
            <v>-5.4550580000000002</v>
          </cell>
          <cell r="M87">
            <v>120.423767</v>
          </cell>
          <cell r="N87">
            <v>0</v>
          </cell>
          <cell r="O87" t="str">
            <v>Tahap I 208</v>
          </cell>
        </row>
        <row r="88">
          <cell r="F88" t="str">
            <v>Besole</v>
          </cell>
          <cell r="G88" t="str">
            <v>Penyangga</v>
          </cell>
          <cell r="H88">
            <v>2314000000</v>
          </cell>
          <cell r="J88">
            <v>0.2</v>
          </cell>
          <cell r="K88">
            <v>425</v>
          </cell>
          <cell r="L88">
            <v>-8.2574760000000005</v>
          </cell>
          <cell r="M88">
            <v>111.799691</v>
          </cell>
          <cell r="N88">
            <v>0</v>
          </cell>
          <cell r="O88" t="str">
            <v>Tahap III 166</v>
          </cell>
        </row>
        <row r="89">
          <cell r="F89" t="str">
            <v>Jengglungharjo</v>
          </cell>
          <cell r="G89" t="str">
            <v>Penyangga</v>
          </cell>
          <cell r="H89">
            <v>4441806000</v>
          </cell>
          <cell r="J89">
            <v>0.56999999999999995</v>
          </cell>
          <cell r="K89">
            <v>102</v>
          </cell>
          <cell r="L89">
            <v>-8.2869790000000005</v>
          </cell>
          <cell r="M89">
            <v>111.926247</v>
          </cell>
          <cell r="N89">
            <v>0</v>
          </cell>
          <cell r="O89" t="str">
            <v>Tahap IV 200</v>
          </cell>
        </row>
        <row r="90">
          <cell r="F90" t="str">
            <v>Tonyaman</v>
          </cell>
          <cell r="G90" t="str">
            <v>Penyangga</v>
          </cell>
          <cell r="H90">
            <v>4590544000</v>
          </cell>
          <cell r="I90" t="str">
            <v>Nodin PPK 4 Juni 2026</v>
          </cell>
          <cell r="J90">
            <v>0.68</v>
          </cell>
          <cell r="K90">
            <v>580</v>
          </cell>
          <cell r="L90">
            <v>-3.4455010000000001</v>
          </cell>
          <cell r="M90">
            <v>119.35977200000001</v>
          </cell>
          <cell r="N90" t="str">
            <v>Proses Kontrak (Pokja)</v>
          </cell>
          <cell r="O90" t="str">
            <v>Tahap I 208</v>
          </cell>
        </row>
        <row r="91">
          <cell r="F91" t="str">
            <v>Tadang Palie</v>
          </cell>
          <cell r="G91" t="str">
            <v>Penyangga</v>
          </cell>
          <cell r="H91">
            <v>4924491000</v>
          </cell>
          <cell r="J91">
            <v>2.5</v>
          </cell>
          <cell r="K91">
            <v>185</v>
          </cell>
          <cell r="L91">
            <v>-3.7551000000000001</v>
          </cell>
          <cell r="M91">
            <v>119.4837</v>
          </cell>
          <cell r="N91">
            <v>0</v>
          </cell>
          <cell r="O91" t="str">
            <v>Tahap I 208</v>
          </cell>
        </row>
        <row r="92">
          <cell r="F92" t="str">
            <v>Data</v>
          </cell>
          <cell r="G92" t="str">
            <v>Penyangga</v>
          </cell>
          <cell r="H92">
            <v>5127713000</v>
          </cell>
          <cell r="J92">
            <v>1</v>
          </cell>
          <cell r="K92">
            <v>110</v>
          </cell>
          <cell r="L92">
            <v>-3.599386</v>
          </cell>
          <cell r="M92">
            <v>119.504183</v>
          </cell>
          <cell r="N92">
            <v>0</v>
          </cell>
          <cell r="O92" t="str">
            <v>Tahap III 166</v>
          </cell>
        </row>
        <row r="93">
          <cell r="F93" t="str">
            <v>Binanga Karaeng</v>
          </cell>
          <cell r="G93" t="str">
            <v>Penyangga (+cs)</v>
          </cell>
          <cell r="H93">
            <v>5600000000</v>
          </cell>
          <cell r="J93">
            <v>0.37</v>
          </cell>
          <cell r="K93">
            <v>350</v>
          </cell>
          <cell r="L93">
            <v>-3.5206</v>
          </cell>
          <cell r="M93">
            <v>119.4923</v>
          </cell>
          <cell r="N93">
            <v>0</v>
          </cell>
          <cell r="O93" t="str">
            <v>Tahap I 208</v>
          </cell>
        </row>
        <row r="94">
          <cell r="F94" t="str">
            <v>Pallameang</v>
          </cell>
          <cell r="G94" t="str">
            <v>Penyangga</v>
          </cell>
          <cell r="H94">
            <v>4823134000</v>
          </cell>
          <cell r="J94">
            <v>0.19</v>
          </cell>
          <cell r="K94">
            <v>306</v>
          </cell>
          <cell r="L94">
            <v>-3.8415970000000002</v>
          </cell>
          <cell r="M94">
            <v>119.517386</v>
          </cell>
          <cell r="N94">
            <v>0</v>
          </cell>
          <cell r="O94" t="str">
            <v>Tahap I 208</v>
          </cell>
        </row>
        <row r="95">
          <cell r="F95" t="str">
            <v>Dalum</v>
          </cell>
          <cell r="G95" t="str">
            <v>Penyangga</v>
          </cell>
          <cell r="J95">
            <v>0.1</v>
          </cell>
          <cell r="K95">
            <v>253</v>
          </cell>
          <cell r="L95">
            <v>3.860894</v>
          </cell>
          <cell r="M95">
            <v>126.688188</v>
          </cell>
          <cell r="O95" t="e">
            <v>#N/A</v>
          </cell>
        </row>
        <row r="96">
          <cell r="F96" t="str">
            <v>Awit Selatan</v>
          </cell>
          <cell r="G96" t="str">
            <v>Penyangga</v>
          </cell>
          <cell r="H96">
            <v>5600000000</v>
          </cell>
          <cell r="J96">
            <v>0.2</v>
          </cell>
          <cell r="K96">
            <v>110</v>
          </cell>
          <cell r="L96">
            <v>4.3310009999999997</v>
          </cell>
          <cell r="M96">
            <v>126.691991</v>
          </cell>
          <cell r="O96" t="e">
            <v>#N/A</v>
          </cell>
        </row>
        <row r="97">
          <cell r="F97" t="str">
            <v>Bowombaru</v>
          </cell>
          <cell r="G97" t="str">
            <v>Penyangga</v>
          </cell>
          <cell r="H97">
            <v>5600000000</v>
          </cell>
          <cell r="J97">
            <v>0.3</v>
          </cell>
          <cell r="K97">
            <v>233</v>
          </cell>
          <cell r="L97">
            <v>4.0331172000000004</v>
          </cell>
          <cell r="M97">
            <v>126.8026405</v>
          </cell>
          <cell r="O97" t="e">
            <v>#N/A</v>
          </cell>
        </row>
        <row r="98">
          <cell r="F98" t="str">
            <v>Pulau Miangas</v>
          </cell>
          <cell r="G98" t="str">
            <v>Penyangga (+cs)</v>
          </cell>
          <cell r="H98">
            <v>5725280000</v>
          </cell>
          <cell r="J98">
            <v>0.5</v>
          </cell>
          <cell r="K98">
            <v>122</v>
          </cell>
          <cell r="L98">
            <v>5.5510137999999998</v>
          </cell>
          <cell r="M98">
            <v>126.5826505</v>
          </cell>
          <cell r="O98" t="e">
            <v>#N/A</v>
          </cell>
        </row>
        <row r="99">
          <cell r="F99" t="str">
            <v>Bitunuris Selatan</v>
          </cell>
          <cell r="G99" t="str">
            <v>Hub</v>
          </cell>
          <cell r="J99">
            <v>0.7</v>
          </cell>
          <cell r="K99">
            <v>269</v>
          </cell>
          <cell r="L99">
            <v>3.8317600000000001</v>
          </cell>
          <cell r="M99">
            <v>126.698306</v>
          </cell>
          <cell r="O99" t="e">
            <v>#N/A</v>
          </cell>
        </row>
        <row r="100">
          <cell r="F100" t="str">
            <v>Imana</v>
          </cell>
          <cell r="G100" t="str">
            <v>Penyangga</v>
          </cell>
          <cell r="H100">
            <v>4500000000</v>
          </cell>
          <cell r="J100">
            <v>0.5</v>
          </cell>
          <cell r="K100">
            <v>70</v>
          </cell>
          <cell r="L100">
            <v>0.90655600000000003</v>
          </cell>
          <cell r="M100">
            <v>123.088167</v>
          </cell>
          <cell r="N100">
            <v>0</v>
          </cell>
          <cell r="O100" t="str">
            <v>Tahap III 166</v>
          </cell>
        </row>
        <row r="101">
          <cell r="F101" t="str">
            <v>Kotajin Utara</v>
          </cell>
          <cell r="G101" t="str">
            <v>Penyangga</v>
          </cell>
          <cell r="H101">
            <v>4780636000</v>
          </cell>
          <cell r="J101">
            <v>1</v>
          </cell>
          <cell r="K101">
            <v>76</v>
          </cell>
          <cell r="L101">
            <v>0.92544400000000004</v>
          </cell>
          <cell r="M101">
            <v>123.10336100000001</v>
          </cell>
          <cell r="N101">
            <v>0</v>
          </cell>
          <cell r="O101" t="str">
            <v>Tahap IV 200</v>
          </cell>
        </row>
        <row r="102">
          <cell r="F102" t="str">
            <v>Dumolodo</v>
          </cell>
          <cell r="G102" t="str">
            <v>Penyangga</v>
          </cell>
          <cell r="H102">
            <v>4780636000</v>
          </cell>
          <cell r="J102">
            <v>0.19</v>
          </cell>
          <cell r="K102">
            <v>92</v>
          </cell>
          <cell r="L102">
            <v>0.92613900000000005</v>
          </cell>
          <cell r="M102">
            <v>123.056028</v>
          </cell>
          <cell r="N102">
            <v>0</v>
          </cell>
          <cell r="O102" t="str">
            <v>Tahap IV 200</v>
          </cell>
        </row>
        <row r="103">
          <cell r="F103" t="str">
            <v>Bolangitang I</v>
          </cell>
          <cell r="G103" t="str">
            <v>Hub</v>
          </cell>
          <cell r="J103">
            <v>1</v>
          </cell>
          <cell r="K103">
            <v>180</v>
          </cell>
          <cell r="L103">
            <v>0.90989200000000003</v>
          </cell>
          <cell r="M103">
            <v>123.30038500000001</v>
          </cell>
          <cell r="O103" t="e">
            <v>#N/A</v>
          </cell>
        </row>
        <row r="104">
          <cell r="F104" t="str">
            <v>Tambulang Pantai</v>
          </cell>
          <cell r="G104" t="str">
            <v>Penyangga</v>
          </cell>
          <cell r="H104">
            <v>5600000000</v>
          </cell>
          <cell r="J104">
            <v>0.92</v>
          </cell>
          <cell r="K104">
            <v>77</v>
          </cell>
          <cell r="L104">
            <v>0.92266499999999996</v>
          </cell>
          <cell r="M104">
            <v>123.12908299999999</v>
          </cell>
          <cell r="O104" t="e">
            <v>#N/A</v>
          </cell>
        </row>
        <row r="105">
          <cell r="F105" t="str">
            <v>Tanjung Sidupa</v>
          </cell>
          <cell r="G105" t="str">
            <v>Penyangga</v>
          </cell>
          <cell r="H105">
            <v>5600000000</v>
          </cell>
          <cell r="J105">
            <v>0.27</v>
          </cell>
          <cell r="K105">
            <v>101</v>
          </cell>
          <cell r="L105">
            <v>0.94845999999999997</v>
          </cell>
          <cell r="M105">
            <v>123.171706</v>
          </cell>
          <cell r="O105" t="e">
            <v>#N/A</v>
          </cell>
        </row>
        <row r="106">
          <cell r="F106" t="str">
            <v>Sama Bahari</v>
          </cell>
          <cell r="G106" t="str">
            <v>Penyangga</v>
          </cell>
          <cell r="H106">
            <v>4089135000</v>
          </cell>
          <cell r="I106" t="str">
            <v>Nodin PPK 4 Juni 2026</v>
          </cell>
          <cell r="J106">
            <v>0.56999999999999995</v>
          </cell>
          <cell r="K106">
            <v>300</v>
          </cell>
          <cell r="L106">
            <v>0.41809299999999999</v>
          </cell>
          <cell r="M106">
            <v>120.969627</v>
          </cell>
          <cell r="N106" t="str">
            <v>Proses Kontrak (Pokja)</v>
          </cell>
          <cell r="O106" t="str">
            <v>Tahap I 208</v>
          </cell>
        </row>
        <row r="107">
          <cell r="F107" t="str">
            <v>Dusunan</v>
          </cell>
          <cell r="G107" t="str">
            <v>Penyangga</v>
          </cell>
          <cell r="H107">
            <v>8063099000</v>
          </cell>
          <cell r="I107" t="str">
            <v>Nodin PPK 4 Juni 2026</v>
          </cell>
          <cell r="J107">
            <v>0.6</v>
          </cell>
          <cell r="K107">
            <v>100</v>
          </cell>
          <cell r="L107">
            <v>0.39470699999999997</v>
          </cell>
          <cell r="M107">
            <v>120.29062399999999</v>
          </cell>
          <cell r="N107" t="str">
            <v>Proses Kontrak (Pokja)</v>
          </cell>
          <cell r="O107" t="str">
            <v>Tahap I 208</v>
          </cell>
        </row>
        <row r="108">
          <cell r="F108" t="str">
            <v>Kaofe</v>
          </cell>
          <cell r="G108" t="str">
            <v>Penyangga</v>
          </cell>
          <cell r="H108">
            <v>4506021000</v>
          </cell>
          <cell r="I108" t="str">
            <v>Nodin PPK 28 Mei 2026</v>
          </cell>
          <cell r="J108">
            <v>0.15</v>
          </cell>
          <cell r="K108">
            <v>276</v>
          </cell>
          <cell r="L108">
            <v>-5.5312049999999999</v>
          </cell>
          <cell r="M108">
            <v>122.471568</v>
          </cell>
          <cell r="N108" t="str">
            <v>SPPBJ</v>
          </cell>
          <cell r="O108" t="str">
            <v>Tahap I 208</v>
          </cell>
        </row>
        <row r="109">
          <cell r="F109" t="str">
            <v>Moko</v>
          </cell>
          <cell r="G109" t="str">
            <v>Penyangga</v>
          </cell>
          <cell r="H109">
            <v>4500000000</v>
          </cell>
          <cell r="J109">
            <v>0.8</v>
          </cell>
          <cell r="K109">
            <v>157</v>
          </cell>
          <cell r="L109">
            <v>-5.275582</v>
          </cell>
          <cell r="M109">
            <v>122.524883</v>
          </cell>
          <cell r="N109">
            <v>0</v>
          </cell>
          <cell r="O109" t="str">
            <v>Tahap I 208</v>
          </cell>
        </row>
        <row r="110">
          <cell r="F110" t="str">
            <v>Lagili</v>
          </cell>
          <cell r="G110" t="str">
            <v>Penyangga</v>
          </cell>
          <cell r="H110">
            <v>4500000000</v>
          </cell>
          <cell r="J110" t="str">
            <v>2, 0</v>
          </cell>
          <cell r="K110">
            <v>33</v>
          </cell>
          <cell r="L110">
            <v>-5.3296109999999999</v>
          </cell>
          <cell r="M110">
            <v>122.385651</v>
          </cell>
          <cell r="N110">
            <v>0</v>
          </cell>
          <cell r="O110" t="str">
            <v>Tahap I 208</v>
          </cell>
        </row>
        <row r="111">
          <cell r="F111" t="str">
            <v>Bonebone</v>
          </cell>
          <cell r="G111" t="str">
            <v>Hub</v>
          </cell>
          <cell r="H111">
            <v>7827365000</v>
          </cell>
          <cell r="I111" t="str">
            <v>Nodin PPK 28 Mei 2026</v>
          </cell>
          <cell r="J111">
            <v>0.94</v>
          </cell>
          <cell r="K111">
            <v>554</v>
          </cell>
          <cell r="L111">
            <v>-5.460839</v>
          </cell>
          <cell r="M111">
            <v>122.589877</v>
          </cell>
          <cell r="N111" t="str">
            <v>SPPBJ</v>
          </cell>
          <cell r="O111" t="str">
            <v>Tahap I 208</v>
          </cell>
        </row>
        <row r="112">
          <cell r="F112" t="str">
            <v>Sulaa</v>
          </cell>
          <cell r="G112" t="str">
            <v>Penyangga</v>
          </cell>
          <cell r="H112">
            <v>5329853000</v>
          </cell>
          <cell r="I112" t="str">
            <v>Nodin PPK 28 Mei 2026</v>
          </cell>
          <cell r="J112">
            <v>0.5</v>
          </cell>
          <cell r="K112">
            <v>149</v>
          </cell>
          <cell r="L112">
            <v>-5.5053729999999996</v>
          </cell>
          <cell r="M112">
            <v>122.55848899999999</v>
          </cell>
          <cell r="N112" t="str">
            <v>SPPBJ</v>
          </cell>
          <cell r="O112" t="str">
            <v>Tahap I 208</v>
          </cell>
        </row>
        <row r="113">
          <cell r="F113" t="str">
            <v>Lowu-Lowu</v>
          </cell>
          <cell r="G113" t="str">
            <v>Penyangga</v>
          </cell>
          <cell r="H113">
            <v>4825613000</v>
          </cell>
          <cell r="I113" t="str">
            <v>Nodin PPK 26 Mei 2026</v>
          </cell>
          <cell r="J113">
            <v>0.5</v>
          </cell>
          <cell r="K113">
            <v>129</v>
          </cell>
          <cell r="L113">
            <v>-5.4097030000000004</v>
          </cell>
          <cell r="M113">
            <v>122.629942</v>
          </cell>
          <cell r="N113" t="str">
            <v>Kontrak</v>
          </cell>
          <cell r="O113" t="str">
            <v>Tahap I 208</v>
          </cell>
        </row>
        <row r="114">
          <cell r="F114" t="str">
            <v>Boneoge</v>
          </cell>
          <cell r="G114" t="str">
            <v>Hub</v>
          </cell>
          <cell r="H114">
            <v>7729419000</v>
          </cell>
          <cell r="J114">
            <v>0.62</v>
          </cell>
          <cell r="K114">
            <v>1.5</v>
          </cell>
          <cell r="L114">
            <v>-0.660246</v>
          </cell>
          <cell r="M114">
            <v>119.724081</v>
          </cell>
          <cell r="N114" t="str">
            <v>Proses Kontrak (Pokja)</v>
          </cell>
          <cell r="O114" t="str">
            <v>Tahap I 208</v>
          </cell>
        </row>
        <row r="115">
          <cell r="F115" t="str">
            <v>Ganti</v>
          </cell>
          <cell r="G115" t="str">
            <v>Penyangga</v>
          </cell>
          <cell r="H115">
            <v>4990975000</v>
          </cell>
          <cell r="J115">
            <v>0.93</v>
          </cell>
          <cell r="K115">
            <v>300</v>
          </cell>
          <cell r="L115">
            <v>-0.68560699999999997</v>
          </cell>
          <cell r="M115">
            <v>119.709219</v>
          </cell>
          <cell r="N115" t="str">
            <v>Proses Kontrak (Pokja)</v>
          </cell>
          <cell r="O115" t="str">
            <v>Tahap I 208</v>
          </cell>
        </row>
        <row r="116">
          <cell r="F116" t="str">
            <v>Lero</v>
          </cell>
          <cell r="G116" t="str">
            <v>Penyangga</v>
          </cell>
          <cell r="H116">
            <v>4500000000</v>
          </cell>
          <cell r="J116">
            <v>0.23</v>
          </cell>
          <cell r="K116">
            <v>300</v>
          </cell>
          <cell r="L116">
            <v>-0.623973</v>
          </cell>
          <cell r="M116">
            <v>119.805566</v>
          </cell>
          <cell r="N116">
            <v>0</v>
          </cell>
          <cell r="O116" t="str">
            <v>Tahap I 208</v>
          </cell>
        </row>
        <row r="117">
          <cell r="F117" t="str">
            <v>Batusuya</v>
          </cell>
          <cell r="G117" t="str">
            <v>Penyangga</v>
          </cell>
          <cell r="H117">
            <v>4558832240</v>
          </cell>
          <cell r="J117">
            <v>0.56999999999999995</v>
          </cell>
          <cell r="K117">
            <v>400</v>
          </cell>
          <cell r="L117">
            <v>-0.409223</v>
          </cell>
          <cell r="M117">
            <v>119.761977</v>
          </cell>
          <cell r="N117" t="str">
            <v>Proses Kontrak (Pokja)</v>
          </cell>
          <cell r="O117" t="str">
            <v>Tahap I 208</v>
          </cell>
        </row>
        <row r="118">
          <cell r="F118" t="str">
            <v>Wani Dua</v>
          </cell>
          <cell r="G118" t="str">
            <v>Penyangga</v>
          </cell>
          <cell r="H118">
            <v>4500000000</v>
          </cell>
          <cell r="J118">
            <v>0.3</v>
          </cell>
          <cell r="K118">
            <v>150</v>
          </cell>
          <cell r="L118">
            <v>-0.69476899999999997</v>
          </cell>
          <cell r="M118">
            <v>119.841173</v>
          </cell>
          <cell r="N118" t="str">
            <v>Proses Kontrak (Pokja)</v>
          </cell>
          <cell r="O118" t="str">
            <v>Tahap I 208</v>
          </cell>
        </row>
        <row r="119">
          <cell r="F119" t="str">
            <v>Belopa</v>
          </cell>
          <cell r="G119" t="str">
            <v>Penyangga</v>
          </cell>
          <cell r="H119">
            <v>7450051000</v>
          </cell>
          <cell r="I119" t="str">
            <v>Nodin PPK 26 Mei 2026</v>
          </cell>
          <cell r="J119">
            <v>0.62</v>
          </cell>
          <cell r="K119">
            <v>160</v>
          </cell>
          <cell r="L119">
            <v>-3.3860505999999999</v>
          </cell>
          <cell r="M119">
            <v>120.3977594</v>
          </cell>
          <cell r="N119" t="str">
            <v>SPPBJ</v>
          </cell>
          <cell r="O119" t="str">
            <v>Tahap I 208</v>
          </cell>
        </row>
        <row r="120">
          <cell r="F120" t="str">
            <v>Rantebelu</v>
          </cell>
          <cell r="G120" t="str">
            <v>Penyangga</v>
          </cell>
          <cell r="H120">
            <v>5362014084</v>
          </cell>
          <cell r="I120" t="str">
            <v>Nodin PPK 26 Mei 2026</v>
          </cell>
          <cell r="J120">
            <v>0.84</v>
          </cell>
          <cell r="K120">
            <v>240</v>
          </cell>
          <cell r="L120">
            <v>-3.5424850000000001</v>
          </cell>
          <cell r="M120">
            <v>120.398976</v>
          </cell>
          <cell r="N120" t="str">
            <v>SPPBJ</v>
          </cell>
          <cell r="O120" t="str">
            <v>Tahap I 208</v>
          </cell>
        </row>
        <row r="121">
          <cell r="F121" t="str">
            <v>Bone Pute</v>
          </cell>
          <cell r="G121" t="str">
            <v>Hub</v>
          </cell>
          <cell r="H121">
            <v>8512090558</v>
          </cell>
          <cell r="I121" t="str">
            <v>Nodin PPK 26 Mei 2026</v>
          </cell>
          <cell r="J121">
            <v>4.5999999999999996</v>
          </cell>
          <cell r="K121">
            <v>725</v>
          </cell>
          <cell r="L121">
            <v>-3.636644</v>
          </cell>
          <cell r="M121">
            <v>120.412362</v>
          </cell>
          <cell r="N121" t="str">
            <v>SPPBJ</v>
          </cell>
          <cell r="O121" t="str">
            <v>Tahap I 208</v>
          </cell>
        </row>
        <row r="122">
          <cell r="F122" t="str">
            <v>Cimpu Utara</v>
          </cell>
          <cell r="G122" t="str">
            <v>Penyangga</v>
          </cell>
          <cell r="H122">
            <v>5062103000</v>
          </cell>
          <cell r="I122" t="str">
            <v>Nodin PPK 26 Mei 2026</v>
          </cell>
          <cell r="J122">
            <v>0.85</v>
          </cell>
          <cell r="K122">
            <v>150</v>
          </cell>
          <cell r="L122">
            <v>-3.434609</v>
          </cell>
          <cell r="M122">
            <v>120.399877</v>
          </cell>
          <cell r="N122" t="str">
            <v>SPPBJ</v>
          </cell>
          <cell r="O122" t="str">
            <v>Tahap I 208</v>
          </cell>
        </row>
        <row r="123">
          <cell r="F123" t="str">
            <v>Murante</v>
          </cell>
          <cell r="G123" t="str">
            <v>Penyangga</v>
          </cell>
          <cell r="H123">
            <v>5204177000</v>
          </cell>
          <cell r="I123" t="str">
            <v>Nodin PPK 26 Mei 2026</v>
          </cell>
          <cell r="J123">
            <v>0.98</v>
          </cell>
          <cell r="K123">
            <v>150</v>
          </cell>
          <cell r="L123">
            <v>-3.4756399999999998</v>
          </cell>
          <cell r="M123">
            <v>120.379364</v>
          </cell>
          <cell r="N123" t="str">
            <v>SPPBJ</v>
          </cell>
          <cell r="O123" t="str">
            <v>Tahap I 208</v>
          </cell>
        </row>
        <row r="124">
          <cell r="F124" t="str">
            <v>Bulete</v>
          </cell>
          <cell r="G124" t="str">
            <v>Penyangga</v>
          </cell>
          <cell r="H124">
            <v>7784648000</v>
          </cell>
          <cell r="I124" t="str">
            <v>Nodin PPK 26 Mei 2026</v>
          </cell>
          <cell r="J124">
            <v>0.5</v>
          </cell>
          <cell r="K124">
            <v>375</v>
          </cell>
          <cell r="L124">
            <v>-3.6995809999999998</v>
          </cell>
          <cell r="M124">
            <v>120.424249</v>
          </cell>
          <cell r="N124" t="str">
            <v>SPPBJ</v>
          </cell>
          <cell r="O124" t="str">
            <v>Tahap I 208</v>
          </cell>
        </row>
        <row r="125">
          <cell r="F125" t="str">
            <v>Bontosunggu</v>
          </cell>
          <cell r="G125" t="str">
            <v>Hub</v>
          </cell>
          <cell r="H125">
            <v>4408443880</v>
          </cell>
          <cell r="I125" t="str">
            <v>Nodin PPK 29 Mei 2026</v>
          </cell>
          <cell r="J125">
            <v>0.67</v>
          </cell>
          <cell r="K125">
            <v>315</v>
          </cell>
          <cell r="L125">
            <v>-6.178801</v>
          </cell>
          <cell r="M125">
            <v>120.42740999999999</v>
          </cell>
          <cell r="N125" t="str">
            <v>Proses Kontrak (Pokja)</v>
          </cell>
          <cell r="O125" t="str">
            <v>Tahap I 208</v>
          </cell>
        </row>
        <row r="126">
          <cell r="F126" t="str">
            <v>Bungaiya</v>
          </cell>
          <cell r="G126" t="str">
            <v>Penyangga</v>
          </cell>
          <cell r="H126">
            <v>11294902000</v>
          </cell>
          <cell r="I126" t="str">
            <v>Nodin PPK 29 Mei 2026</v>
          </cell>
          <cell r="J126">
            <v>1</v>
          </cell>
          <cell r="K126">
            <v>348</v>
          </cell>
          <cell r="L126">
            <v>-5.8503100000000003</v>
          </cell>
          <cell r="M126">
            <v>120.454408</v>
          </cell>
          <cell r="N126" t="str">
            <v>Proses Kontrak (Pokja)</v>
          </cell>
          <cell r="O126" t="str">
            <v>Tahap I 208</v>
          </cell>
        </row>
        <row r="127">
          <cell r="F127" t="str">
            <v>Lowa</v>
          </cell>
          <cell r="G127" t="str">
            <v>Penyangga</v>
          </cell>
          <cell r="H127">
            <v>11294902000</v>
          </cell>
          <cell r="I127" t="str">
            <v>Nodin PPK 29 Mei 2026</v>
          </cell>
          <cell r="J127">
            <v>2.27</v>
          </cell>
          <cell r="K127">
            <v>92</v>
          </cell>
          <cell r="L127">
            <v>-6.3986109999999998</v>
          </cell>
          <cell r="M127">
            <v>120.492222</v>
          </cell>
          <cell r="N127" t="str">
            <v>Proses Kontrak (Pokja)</v>
          </cell>
          <cell r="O127" t="str">
            <v>Tahap I 208</v>
          </cell>
        </row>
        <row r="128">
          <cell r="F128" t="str">
            <v>Buki</v>
          </cell>
          <cell r="G128" t="str">
            <v>Penyangga</v>
          </cell>
          <cell r="H128">
            <v>7570886000</v>
          </cell>
          <cell r="I128" t="str">
            <v>Nodin PPK 29 Mei 2026</v>
          </cell>
          <cell r="J128">
            <v>1</v>
          </cell>
          <cell r="K128">
            <v>61</v>
          </cell>
          <cell r="L128">
            <v>-5.9717219999999998</v>
          </cell>
          <cell r="M128">
            <v>120.44836100000001</v>
          </cell>
          <cell r="N128" t="str">
            <v>Proses Kontrak (Pokja)</v>
          </cell>
          <cell r="O128" t="str">
            <v>Tahap I 208</v>
          </cell>
        </row>
        <row r="129">
          <cell r="F129" t="str">
            <v>Laemanta Utara</v>
          </cell>
          <cell r="G129" t="str">
            <v>Penyangga</v>
          </cell>
          <cell r="H129">
            <v>5019018282</v>
          </cell>
          <cell r="I129" t="str">
            <v>Nodin PPK 3 Juni 2026</v>
          </cell>
          <cell r="J129">
            <v>0.49</v>
          </cell>
          <cell r="K129">
            <v>73</v>
          </cell>
          <cell r="L129">
            <v>-0.17782500000000001</v>
          </cell>
          <cell r="M129">
            <v>120.008274</v>
          </cell>
          <cell r="N129" t="str">
            <v>Proses Kontrak (Pokja)</v>
          </cell>
          <cell r="O129" t="str">
            <v>Tahap I 208</v>
          </cell>
        </row>
        <row r="130">
          <cell r="F130" t="str">
            <v>Boyantongo</v>
          </cell>
          <cell r="G130" t="str">
            <v>Hub</v>
          </cell>
          <cell r="H130">
            <v>7310897000</v>
          </cell>
          <cell r="I130" t="str">
            <v>Nodin PPK 3 Juni 2026</v>
          </cell>
          <cell r="J130">
            <v>0.3</v>
          </cell>
          <cell r="K130">
            <v>250</v>
          </cell>
          <cell r="L130">
            <v>-0.84853000000000001</v>
          </cell>
          <cell r="M130">
            <v>120.200518</v>
          </cell>
          <cell r="N130" t="str">
            <v>Proses Kontrak (Pokja)</v>
          </cell>
          <cell r="O130" t="str">
            <v>Tahap I 208</v>
          </cell>
        </row>
        <row r="131">
          <cell r="F131" t="str">
            <v>Pelawa Baru</v>
          </cell>
          <cell r="G131" t="str">
            <v>Penyangga</v>
          </cell>
          <cell r="H131">
            <v>7291724000</v>
          </cell>
          <cell r="I131" t="str">
            <v>Nodin PPK 3 Juni 2026</v>
          </cell>
          <cell r="J131">
            <v>0.65</v>
          </cell>
          <cell r="K131">
            <v>80</v>
          </cell>
          <cell r="L131">
            <v>-0.74316300000000002</v>
          </cell>
          <cell r="M131">
            <v>120.11421</v>
          </cell>
          <cell r="N131" t="str">
            <v>Proses Kontrak (Pokja)</v>
          </cell>
          <cell r="O131" t="str">
            <v>Tahap I 208</v>
          </cell>
        </row>
        <row r="132">
          <cell r="F132" t="str">
            <v>Sausu Tambu</v>
          </cell>
          <cell r="G132" t="str">
            <v>Penyangga</v>
          </cell>
          <cell r="H132">
            <v>7291724000</v>
          </cell>
          <cell r="I132" t="str">
            <v>Nodin PPK 3 Juni 2026</v>
          </cell>
          <cell r="J132">
            <v>0.45</v>
          </cell>
          <cell r="K132">
            <v>160</v>
          </cell>
          <cell r="L132">
            <v>-1.0456749999999999</v>
          </cell>
          <cell r="M132">
            <v>120.528639</v>
          </cell>
          <cell r="N132" t="str">
            <v>Proses Kontrak (Pokja)</v>
          </cell>
          <cell r="O132" t="str">
            <v>Tahap I 208</v>
          </cell>
        </row>
        <row r="133">
          <cell r="F133" t="str">
            <v>Tada</v>
          </cell>
          <cell r="G133" t="str">
            <v>Penyangga</v>
          </cell>
          <cell r="H133">
            <v>4090179000</v>
          </cell>
          <cell r="I133" t="str">
            <v>Nodin PPK 3 Juni 2026</v>
          </cell>
          <cell r="J133">
            <v>0.36</v>
          </cell>
          <cell r="K133">
            <v>60</v>
          </cell>
          <cell r="L133">
            <v>-5.7549999999999997E-2</v>
          </cell>
          <cell r="M133">
            <v>120.06708</v>
          </cell>
          <cell r="N133" t="str">
            <v>Proses Kontrak (Pokja)</v>
          </cell>
          <cell r="O133" t="str">
            <v>Tahap I 208</v>
          </cell>
        </row>
        <row r="134">
          <cell r="F134" t="str">
            <v>Sienjo</v>
          </cell>
          <cell r="G134" t="str">
            <v>Penyangga</v>
          </cell>
          <cell r="H134">
            <v>3968572292</v>
          </cell>
          <cell r="I134" t="str">
            <v>Nodin PPK 3 Juni 2026</v>
          </cell>
          <cell r="J134">
            <v>0.3</v>
          </cell>
          <cell r="K134">
            <v>157</v>
          </cell>
          <cell r="L134">
            <v>-0.30208099999999999</v>
          </cell>
          <cell r="M134">
            <v>120.02824099999999</v>
          </cell>
          <cell r="N134" t="str">
            <v>Proses Kontrak (Pokja)</v>
          </cell>
          <cell r="O134" t="str">
            <v>Tahap I 208</v>
          </cell>
        </row>
        <row r="135">
          <cell r="F135" t="str">
            <v>Buyat Tengah</v>
          </cell>
          <cell r="G135" t="str">
            <v>Penyangga</v>
          </cell>
          <cell r="H135">
            <v>6545535000</v>
          </cell>
          <cell r="J135">
            <v>1</v>
          </cell>
          <cell r="K135">
            <v>125</v>
          </cell>
          <cell r="L135">
            <v>0.84326199999999996</v>
          </cell>
          <cell r="M135">
            <v>124.698286</v>
          </cell>
          <cell r="O135" t="e">
            <v>#N/A</v>
          </cell>
        </row>
        <row r="136">
          <cell r="F136" t="str">
            <v>Bukit Tinggi</v>
          </cell>
          <cell r="G136" t="str">
            <v>Hub</v>
          </cell>
          <cell r="J136">
            <v>2</v>
          </cell>
          <cell r="K136">
            <v>202</v>
          </cell>
          <cell r="L136">
            <v>1.0655349999999999</v>
          </cell>
          <cell r="M136">
            <v>124.9599492</v>
          </cell>
          <cell r="O136" t="e">
            <v>#N/A</v>
          </cell>
        </row>
        <row r="137">
          <cell r="F137" t="str">
            <v>Rumbia</v>
          </cell>
          <cell r="G137" t="str">
            <v>Penyangga</v>
          </cell>
          <cell r="H137">
            <v>8801220000</v>
          </cell>
          <cell r="J137">
            <v>1</v>
          </cell>
          <cell r="K137">
            <v>40</v>
          </cell>
          <cell r="L137">
            <v>1.0214681999999999</v>
          </cell>
          <cell r="M137">
            <v>124.9123671</v>
          </cell>
          <cell r="O137" t="e">
            <v>#N/A</v>
          </cell>
        </row>
        <row r="138">
          <cell r="F138" t="str">
            <v>Molompar Timur</v>
          </cell>
          <cell r="G138" t="str">
            <v>Penyangga</v>
          </cell>
          <cell r="H138">
            <v>8462951000</v>
          </cell>
          <cell r="J138">
            <v>1.1299999999999999</v>
          </cell>
          <cell r="K138">
            <v>250</v>
          </cell>
          <cell r="L138">
            <v>0.963889</v>
          </cell>
          <cell r="M138">
            <v>124.82526</v>
          </cell>
          <cell r="O138" t="e">
            <v>#N/A</v>
          </cell>
        </row>
        <row r="139">
          <cell r="F139" t="str">
            <v>Bentenan Satu</v>
          </cell>
          <cell r="G139" t="str">
            <v>Penyangga</v>
          </cell>
          <cell r="H139">
            <v>7658874000</v>
          </cell>
          <cell r="J139">
            <v>0.4</v>
          </cell>
          <cell r="K139">
            <v>278</v>
          </cell>
          <cell r="L139">
            <v>1.0075383</v>
          </cell>
          <cell r="M139">
            <v>124.89644149999999</v>
          </cell>
          <cell r="O139" t="e">
            <v>#N/A</v>
          </cell>
        </row>
        <row r="140">
          <cell r="F140" t="str">
            <v>Minanga Tiga</v>
          </cell>
          <cell r="G140" t="str">
            <v>Penyangga</v>
          </cell>
          <cell r="H140">
            <v>4384548000</v>
          </cell>
          <cell r="J140">
            <v>0.8</v>
          </cell>
          <cell r="K140">
            <v>155</v>
          </cell>
          <cell r="L140">
            <v>0.96833599999999997</v>
          </cell>
          <cell r="M140">
            <v>124.8536632</v>
          </cell>
          <cell r="O140" t="e">
            <v>#N/A</v>
          </cell>
        </row>
        <row r="141">
          <cell r="F141" t="str">
            <v>Ratatotok Timur</v>
          </cell>
          <cell r="G141" t="str">
            <v>Penyangga</v>
          </cell>
          <cell r="H141">
            <v>8489630000</v>
          </cell>
          <cell r="J141">
            <v>0.53</v>
          </cell>
          <cell r="K141">
            <v>146</v>
          </cell>
          <cell r="L141">
            <v>0.86329</v>
          </cell>
          <cell r="M141">
            <v>124.70745100000001</v>
          </cell>
          <cell r="O141" t="e">
            <v>#N/A</v>
          </cell>
        </row>
        <row r="142">
          <cell r="F142" t="str">
            <v>Tabulo Selatan</v>
          </cell>
          <cell r="G142" t="str">
            <v>Penyangga</v>
          </cell>
          <cell r="H142">
            <v>8433419000</v>
          </cell>
          <cell r="J142">
            <v>0.59</v>
          </cell>
          <cell r="K142">
            <v>200</v>
          </cell>
          <cell r="L142">
            <v>0.48491069999999997</v>
          </cell>
          <cell r="M142">
            <v>122.141707</v>
          </cell>
          <cell r="N142">
            <v>0</v>
          </cell>
          <cell r="O142" t="str">
            <v>Tahap I 208</v>
          </cell>
        </row>
        <row r="143">
          <cell r="F143" t="str">
            <v>Bulili</v>
          </cell>
          <cell r="G143" t="str">
            <v>Penyangga</v>
          </cell>
          <cell r="H143">
            <v>4780636000</v>
          </cell>
          <cell r="J143">
            <v>3.5000000000000003E-2</v>
          </cell>
          <cell r="K143">
            <v>299</v>
          </cell>
          <cell r="L143">
            <v>0.44570500000000002</v>
          </cell>
          <cell r="M143">
            <v>121.934157</v>
          </cell>
          <cell r="N143">
            <v>0</v>
          </cell>
          <cell r="O143" t="str">
            <v>Tahap IV 200</v>
          </cell>
        </row>
        <row r="144">
          <cell r="F144" t="str">
            <v>Bumbulan</v>
          </cell>
          <cell r="G144" t="str">
            <v>Penyangga (+cs)</v>
          </cell>
          <cell r="H144">
            <v>4567200000</v>
          </cell>
          <cell r="J144">
            <v>2.54</v>
          </cell>
          <cell r="K144">
            <v>289</v>
          </cell>
          <cell r="L144">
            <v>0.48492099999999999</v>
          </cell>
          <cell r="M144">
            <v>122.09056</v>
          </cell>
          <cell r="N144">
            <v>0</v>
          </cell>
          <cell r="O144" t="str">
            <v>Tahap I 208</v>
          </cell>
        </row>
        <row r="145">
          <cell r="F145" t="str">
            <v>Betahwalang</v>
          </cell>
          <cell r="G145" t="str">
            <v>Penyangga</v>
          </cell>
          <cell r="H145">
            <v>2963833935</v>
          </cell>
          <cell r="J145">
            <v>0.79</v>
          </cell>
          <cell r="K145">
            <v>1841</v>
          </cell>
          <cell r="L145">
            <v>-6.8132039999999998</v>
          </cell>
          <cell r="M145">
            <v>110.586845</v>
          </cell>
          <cell r="N145" t="str">
            <v>Proses Kontrak (Pokja)</v>
          </cell>
          <cell r="O145" t="str">
            <v>Tahap I 208</v>
          </cell>
        </row>
        <row r="146">
          <cell r="F146" t="str">
            <v>Purworejo</v>
          </cell>
          <cell r="G146" t="str">
            <v>Hub</v>
          </cell>
          <cell r="H146">
            <v>5500000000</v>
          </cell>
          <cell r="J146">
            <v>0.2</v>
          </cell>
          <cell r="K146">
            <v>1500</v>
          </cell>
          <cell r="L146">
            <v>-6.8343658999999999</v>
          </cell>
          <cell r="M146">
            <v>110.5606913</v>
          </cell>
          <cell r="N146">
            <v>0</v>
          </cell>
          <cell r="O146" t="str">
            <v>Tahap III 166</v>
          </cell>
        </row>
        <row r="147">
          <cell r="F147" t="str">
            <v>Buko</v>
          </cell>
          <cell r="G147" t="str">
            <v>Penyangga</v>
          </cell>
          <cell r="H147">
            <v>5437000000</v>
          </cell>
          <cell r="J147">
            <v>400</v>
          </cell>
          <cell r="K147">
            <v>460</v>
          </cell>
          <cell r="L147">
            <v>-6.7933320000000004</v>
          </cell>
          <cell r="M147">
            <v>110.613901</v>
          </cell>
          <cell r="N147">
            <v>0</v>
          </cell>
          <cell r="O147" t="str">
            <v>Tahap IV 200</v>
          </cell>
        </row>
        <row r="148">
          <cell r="F148" t="str">
            <v>Kedungkarang</v>
          </cell>
          <cell r="G148" t="str">
            <v>Penyangga</v>
          </cell>
          <cell r="H148">
            <v>2314000000</v>
          </cell>
          <cell r="J148">
            <v>5</v>
          </cell>
          <cell r="K148">
            <v>147</v>
          </cell>
          <cell r="L148">
            <v>-6.7153470000000004</v>
          </cell>
          <cell r="M148">
            <v>110.64439400000001</v>
          </cell>
          <cell r="N148">
            <v>0</v>
          </cell>
          <cell r="O148" t="str">
            <v>Tahap III 166</v>
          </cell>
        </row>
        <row r="149">
          <cell r="F149" t="str">
            <v>Kedungmutih</v>
          </cell>
          <cell r="G149" t="str">
            <v>Penyangga (+cs)</v>
          </cell>
          <cell r="H149">
            <v>5437000000</v>
          </cell>
          <cell r="J149">
            <v>0.3</v>
          </cell>
          <cell r="K149">
            <v>540</v>
          </cell>
          <cell r="L149">
            <v>-6.7090209999999999</v>
          </cell>
          <cell r="M149">
            <v>110.62261700000001</v>
          </cell>
          <cell r="N149">
            <v>0</v>
          </cell>
          <cell r="O149" t="str">
            <v>Tahap IV 200</v>
          </cell>
        </row>
        <row r="150">
          <cell r="F150" t="str">
            <v>Ujungwatu</v>
          </cell>
          <cell r="G150" t="str">
            <v>Penyangga</v>
          </cell>
          <cell r="H150">
            <v>5437000000</v>
          </cell>
          <cell r="J150">
            <v>7.0000000000000007E-2</v>
          </cell>
          <cell r="K150">
            <v>1710</v>
          </cell>
          <cell r="L150">
            <v>-6.4069446000000001</v>
          </cell>
          <cell r="M150">
            <v>110.9205092</v>
          </cell>
          <cell r="N150">
            <v>0</v>
          </cell>
          <cell r="O150" t="str">
            <v>Tahap IV 200</v>
          </cell>
        </row>
        <row r="151">
          <cell r="F151" t="str">
            <v>Ujungbatu</v>
          </cell>
          <cell r="G151" t="str">
            <v>Penyangga</v>
          </cell>
          <cell r="H151">
            <v>2314000000</v>
          </cell>
          <cell r="J151">
            <v>1.2</v>
          </cell>
          <cell r="K151">
            <v>340</v>
          </cell>
          <cell r="L151">
            <v>-6.582274</v>
          </cell>
          <cell r="M151">
            <v>110.657291</v>
          </cell>
          <cell r="N151">
            <v>0</v>
          </cell>
          <cell r="O151" t="str">
            <v>Tahap I 208</v>
          </cell>
        </row>
        <row r="152">
          <cell r="F152" t="str">
            <v>Kedungmalang</v>
          </cell>
          <cell r="G152" t="str">
            <v>Penyangga</v>
          </cell>
          <cell r="H152">
            <v>2314000000</v>
          </cell>
          <cell r="J152">
            <v>0.55000000000000004</v>
          </cell>
          <cell r="K152">
            <v>946</v>
          </cell>
          <cell r="L152">
            <v>-6.7072316000000001</v>
          </cell>
          <cell r="M152">
            <v>110.6265128</v>
          </cell>
          <cell r="N152">
            <v>0</v>
          </cell>
          <cell r="O152" t="str">
            <v>Tahap I 208</v>
          </cell>
        </row>
        <row r="153">
          <cell r="F153" t="str">
            <v>Karanggondang</v>
          </cell>
          <cell r="G153" t="str">
            <v>Penyangga</v>
          </cell>
          <cell r="H153">
            <v>5437000000</v>
          </cell>
          <cell r="J153">
            <v>0.7</v>
          </cell>
          <cell r="K153">
            <v>450</v>
          </cell>
          <cell r="L153">
            <v>-6.4866720999999998</v>
          </cell>
          <cell r="M153">
            <v>110.69181879999999</v>
          </cell>
          <cell r="N153">
            <v>0</v>
          </cell>
          <cell r="O153" t="str">
            <v>Tahap IV 200</v>
          </cell>
        </row>
        <row r="154">
          <cell r="F154" t="str">
            <v>Mororejo</v>
          </cell>
          <cell r="G154" t="str">
            <v>Penyangga</v>
          </cell>
          <cell r="H154">
            <v>2314000000</v>
          </cell>
          <cell r="J154">
            <v>0.28999999999999998</v>
          </cell>
          <cell r="K154">
            <v>100</v>
          </cell>
          <cell r="L154">
            <v>-6.5340951</v>
          </cell>
          <cell r="M154">
            <v>110.6653444</v>
          </cell>
          <cell r="N154">
            <v>0</v>
          </cell>
          <cell r="O154" t="str">
            <v>Tahap I 208</v>
          </cell>
        </row>
        <row r="155">
          <cell r="F155" t="str">
            <v>Balok</v>
          </cell>
          <cell r="G155" t="str">
            <v>Penyangga</v>
          </cell>
          <cell r="H155">
            <v>5437000000</v>
          </cell>
          <cell r="J155">
            <v>3.7</v>
          </cell>
          <cell r="K155">
            <v>23</v>
          </cell>
          <cell r="L155">
            <v>-6.9055239999999998</v>
          </cell>
          <cell r="M155">
            <v>110.206006</v>
          </cell>
          <cell r="N155">
            <v>0</v>
          </cell>
          <cell r="O155" t="str">
            <v>Tahap IV 200</v>
          </cell>
        </row>
        <row r="156">
          <cell r="F156" t="str">
            <v>Tanjung Mas</v>
          </cell>
          <cell r="G156" t="str">
            <v>Penyangga</v>
          </cell>
          <cell r="H156">
            <v>4287900000</v>
          </cell>
          <cell r="J156">
            <v>0.08</v>
          </cell>
          <cell r="K156">
            <v>753</v>
          </cell>
          <cell r="L156">
            <v>-6.9454669999999998</v>
          </cell>
          <cell r="M156">
            <v>110.44201</v>
          </cell>
          <cell r="N156" t="str">
            <v>Proses Kontrak (Pokja)</v>
          </cell>
          <cell r="O156" t="str">
            <v>Tahap I 208</v>
          </cell>
        </row>
        <row r="157">
          <cell r="F157" t="str">
            <v>Bualemo B</v>
          </cell>
          <cell r="G157" t="str">
            <v>Penyangga</v>
          </cell>
          <cell r="H157">
            <v>4086071000</v>
          </cell>
          <cell r="J157">
            <v>1.31</v>
          </cell>
          <cell r="K157">
            <v>122</v>
          </cell>
          <cell r="L157">
            <v>-0.57614399999999999</v>
          </cell>
          <cell r="M157">
            <v>123.140908</v>
          </cell>
          <cell r="N157">
            <v>0</v>
          </cell>
          <cell r="O157" t="str">
            <v>Tahap I 208</v>
          </cell>
        </row>
        <row r="158">
          <cell r="F158" t="str">
            <v>Bunta I</v>
          </cell>
          <cell r="G158" t="str">
            <v>Hub</v>
          </cell>
          <cell r="H158">
            <v>8231000000</v>
          </cell>
          <cell r="J158">
            <v>0.33</v>
          </cell>
          <cell r="K158">
            <v>178</v>
          </cell>
          <cell r="L158">
            <v>-0.83715600000000001</v>
          </cell>
          <cell r="M158">
            <v>122.1659341</v>
          </cell>
          <cell r="N158">
            <v>0</v>
          </cell>
          <cell r="O158" t="str">
            <v>Tahap I 208</v>
          </cell>
        </row>
        <row r="159">
          <cell r="F159" t="str">
            <v>Bayah Barat</v>
          </cell>
          <cell r="G159" t="str">
            <v>Penyangga</v>
          </cell>
          <cell r="H159">
            <v>4922853000</v>
          </cell>
          <cell r="I159" t="str">
            <v>Nodin PPK 3 Juni 2026</v>
          </cell>
          <cell r="J159">
            <v>3.92</v>
          </cell>
          <cell r="K159">
            <v>480</v>
          </cell>
          <cell r="L159">
            <v>-6.9379470000000003</v>
          </cell>
          <cell r="M159">
            <v>106.24459</v>
          </cell>
          <cell r="N159" t="str">
            <v>Kontrak</v>
          </cell>
          <cell r="O159" t="str">
            <v>Tahap I 208</v>
          </cell>
        </row>
        <row r="160">
          <cell r="F160" t="str">
            <v>Darmasari</v>
          </cell>
          <cell r="G160" t="str">
            <v>Penyangga (+cs)</v>
          </cell>
          <cell r="H160">
            <v>3380570000</v>
          </cell>
          <cell r="I160" t="str">
            <v>Nodin PPK 3 Juni 2026</v>
          </cell>
          <cell r="J160">
            <v>13.7</v>
          </cell>
          <cell r="K160">
            <v>200</v>
          </cell>
          <cell r="L160">
            <v>-6.9479939999999996</v>
          </cell>
          <cell r="M160">
            <v>106.24673</v>
          </cell>
          <cell r="N160" t="str">
            <v>Kontrak</v>
          </cell>
          <cell r="O160" t="str">
            <v>Tahap I 208</v>
          </cell>
        </row>
        <row r="161">
          <cell r="F161" t="str">
            <v>Cireundeu</v>
          </cell>
          <cell r="G161" t="str">
            <v>Penyangga</v>
          </cell>
          <cell r="H161">
            <v>3158405000</v>
          </cell>
          <cell r="I161" t="str">
            <v>Nodin PPK 3 Juni 2026</v>
          </cell>
          <cell r="J161">
            <v>0.1</v>
          </cell>
          <cell r="K161">
            <v>200</v>
          </cell>
          <cell r="L161">
            <v>-6.9889722000000001</v>
          </cell>
          <cell r="M161">
            <v>106.38133329999999</v>
          </cell>
          <cell r="N161" t="str">
            <v>Kontrak</v>
          </cell>
          <cell r="O161" t="str">
            <v>Tahap I 208</v>
          </cell>
        </row>
        <row r="162">
          <cell r="F162" t="str">
            <v>Cikahuripan</v>
          </cell>
          <cell r="G162" t="str">
            <v>Hub</v>
          </cell>
          <cell r="H162">
            <v>4443404000</v>
          </cell>
          <cell r="J162">
            <v>7</v>
          </cell>
          <cell r="K162">
            <v>1400</v>
          </cell>
          <cell r="L162">
            <v>-6.9533990000000001</v>
          </cell>
          <cell r="M162">
            <v>106.442131</v>
          </cell>
          <cell r="N162" t="str">
            <v>Proses Kontrak (Pokja)</v>
          </cell>
          <cell r="O162" t="str">
            <v>Tahap I 208</v>
          </cell>
        </row>
        <row r="163">
          <cell r="F163" t="str">
            <v>Pasirbaru</v>
          </cell>
          <cell r="G163" t="str">
            <v>Penyangga (+cs)</v>
          </cell>
          <cell r="H163">
            <v>4441806000</v>
          </cell>
          <cell r="J163">
            <v>0.3</v>
          </cell>
          <cell r="K163">
            <v>381</v>
          </cell>
          <cell r="L163">
            <v>-6.9663727</v>
          </cell>
          <cell r="M163">
            <v>106.41448080000001</v>
          </cell>
          <cell r="N163" t="str">
            <v>Proses Kontrak (Pokja)</v>
          </cell>
          <cell r="O163" t="str">
            <v>Tahap I 208</v>
          </cell>
        </row>
        <row r="164">
          <cell r="F164" t="str">
            <v>Sambiroto</v>
          </cell>
          <cell r="G164" t="str">
            <v>Penyangga</v>
          </cell>
          <cell r="H164">
            <v>5437000000</v>
          </cell>
          <cell r="J164">
            <v>0.1</v>
          </cell>
          <cell r="K164">
            <v>467</v>
          </cell>
          <cell r="L164">
            <v>-6.9886111</v>
          </cell>
          <cell r="M164">
            <v>106.3093889</v>
          </cell>
          <cell r="N164">
            <v>0</v>
          </cell>
          <cell r="O164" t="str">
            <v>Tahap IV 200</v>
          </cell>
        </row>
        <row r="165">
          <cell r="F165" t="str">
            <v>Muara</v>
          </cell>
          <cell r="G165" t="str">
            <v>Penyangga</v>
          </cell>
          <cell r="H165">
            <v>2812523000</v>
          </cell>
          <cell r="I165" t="str">
            <v>Nodin PPK 3 Juni 2026</v>
          </cell>
          <cell r="J165">
            <v>1</v>
          </cell>
          <cell r="K165">
            <v>280</v>
          </cell>
          <cell r="L165">
            <v>-6.8303877999999996</v>
          </cell>
          <cell r="M165">
            <v>105.8932607</v>
          </cell>
          <cell r="N165" t="str">
            <v>Kontrak</v>
          </cell>
          <cell r="O165" t="str">
            <v>Tahap I 208</v>
          </cell>
        </row>
        <row r="166">
          <cell r="F166" t="str">
            <v>Banjarmasin</v>
          </cell>
          <cell r="G166" t="str">
            <v>Penyangga</v>
          </cell>
          <cell r="H166">
            <v>3569000000</v>
          </cell>
          <cell r="J166">
            <v>2.23</v>
          </cell>
          <cell r="K166">
            <v>585</v>
          </cell>
          <cell r="L166">
            <v>-6.3356728999999996</v>
          </cell>
          <cell r="M166">
            <v>105.8348031</v>
          </cell>
          <cell r="N166">
            <v>0</v>
          </cell>
          <cell r="O166" t="str">
            <v>Tahap IV 200</v>
          </cell>
        </row>
        <row r="167">
          <cell r="F167" t="str">
            <v>Panimbangjaya</v>
          </cell>
          <cell r="G167" t="str">
            <v>Penyangga (+cs)</v>
          </cell>
          <cell r="H167">
            <v>2771581000</v>
          </cell>
          <cell r="I167" t="str">
            <v>Nodin PPK 3 Juni 2026</v>
          </cell>
          <cell r="J167">
            <v>0.64</v>
          </cell>
          <cell r="K167">
            <v>2184</v>
          </cell>
          <cell r="L167">
            <v>-6.4925280000000001</v>
          </cell>
          <cell r="M167">
            <v>105.796288</v>
          </cell>
          <cell r="N167" t="str">
            <v>Kontrak</v>
          </cell>
          <cell r="O167" t="str">
            <v>Tahap I 208</v>
          </cell>
        </row>
        <row r="168">
          <cell r="F168" t="str">
            <v>Kertamukti</v>
          </cell>
          <cell r="G168" t="str">
            <v>Penyangga</v>
          </cell>
          <cell r="H168">
            <v>2692679000</v>
          </cell>
          <cell r="I168" t="str">
            <v>Nodin PPK 3 Juni 2026</v>
          </cell>
          <cell r="J168">
            <v>2</v>
          </cell>
          <cell r="K168">
            <v>159</v>
          </cell>
          <cell r="L168">
            <v>-6.6887600000000003</v>
          </cell>
          <cell r="M168">
            <v>105.5643</v>
          </cell>
          <cell r="N168" t="str">
            <v>Kontrak</v>
          </cell>
          <cell r="O168" t="str">
            <v>Tahap I 208</v>
          </cell>
        </row>
        <row r="169">
          <cell r="F169" t="str">
            <v>Sumberjaya</v>
          </cell>
          <cell r="G169" t="str">
            <v>Penyangga</v>
          </cell>
          <cell r="H169">
            <v>3121415000</v>
          </cell>
          <cell r="I169" t="str">
            <v>Nodin PPK 3 Juni 2026</v>
          </cell>
          <cell r="J169">
            <v>0.46</v>
          </cell>
          <cell r="K169">
            <v>776</v>
          </cell>
          <cell r="L169">
            <v>-6.6567040000000004</v>
          </cell>
          <cell r="M169">
            <v>105.582263</v>
          </cell>
          <cell r="N169" t="str">
            <v>Kontrak</v>
          </cell>
          <cell r="O169" t="str">
            <v>Tahap I 208</v>
          </cell>
        </row>
        <row r="170">
          <cell r="F170" t="str">
            <v>Sukakerta</v>
          </cell>
          <cell r="G170" t="str">
            <v>Penyangga</v>
          </cell>
          <cell r="H170">
            <v>5038825000</v>
          </cell>
          <cell r="I170" t="str">
            <v>Nodin PPK 26 Mei 2026</v>
          </cell>
          <cell r="J170">
            <v>5.1100000000000003</v>
          </cell>
          <cell r="K170">
            <v>415</v>
          </cell>
          <cell r="L170">
            <v>-6.1859950000000001</v>
          </cell>
          <cell r="M170">
            <v>107.563053</v>
          </cell>
          <cell r="N170" t="str">
            <v>SPPBJ</v>
          </cell>
          <cell r="O170" t="str">
            <v>Tahap I 208</v>
          </cell>
        </row>
        <row r="171">
          <cell r="F171" t="str">
            <v>Sungaibuntu</v>
          </cell>
          <cell r="G171" t="str">
            <v>Penyangga</v>
          </cell>
          <cell r="H171">
            <v>4682162000</v>
          </cell>
          <cell r="I171" t="str">
            <v>Nodin PPK 26 Mei 2026</v>
          </cell>
          <cell r="J171">
            <v>0.27</v>
          </cell>
          <cell r="K171">
            <v>605</v>
          </cell>
          <cell r="L171">
            <v>-6.0579141999999999</v>
          </cell>
          <cell r="M171">
            <v>107.40425329999999</v>
          </cell>
          <cell r="N171" t="str">
            <v>SPPBJ</v>
          </cell>
          <cell r="O171" t="str">
            <v>Tahap I 208</v>
          </cell>
        </row>
        <row r="172">
          <cell r="F172" t="str">
            <v>Ciparagejaya</v>
          </cell>
          <cell r="G172" t="str">
            <v>Hub</v>
          </cell>
          <cell r="H172">
            <v>4045523000</v>
          </cell>
          <cell r="I172" t="str">
            <v>Nodin PPK 26 Mei 2026</v>
          </cell>
          <cell r="J172">
            <v>1</v>
          </cell>
          <cell r="K172">
            <v>2133</v>
          </cell>
          <cell r="L172">
            <v>-6.16812</v>
          </cell>
          <cell r="M172">
            <v>107.494038</v>
          </cell>
          <cell r="N172" t="str">
            <v>SPPBJ</v>
          </cell>
          <cell r="O172" t="str">
            <v>Tahap I 208</v>
          </cell>
        </row>
        <row r="173">
          <cell r="F173" t="str">
            <v>Citemu</v>
          </cell>
          <cell r="G173" t="str">
            <v>Hub</v>
          </cell>
          <cell r="H173">
            <v>6353838000</v>
          </cell>
          <cell r="I173" t="str">
            <v>Nodin PPK 26 Mei 2026</v>
          </cell>
          <cell r="J173">
            <v>0.54</v>
          </cell>
          <cell r="K173">
            <v>1427</v>
          </cell>
          <cell r="L173">
            <v>-6.7653454999999996</v>
          </cell>
          <cell r="M173">
            <v>108.6010574</v>
          </cell>
          <cell r="N173" t="str">
            <v>Proses Kontrak (Pokja)</v>
          </cell>
          <cell r="O173" t="str">
            <v>Tahap I 208</v>
          </cell>
        </row>
        <row r="174">
          <cell r="F174" t="str">
            <v>Mundu Pesisir</v>
          </cell>
          <cell r="G174" t="str">
            <v>Penyangga</v>
          </cell>
          <cell r="H174">
            <v>4227542000</v>
          </cell>
          <cell r="I174" t="str">
            <v>Nodin PPK 26 Mei 2026</v>
          </cell>
          <cell r="J174">
            <v>1.9</v>
          </cell>
          <cell r="K174">
            <v>322</v>
          </cell>
          <cell r="L174">
            <v>-6.7577069999999999</v>
          </cell>
          <cell r="M174">
            <v>108.593778</v>
          </cell>
          <cell r="N174" t="str">
            <v>Proses Kontrak (Pokja)</v>
          </cell>
          <cell r="O174" t="str">
            <v>Tahap I 208</v>
          </cell>
        </row>
        <row r="175">
          <cell r="F175" t="str">
            <v>Kesenden</v>
          </cell>
          <cell r="G175" t="str">
            <v>Penyangga</v>
          </cell>
          <cell r="H175">
            <v>4080518000</v>
          </cell>
          <cell r="I175" t="str">
            <v>Nodin PPK 26 Mei 2026</v>
          </cell>
          <cell r="J175">
            <v>1.35</v>
          </cell>
          <cell r="K175">
            <v>212</v>
          </cell>
          <cell r="L175">
            <v>-6.7151509999999996</v>
          </cell>
          <cell r="M175">
            <v>108.56697800000001</v>
          </cell>
          <cell r="N175" t="str">
            <v>Proses Kontrak (Pokja)</v>
          </cell>
          <cell r="O175" t="str">
            <v>Tahap I 208</v>
          </cell>
        </row>
        <row r="176">
          <cell r="F176" t="str">
            <v>Ujunggenteng</v>
          </cell>
          <cell r="G176" t="str">
            <v>Hub</v>
          </cell>
          <cell r="H176">
            <v>5942922000</v>
          </cell>
          <cell r="J176">
            <v>5</v>
          </cell>
          <cell r="K176">
            <v>2136</v>
          </cell>
          <cell r="L176">
            <v>-7.3624900000000002</v>
          </cell>
          <cell r="M176">
            <v>106.41347</v>
          </cell>
          <cell r="N176">
            <v>0</v>
          </cell>
          <cell r="O176" t="str">
            <v>Tahap IV 200</v>
          </cell>
        </row>
        <row r="177">
          <cell r="F177" t="str">
            <v>Lesong Daja</v>
          </cell>
          <cell r="G177" t="str">
            <v>Penyangga</v>
          </cell>
          <cell r="H177">
            <v>2822807000</v>
          </cell>
          <cell r="J177">
            <v>1.2</v>
          </cell>
          <cell r="K177">
            <v>24</v>
          </cell>
          <cell r="L177">
            <v>-6.8983889999999999</v>
          </cell>
          <cell r="M177">
            <v>113.507926</v>
          </cell>
          <cell r="N177">
            <v>0</v>
          </cell>
          <cell r="O177" t="str">
            <v>Tahap I 208</v>
          </cell>
        </row>
        <row r="178">
          <cell r="F178" t="str">
            <v>Tamberu</v>
          </cell>
          <cell r="G178" t="str">
            <v>Penyangga</v>
          </cell>
          <cell r="H178">
            <v>3454266000</v>
          </cell>
          <cell r="K178">
            <v>253</v>
          </cell>
          <cell r="L178">
            <v>-6.8965015300000001</v>
          </cell>
          <cell r="M178">
            <v>113.48451609999999</v>
          </cell>
          <cell r="N178">
            <v>0</v>
          </cell>
          <cell r="O178" t="str">
            <v>Tahap IV 200</v>
          </cell>
        </row>
        <row r="179">
          <cell r="F179" t="str">
            <v>Padelegan</v>
          </cell>
          <cell r="G179" t="str">
            <v>Penyangga</v>
          </cell>
          <cell r="H179">
            <v>2783933000</v>
          </cell>
          <cell r="I179" t="str">
            <v>Nodin PPK 3 Juni 2026</v>
          </cell>
          <cell r="J179">
            <v>1</v>
          </cell>
          <cell r="K179">
            <v>517</v>
          </cell>
          <cell r="L179">
            <v>-7.236713</v>
          </cell>
          <cell r="M179">
            <v>113.52998599999999</v>
          </cell>
          <cell r="N179" t="str">
            <v>Proses Kontrak (Pokja)</v>
          </cell>
          <cell r="O179" t="str">
            <v>Tahap I 208</v>
          </cell>
        </row>
        <row r="180">
          <cell r="F180" t="str">
            <v>Sotabar</v>
          </cell>
          <cell r="G180" t="str">
            <v>Penyangga</v>
          </cell>
          <cell r="H180">
            <v>3454266000</v>
          </cell>
          <cell r="K180">
            <v>339</v>
          </cell>
          <cell r="L180">
            <v>-6.8942116560000004</v>
          </cell>
          <cell r="M180">
            <v>113.5399314</v>
          </cell>
          <cell r="N180">
            <v>0</v>
          </cell>
          <cell r="O180" t="str">
            <v>Tahap IV 200</v>
          </cell>
        </row>
        <row r="181">
          <cell r="F181" t="str">
            <v>Branta Tinggi</v>
          </cell>
          <cell r="G181" t="str">
            <v>Penyangga</v>
          </cell>
          <cell r="H181">
            <v>2832310000</v>
          </cell>
          <cell r="I181" t="str">
            <v>Nodin PPK 3 Juni 2026</v>
          </cell>
          <cell r="J181">
            <v>0.51</v>
          </cell>
          <cell r="K181">
            <v>280</v>
          </cell>
          <cell r="L181">
            <v>-7.2206000000000001</v>
          </cell>
          <cell r="M181">
            <v>113.456394</v>
          </cell>
          <cell r="N181" t="str">
            <v>Proses Kontrak (Pokja)</v>
          </cell>
          <cell r="O181" t="str">
            <v>Tahap I 208</v>
          </cell>
        </row>
        <row r="182">
          <cell r="F182" t="str">
            <v>Dharma Camplong</v>
          </cell>
          <cell r="G182" t="str">
            <v>Penyangga</v>
          </cell>
          <cell r="H182">
            <v>3454266000</v>
          </cell>
          <cell r="I182" t="str">
            <v>Nodin PPK 3 Juni 2026</v>
          </cell>
          <cell r="J182">
            <v>0.1</v>
          </cell>
          <cell r="K182">
            <v>1506</v>
          </cell>
          <cell r="L182">
            <v>-7.2120391000000001</v>
          </cell>
          <cell r="M182">
            <v>113.34012730000001</v>
          </cell>
          <cell r="N182" t="str">
            <v>Proses Kontrak (Pokja)</v>
          </cell>
          <cell r="O182" t="str">
            <v>Tahap I 208</v>
          </cell>
        </row>
        <row r="183">
          <cell r="F183" t="str">
            <v>Bira Tengah</v>
          </cell>
          <cell r="G183" t="str">
            <v>Penyangga</v>
          </cell>
          <cell r="H183">
            <v>3454266000</v>
          </cell>
          <cell r="J183">
            <v>1</v>
          </cell>
          <cell r="K183">
            <v>76</v>
          </cell>
          <cell r="L183">
            <v>-6.9066000000000001</v>
          </cell>
          <cell r="M183">
            <v>113.385434</v>
          </cell>
          <cell r="N183" t="str">
            <v>SPPBJ</v>
          </cell>
          <cell r="O183" t="str">
            <v>Tahap IV 200</v>
          </cell>
        </row>
        <row r="184">
          <cell r="F184" t="str">
            <v>Ambunten Tengah</v>
          </cell>
          <cell r="G184" t="str">
            <v>Penyangga</v>
          </cell>
          <cell r="H184">
            <v>3454266000</v>
          </cell>
          <cell r="J184">
            <v>1.5</v>
          </cell>
          <cell r="K184">
            <v>96</v>
          </cell>
          <cell r="L184">
            <v>-6.8876099999999996</v>
          </cell>
          <cell r="M184">
            <v>113.73356</v>
          </cell>
          <cell r="N184">
            <v>0</v>
          </cell>
          <cell r="O184" t="str">
            <v>Tahap IV 200</v>
          </cell>
        </row>
        <row r="185">
          <cell r="F185" t="str">
            <v>Slopeng</v>
          </cell>
          <cell r="G185" t="str">
            <v>Penyangga</v>
          </cell>
          <cell r="H185">
            <v>3167566000</v>
          </cell>
          <cell r="J185">
            <v>1.18</v>
          </cell>
          <cell r="K185">
            <v>100</v>
          </cell>
          <cell r="L185">
            <v>-6.8873689999999996</v>
          </cell>
          <cell r="M185">
            <v>113.789452</v>
          </cell>
          <cell r="N185">
            <v>0</v>
          </cell>
          <cell r="O185" t="str">
            <v>Tahap I 208</v>
          </cell>
        </row>
        <row r="186">
          <cell r="F186" t="str">
            <v>Bancamara</v>
          </cell>
          <cell r="G186" t="str">
            <v>Penyangga (+cs)</v>
          </cell>
          <cell r="H186">
            <v>3454266000</v>
          </cell>
          <cell r="J186">
            <v>0.98</v>
          </cell>
          <cell r="K186">
            <v>354</v>
          </cell>
          <cell r="L186">
            <v>-7.0020530000000001</v>
          </cell>
          <cell r="M186">
            <v>114.166506</v>
          </cell>
          <cell r="N186">
            <v>0</v>
          </cell>
          <cell r="O186" t="str">
            <v>Tahap IV 200</v>
          </cell>
        </row>
        <row r="187">
          <cell r="F187" t="str">
            <v>Gedugan</v>
          </cell>
          <cell r="G187" t="str">
            <v>Penyangga</v>
          </cell>
          <cell r="H187">
            <v>3454266000</v>
          </cell>
          <cell r="J187">
            <v>1.05</v>
          </cell>
          <cell r="K187">
            <v>98</v>
          </cell>
          <cell r="L187">
            <v>-7.2053330000000004</v>
          </cell>
          <cell r="M187">
            <v>113.937944</v>
          </cell>
          <cell r="N187">
            <v>0</v>
          </cell>
          <cell r="O187" t="str">
            <v>Tahap IV 200</v>
          </cell>
        </row>
        <row r="188">
          <cell r="F188" t="str">
            <v>Kramian</v>
          </cell>
          <cell r="G188" t="str">
            <v>Penyangga</v>
          </cell>
          <cell r="H188">
            <v>3454266000</v>
          </cell>
          <cell r="J188">
            <v>0.98</v>
          </cell>
          <cell r="K188">
            <v>203</v>
          </cell>
          <cell r="L188">
            <v>-5.0442257000000001</v>
          </cell>
          <cell r="M188">
            <v>114.6096309</v>
          </cell>
          <cell r="N188">
            <v>0</v>
          </cell>
          <cell r="O188" t="str">
            <v>Tahap IV 200</v>
          </cell>
        </row>
        <row r="189">
          <cell r="F189" t="str">
            <v>Pasongsongan</v>
          </cell>
          <cell r="G189" t="str">
            <v>Penyangga</v>
          </cell>
          <cell r="H189">
            <v>2279531000</v>
          </cell>
          <cell r="I189" t="str">
            <v>Nodin PPK 3 Juni 2026</v>
          </cell>
          <cell r="J189">
            <v>2.5</v>
          </cell>
          <cell r="K189">
            <v>1700</v>
          </cell>
          <cell r="L189">
            <v>-6.8898169999999999</v>
          </cell>
          <cell r="M189">
            <v>113.65061300000001</v>
          </cell>
          <cell r="N189" t="str">
            <v>Proses Kontrak (Pokja)</v>
          </cell>
          <cell r="O189" t="str">
            <v>Tahap I 208</v>
          </cell>
        </row>
        <row r="190">
          <cell r="F190" t="str">
            <v>Dekatagung</v>
          </cell>
          <cell r="G190" t="str">
            <v>Hub</v>
          </cell>
          <cell r="H190">
            <v>7500000000</v>
          </cell>
          <cell r="J190">
            <v>3.2</v>
          </cell>
          <cell r="K190">
            <v>236</v>
          </cell>
          <cell r="L190">
            <v>-5.7924150000000001</v>
          </cell>
          <cell r="M190">
            <v>112.584778</v>
          </cell>
          <cell r="N190">
            <v>0</v>
          </cell>
          <cell r="O190" t="str">
            <v>Tahap IV 200</v>
          </cell>
        </row>
        <row r="191">
          <cell r="F191" t="str">
            <v>Sidogedungbatu</v>
          </cell>
          <cell r="G191" t="str">
            <v>Penyangga</v>
          </cell>
          <cell r="H191">
            <v>3454266000</v>
          </cell>
          <cell r="J191">
            <v>0.1</v>
          </cell>
          <cell r="K191">
            <v>392</v>
          </cell>
          <cell r="L191">
            <v>-5.8077500000000004</v>
          </cell>
          <cell r="M191">
            <v>112.730075</v>
          </cell>
          <cell r="N191">
            <v>0</v>
          </cell>
          <cell r="O191" t="str">
            <v>Tahap IV 200</v>
          </cell>
        </row>
        <row r="192">
          <cell r="F192" t="str">
            <v>Wasampela</v>
          </cell>
          <cell r="G192" t="str">
            <v>Penyangga</v>
          </cell>
          <cell r="H192">
            <v>4780636000</v>
          </cell>
          <cell r="J192">
            <v>0.11</v>
          </cell>
          <cell r="K192">
            <v>93</v>
          </cell>
          <cell r="L192">
            <v>-5.5838739999999998</v>
          </cell>
          <cell r="M192">
            <v>122.876718</v>
          </cell>
          <cell r="N192">
            <v>0</v>
          </cell>
          <cell r="O192" t="str">
            <v>Tahap IV 200</v>
          </cell>
        </row>
        <row r="193">
          <cell r="F193" t="str">
            <v>Gaya Baru</v>
          </cell>
          <cell r="G193" t="str">
            <v>Penyangga</v>
          </cell>
          <cell r="H193">
            <v>4886781000</v>
          </cell>
          <cell r="J193">
            <v>0.45</v>
          </cell>
          <cell r="K193">
            <v>280</v>
          </cell>
          <cell r="L193">
            <v>-5.6582309999999998</v>
          </cell>
          <cell r="M193">
            <v>122.761696</v>
          </cell>
          <cell r="N193" t="str">
            <v>Proses Kontrak (Pokja)</v>
          </cell>
          <cell r="O193" t="str">
            <v>Tahap I 208</v>
          </cell>
        </row>
        <row r="194">
          <cell r="F194" t="str">
            <v>Bahari Dua</v>
          </cell>
          <cell r="G194" t="str">
            <v>Penyangga</v>
          </cell>
          <cell r="H194">
            <v>3521058000</v>
          </cell>
          <cell r="J194">
            <v>0.41</v>
          </cell>
          <cell r="K194">
            <v>209</v>
          </cell>
          <cell r="L194">
            <v>-5.6825669999999997</v>
          </cell>
          <cell r="M194">
            <v>122.71508900000001</v>
          </cell>
          <cell r="N194" t="str">
            <v>Proses Kontrak (Pokja)</v>
          </cell>
          <cell r="O194" t="str">
            <v>Tahap I 208</v>
          </cell>
        </row>
        <row r="195">
          <cell r="F195" t="str">
            <v>Lamaninggara</v>
          </cell>
          <cell r="G195" t="str">
            <v>Penyangga</v>
          </cell>
          <cell r="H195">
            <v>4550394000</v>
          </cell>
          <cell r="J195">
            <v>0.11</v>
          </cell>
          <cell r="K195">
            <v>393</v>
          </cell>
          <cell r="L195">
            <v>-5.6981590000000004</v>
          </cell>
          <cell r="M195">
            <v>122.49038899999999</v>
          </cell>
          <cell r="N195" t="str">
            <v>Proses Kontrak (Pokja)</v>
          </cell>
          <cell r="O195" t="str">
            <v>Tahap I 208</v>
          </cell>
        </row>
        <row r="196">
          <cell r="F196" t="str">
            <v>Geser</v>
          </cell>
          <cell r="G196" t="str">
            <v>Hub</v>
          </cell>
          <cell r="J196">
            <v>0.8</v>
          </cell>
          <cell r="K196">
            <v>248</v>
          </cell>
          <cell r="L196">
            <v>-3.8847265000000002</v>
          </cell>
          <cell r="M196">
            <v>130.897445</v>
          </cell>
          <cell r="N196">
            <v>0</v>
          </cell>
          <cell r="O196" t="e">
            <v>#N/A</v>
          </cell>
        </row>
        <row r="197">
          <cell r="F197" t="str">
            <v>Kellu</v>
          </cell>
          <cell r="G197" t="str">
            <v>Penyangga</v>
          </cell>
          <cell r="J197">
            <v>0.35</v>
          </cell>
          <cell r="K197">
            <v>250</v>
          </cell>
          <cell r="L197">
            <v>-3.8715820000000001</v>
          </cell>
          <cell r="M197">
            <v>130.86232200000001</v>
          </cell>
          <cell r="N197">
            <v>0</v>
          </cell>
          <cell r="O197" t="e">
            <v>#N/A</v>
          </cell>
        </row>
        <row r="198">
          <cell r="F198" t="str">
            <v>Kilfura</v>
          </cell>
          <cell r="G198" t="str">
            <v>Penyangga</v>
          </cell>
          <cell r="J198">
            <v>0.13</v>
          </cell>
          <cell r="K198">
            <v>60</v>
          </cell>
          <cell r="L198">
            <v>-3.890536</v>
          </cell>
          <cell r="M198">
            <v>130.91095100000001</v>
          </cell>
          <cell r="N198">
            <v>0</v>
          </cell>
          <cell r="O198" t="e">
            <v>#N/A</v>
          </cell>
        </row>
        <row r="199">
          <cell r="F199" t="str">
            <v>Kilwaru</v>
          </cell>
          <cell r="G199" t="str">
            <v>Penyangga</v>
          </cell>
          <cell r="J199">
            <v>1.03</v>
          </cell>
          <cell r="K199">
            <v>349</v>
          </cell>
          <cell r="L199">
            <v>-3.8820749999999999</v>
          </cell>
          <cell r="M199">
            <v>130.95292499999999</v>
          </cell>
          <cell r="N199">
            <v>0</v>
          </cell>
          <cell r="O199" t="e">
            <v>#N/A</v>
          </cell>
        </row>
        <row r="200">
          <cell r="F200" t="str">
            <v>Kwamor Kecil Mata Wawa</v>
          </cell>
          <cell r="G200" t="str">
            <v>Penyangga</v>
          </cell>
          <cell r="J200">
            <v>1</v>
          </cell>
          <cell r="K200">
            <v>520</v>
          </cell>
          <cell r="L200">
            <v>-3.8673829999999998</v>
          </cell>
          <cell r="M200">
            <v>130.81170399999999</v>
          </cell>
          <cell r="N200">
            <v>0</v>
          </cell>
          <cell r="O200" t="e">
            <v>#N/A</v>
          </cell>
        </row>
        <row r="201">
          <cell r="F201" t="str">
            <v>Labone</v>
          </cell>
          <cell r="G201" t="str">
            <v>Penyangga</v>
          </cell>
          <cell r="H201">
            <v>4500000000</v>
          </cell>
          <cell r="J201">
            <v>1</v>
          </cell>
          <cell r="K201">
            <v>157</v>
          </cell>
          <cell r="L201">
            <v>-4.7309749999999999</v>
          </cell>
          <cell r="M201">
            <v>122.730192</v>
          </cell>
          <cell r="N201">
            <v>0</v>
          </cell>
          <cell r="O201" t="str">
            <v>Tahap I 208</v>
          </cell>
        </row>
        <row r="202">
          <cell r="F202" t="str">
            <v>Napabalano</v>
          </cell>
          <cell r="G202" t="str">
            <v>Penyangga</v>
          </cell>
          <cell r="H202">
            <v>4500000000</v>
          </cell>
          <cell r="J202">
            <v>1.52</v>
          </cell>
          <cell r="K202">
            <v>210</v>
          </cell>
          <cell r="L202">
            <v>-4.6353429999999998</v>
          </cell>
          <cell r="M202">
            <v>122.719523</v>
          </cell>
          <cell r="N202">
            <v>0</v>
          </cell>
          <cell r="O202" t="str">
            <v>Tahap I 208</v>
          </cell>
        </row>
        <row r="203">
          <cell r="F203" t="str">
            <v>Bhontu-Bhontu</v>
          </cell>
          <cell r="G203" t="str">
            <v>Penyangga</v>
          </cell>
          <cell r="H203">
            <v>4500000000</v>
          </cell>
          <cell r="J203">
            <v>0.5</v>
          </cell>
          <cell r="K203">
            <v>517</v>
          </cell>
          <cell r="L203">
            <v>-4.5951139999999997</v>
          </cell>
          <cell r="M203">
            <v>122.721193</v>
          </cell>
          <cell r="N203">
            <v>0</v>
          </cell>
          <cell r="O203" t="str">
            <v>Tahap I 208</v>
          </cell>
        </row>
        <row r="204">
          <cell r="F204" t="str">
            <v>Wangkolabu</v>
          </cell>
          <cell r="G204" t="str">
            <v>Penyangga</v>
          </cell>
          <cell r="H204">
            <v>4500000000</v>
          </cell>
          <cell r="J204">
            <v>0.5</v>
          </cell>
          <cell r="K204">
            <v>346</v>
          </cell>
          <cell r="L204">
            <v>-4.5200139999999998</v>
          </cell>
          <cell r="M204">
            <v>122.719981</v>
          </cell>
          <cell r="N204">
            <v>0</v>
          </cell>
          <cell r="O204" t="str">
            <v>Tahap I 208</v>
          </cell>
        </row>
        <row r="205">
          <cell r="F205" t="str">
            <v>Haya</v>
          </cell>
          <cell r="G205" t="str">
            <v>Penyangga</v>
          </cell>
          <cell r="J205">
            <v>1.5</v>
          </cell>
          <cell r="K205">
            <v>172</v>
          </cell>
          <cell r="L205">
            <v>-3.4131649999999998</v>
          </cell>
          <cell r="M205">
            <v>129.56356199999999</v>
          </cell>
          <cell r="N205">
            <v>0</v>
          </cell>
          <cell r="O205" t="e">
            <v>#N/A</v>
          </cell>
        </row>
        <row r="206">
          <cell r="F206" t="str">
            <v>Asilulu</v>
          </cell>
          <cell r="G206" t="str">
            <v>Penyangga</v>
          </cell>
          <cell r="J206">
            <v>0.3</v>
          </cell>
          <cell r="K206">
            <v>212</v>
          </cell>
          <cell r="L206">
            <v>-3.5298060000000002</v>
          </cell>
          <cell r="M206">
            <v>127.95281300000001</v>
          </cell>
          <cell r="N206">
            <v>0</v>
          </cell>
          <cell r="O206" t="e">
            <v>#N/A</v>
          </cell>
        </row>
        <row r="207">
          <cell r="F207" t="str">
            <v>Iha</v>
          </cell>
          <cell r="G207" t="str">
            <v>Hub</v>
          </cell>
          <cell r="J207">
            <v>1</v>
          </cell>
          <cell r="K207">
            <v>433</v>
          </cell>
          <cell r="L207">
            <v>-3.3923480000000001</v>
          </cell>
          <cell r="M207">
            <v>127.980936</v>
          </cell>
          <cell r="N207">
            <v>0</v>
          </cell>
          <cell r="O207" t="e">
            <v>#N/A</v>
          </cell>
        </row>
        <row r="208">
          <cell r="F208" t="str">
            <v>Tahalupu</v>
          </cell>
          <cell r="G208" t="str">
            <v>Penyangga</v>
          </cell>
          <cell r="J208">
            <v>0.8</v>
          </cell>
          <cell r="K208">
            <v>379</v>
          </cell>
          <cell r="L208">
            <v>-3.23935</v>
          </cell>
          <cell r="M208">
            <v>127.65911</v>
          </cell>
          <cell r="N208">
            <v>0</v>
          </cell>
          <cell r="O208" t="e">
            <v>#N/A</v>
          </cell>
        </row>
        <row r="209">
          <cell r="F209" t="str">
            <v>Waesala</v>
          </cell>
          <cell r="G209" t="str">
            <v>Penyangga</v>
          </cell>
          <cell r="J209">
            <v>0.6</v>
          </cell>
          <cell r="K209">
            <v>824</v>
          </cell>
          <cell r="L209">
            <v>-3.1597400000000002</v>
          </cell>
          <cell r="M209">
            <v>127.83825</v>
          </cell>
          <cell r="N209">
            <v>0</v>
          </cell>
          <cell r="O209" t="e">
            <v>#N/A</v>
          </cell>
        </row>
        <row r="210">
          <cell r="F210" t="str">
            <v>Kaibobo</v>
          </cell>
          <cell r="G210" t="str">
            <v>Penyangga</v>
          </cell>
          <cell r="J210">
            <v>1</v>
          </cell>
          <cell r="K210">
            <v>116</v>
          </cell>
          <cell r="L210">
            <v>-3.2153562</v>
          </cell>
          <cell r="M210">
            <v>128.1762161</v>
          </cell>
          <cell r="N210">
            <v>0</v>
          </cell>
          <cell r="O210" t="e">
            <v>#N/A</v>
          </cell>
        </row>
        <row r="211">
          <cell r="F211" t="str">
            <v>Sawarna</v>
          </cell>
          <cell r="G211" t="str">
            <v>Penyangga</v>
          </cell>
          <cell r="H211">
            <v>3043921000</v>
          </cell>
          <cell r="I211" t="str">
            <v>Nodin PPK 3 Juni 2026</v>
          </cell>
          <cell r="J211">
            <v>0.1</v>
          </cell>
          <cell r="K211">
            <v>300</v>
          </cell>
          <cell r="L211">
            <v>-7.6919790150000003</v>
          </cell>
          <cell r="M211">
            <v>107.8183966</v>
          </cell>
          <cell r="N211" t="str">
            <v>Kontrak</v>
          </cell>
          <cell r="O211" t="str">
            <v>Tahap I 208</v>
          </cell>
        </row>
        <row r="212">
          <cell r="F212" t="str">
            <v>Indralayang</v>
          </cell>
          <cell r="G212" t="str">
            <v>Hub</v>
          </cell>
          <cell r="H212">
            <v>6333020000</v>
          </cell>
          <cell r="J212">
            <v>1.5</v>
          </cell>
          <cell r="K212">
            <v>652</v>
          </cell>
          <cell r="L212">
            <v>-7.5149616999999997</v>
          </cell>
          <cell r="M212">
            <v>107.46210499999999</v>
          </cell>
          <cell r="N212" t="str">
            <v>Proses Kontrak (Pokja)</v>
          </cell>
          <cell r="O212" t="str">
            <v>Tahap I 208</v>
          </cell>
        </row>
        <row r="213">
          <cell r="F213" t="str">
            <v>Pamalayan</v>
          </cell>
          <cell r="G213" t="str">
            <v>Penyangga</v>
          </cell>
          <cell r="H213">
            <v>2314000000</v>
          </cell>
          <cell r="J213">
            <v>0.2</v>
          </cell>
          <cell r="K213">
            <v>250</v>
          </cell>
          <cell r="L213">
            <v>-7.6489441999999999</v>
          </cell>
          <cell r="M213">
            <v>107.6931725</v>
          </cell>
          <cell r="N213">
            <v>0</v>
          </cell>
          <cell r="O213" t="str">
            <v>Tahap I 208</v>
          </cell>
        </row>
        <row r="214">
          <cell r="F214" t="str">
            <v>Cijayana</v>
          </cell>
          <cell r="G214" t="str">
            <v>Penyangga</v>
          </cell>
          <cell r="H214">
            <v>3919720000</v>
          </cell>
          <cell r="J214">
            <v>2</v>
          </cell>
          <cell r="K214">
            <v>82</v>
          </cell>
          <cell r="L214">
            <v>-7.5600180000000003</v>
          </cell>
          <cell r="M214">
            <v>107.56616099999999</v>
          </cell>
          <cell r="N214" t="str">
            <v>Proses Kontrak (Pokja)</v>
          </cell>
          <cell r="O214" t="str">
            <v>Tahap I 208</v>
          </cell>
        </row>
        <row r="215">
          <cell r="F215" t="str">
            <v>Klesem</v>
          </cell>
          <cell r="G215" t="str">
            <v>Penyangga</v>
          </cell>
          <cell r="H215">
            <v>2314000000</v>
          </cell>
          <cell r="J215">
            <v>6.7000000000000004E-2</v>
          </cell>
          <cell r="K215">
            <v>137</v>
          </cell>
          <cell r="L215">
            <v>-8.2728940000000009</v>
          </cell>
          <cell r="M215">
            <v>111.17889599999999</v>
          </cell>
          <cell r="N215">
            <v>0</v>
          </cell>
          <cell r="O215" t="str">
            <v>Tahap III 166</v>
          </cell>
        </row>
        <row r="216">
          <cell r="F216" t="str">
            <v>Jetak</v>
          </cell>
          <cell r="G216" t="str">
            <v>Penyangga</v>
          </cell>
          <cell r="H216">
            <v>2314000000</v>
          </cell>
          <cell r="J216">
            <v>7.0000000000000007E-2</v>
          </cell>
          <cell r="K216">
            <v>140</v>
          </cell>
          <cell r="L216">
            <v>-8.2519583000000001</v>
          </cell>
          <cell r="M216">
            <v>111.2555878</v>
          </cell>
          <cell r="N216">
            <v>0</v>
          </cell>
          <cell r="O216" t="str">
            <v>Tahap I 208</v>
          </cell>
        </row>
        <row r="217">
          <cell r="F217" t="str">
            <v>Deaga</v>
          </cell>
          <cell r="G217" t="str">
            <v>Penyangga</v>
          </cell>
          <cell r="H217">
            <v>4500000000</v>
          </cell>
          <cell r="J217">
            <v>1.1000000000000001</v>
          </cell>
          <cell r="K217">
            <v>120</v>
          </cell>
          <cell r="L217">
            <v>0.42830699999999999</v>
          </cell>
          <cell r="M217">
            <v>124.293891</v>
          </cell>
          <cell r="O217" t="e">
            <v>#N/A</v>
          </cell>
        </row>
        <row r="218">
          <cell r="F218" t="str">
            <v>Iligon</v>
          </cell>
          <cell r="G218" t="str">
            <v>Penyangga</v>
          </cell>
          <cell r="H218">
            <v>4500000000</v>
          </cell>
          <cell r="J218">
            <v>2</v>
          </cell>
          <cell r="K218">
            <v>87</v>
          </cell>
          <cell r="L218">
            <v>0.46699000000000002</v>
          </cell>
          <cell r="M218">
            <v>124.449386</v>
          </cell>
          <cell r="O218" t="e">
            <v>#N/A</v>
          </cell>
        </row>
        <row r="219">
          <cell r="F219" t="str">
            <v>Modisi</v>
          </cell>
          <cell r="G219" t="str">
            <v>Penyangga</v>
          </cell>
          <cell r="H219">
            <v>4500000000</v>
          </cell>
          <cell r="J219">
            <v>1</v>
          </cell>
          <cell r="K219">
            <v>12</v>
          </cell>
          <cell r="L219">
            <v>0.45104699999999998</v>
          </cell>
          <cell r="M219">
            <v>124.430997</v>
          </cell>
          <cell r="O219" t="e">
            <v>#N/A</v>
          </cell>
        </row>
        <row r="220">
          <cell r="F220" t="str">
            <v>Jiko</v>
          </cell>
          <cell r="G220" t="str">
            <v>Hub</v>
          </cell>
          <cell r="J220">
            <v>1</v>
          </cell>
          <cell r="K220">
            <v>215</v>
          </cell>
          <cell r="L220">
            <v>0.61984399999999995</v>
          </cell>
          <cell r="M220">
            <v>124.548434</v>
          </cell>
          <cell r="O220" t="e">
            <v>#N/A</v>
          </cell>
        </row>
        <row r="221">
          <cell r="F221" t="str">
            <v>Motongkad Selatan</v>
          </cell>
          <cell r="G221" t="str">
            <v>Penyangga</v>
          </cell>
          <cell r="H221">
            <v>4500000000</v>
          </cell>
          <cell r="J221">
            <v>1</v>
          </cell>
          <cell r="K221">
            <v>40</v>
          </cell>
          <cell r="L221">
            <v>0.65962500000000002</v>
          </cell>
          <cell r="M221">
            <v>124.562889</v>
          </cell>
          <cell r="O221" t="e">
            <v>#N/A</v>
          </cell>
        </row>
        <row r="222">
          <cell r="F222" t="str">
            <v>Iyok</v>
          </cell>
          <cell r="G222" t="str">
            <v>Penyangga</v>
          </cell>
          <cell r="H222">
            <v>4500000000</v>
          </cell>
          <cell r="J222">
            <v>0.5</v>
          </cell>
          <cell r="K222">
            <v>98</v>
          </cell>
          <cell r="L222">
            <v>0.58747400000000005</v>
          </cell>
          <cell r="M222">
            <v>124.53238</v>
          </cell>
          <cell r="O222" t="e">
            <v>#N/A</v>
          </cell>
        </row>
        <row r="223">
          <cell r="F223" t="str">
            <v>Loyow</v>
          </cell>
          <cell r="G223" t="str">
            <v>Penyangga</v>
          </cell>
          <cell r="H223">
            <v>4500000000</v>
          </cell>
          <cell r="J223">
            <v>3.15</v>
          </cell>
          <cell r="K223">
            <v>193</v>
          </cell>
          <cell r="L223">
            <v>0.58360000000000001</v>
          </cell>
          <cell r="M223">
            <v>124.52612999999999</v>
          </cell>
          <cell r="O223" t="e">
            <v>#N/A</v>
          </cell>
        </row>
        <row r="224">
          <cell r="F224" t="str">
            <v>Matabulu Timur</v>
          </cell>
          <cell r="G224" t="str">
            <v>Penyangga</v>
          </cell>
          <cell r="H224">
            <v>7003592000</v>
          </cell>
          <cell r="J224">
            <v>1</v>
          </cell>
          <cell r="K224">
            <v>253</v>
          </cell>
          <cell r="L224">
            <v>0.54181800000000002</v>
          </cell>
          <cell r="M224">
            <v>124.492407</v>
          </cell>
          <cell r="O224" t="e">
            <v>#N/A</v>
          </cell>
        </row>
        <row r="225">
          <cell r="F225" t="str">
            <v>Balalon</v>
          </cell>
          <cell r="G225" t="str">
            <v>Penyangga</v>
          </cell>
          <cell r="H225">
            <v>4500000000</v>
          </cell>
          <cell r="J225">
            <v>1.01</v>
          </cell>
          <cell r="K225">
            <v>113</v>
          </cell>
          <cell r="L225">
            <v>-1.5392939999999999</v>
          </cell>
          <cell r="M225">
            <v>122.95262200000001</v>
          </cell>
          <cell r="N225">
            <v>0</v>
          </cell>
          <cell r="O225" t="str">
            <v>Tahap I 208</v>
          </cell>
        </row>
        <row r="226">
          <cell r="F226" t="str">
            <v>Bajo</v>
          </cell>
          <cell r="G226" t="str">
            <v>Penyangga</v>
          </cell>
          <cell r="H226">
            <v>4500000000</v>
          </cell>
          <cell r="J226">
            <v>1</v>
          </cell>
          <cell r="K226">
            <v>237</v>
          </cell>
          <cell r="L226">
            <v>-1.555814</v>
          </cell>
          <cell r="M226">
            <v>123.240403</v>
          </cell>
          <cell r="N226">
            <v>0</v>
          </cell>
          <cell r="O226" t="str">
            <v>Tahap III 167</v>
          </cell>
        </row>
        <row r="227">
          <cell r="F227" t="str">
            <v>Patukuki</v>
          </cell>
          <cell r="G227" t="str">
            <v>Hub</v>
          </cell>
          <cell r="H227">
            <v>8231000000</v>
          </cell>
          <cell r="J227">
            <v>1.19</v>
          </cell>
          <cell r="K227">
            <v>855</v>
          </cell>
          <cell r="L227">
            <v>-1.417878</v>
          </cell>
          <cell r="M227">
            <v>123.167511</v>
          </cell>
          <cell r="N227">
            <v>0</v>
          </cell>
          <cell r="O227" t="str">
            <v>Tahap I 208</v>
          </cell>
        </row>
        <row r="228">
          <cell r="F228" t="str">
            <v>Latdalam</v>
          </cell>
          <cell r="G228" t="str">
            <v>Penyangga</v>
          </cell>
          <cell r="J228">
            <v>7.0000000000000007E-2</v>
          </cell>
          <cell r="K228">
            <v>211</v>
          </cell>
          <cell r="L228">
            <v>-7.9529269999999999</v>
          </cell>
          <cell r="M228">
            <v>131.10896600000001</v>
          </cell>
          <cell r="N228">
            <v>0</v>
          </cell>
          <cell r="O228" t="e">
            <v>#N/A</v>
          </cell>
        </row>
        <row r="229">
          <cell r="F229" t="str">
            <v>Matakus</v>
          </cell>
          <cell r="G229" t="str">
            <v>Penyangga</v>
          </cell>
          <cell r="J229">
            <v>1</v>
          </cell>
          <cell r="K229">
            <v>97</v>
          </cell>
          <cell r="L229">
            <v>-8.0527529999999992</v>
          </cell>
          <cell r="M229">
            <v>131.204252</v>
          </cell>
          <cell r="N229">
            <v>0</v>
          </cell>
          <cell r="O229" t="e">
            <v>#N/A</v>
          </cell>
        </row>
        <row r="230">
          <cell r="F230" t="str">
            <v>Kamatubun</v>
          </cell>
          <cell r="G230" t="str">
            <v>Hub</v>
          </cell>
          <cell r="J230">
            <v>0.1</v>
          </cell>
          <cell r="K230">
            <v>200</v>
          </cell>
          <cell r="L230">
            <v>-7.6681100000000004</v>
          </cell>
          <cell r="M230">
            <v>131.03115700000001</v>
          </cell>
          <cell r="N230">
            <v>0</v>
          </cell>
          <cell r="O230" t="e">
            <v>#N/A</v>
          </cell>
        </row>
        <row r="231">
          <cell r="F231" t="str">
            <v>Makatian</v>
          </cell>
          <cell r="G231" t="str">
            <v>Penyangga</v>
          </cell>
          <cell r="J231">
            <v>0.76</v>
          </cell>
          <cell r="K231">
            <v>217</v>
          </cell>
          <cell r="L231">
            <v>-7.5647120000000001</v>
          </cell>
          <cell r="M231">
            <v>131.20246900000001</v>
          </cell>
          <cell r="N231">
            <v>0</v>
          </cell>
          <cell r="O231" t="e">
            <v>#N/A</v>
          </cell>
        </row>
        <row r="232">
          <cell r="F232" t="str">
            <v>Jetis</v>
          </cell>
          <cell r="G232" t="str">
            <v>Hub</v>
          </cell>
          <cell r="H232">
            <v>5500000000</v>
          </cell>
          <cell r="J232">
            <v>0.98</v>
          </cell>
          <cell r="K232">
            <v>3600</v>
          </cell>
          <cell r="L232">
            <v>-7.7129269999999996</v>
          </cell>
          <cell r="M232">
            <v>109.386231</v>
          </cell>
          <cell r="N232">
            <v>0</v>
          </cell>
          <cell r="O232" t="str">
            <v>Tahap I 208</v>
          </cell>
        </row>
        <row r="233">
          <cell r="F233" t="str">
            <v>Argopeni</v>
          </cell>
          <cell r="G233" t="str">
            <v>Penyangga</v>
          </cell>
          <cell r="H233">
            <v>2314000000</v>
          </cell>
          <cell r="J233">
            <v>0.26</v>
          </cell>
          <cell r="K233">
            <v>370</v>
          </cell>
          <cell r="L233">
            <v>-7.7309450000000002</v>
          </cell>
          <cell r="M233">
            <v>109.395105</v>
          </cell>
          <cell r="N233" t="str">
            <v>SPPBJ</v>
          </cell>
          <cell r="O233" t="str">
            <v>Tahap I 208</v>
          </cell>
        </row>
        <row r="234">
          <cell r="F234" t="str">
            <v>Pasir</v>
          </cell>
          <cell r="G234" t="str">
            <v>Penyangga</v>
          </cell>
          <cell r="H234">
            <v>3985949254</v>
          </cell>
          <cell r="J234">
            <v>4.0999999999999996</v>
          </cell>
          <cell r="K234">
            <v>505</v>
          </cell>
          <cell r="L234">
            <v>-7.7666703000000004</v>
          </cell>
          <cell r="M234">
            <v>109.4371914</v>
          </cell>
          <cell r="N234" t="str">
            <v>Proses Kontrak (Pokja)</v>
          </cell>
          <cell r="O234" t="str">
            <v>Tahap I 208</v>
          </cell>
        </row>
        <row r="235">
          <cell r="F235" t="str">
            <v>Karangbolong</v>
          </cell>
          <cell r="G235" t="str">
            <v>Penyangga</v>
          </cell>
          <cell r="H235">
            <v>2314000000</v>
          </cell>
          <cell r="J235">
            <v>0.49</v>
          </cell>
          <cell r="K235">
            <v>62</v>
          </cell>
          <cell r="L235">
            <v>-7.7582040000000001</v>
          </cell>
          <cell r="M235">
            <v>109.46684</v>
          </cell>
          <cell r="N235">
            <v>0</v>
          </cell>
          <cell r="O235" t="str">
            <v>Tahap III 166</v>
          </cell>
        </row>
        <row r="236">
          <cell r="F236" t="str">
            <v>Campurejo</v>
          </cell>
          <cell r="G236" t="str">
            <v>Penyangga (+cs)</v>
          </cell>
          <cell r="H236">
            <v>3454266000</v>
          </cell>
          <cell r="K236">
            <v>1244</v>
          </cell>
          <cell r="L236">
            <v>-6.8855931750000003</v>
          </cell>
          <cell r="M236">
            <v>112.4581238</v>
          </cell>
          <cell r="N236">
            <v>0</v>
          </cell>
          <cell r="O236" t="str">
            <v>Tahap IV 200</v>
          </cell>
        </row>
        <row r="237">
          <cell r="F237" t="str">
            <v>Dalegan</v>
          </cell>
          <cell r="G237" t="str">
            <v>Penyangga</v>
          </cell>
          <cell r="H237">
            <v>3454266000</v>
          </cell>
          <cell r="J237">
            <v>0.5</v>
          </cell>
          <cell r="K237">
            <v>120</v>
          </cell>
          <cell r="L237">
            <v>-6.8923860000000001</v>
          </cell>
          <cell r="M237">
            <v>112.46832000000001</v>
          </cell>
          <cell r="N237">
            <v>0</v>
          </cell>
          <cell r="O237" t="str">
            <v>Tahap IV 200</v>
          </cell>
        </row>
        <row r="238">
          <cell r="F238" t="str">
            <v>Brondong</v>
          </cell>
          <cell r="G238" t="str">
            <v>Penyangga</v>
          </cell>
          <cell r="H238">
            <v>3454266000</v>
          </cell>
          <cell r="K238">
            <v>371</v>
          </cell>
          <cell r="L238">
            <v>-6.8815657000000003</v>
          </cell>
          <cell r="M238">
            <v>112.210587</v>
          </cell>
          <cell r="N238">
            <v>0</v>
          </cell>
          <cell r="O238" t="str">
            <v>Tahap IV 200</v>
          </cell>
        </row>
        <row r="239">
          <cell r="F239" t="str">
            <v>Kandangsemangkon</v>
          </cell>
          <cell r="G239" t="str">
            <v>Penyangga</v>
          </cell>
          <cell r="H239">
            <v>3454266000</v>
          </cell>
          <cell r="J239">
            <v>1</v>
          </cell>
          <cell r="K239">
            <v>293</v>
          </cell>
          <cell r="L239">
            <v>-6.867731</v>
          </cell>
          <cell r="M239">
            <v>112.319857</v>
          </cell>
          <cell r="N239">
            <v>0</v>
          </cell>
          <cell r="O239" t="str">
            <v>Tahap IV 200</v>
          </cell>
        </row>
        <row r="240">
          <cell r="F240" t="str">
            <v>Kemantren</v>
          </cell>
          <cell r="G240" t="str">
            <v>Hub</v>
          </cell>
          <cell r="H240">
            <v>7500000000</v>
          </cell>
          <cell r="J240">
            <v>4</v>
          </cell>
          <cell r="K240">
            <v>280</v>
          </cell>
          <cell r="L240">
            <v>-6.871829</v>
          </cell>
          <cell r="M240">
            <v>112.400211</v>
          </cell>
          <cell r="N240">
            <v>0</v>
          </cell>
          <cell r="O240" t="str">
            <v>Tahap IV 200</v>
          </cell>
        </row>
        <row r="241">
          <cell r="F241" t="str">
            <v>Kranji</v>
          </cell>
          <cell r="G241" t="str">
            <v>Penyangga</v>
          </cell>
          <cell r="H241">
            <v>3454266000</v>
          </cell>
          <cell r="K241">
            <v>242</v>
          </cell>
          <cell r="L241">
            <v>-6.8750537889999999</v>
          </cell>
          <cell r="M241">
            <v>112.3800317</v>
          </cell>
          <cell r="N241">
            <v>0</v>
          </cell>
          <cell r="O241" t="str">
            <v>Tahap IV 200</v>
          </cell>
        </row>
        <row r="242">
          <cell r="F242" t="str">
            <v>Warulor</v>
          </cell>
          <cell r="G242" t="str">
            <v>Penyangga</v>
          </cell>
          <cell r="H242">
            <v>3454266000</v>
          </cell>
          <cell r="J242">
            <v>1</v>
          </cell>
          <cell r="K242">
            <v>119</v>
          </cell>
          <cell r="L242">
            <v>-6.8819889999999999</v>
          </cell>
          <cell r="M242">
            <v>112.455102</v>
          </cell>
          <cell r="N242">
            <v>0</v>
          </cell>
          <cell r="O242" t="str">
            <v>Tahap IV 200</v>
          </cell>
        </row>
        <row r="243">
          <cell r="F243" t="str">
            <v>Tanggulangin</v>
          </cell>
          <cell r="G243" t="str">
            <v>Penyangga</v>
          </cell>
          <cell r="H243">
            <v>2687822000</v>
          </cell>
          <cell r="J243">
            <v>0.23</v>
          </cell>
          <cell r="K243">
            <v>122</v>
          </cell>
          <cell r="L243">
            <v>-7.7801489999999998</v>
          </cell>
          <cell r="M243">
            <v>109.622117</v>
          </cell>
          <cell r="N243" t="str">
            <v>Proses Kontrak (Pokja)</v>
          </cell>
          <cell r="O243" t="str">
            <v>Tahap I 208</v>
          </cell>
        </row>
        <row r="244">
          <cell r="F244" t="str">
            <v>Rowo</v>
          </cell>
          <cell r="G244" t="str">
            <v>Penyangga</v>
          </cell>
          <cell r="H244">
            <v>2314000000</v>
          </cell>
          <cell r="J244">
            <v>19472</v>
          </cell>
          <cell r="K244">
            <v>118</v>
          </cell>
          <cell r="L244">
            <v>-7.8060640000000001</v>
          </cell>
          <cell r="M244">
            <v>109.831788</v>
          </cell>
          <cell r="N244">
            <v>0</v>
          </cell>
          <cell r="O244" t="str">
            <v>Tahap III 166</v>
          </cell>
        </row>
        <row r="245">
          <cell r="F245" t="str">
            <v>Subaim</v>
          </cell>
          <cell r="G245" t="str">
            <v>Penyangga</v>
          </cell>
          <cell r="J245">
            <v>1.2</v>
          </cell>
          <cell r="K245">
            <v>272</v>
          </cell>
          <cell r="L245">
            <v>1.119653</v>
          </cell>
          <cell r="M245">
            <v>128.13931199999999</v>
          </cell>
          <cell r="N245">
            <v>0</v>
          </cell>
          <cell r="O245" t="e">
            <v>#N/A</v>
          </cell>
        </row>
        <row r="246">
          <cell r="F246" t="str">
            <v>Saramaake</v>
          </cell>
          <cell r="G246" t="str">
            <v>Penyangga</v>
          </cell>
          <cell r="J246">
            <v>0.56999999999999995</v>
          </cell>
          <cell r="K246">
            <v>252</v>
          </cell>
          <cell r="L246">
            <v>1.0529630000000001</v>
          </cell>
          <cell r="M246">
            <v>127.970224</v>
          </cell>
          <cell r="N246">
            <v>0</v>
          </cell>
          <cell r="O246" t="e">
            <v>#N/A</v>
          </cell>
        </row>
        <row r="247">
          <cell r="F247" t="str">
            <v>Kusu Lofra</v>
          </cell>
          <cell r="G247" t="str">
            <v>Hub</v>
          </cell>
          <cell r="J247">
            <v>1</v>
          </cell>
          <cell r="K247">
            <v>200</v>
          </cell>
          <cell r="L247">
            <v>1.1870038999999999</v>
          </cell>
          <cell r="M247">
            <v>127.9085552</v>
          </cell>
          <cell r="N247">
            <v>0</v>
          </cell>
          <cell r="O247" t="e">
            <v>#N/A</v>
          </cell>
        </row>
        <row r="248">
          <cell r="F248" t="str">
            <v>Bobale</v>
          </cell>
          <cell r="G248" t="str">
            <v>Penyangga</v>
          </cell>
          <cell r="J248">
            <v>1</v>
          </cell>
          <cell r="K248">
            <v>81</v>
          </cell>
          <cell r="L248">
            <v>1.2827037999999999</v>
          </cell>
          <cell r="M248">
            <v>128.01556629999999</v>
          </cell>
          <cell r="N248">
            <v>0</v>
          </cell>
          <cell r="O248" t="e">
            <v>#N/A</v>
          </cell>
        </row>
        <row r="249">
          <cell r="F249" t="str">
            <v>Dullah</v>
          </cell>
          <cell r="G249" t="str">
            <v>Penyangga</v>
          </cell>
          <cell r="K249">
            <v>30</v>
          </cell>
          <cell r="L249">
            <v>-5.6017099999999997</v>
          </cell>
          <cell r="M249">
            <v>132.7516</v>
          </cell>
          <cell r="N249">
            <v>0</v>
          </cell>
          <cell r="O249" t="e">
            <v>#N/A</v>
          </cell>
        </row>
        <row r="250">
          <cell r="F250" t="str">
            <v>Dullah Laut</v>
          </cell>
          <cell r="G250" t="str">
            <v>Penyangga</v>
          </cell>
          <cell r="J250">
            <v>0.1</v>
          </cell>
          <cell r="K250">
            <v>137</v>
          </cell>
          <cell r="L250">
            <v>-5.5371860000000002</v>
          </cell>
          <cell r="M250">
            <v>132.748625</v>
          </cell>
          <cell r="N250">
            <v>0</v>
          </cell>
          <cell r="O250" t="e">
            <v>#N/A</v>
          </cell>
        </row>
        <row r="251">
          <cell r="F251" t="str">
            <v>Tam Ngurhir</v>
          </cell>
          <cell r="G251" t="str">
            <v>Penyangga (+cs)</v>
          </cell>
          <cell r="J251">
            <v>0.5</v>
          </cell>
          <cell r="K251">
            <v>405</v>
          </cell>
          <cell r="L251">
            <v>-5.7237780000000003</v>
          </cell>
          <cell r="M251">
            <v>132.19676100000001</v>
          </cell>
          <cell r="N251">
            <v>0</v>
          </cell>
          <cell r="O251" t="e">
            <v>#N/A</v>
          </cell>
        </row>
        <row r="252">
          <cell r="F252" t="str">
            <v>Dudunwahan</v>
          </cell>
          <cell r="G252" t="str">
            <v>Penyangga</v>
          </cell>
          <cell r="J252">
            <v>1</v>
          </cell>
          <cell r="K252">
            <v>252</v>
          </cell>
          <cell r="L252">
            <v>-5.6095860000000002</v>
          </cell>
          <cell r="M252">
            <v>132.682492</v>
          </cell>
          <cell r="N252">
            <v>0</v>
          </cell>
          <cell r="O252" t="e">
            <v>#N/A</v>
          </cell>
        </row>
        <row r="253">
          <cell r="F253" t="str">
            <v>Sare</v>
          </cell>
          <cell r="G253" t="str">
            <v>Penyangga</v>
          </cell>
          <cell r="J253">
            <v>1</v>
          </cell>
          <cell r="K253">
            <v>220</v>
          </cell>
          <cell r="L253">
            <v>-5.9495934999999998</v>
          </cell>
          <cell r="M253">
            <v>132.74176320000001</v>
          </cell>
          <cell r="N253">
            <v>0</v>
          </cell>
          <cell r="O253" t="e">
            <v>#N/A</v>
          </cell>
        </row>
        <row r="254">
          <cell r="F254" t="str">
            <v>Tete B</v>
          </cell>
          <cell r="G254" t="str">
            <v>Penyangga</v>
          </cell>
          <cell r="H254">
            <v>4500000000</v>
          </cell>
          <cell r="J254">
            <v>0.67</v>
          </cell>
          <cell r="K254">
            <v>270</v>
          </cell>
          <cell r="L254">
            <v>-0.87819440000000004</v>
          </cell>
          <cell r="M254">
            <v>121.6618366</v>
          </cell>
          <cell r="N254">
            <v>0</v>
          </cell>
          <cell r="O254" t="str">
            <v>Tahap III 166</v>
          </cell>
        </row>
        <row r="255">
          <cell r="F255" t="str">
            <v>Podi</v>
          </cell>
          <cell r="G255" t="str">
            <v>Penyangga</v>
          </cell>
          <cell r="H255">
            <v>4500000000</v>
          </cell>
          <cell r="J255">
            <v>0.55000000000000004</v>
          </cell>
          <cell r="K255">
            <v>290</v>
          </cell>
          <cell r="L255">
            <v>-1.0841288</v>
          </cell>
          <cell r="M255">
            <v>121.3238915</v>
          </cell>
          <cell r="N255">
            <v>0</v>
          </cell>
          <cell r="O255" t="str">
            <v>Tahap I 208</v>
          </cell>
        </row>
        <row r="256">
          <cell r="F256" t="str">
            <v>Dalinsaheng</v>
          </cell>
          <cell r="G256" t="str">
            <v>Penyangga</v>
          </cell>
          <cell r="H256">
            <v>7943563000</v>
          </cell>
          <cell r="J256">
            <v>1.2</v>
          </cell>
          <cell r="K256">
            <v>227</v>
          </cell>
          <cell r="L256">
            <v>2.1164781000000001</v>
          </cell>
          <cell r="M256">
            <v>125.3849811</v>
          </cell>
          <cell r="O256" t="e">
            <v>#N/A</v>
          </cell>
        </row>
        <row r="257">
          <cell r="F257" t="str">
            <v>Lamanggo</v>
          </cell>
          <cell r="G257" t="str">
            <v>Hub</v>
          </cell>
          <cell r="J257">
            <v>1</v>
          </cell>
          <cell r="K257">
            <v>167</v>
          </cell>
          <cell r="L257">
            <v>2.1204719000000001</v>
          </cell>
          <cell r="M257">
            <v>125.3755709</v>
          </cell>
          <cell r="O257" t="e">
            <v>#N/A</v>
          </cell>
        </row>
        <row r="258">
          <cell r="F258" t="str">
            <v>Bandil</v>
          </cell>
          <cell r="G258" t="str">
            <v>Penyangga</v>
          </cell>
          <cell r="H258">
            <v>6747798000</v>
          </cell>
          <cell r="J258">
            <v>0.6</v>
          </cell>
          <cell r="K258">
            <v>153</v>
          </cell>
          <cell r="L258">
            <v>2.6824721999999999</v>
          </cell>
          <cell r="M258">
            <v>125.3922778</v>
          </cell>
          <cell r="O258" t="e">
            <v>#N/A</v>
          </cell>
        </row>
        <row r="259">
          <cell r="F259" t="str">
            <v>Olimoo'O</v>
          </cell>
          <cell r="G259" t="str">
            <v>Penyangga</v>
          </cell>
          <cell r="H259">
            <v>4190608000</v>
          </cell>
          <cell r="J259">
            <v>0.02</v>
          </cell>
          <cell r="K259">
            <v>80</v>
          </cell>
          <cell r="L259">
            <v>0.48735820000000002</v>
          </cell>
          <cell r="M259">
            <v>122.8865622</v>
          </cell>
          <cell r="N259">
            <v>0</v>
          </cell>
          <cell r="O259" t="str">
            <v>Tahap I 208</v>
          </cell>
        </row>
        <row r="260">
          <cell r="F260" t="str">
            <v>Taula'a</v>
          </cell>
          <cell r="G260" t="str">
            <v>Penyangga</v>
          </cell>
          <cell r="H260">
            <v>4780636000</v>
          </cell>
          <cell r="J260">
            <v>0.64</v>
          </cell>
          <cell r="K260">
            <v>136</v>
          </cell>
          <cell r="L260">
            <v>0.50622750000000005</v>
          </cell>
          <cell r="M260">
            <v>122.68179720000001</v>
          </cell>
          <cell r="N260">
            <v>0</v>
          </cell>
          <cell r="O260" t="str">
            <v>Tahap IV 200</v>
          </cell>
        </row>
        <row r="261">
          <cell r="F261" t="str">
            <v>Biluhu Barat</v>
          </cell>
          <cell r="G261" t="str">
            <v>Penyangga</v>
          </cell>
          <cell r="H261">
            <v>4500000000</v>
          </cell>
          <cell r="J261">
            <v>0.88</v>
          </cell>
          <cell r="K261">
            <v>75</v>
          </cell>
          <cell r="L261">
            <v>0.48365859999999999</v>
          </cell>
          <cell r="M261">
            <v>122.7482074</v>
          </cell>
          <cell r="N261">
            <v>0</v>
          </cell>
          <cell r="O261" t="str">
            <v>Tahap I 208</v>
          </cell>
        </row>
        <row r="262">
          <cell r="F262" t="str">
            <v>Biluhu Tengah</v>
          </cell>
          <cell r="G262" t="str">
            <v>Penyangga</v>
          </cell>
          <cell r="H262">
            <v>4500000000</v>
          </cell>
          <cell r="J262" t="str">
            <v>Belum ada</v>
          </cell>
          <cell r="K262">
            <v>113</v>
          </cell>
          <cell r="L262">
            <v>0.49269499999999999</v>
          </cell>
          <cell r="M262">
            <v>122.8504241</v>
          </cell>
          <cell r="N262">
            <v>0</v>
          </cell>
          <cell r="O262" t="str">
            <v>Tahap I 208</v>
          </cell>
        </row>
        <row r="263">
          <cell r="F263" t="str">
            <v>Botubolu'O</v>
          </cell>
          <cell r="G263" t="str">
            <v>Penyangga</v>
          </cell>
          <cell r="H263">
            <v>8042045000</v>
          </cell>
          <cell r="J263">
            <v>0.56000000000000005</v>
          </cell>
          <cell r="K263">
            <v>131</v>
          </cell>
          <cell r="L263">
            <v>0.49349100000000001</v>
          </cell>
          <cell r="M263">
            <v>122.821167</v>
          </cell>
          <cell r="N263">
            <v>0</v>
          </cell>
          <cell r="O263" t="str">
            <v>Tahap I 208</v>
          </cell>
        </row>
        <row r="264">
          <cell r="F264" t="str">
            <v>Huwongo</v>
          </cell>
          <cell r="G264" t="str">
            <v>Penyangga</v>
          </cell>
          <cell r="H264">
            <v>4500000000</v>
          </cell>
          <cell r="J264">
            <v>0.1</v>
          </cell>
          <cell r="K264">
            <v>106</v>
          </cell>
          <cell r="L264">
            <v>0.4851105</v>
          </cell>
          <cell r="M264">
            <v>122.72381179999999</v>
          </cell>
          <cell r="N264">
            <v>0</v>
          </cell>
          <cell r="O264" t="str">
            <v>Tahap III 166</v>
          </cell>
        </row>
        <row r="265">
          <cell r="F265" t="str">
            <v>Lobuto</v>
          </cell>
          <cell r="G265" t="str">
            <v>Penyangga</v>
          </cell>
          <cell r="H265">
            <v>4500000000</v>
          </cell>
          <cell r="J265">
            <v>0.08</v>
          </cell>
          <cell r="K265">
            <v>122</v>
          </cell>
          <cell r="L265">
            <v>0.4906721</v>
          </cell>
          <cell r="M265">
            <v>122.77909289999999</v>
          </cell>
          <cell r="N265">
            <v>0</v>
          </cell>
          <cell r="O265" t="str">
            <v>Tahap I 208</v>
          </cell>
        </row>
        <row r="266">
          <cell r="F266" t="str">
            <v>Olimeyala</v>
          </cell>
          <cell r="G266" t="str">
            <v>Penyangga</v>
          </cell>
          <cell r="H266">
            <v>4500000000</v>
          </cell>
          <cell r="J266">
            <v>0.2</v>
          </cell>
          <cell r="K266">
            <v>60</v>
          </cell>
          <cell r="L266">
            <v>0.48197849999999998</v>
          </cell>
          <cell r="M266">
            <v>122.7003711</v>
          </cell>
          <cell r="N266">
            <v>0</v>
          </cell>
          <cell r="O266" t="str">
            <v>Tahap III 166</v>
          </cell>
        </row>
        <row r="267">
          <cell r="F267" t="str">
            <v>Karangrejo</v>
          </cell>
          <cell r="G267" t="str">
            <v>Penyangga</v>
          </cell>
          <cell r="H267">
            <v>3454266000</v>
          </cell>
          <cell r="J267">
            <v>6.56</v>
          </cell>
          <cell r="K267">
            <v>224</v>
          </cell>
          <cell r="L267">
            <v>-8.2298954999999996</v>
          </cell>
          <cell r="M267">
            <v>114.3898468</v>
          </cell>
          <cell r="N267">
            <v>0</v>
          </cell>
          <cell r="O267" t="str">
            <v>Tahap IV 200</v>
          </cell>
        </row>
        <row r="268">
          <cell r="F268" t="str">
            <v>Kedungrejo</v>
          </cell>
          <cell r="G268" t="str">
            <v>Penyangga (+cs)</v>
          </cell>
          <cell r="H268">
            <v>2551998000</v>
          </cell>
          <cell r="J268">
            <v>0.5</v>
          </cell>
          <cell r="K268">
            <v>9000</v>
          </cell>
          <cell r="L268">
            <v>-8.4324650000000005</v>
          </cell>
          <cell r="M268">
            <v>114.341084</v>
          </cell>
          <cell r="N268">
            <v>0</v>
          </cell>
          <cell r="O268" t="str">
            <v>Tahap I 208</v>
          </cell>
        </row>
        <row r="269">
          <cell r="F269" t="str">
            <v>Leleoto</v>
          </cell>
          <cell r="G269" t="str">
            <v>Penyangga</v>
          </cell>
          <cell r="J269">
            <v>0.14000000000000001</v>
          </cell>
          <cell r="K269">
            <v>66</v>
          </cell>
          <cell r="L269">
            <v>1.596854</v>
          </cell>
          <cell r="M269">
            <v>128.001386</v>
          </cell>
          <cell r="N269">
            <v>0</v>
          </cell>
          <cell r="O269" t="e">
            <v>#N/A</v>
          </cell>
        </row>
        <row r="270">
          <cell r="F270" t="str">
            <v>Tolonuo</v>
          </cell>
          <cell r="G270" t="str">
            <v>Penyangga</v>
          </cell>
          <cell r="J270">
            <v>0.15</v>
          </cell>
          <cell r="K270">
            <v>65</v>
          </cell>
          <cell r="L270">
            <v>1.773611</v>
          </cell>
          <cell r="M270">
            <v>128.007778</v>
          </cell>
          <cell r="N270">
            <v>0</v>
          </cell>
          <cell r="O270" t="e">
            <v>#N/A</v>
          </cell>
        </row>
        <row r="271">
          <cell r="F271" t="str">
            <v>Takkalasi</v>
          </cell>
          <cell r="G271" t="str">
            <v>Penyangga</v>
          </cell>
          <cell r="H271">
            <v>5692343000</v>
          </cell>
          <cell r="J271">
            <v>0.2</v>
          </cell>
          <cell r="K271">
            <v>89</v>
          </cell>
          <cell r="L271">
            <v>-4.316376</v>
          </cell>
          <cell r="M271">
            <v>119.635679</v>
          </cell>
          <cell r="N271" t="str">
            <v>Proses Kontrak (Pokja)</v>
          </cell>
          <cell r="O271" t="str">
            <v>Tahap I 208</v>
          </cell>
        </row>
        <row r="272">
          <cell r="F272" t="str">
            <v>Kupa</v>
          </cell>
          <cell r="G272" t="str">
            <v>Penyangga</v>
          </cell>
          <cell r="H272">
            <v>7855274000</v>
          </cell>
          <cell r="J272">
            <v>0.5</v>
          </cell>
          <cell r="K272">
            <v>200</v>
          </cell>
          <cell r="L272">
            <v>-4.1067929999999997</v>
          </cell>
          <cell r="M272">
            <v>119.61255</v>
          </cell>
          <cell r="N272" t="str">
            <v>Proses Kontrak (Pokja)</v>
          </cell>
          <cell r="O272" t="str">
            <v>Tahap I 208</v>
          </cell>
        </row>
        <row r="273">
          <cell r="F273" t="str">
            <v>Siddo</v>
          </cell>
          <cell r="G273" t="str">
            <v>Penyangga</v>
          </cell>
          <cell r="H273">
            <v>4805899000</v>
          </cell>
          <cell r="J273">
            <v>0.5</v>
          </cell>
          <cell r="K273">
            <v>61</v>
          </cell>
          <cell r="L273">
            <v>-4.2360139999999999</v>
          </cell>
          <cell r="M273">
            <v>119.625286</v>
          </cell>
          <cell r="N273">
            <v>0</v>
          </cell>
          <cell r="O273" t="str">
            <v>Tahap III 166</v>
          </cell>
        </row>
        <row r="274">
          <cell r="F274" t="str">
            <v>Lumpue</v>
          </cell>
          <cell r="G274" t="str">
            <v>Penyangga</v>
          </cell>
          <cell r="H274">
            <v>5059580000</v>
          </cell>
          <cell r="J274">
            <v>1.29</v>
          </cell>
          <cell r="K274">
            <v>251</v>
          </cell>
          <cell r="L274">
            <v>-4.0513279999999998</v>
          </cell>
          <cell r="M274">
            <v>119.617237</v>
          </cell>
          <cell r="N274" t="str">
            <v>Proses Kontrak (Pokja)</v>
          </cell>
          <cell r="O274" t="str">
            <v>Tahap I 208</v>
          </cell>
        </row>
        <row r="275">
          <cell r="F275" t="str">
            <v>Watang Soreang</v>
          </cell>
          <cell r="G275" t="str">
            <v>Penyangga</v>
          </cell>
          <cell r="H275">
            <v>4943751000</v>
          </cell>
          <cell r="J275">
            <v>0.54</v>
          </cell>
          <cell r="K275">
            <v>170</v>
          </cell>
          <cell r="L275">
            <v>-3.9915699999999998</v>
          </cell>
          <cell r="M275">
            <v>119.633312</v>
          </cell>
          <cell r="N275" t="str">
            <v>Proses Kontrak (Pokja)</v>
          </cell>
          <cell r="O275" t="str">
            <v>Tahap I 208</v>
          </cell>
        </row>
        <row r="276">
          <cell r="F276" t="str">
            <v>Waetuoe</v>
          </cell>
          <cell r="G276" t="str">
            <v>Penyangga</v>
          </cell>
          <cell r="H276">
            <v>4812238000</v>
          </cell>
          <cell r="J276">
            <v>0.3</v>
          </cell>
          <cell r="K276">
            <v>321</v>
          </cell>
          <cell r="L276">
            <v>-3.9009670000000001</v>
          </cell>
          <cell r="M276">
            <v>119.53828300000001</v>
          </cell>
          <cell r="N276">
            <v>0</v>
          </cell>
          <cell r="O276" t="str">
            <v>Tahap III 166</v>
          </cell>
        </row>
        <row r="277">
          <cell r="F277" t="str">
            <v>Lero</v>
          </cell>
          <cell r="G277" t="str">
            <v>Hub</v>
          </cell>
          <cell r="H277">
            <v>8408205000</v>
          </cell>
          <cell r="J277">
            <v>1.07</v>
          </cell>
          <cell r="K277">
            <v>1.2050000000000001</v>
          </cell>
          <cell r="L277">
            <v>-4.0440199999999997</v>
          </cell>
          <cell r="M277">
            <v>119.59542399999999</v>
          </cell>
          <cell r="N277">
            <v>0</v>
          </cell>
          <cell r="O277" t="str">
            <v>Tahap I 208</v>
          </cell>
        </row>
        <row r="278">
          <cell r="F278" t="str">
            <v>Tasiwalie</v>
          </cell>
          <cell r="G278" t="str">
            <v>Penyangga</v>
          </cell>
          <cell r="H278">
            <v>4054891000</v>
          </cell>
          <cell r="J278">
            <v>0.17</v>
          </cell>
          <cell r="K278">
            <v>546</v>
          </cell>
          <cell r="L278">
            <v>-3.9559579999999999</v>
          </cell>
          <cell r="M278">
            <v>119.572881</v>
          </cell>
          <cell r="N278">
            <v>0</v>
          </cell>
          <cell r="O278" t="str">
            <v>Tahap III 166</v>
          </cell>
        </row>
        <row r="279">
          <cell r="F279" t="str">
            <v>Bulutui</v>
          </cell>
          <cell r="G279" t="str">
            <v>Penyangga</v>
          </cell>
          <cell r="H279">
            <v>4977188000</v>
          </cell>
          <cell r="J279">
            <v>0.5</v>
          </cell>
          <cell r="K279">
            <v>201</v>
          </cell>
          <cell r="L279">
            <v>1.7017</v>
          </cell>
          <cell r="M279">
            <v>125.0137</v>
          </cell>
          <cell r="O279" t="e">
            <v>#N/A</v>
          </cell>
        </row>
        <row r="280">
          <cell r="F280" t="str">
            <v>Kahuhu</v>
          </cell>
          <cell r="G280" t="str">
            <v>Penyangga</v>
          </cell>
          <cell r="H280">
            <v>4500000000</v>
          </cell>
          <cell r="J280">
            <v>0.1</v>
          </cell>
          <cell r="K280">
            <v>95</v>
          </cell>
          <cell r="L280">
            <v>1.8004</v>
          </cell>
          <cell r="M280">
            <v>125.12</v>
          </cell>
          <cell r="O280" t="e">
            <v>#N/A</v>
          </cell>
        </row>
        <row r="281">
          <cell r="F281" t="str">
            <v>Likupang Kampung Ambong</v>
          </cell>
          <cell r="G281" t="str">
            <v>Hub</v>
          </cell>
          <cell r="J281">
            <v>1</v>
          </cell>
          <cell r="K281">
            <v>300</v>
          </cell>
          <cell r="L281">
            <v>1.6720999999999999</v>
          </cell>
          <cell r="M281">
            <v>125.0656</v>
          </cell>
          <cell r="O281" t="e">
            <v>#N/A</v>
          </cell>
        </row>
        <row r="282">
          <cell r="F282" t="str">
            <v>Minaesa</v>
          </cell>
          <cell r="G282" t="str">
            <v>Penyangga</v>
          </cell>
          <cell r="H282">
            <v>4500000000</v>
          </cell>
          <cell r="J282">
            <v>0.17</v>
          </cell>
          <cell r="K282">
            <v>109</v>
          </cell>
          <cell r="L282">
            <v>1.6168</v>
          </cell>
          <cell r="M282">
            <v>124.8711</v>
          </cell>
          <cell r="O282" t="e">
            <v>#N/A</v>
          </cell>
        </row>
        <row r="283">
          <cell r="F283" t="str">
            <v>Gangga II</v>
          </cell>
          <cell r="G283" t="str">
            <v>Penyangga</v>
          </cell>
          <cell r="H283">
            <v>4738593000</v>
          </cell>
          <cell r="J283">
            <v>0.06</v>
          </cell>
          <cell r="K283">
            <v>270</v>
          </cell>
          <cell r="L283">
            <v>1.7839</v>
          </cell>
          <cell r="M283">
            <v>125.05459999999999</v>
          </cell>
          <cell r="O283" t="e">
            <v>#N/A</v>
          </cell>
        </row>
        <row r="284">
          <cell r="F284" t="str">
            <v>Limbo</v>
          </cell>
          <cell r="G284" t="str">
            <v>Hub</v>
          </cell>
          <cell r="J284">
            <v>0.5</v>
          </cell>
          <cell r="K284">
            <v>522</v>
          </cell>
          <cell r="L284">
            <v>-1.7920029</v>
          </cell>
          <cell r="M284">
            <v>124.314446</v>
          </cell>
          <cell r="N284">
            <v>0</v>
          </cell>
          <cell r="O284" t="e">
            <v>#N/A</v>
          </cell>
        </row>
        <row r="285">
          <cell r="F285" t="str">
            <v>Talo</v>
          </cell>
          <cell r="G285" t="str">
            <v>Penyangga</v>
          </cell>
          <cell r="J285">
            <v>3</v>
          </cell>
          <cell r="K285">
            <v>677</v>
          </cell>
          <cell r="L285">
            <v>-2.0054599999999998</v>
          </cell>
          <cell r="M285">
            <v>124.39619999999999</v>
          </cell>
          <cell r="N285">
            <v>0</v>
          </cell>
          <cell r="O285" t="e">
            <v>#N/A</v>
          </cell>
        </row>
        <row r="286">
          <cell r="F286" t="str">
            <v>Wayo</v>
          </cell>
          <cell r="G286" t="str">
            <v>Penyangga</v>
          </cell>
          <cell r="J286">
            <v>2</v>
          </cell>
          <cell r="K286">
            <v>223</v>
          </cell>
          <cell r="L286">
            <v>-1.9887999999999999</v>
          </cell>
          <cell r="M286">
            <v>124.39700000000001</v>
          </cell>
          <cell r="N286">
            <v>0</v>
          </cell>
          <cell r="O286" t="e">
            <v>#N/A</v>
          </cell>
        </row>
        <row r="287">
          <cell r="F287" t="str">
            <v>Kasango</v>
          </cell>
          <cell r="G287" t="str">
            <v>Penyangga</v>
          </cell>
          <cell r="J287">
            <v>3</v>
          </cell>
          <cell r="K287">
            <v>150</v>
          </cell>
          <cell r="L287">
            <v>-1.8703097</v>
          </cell>
          <cell r="M287">
            <v>124.3411188</v>
          </cell>
          <cell r="N287">
            <v>0</v>
          </cell>
          <cell r="O287" t="e">
            <v>#N/A</v>
          </cell>
        </row>
        <row r="288">
          <cell r="F288" t="str">
            <v>Galebo</v>
          </cell>
          <cell r="G288" t="str">
            <v>Penyangga</v>
          </cell>
          <cell r="J288">
            <v>1.5</v>
          </cell>
          <cell r="K288">
            <v>300</v>
          </cell>
          <cell r="L288">
            <v>-1.9658100000000001</v>
          </cell>
          <cell r="M288">
            <v>124.691337</v>
          </cell>
          <cell r="N288">
            <v>0</v>
          </cell>
          <cell r="O288" t="e">
            <v>#N/A</v>
          </cell>
        </row>
        <row r="289">
          <cell r="F289" t="str">
            <v>Jorjoga</v>
          </cell>
          <cell r="G289" t="str">
            <v>Penyangga</v>
          </cell>
          <cell r="J289">
            <v>1</v>
          </cell>
          <cell r="K289">
            <v>98</v>
          </cell>
          <cell r="L289">
            <v>-1.6792937999999999</v>
          </cell>
          <cell r="M289">
            <v>124.80784509999999</v>
          </cell>
          <cell r="N289">
            <v>0</v>
          </cell>
          <cell r="O289" t="e">
            <v>#N/A</v>
          </cell>
        </row>
        <row r="290">
          <cell r="F290" t="str">
            <v>Nunu</v>
          </cell>
          <cell r="G290" t="str">
            <v>Penyangga</v>
          </cell>
          <cell r="J290">
            <v>4.6100000000000003</v>
          </cell>
          <cell r="K290">
            <v>210</v>
          </cell>
          <cell r="L290">
            <v>-1.662326</v>
          </cell>
          <cell r="M290">
            <v>124.52247199999999</v>
          </cell>
          <cell r="N290">
            <v>0</v>
          </cell>
          <cell r="O290" t="e">
            <v>#N/A</v>
          </cell>
        </row>
        <row r="291">
          <cell r="F291" t="str">
            <v>Kabalukin</v>
          </cell>
          <cell r="G291" t="str">
            <v>Penyangga</v>
          </cell>
          <cell r="J291">
            <v>0.66</v>
          </cell>
          <cell r="K291">
            <v>138</v>
          </cell>
          <cell r="L291">
            <v>-6.508966</v>
          </cell>
          <cell r="M291">
            <v>134.09922</v>
          </cell>
          <cell r="N291">
            <v>0</v>
          </cell>
          <cell r="O291" t="e">
            <v>#N/A</v>
          </cell>
        </row>
        <row r="292">
          <cell r="F292" t="str">
            <v>Samang</v>
          </cell>
          <cell r="G292" t="str">
            <v>Penyangga</v>
          </cell>
          <cell r="J292">
            <v>0.06</v>
          </cell>
          <cell r="K292">
            <v>111</v>
          </cell>
          <cell r="L292">
            <v>-5.6637729999999999</v>
          </cell>
          <cell r="M292">
            <v>134.25150500000001</v>
          </cell>
          <cell r="N292">
            <v>0</v>
          </cell>
          <cell r="O292" t="e">
            <v>#N/A</v>
          </cell>
        </row>
        <row r="293">
          <cell r="F293" t="str">
            <v>Margagiri</v>
          </cell>
          <cell r="G293" t="str">
            <v>Penyangga</v>
          </cell>
          <cell r="H293">
            <v>3569000000</v>
          </cell>
          <cell r="J293">
            <v>1.04</v>
          </cell>
          <cell r="K293">
            <v>113</v>
          </cell>
          <cell r="L293">
            <v>-5.9645299999999999</v>
          </cell>
          <cell r="M293">
            <v>106.10536999999999</v>
          </cell>
          <cell r="N293">
            <v>0</v>
          </cell>
          <cell r="O293" t="str">
            <v>Tahap IV 200</v>
          </cell>
        </row>
        <row r="294">
          <cell r="F294" t="str">
            <v>Lontar</v>
          </cell>
          <cell r="G294" t="str">
            <v>Hub</v>
          </cell>
          <cell r="H294">
            <v>3043921000</v>
          </cell>
          <cell r="J294">
            <v>0.4</v>
          </cell>
          <cell r="K294">
            <v>607</v>
          </cell>
          <cell r="L294">
            <v>-5.9680590000000002</v>
          </cell>
          <cell r="M294">
            <v>106.303589</v>
          </cell>
          <cell r="N294">
            <v>0</v>
          </cell>
          <cell r="O294" t="str">
            <v>Tahap I 208</v>
          </cell>
        </row>
        <row r="295">
          <cell r="F295" t="str">
            <v>Tengkurak</v>
          </cell>
          <cell r="G295" t="str">
            <v>Penyangga</v>
          </cell>
          <cell r="H295">
            <v>3682852000</v>
          </cell>
          <cell r="J295">
            <v>1</v>
          </cell>
          <cell r="K295">
            <v>650</v>
          </cell>
          <cell r="L295">
            <v>-5.9977777999999997</v>
          </cell>
          <cell r="M295">
            <v>106.3480556</v>
          </cell>
          <cell r="N295">
            <v>0</v>
          </cell>
          <cell r="O295" t="str">
            <v>Tahap I 208</v>
          </cell>
        </row>
        <row r="296">
          <cell r="F296" t="str">
            <v>Lontar</v>
          </cell>
          <cell r="G296" t="str">
            <v>Penyangga</v>
          </cell>
          <cell r="H296">
            <v>3111273000</v>
          </cell>
          <cell r="J296">
            <v>1</v>
          </cell>
          <cell r="K296">
            <v>500</v>
          </cell>
          <cell r="L296">
            <v>-6.0611940000000004</v>
          </cell>
          <cell r="M296">
            <v>106.44974999999999</v>
          </cell>
          <cell r="N296">
            <v>0</v>
          </cell>
          <cell r="O296" t="str">
            <v>Tahap I 208</v>
          </cell>
        </row>
        <row r="297">
          <cell r="F297" t="str">
            <v>Ketapang</v>
          </cell>
          <cell r="G297" t="str">
            <v>Penyangga</v>
          </cell>
          <cell r="H297">
            <v>1664437000</v>
          </cell>
          <cell r="J297">
            <v>0.38</v>
          </cell>
          <cell r="K297">
            <v>580</v>
          </cell>
          <cell r="L297">
            <v>-6.0386632000000002</v>
          </cell>
          <cell r="M297">
            <v>106.51037839999999</v>
          </cell>
          <cell r="N297">
            <v>0</v>
          </cell>
          <cell r="O297" t="str">
            <v>Tahap III 166</v>
          </cell>
        </row>
        <row r="298">
          <cell r="F298" t="str">
            <v>Tanjung Anom</v>
          </cell>
          <cell r="G298" t="str">
            <v>Penyangga</v>
          </cell>
          <cell r="H298">
            <v>2367488000</v>
          </cell>
          <cell r="J298">
            <v>0.27</v>
          </cell>
          <cell r="K298">
            <v>585</v>
          </cell>
          <cell r="L298">
            <v>-6.0143162999999999</v>
          </cell>
          <cell r="M298">
            <v>106.5392119</v>
          </cell>
          <cell r="N298">
            <v>0</v>
          </cell>
          <cell r="O298" t="str">
            <v>Tahap I 208</v>
          </cell>
        </row>
        <row r="299">
          <cell r="F299" t="str">
            <v>Tomalou</v>
          </cell>
          <cell r="G299" t="str">
            <v>Penyangga</v>
          </cell>
          <cell r="J299">
            <v>0.65</v>
          </cell>
          <cell r="K299">
            <v>1002</v>
          </cell>
          <cell r="L299">
            <v>0.62353000000000003</v>
          </cell>
          <cell r="M299">
            <v>127.398782</v>
          </cell>
          <cell r="N299">
            <v>0</v>
          </cell>
          <cell r="O299" t="e">
            <v>#N/A</v>
          </cell>
        </row>
        <row r="300">
          <cell r="F300" t="str">
            <v>Besi</v>
          </cell>
          <cell r="G300" t="str">
            <v>Penyangga</v>
          </cell>
          <cell r="J300">
            <v>0.84</v>
          </cell>
          <cell r="K300">
            <v>205</v>
          </cell>
          <cell r="L300">
            <v>-2.9399600000000001</v>
          </cell>
          <cell r="M300">
            <v>129.21312900000001</v>
          </cell>
          <cell r="N300">
            <v>0</v>
          </cell>
          <cell r="O300" t="e">
            <v>#N/A</v>
          </cell>
        </row>
        <row r="301">
          <cell r="F301" t="str">
            <v>Malaku</v>
          </cell>
          <cell r="G301" t="str">
            <v>Hub</v>
          </cell>
          <cell r="J301">
            <v>1.5</v>
          </cell>
          <cell r="K301">
            <v>211</v>
          </cell>
          <cell r="L301">
            <v>-2.7915000000000001</v>
          </cell>
          <cell r="M301">
            <v>129.41829999999999</v>
          </cell>
          <cell r="N301">
            <v>0</v>
          </cell>
          <cell r="O301" t="e">
            <v>#N/A</v>
          </cell>
        </row>
        <row r="302">
          <cell r="F302" t="str">
            <v>Olong</v>
          </cell>
          <cell r="G302" t="str">
            <v>Penyangga</v>
          </cell>
          <cell r="J302">
            <v>0.25</v>
          </cell>
          <cell r="K302">
            <v>160</v>
          </cell>
          <cell r="L302">
            <v>-2.9420829999999998</v>
          </cell>
          <cell r="M302">
            <v>129.182222</v>
          </cell>
          <cell r="N302">
            <v>0</v>
          </cell>
          <cell r="O302" t="e">
            <v>#N/A</v>
          </cell>
        </row>
        <row r="303">
          <cell r="F303" t="str">
            <v>Labuan</v>
          </cell>
          <cell r="G303" t="str">
            <v>Penyangga</v>
          </cell>
          <cell r="J303">
            <v>0.53</v>
          </cell>
          <cell r="K303">
            <v>60</v>
          </cell>
          <cell r="L303">
            <v>-2.7960755000000002</v>
          </cell>
          <cell r="M303">
            <v>129.0378943</v>
          </cell>
          <cell r="N303">
            <v>0</v>
          </cell>
          <cell r="O303" t="e">
            <v>#N/A</v>
          </cell>
        </row>
        <row r="304">
          <cell r="F304" t="str">
            <v>Lanosangia</v>
          </cell>
          <cell r="G304" t="str">
            <v>Hub</v>
          </cell>
          <cell r="H304">
            <v>7647714000</v>
          </cell>
          <cell r="J304">
            <v>1.08</v>
          </cell>
          <cell r="K304">
            <v>156</v>
          </cell>
          <cell r="L304">
            <v>-4.5301239999999998</v>
          </cell>
          <cell r="M304">
            <v>123.158023</v>
          </cell>
          <cell r="N304" t="str">
            <v>Proses Kontrak (Pokja)</v>
          </cell>
          <cell r="O304" t="str">
            <v>Tahap I 208</v>
          </cell>
        </row>
        <row r="305">
          <cell r="F305" t="str">
            <v>Lasalimu</v>
          </cell>
          <cell r="G305" t="str">
            <v>Penyangga</v>
          </cell>
          <cell r="H305">
            <v>5005536000</v>
          </cell>
          <cell r="J305">
            <v>1</v>
          </cell>
          <cell r="K305">
            <v>261</v>
          </cell>
          <cell r="L305">
            <v>-5.2486459999999999</v>
          </cell>
          <cell r="M305">
            <v>123.164421</v>
          </cell>
          <cell r="N305">
            <v>0</v>
          </cell>
          <cell r="O305" t="str">
            <v>Tahap I 208</v>
          </cell>
        </row>
        <row r="306">
          <cell r="F306" t="str">
            <v>Manuru</v>
          </cell>
          <cell r="G306" t="str">
            <v>Hub</v>
          </cell>
          <cell r="H306">
            <v>8382783000</v>
          </cell>
          <cell r="J306">
            <v>1.1000000000000001</v>
          </cell>
          <cell r="K306">
            <v>200</v>
          </cell>
          <cell r="L306">
            <v>-5.4262082999999999</v>
          </cell>
          <cell r="M306">
            <v>123.0509417</v>
          </cell>
          <cell r="N306" t="str">
            <v>Proses Kontrak (Pokja)</v>
          </cell>
          <cell r="O306" t="str">
            <v>Tahap I 208</v>
          </cell>
        </row>
        <row r="307">
          <cell r="F307" t="str">
            <v>Muara Bone</v>
          </cell>
          <cell r="G307" t="str">
            <v>Penyangga</v>
          </cell>
          <cell r="H307">
            <v>5300969000</v>
          </cell>
          <cell r="J307">
            <v>0.56999999999999995</v>
          </cell>
          <cell r="K307">
            <v>15</v>
          </cell>
          <cell r="L307">
            <v>0.338167</v>
          </cell>
          <cell r="M307">
            <v>123.46722200000001</v>
          </cell>
          <cell r="N307">
            <v>0</v>
          </cell>
          <cell r="O307" t="str">
            <v>Tahap III 166</v>
          </cell>
        </row>
        <row r="308">
          <cell r="F308" t="str">
            <v>Pinolantungan</v>
          </cell>
          <cell r="G308" t="str">
            <v>Penyangga</v>
          </cell>
          <cell r="H308">
            <v>4500000000</v>
          </cell>
          <cell r="J308">
            <v>1.1100000000000001</v>
          </cell>
          <cell r="K308">
            <v>165</v>
          </cell>
          <cell r="L308">
            <v>0.36380099999999999</v>
          </cell>
          <cell r="M308">
            <v>123.946236</v>
          </cell>
          <cell r="O308" t="e">
            <v>#N/A</v>
          </cell>
        </row>
        <row r="309">
          <cell r="F309" t="str">
            <v>Tabilaa</v>
          </cell>
          <cell r="G309" t="str">
            <v>Penyangga</v>
          </cell>
          <cell r="H309">
            <v>4500000000</v>
          </cell>
          <cell r="J309">
            <v>1.1000000000000001</v>
          </cell>
          <cell r="K309">
            <v>357</v>
          </cell>
          <cell r="L309">
            <v>0.372388</v>
          </cell>
          <cell r="M309">
            <v>124.025493</v>
          </cell>
          <cell r="O309" t="e">
            <v>#N/A</v>
          </cell>
        </row>
        <row r="310">
          <cell r="F310" t="str">
            <v>Botuliodu</v>
          </cell>
          <cell r="G310" t="str">
            <v>Penyangga</v>
          </cell>
          <cell r="H310">
            <v>7264792000</v>
          </cell>
          <cell r="J310">
            <v>1.06</v>
          </cell>
          <cell r="K310">
            <v>310</v>
          </cell>
          <cell r="L310">
            <v>0.31707099999999999</v>
          </cell>
          <cell r="M310">
            <v>123.75949799999999</v>
          </cell>
          <cell r="O310" t="e">
            <v>#N/A</v>
          </cell>
        </row>
        <row r="311">
          <cell r="F311" t="str">
            <v>Burau Pantai</v>
          </cell>
          <cell r="G311" t="str">
            <v>Penyangga</v>
          </cell>
          <cell r="H311">
            <v>6860687000</v>
          </cell>
          <cell r="I311" t="str">
            <v>Nodin PPK 26 Mei 2026</v>
          </cell>
          <cell r="J311">
            <v>0.13</v>
          </cell>
          <cell r="K311">
            <v>330</v>
          </cell>
          <cell r="L311">
            <v>-2.6433889000000002</v>
          </cell>
          <cell r="M311">
            <v>120.6870595</v>
          </cell>
          <cell r="N311" t="str">
            <v>SPPBJ</v>
          </cell>
          <cell r="O311" t="str">
            <v>Tahap I 208</v>
          </cell>
        </row>
        <row r="312">
          <cell r="F312" t="str">
            <v>Mabonta</v>
          </cell>
          <cell r="G312" t="str">
            <v>Penyangga</v>
          </cell>
          <cell r="H312">
            <v>11294902000</v>
          </cell>
          <cell r="I312" t="str">
            <v>Nodin PPK 26 Mei 2026</v>
          </cell>
          <cell r="J312">
            <v>1.0900000000000001</v>
          </cell>
          <cell r="K312">
            <v>150</v>
          </cell>
          <cell r="L312">
            <v>-2.6367699999999998</v>
          </cell>
          <cell r="M312">
            <v>120.72130900000001</v>
          </cell>
          <cell r="N312" t="str">
            <v>SPPBJ</v>
          </cell>
          <cell r="O312" t="str">
            <v>Tahap I 208</v>
          </cell>
        </row>
        <row r="313">
          <cell r="F313" t="str">
            <v>Balo-Balo</v>
          </cell>
          <cell r="G313" t="str">
            <v>Penyangga</v>
          </cell>
          <cell r="H313">
            <v>4396219000</v>
          </cell>
          <cell r="J313">
            <v>0.32</v>
          </cell>
          <cell r="K313">
            <v>130</v>
          </cell>
          <cell r="L313">
            <v>-2.6196529000000002</v>
          </cell>
          <cell r="M313">
            <v>120.77340359999999</v>
          </cell>
          <cell r="N313">
            <v>0</v>
          </cell>
          <cell r="O313" t="str">
            <v>Tahap I 208</v>
          </cell>
        </row>
        <row r="314">
          <cell r="F314" t="str">
            <v>Bawalipu</v>
          </cell>
          <cell r="G314" t="str">
            <v>Penyangga</v>
          </cell>
          <cell r="H314">
            <v>3316108000</v>
          </cell>
          <cell r="J314">
            <v>0.34</v>
          </cell>
          <cell r="K314">
            <v>325</v>
          </cell>
          <cell r="L314">
            <v>-2.6189588000000001</v>
          </cell>
          <cell r="M314">
            <v>120.7925065</v>
          </cell>
          <cell r="N314">
            <v>0</v>
          </cell>
          <cell r="O314" t="str">
            <v>Tahap I 208</v>
          </cell>
        </row>
        <row r="315">
          <cell r="F315" t="str">
            <v>Lampenai</v>
          </cell>
          <cell r="G315" t="str">
            <v>Penyangga</v>
          </cell>
          <cell r="H315">
            <v>3853601000</v>
          </cell>
          <cell r="I315" t="str">
            <v>Nodin PPK 26 Mei 2026</v>
          </cell>
          <cell r="J315">
            <v>7.0000000000000007E-2</v>
          </cell>
          <cell r="K315">
            <v>373</v>
          </cell>
          <cell r="L315">
            <v>-2.5962904</v>
          </cell>
          <cell r="M315">
            <v>120.8071788</v>
          </cell>
          <cell r="N315" t="str">
            <v>SPPBJ</v>
          </cell>
          <cell r="O315" t="str">
            <v>Tahap I 208</v>
          </cell>
        </row>
        <row r="316">
          <cell r="F316" t="str">
            <v>Tamuku</v>
          </cell>
          <cell r="G316" t="str">
            <v>Penyangga</v>
          </cell>
          <cell r="H316">
            <v>4036365000</v>
          </cell>
          <cell r="I316" t="str">
            <v>Nodin PPK 26 Mei 2026</v>
          </cell>
          <cell r="J316">
            <v>0.21</v>
          </cell>
          <cell r="K316">
            <v>85</v>
          </cell>
          <cell r="L316">
            <v>-2.6578617000000002</v>
          </cell>
          <cell r="M316">
            <v>120.5460231</v>
          </cell>
          <cell r="N316" t="str">
            <v>Proses Kontrak (Pokja)</v>
          </cell>
          <cell r="O316" t="str">
            <v>Tahap I 208</v>
          </cell>
        </row>
        <row r="317">
          <cell r="F317" t="str">
            <v>Munte</v>
          </cell>
          <cell r="G317" t="str">
            <v>Hub</v>
          </cell>
          <cell r="H317">
            <v>7243251000</v>
          </cell>
          <cell r="I317" t="str">
            <v>Nodin PPK 26 Mei 2026</v>
          </cell>
          <cell r="J317">
            <v>0.8</v>
          </cell>
          <cell r="K317">
            <v>209</v>
          </cell>
          <cell r="L317">
            <v>-2.6815190000000002</v>
          </cell>
          <cell r="M317">
            <v>120.595167</v>
          </cell>
          <cell r="N317" t="str">
            <v>SPPBJ</v>
          </cell>
          <cell r="O317" t="str">
            <v>Tahap I 208</v>
          </cell>
        </row>
        <row r="318">
          <cell r="F318" t="str">
            <v>Masawoy</v>
          </cell>
          <cell r="G318" t="str">
            <v>Penyangga</v>
          </cell>
          <cell r="J318">
            <v>7.0000000000000007E-2</v>
          </cell>
          <cell r="K318">
            <v>94</v>
          </cell>
          <cell r="L318">
            <v>-3.8253043</v>
          </cell>
          <cell r="M318">
            <v>127.18413889999999</v>
          </cell>
          <cell r="N318">
            <v>0</v>
          </cell>
          <cell r="O318" t="e">
            <v>#N/A</v>
          </cell>
        </row>
        <row r="319">
          <cell r="F319" t="str">
            <v>Nalbessy</v>
          </cell>
          <cell r="G319" t="str">
            <v>Penyangga</v>
          </cell>
          <cell r="J319">
            <v>1</v>
          </cell>
          <cell r="K319">
            <v>108</v>
          </cell>
          <cell r="L319">
            <v>-3.7896173000000002</v>
          </cell>
          <cell r="M319">
            <v>126.55050850000001</v>
          </cell>
          <cell r="N319">
            <v>0</v>
          </cell>
          <cell r="O319" t="e">
            <v>#N/A</v>
          </cell>
        </row>
        <row r="320">
          <cell r="F320" t="str">
            <v>Hitulama</v>
          </cell>
          <cell r="G320" t="str">
            <v>Penyangga</v>
          </cell>
          <cell r="J320">
            <v>0.11</v>
          </cell>
          <cell r="K320">
            <v>250</v>
          </cell>
          <cell r="L320">
            <v>-3.5838380000000001</v>
          </cell>
          <cell r="M320">
            <v>128.175783</v>
          </cell>
          <cell r="N320">
            <v>0</v>
          </cell>
          <cell r="O320" t="e">
            <v>#N/A</v>
          </cell>
        </row>
        <row r="321">
          <cell r="F321" t="str">
            <v>Negeri Lima</v>
          </cell>
          <cell r="G321" t="str">
            <v>Hub</v>
          </cell>
          <cell r="J321">
            <v>0.85</v>
          </cell>
          <cell r="K321">
            <v>457</v>
          </cell>
          <cell r="L321">
            <v>-3.6462842000000002</v>
          </cell>
          <cell r="M321">
            <v>127.9651389</v>
          </cell>
          <cell r="N321">
            <v>0</v>
          </cell>
          <cell r="O321" t="e">
            <v>#N/A</v>
          </cell>
        </row>
        <row r="322">
          <cell r="F322" t="str">
            <v>Pajjukukang</v>
          </cell>
          <cell r="G322" t="str">
            <v>Penyangga</v>
          </cell>
          <cell r="H322">
            <v>4500000000</v>
          </cell>
          <cell r="J322">
            <v>0.13</v>
          </cell>
          <cell r="K322">
            <v>896</v>
          </cell>
          <cell r="L322">
            <v>-4.9229690000000002</v>
          </cell>
          <cell r="M322">
            <v>119.52799</v>
          </cell>
          <cell r="N322">
            <v>0</v>
          </cell>
          <cell r="O322" t="str">
            <v>Tahap I 208</v>
          </cell>
        </row>
        <row r="323">
          <cell r="F323" t="str">
            <v>Borimasunggu</v>
          </cell>
          <cell r="G323" t="str">
            <v>Penyangga</v>
          </cell>
          <cell r="H323">
            <v>4847136000</v>
          </cell>
          <cell r="J323">
            <v>0.26</v>
          </cell>
          <cell r="K323">
            <v>150</v>
          </cell>
          <cell r="L323">
            <v>-5.0049809999999999</v>
          </cell>
          <cell r="M323">
            <v>119.51110799999999</v>
          </cell>
          <cell r="N323">
            <v>0</v>
          </cell>
          <cell r="O323" t="str">
            <v>Tahap I 208</v>
          </cell>
        </row>
        <row r="324">
          <cell r="F324" t="str">
            <v>Bulu Cindea</v>
          </cell>
          <cell r="G324" t="str">
            <v>Penyangga</v>
          </cell>
          <cell r="H324">
            <v>4780636000</v>
          </cell>
          <cell r="J324">
            <v>0.3</v>
          </cell>
          <cell r="K324">
            <v>100</v>
          </cell>
          <cell r="L324">
            <v>-4.8117558999999996</v>
          </cell>
          <cell r="M324">
            <v>119.49847750000001</v>
          </cell>
          <cell r="N324">
            <v>0</v>
          </cell>
          <cell r="O324" t="str">
            <v>Tahap IV 200</v>
          </cell>
        </row>
        <row r="325">
          <cell r="F325" t="str">
            <v>Yainuelo</v>
          </cell>
          <cell r="G325" t="str">
            <v>Penyangga</v>
          </cell>
          <cell r="J325">
            <v>1.01</v>
          </cell>
          <cell r="K325">
            <v>419</v>
          </cell>
          <cell r="L325">
            <v>-3.3488020000000001</v>
          </cell>
          <cell r="M325">
            <v>129.03062</v>
          </cell>
          <cell r="N325">
            <v>0</v>
          </cell>
          <cell r="O325" t="e">
            <v>#N/A</v>
          </cell>
        </row>
        <row r="326">
          <cell r="F326" t="str">
            <v>Sila</v>
          </cell>
          <cell r="G326" t="str">
            <v>Penyangga</v>
          </cell>
          <cell r="J326">
            <v>0.06</v>
          </cell>
          <cell r="K326">
            <v>150</v>
          </cell>
          <cell r="L326">
            <v>-3.6484999999999999</v>
          </cell>
          <cell r="M326">
            <v>128.77010000000001</v>
          </cell>
          <cell r="N326">
            <v>0</v>
          </cell>
          <cell r="O326" t="e">
            <v>#N/A</v>
          </cell>
        </row>
        <row r="327">
          <cell r="F327" t="str">
            <v>Pelauw</v>
          </cell>
          <cell r="G327" t="str">
            <v>Penyangga</v>
          </cell>
          <cell r="J327">
            <v>1</v>
          </cell>
          <cell r="K327">
            <v>95</v>
          </cell>
          <cell r="L327">
            <v>-3.5232239999999999</v>
          </cell>
          <cell r="M327">
            <v>128.51714999999999</v>
          </cell>
          <cell r="N327">
            <v>0</v>
          </cell>
          <cell r="O327" t="e">
            <v>#N/A</v>
          </cell>
        </row>
        <row r="328">
          <cell r="F328" t="str">
            <v>Kulur</v>
          </cell>
          <cell r="G328" t="str">
            <v>Penyangga</v>
          </cell>
          <cell r="J328">
            <v>0.6</v>
          </cell>
          <cell r="K328">
            <v>128</v>
          </cell>
          <cell r="L328">
            <v>-3.4980760000000002</v>
          </cell>
          <cell r="M328">
            <v>128.56701200000001</v>
          </cell>
          <cell r="N328">
            <v>0</v>
          </cell>
          <cell r="O328" t="e">
            <v>#N/A</v>
          </cell>
        </row>
        <row r="329">
          <cell r="F329" t="str">
            <v>Nolloth</v>
          </cell>
          <cell r="G329" t="str">
            <v>Hub</v>
          </cell>
          <cell r="J329">
            <v>0.51</v>
          </cell>
          <cell r="K329">
            <v>200</v>
          </cell>
          <cell r="L329">
            <v>-3.4979969999999998</v>
          </cell>
          <cell r="M329">
            <v>128.69409200000001</v>
          </cell>
          <cell r="N329">
            <v>0</v>
          </cell>
          <cell r="O329" t="e">
            <v>#N/A</v>
          </cell>
        </row>
        <row r="330">
          <cell r="F330" t="str">
            <v>Palahidu Barat</v>
          </cell>
          <cell r="G330" t="str">
            <v>Penyangga</v>
          </cell>
          <cell r="H330">
            <v>4500000000</v>
          </cell>
          <cell r="J330">
            <v>1</v>
          </cell>
          <cell r="K330">
            <v>25</v>
          </cell>
          <cell r="L330">
            <v>-5.8910600000000004</v>
          </cell>
          <cell r="M330">
            <v>124.01497999999999</v>
          </cell>
          <cell r="N330">
            <v>0</v>
          </cell>
          <cell r="O330" t="str">
            <v>Tahap I 208</v>
          </cell>
        </row>
        <row r="331">
          <cell r="F331" t="str">
            <v>Lamanggau</v>
          </cell>
          <cell r="G331" t="str">
            <v>Penyangga</v>
          </cell>
          <cell r="H331">
            <v>4780636000</v>
          </cell>
          <cell r="J331">
            <v>0.55000000000000004</v>
          </cell>
          <cell r="K331">
            <v>185</v>
          </cell>
          <cell r="L331">
            <v>-5.7642689999999996</v>
          </cell>
          <cell r="M331">
            <v>123.90324</v>
          </cell>
          <cell r="N331">
            <v>0</v>
          </cell>
          <cell r="O331" t="str">
            <v>Tahap IV 200</v>
          </cell>
        </row>
        <row r="332">
          <cell r="F332" t="str">
            <v>Dete</v>
          </cell>
          <cell r="G332" t="str">
            <v>Penyangga</v>
          </cell>
          <cell r="H332">
            <v>4500000000</v>
          </cell>
          <cell r="J332">
            <v>1</v>
          </cell>
          <cell r="K332">
            <v>34</v>
          </cell>
          <cell r="L332">
            <v>-5.7759689999999999</v>
          </cell>
          <cell r="M332">
            <v>123.972346</v>
          </cell>
          <cell r="N332">
            <v>0</v>
          </cell>
          <cell r="O332" t="str">
            <v>Tahap I 208</v>
          </cell>
        </row>
        <row r="333">
          <cell r="F333" t="str">
            <v>Numana</v>
          </cell>
          <cell r="G333" t="str">
            <v>Hub</v>
          </cell>
          <cell r="H333">
            <v>8231000000</v>
          </cell>
          <cell r="J333">
            <v>0.81</v>
          </cell>
          <cell r="K333">
            <v>133</v>
          </cell>
          <cell r="L333">
            <v>-5.359534</v>
          </cell>
          <cell r="M333">
            <v>123.55587</v>
          </cell>
          <cell r="N333">
            <v>0</v>
          </cell>
          <cell r="O333" t="str">
            <v>Tahap I 208</v>
          </cell>
        </row>
        <row r="334">
          <cell r="F334" t="str">
            <v>Klis</v>
          </cell>
          <cell r="G334" t="str">
            <v>Penyangga</v>
          </cell>
          <cell r="J334">
            <v>0.12</v>
          </cell>
          <cell r="K334">
            <v>220</v>
          </cell>
          <cell r="L334">
            <v>-8.1458329999999997</v>
          </cell>
          <cell r="M334">
            <v>127.94416699999999</v>
          </cell>
          <cell r="N334">
            <v>0</v>
          </cell>
          <cell r="O334" t="e">
            <v>#N/A</v>
          </cell>
        </row>
        <row r="335">
          <cell r="F335" t="str">
            <v>Nuwewang</v>
          </cell>
          <cell r="G335" t="str">
            <v>Hub</v>
          </cell>
          <cell r="J335">
            <v>1</v>
          </cell>
          <cell r="K335">
            <v>706</v>
          </cell>
          <cell r="L335">
            <v>-8.1844280000000005</v>
          </cell>
          <cell r="M335">
            <v>127.641633</v>
          </cell>
          <cell r="N335">
            <v>0</v>
          </cell>
          <cell r="O335" t="e">
            <v>#N/A</v>
          </cell>
        </row>
        <row r="336">
          <cell r="F336" t="str">
            <v>Pabeanudik</v>
          </cell>
          <cell r="G336" t="str">
            <v>Hub</v>
          </cell>
          <cell r="H336">
            <v>5742556000</v>
          </cell>
          <cell r="I336" t="str">
            <v>Nodin PPK 26 Mei 2026</v>
          </cell>
          <cell r="J336">
            <v>1</v>
          </cell>
          <cell r="K336">
            <v>2910</v>
          </cell>
          <cell r="L336">
            <v>-6.3082200000000004</v>
          </cell>
          <cell r="M336">
            <v>108.35474000000001</v>
          </cell>
          <cell r="N336" t="str">
            <v>Proses Kontrak (Pokja)</v>
          </cell>
          <cell r="O336" t="str">
            <v>Tahap I 208</v>
          </cell>
        </row>
        <row r="337">
          <cell r="F337" t="str">
            <v>Singaraja</v>
          </cell>
          <cell r="G337" t="str">
            <v>Penyangga</v>
          </cell>
          <cell r="H337">
            <v>2314000000</v>
          </cell>
          <cell r="J337">
            <v>0.7</v>
          </cell>
          <cell r="K337">
            <v>108</v>
          </cell>
          <cell r="L337">
            <v>-6.348395</v>
          </cell>
          <cell r="M337">
            <v>108.35477899999999</v>
          </cell>
          <cell r="N337">
            <v>0</v>
          </cell>
          <cell r="O337" t="str">
            <v>Tahap I 208</v>
          </cell>
        </row>
        <row r="338">
          <cell r="F338" t="str">
            <v>Dadap</v>
          </cell>
          <cell r="G338" t="str">
            <v>Penyangga (+cs)</v>
          </cell>
          <cell r="H338">
            <v>3458805000</v>
          </cell>
          <cell r="I338" t="str">
            <v>Nodin PPK 26 Mei 2026</v>
          </cell>
          <cell r="J338">
            <v>2.84</v>
          </cell>
          <cell r="K338">
            <v>5870</v>
          </cell>
          <cell r="L338">
            <v>-6.4407160000000001</v>
          </cell>
          <cell r="M338">
            <v>108.45598099999999</v>
          </cell>
          <cell r="N338" t="str">
            <v>Proses Kontrak (Pokja)</v>
          </cell>
          <cell r="O338" t="str">
            <v>Tahap I 208</v>
          </cell>
        </row>
        <row r="339">
          <cell r="F339" t="str">
            <v>Pareangirang</v>
          </cell>
          <cell r="G339" t="str">
            <v>Penyangga</v>
          </cell>
          <cell r="H339">
            <v>2314000000</v>
          </cell>
          <cell r="I339" t="str">
            <v>Nodin PPK 26 Mei 2026</v>
          </cell>
          <cell r="J339">
            <v>2</v>
          </cell>
          <cell r="K339">
            <v>1000</v>
          </cell>
          <cell r="L339">
            <v>-6.3556100000000004</v>
          </cell>
          <cell r="M339">
            <v>108.10647</v>
          </cell>
          <cell r="N339" t="str">
            <v>Proses Kontrak (Pokja)</v>
          </cell>
          <cell r="O339" t="str">
            <v>Tahap I 208</v>
          </cell>
        </row>
        <row r="340">
          <cell r="F340" t="str">
            <v>Cemara kulon</v>
          </cell>
          <cell r="G340" t="str">
            <v>Penyangga</v>
          </cell>
          <cell r="H340">
            <v>2930325000</v>
          </cell>
          <cell r="I340" t="str">
            <v>Nodin PPK 26 Mei 2026</v>
          </cell>
          <cell r="J340">
            <v>1</v>
          </cell>
          <cell r="K340">
            <v>355</v>
          </cell>
          <cell r="L340">
            <v>-6.3396150000000002</v>
          </cell>
          <cell r="M340">
            <v>108.18485800000001</v>
          </cell>
          <cell r="N340" t="str">
            <v>Proses Kontrak (Pokja)</v>
          </cell>
          <cell r="O340" t="str">
            <v>Tahap I 208</v>
          </cell>
        </row>
        <row r="341">
          <cell r="F341" t="str">
            <v>Ujunggebang</v>
          </cell>
          <cell r="G341" t="str">
            <v>Penyangga</v>
          </cell>
          <cell r="H341">
            <v>4596448000</v>
          </cell>
          <cell r="J341">
            <v>2</v>
          </cell>
          <cell r="K341">
            <v>350</v>
          </cell>
          <cell r="L341">
            <v>-6.2527160000000004</v>
          </cell>
          <cell r="M341">
            <v>107.924667</v>
          </cell>
          <cell r="N341">
            <v>0</v>
          </cell>
          <cell r="O341" t="str">
            <v>Tahap III 166</v>
          </cell>
        </row>
        <row r="342">
          <cell r="F342" t="str">
            <v>Bontorannu</v>
          </cell>
          <cell r="G342" t="str">
            <v>Penyangga</v>
          </cell>
          <cell r="H342">
            <v>5077776045</v>
          </cell>
          <cell r="I342" t="str">
            <v>Nodin PPK 3 Juni 2026</v>
          </cell>
          <cell r="J342">
            <v>0.2</v>
          </cell>
          <cell r="K342">
            <v>152</v>
          </cell>
          <cell r="L342">
            <v>-5.6289709999999999</v>
          </cell>
          <cell r="M342">
            <v>119.587127</v>
          </cell>
          <cell r="N342" t="str">
            <v>Proses Kontrak (Pokja)</v>
          </cell>
          <cell r="O342" t="str">
            <v>Tahap I 208</v>
          </cell>
        </row>
        <row r="343">
          <cell r="F343" t="str">
            <v>Punagaya</v>
          </cell>
          <cell r="G343" t="str">
            <v>Penyangga</v>
          </cell>
          <cell r="H343">
            <v>3857486780</v>
          </cell>
          <cell r="I343" t="str">
            <v>Nodin PPK 3 Juni 2026</v>
          </cell>
          <cell r="J343">
            <v>0.23</v>
          </cell>
          <cell r="K343">
            <v>330</v>
          </cell>
          <cell r="L343">
            <v>-5.6385170000000002</v>
          </cell>
          <cell r="M343">
            <v>119.586499</v>
          </cell>
          <cell r="N343" t="str">
            <v>Proses Kontrak (Pokja)</v>
          </cell>
          <cell r="O343" t="str">
            <v>Tahap I 208</v>
          </cell>
        </row>
        <row r="344">
          <cell r="F344" t="str">
            <v>Pabiringa</v>
          </cell>
          <cell r="G344" t="str">
            <v>Hub</v>
          </cell>
          <cell r="H344">
            <v>7939720061</v>
          </cell>
          <cell r="I344" t="str">
            <v>Nodin PPK 3 Juni 2026</v>
          </cell>
          <cell r="J344">
            <v>0.7</v>
          </cell>
          <cell r="K344">
            <v>460</v>
          </cell>
          <cell r="L344">
            <v>-5.7009759999999998</v>
          </cell>
          <cell r="M344">
            <v>119.723465</v>
          </cell>
          <cell r="N344" t="str">
            <v>Proses Kontrak (Pokja)</v>
          </cell>
          <cell r="O344" t="str">
            <v>Tahap I 208</v>
          </cell>
        </row>
        <row r="345">
          <cell r="F345" t="str">
            <v>Kertamukti</v>
          </cell>
          <cell r="G345" t="str">
            <v>Penyangga</v>
          </cell>
          <cell r="H345">
            <v>2692679000</v>
          </cell>
          <cell r="I345" t="str">
            <v>Nodin PPK 3 Juni 2026</v>
          </cell>
          <cell r="J345">
            <v>1</v>
          </cell>
          <cell r="K345">
            <v>124</v>
          </cell>
          <cell r="L345">
            <v>-7.814724</v>
          </cell>
          <cell r="M345">
            <v>108.36962</v>
          </cell>
          <cell r="N345" t="str">
            <v>Kontrak</v>
          </cell>
          <cell r="O345" t="str">
            <v>Tahap I 208</v>
          </cell>
        </row>
        <row r="346">
          <cell r="F346" t="str">
            <v>Legokjawa</v>
          </cell>
          <cell r="G346" t="str">
            <v>Penyangga</v>
          </cell>
          <cell r="H346">
            <v>3195098000</v>
          </cell>
          <cell r="I346" t="str">
            <v>Nodin PPK 26 Mei 2026</v>
          </cell>
          <cell r="J346">
            <v>1</v>
          </cell>
          <cell r="K346">
            <v>160</v>
          </cell>
          <cell r="L346">
            <v>-7.8169089999999999</v>
          </cell>
          <cell r="M346">
            <v>108.410719</v>
          </cell>
          <cell r="N346" t="str">
            <v>Kontrak</v>
          </cell>
          <cell r="O346" t="str">
            <v>Tahap I 208</v>
          </cell>
        </row>
        <row r="347">
          <cell r="F347" t="str">
            <v>Pamotan</v>
          </cell>
          <cell r="G347" t="str">
            <v>Hub</v>
          </cell>
          <cell r="H347">
            <v>3132099000</v>
          </cell>
          <cell r="J347">
            <v>1</v>
          </cell>
          <cell r="K347">
            <v>400</v>
          </cell>
          <cell r="L347">
            <v>-7.6742999999999997</v>
          </cell>
          <cell r="M347">
            <v>108.79746</v>
          </cell>
          <cell r="N347">
            <v>0</v>
          </cell>
          <cell r="O347" t="str">
            <v>Tahap I 208</v>
          </cell>
        </row>
        <row r="348">
          <cell r="F348" t="str">
            <v>Cikawungading</v>
          </cell>
          <cell r="G348" t="str">
            <v>Penyangga</v>
          </cell>
          <cell r="H348">
            <v>5116149000</v>
          </cell>
          <cell r="I348" t="str">
            <v>Nodin PPK 26 Mei 2026</v>
          </cell>
          <cell r="J348">
            <v>1.02</v>
          </cell>
          <cell r="K348">
            <v>3898</v>
          </cell>
          <cell r="L348">
            <v>-7.7704329919999999</v>
          </cell>
          <cell r="M348">
            <v>108.0972541</v>
          </cell>
          <cell r="N348" t="str">
            <v>Kontrak</v>
          </cell>
          <cell r="O348" t="str">
            <v>Tahap I 208</v>
          </cell>
        </row>
        <row r="349">
          <cell r="F349" t="str">
            <v>Bulupayung</v>
          </cell>
          <cell r="G349" t="str">
            <v>Penyangga</v>
          </cell>
          <cell r="H349">
            <v>3569000000</v>
          </cell>
          <cell r="J349">
            <v>0.16</v>
          </cell>
          <cell r="K349">
            <v>560</v>
          </cell>
          <cell r="L349">
            <v>-7.5808770000000001</v>
          </cell>
          <cell r="M349">
            <v>108.796138</v>
          </cell>
          <cell r="N349">
            <v>0</v>
          </cell>
          <cell r="O349" t="str">
            <v>Tahap IV 200</v>
          </cell>
        </row>
        <row r="350">
          <cell r="F350" t="str">
            <v>Pulau Panggang</v>
          </cell>
          <cell r="G350" t="str">
            <v>Penyangga</v>
          </cell>
          <cell r="H350">
            <v>2730019000</v>
          </cell>
          <cell r="J350">
            <v>0.8</v>
          </cell>
          <cell r="K350">
            <v>400</v>
          </cell>
          <cell r="L350">
            <v>-5.7392099999999999</v>
          </cell>
          <cell r="M350">
            <v>106.59699999999999</v>
          </cell>
          <cell r="N350">
            <v>0</v>
          </cell>
          <cell r="O350" t="str">
            <v>Tahap III 166</v>
          </cell>
        </row>
        <row r="351">
          <cell r="F351" t="str">
            <v>Lemahwungkuk</v>
          </cell>
          <cell r="G351" t="str">
            <v>Penyangga</v>
          </cell>
          <cell r="H351">
            <v>3549926000</v>
          </cell>
          <cell r="J351">
            <v>0.33</v>
          </cell>
          <cell r="K351">
            <v>37</v>
          </cell>
          <cell r="L351">
            <v>-6.72140089</v>
          </cell>
          <cell r="M351">
            <v>108.5723076</v>
          </cell>
          <cell r="N351" t="str">
            <v>Proses Kontrak (Pokja)</v>
          </cell>
          <cell r="O351" t="str">
            <v>Tahap I 208</v>
          </cell>
        </row>
        <row r="352">
          <cell r="F352" t="str">
            <v>Panjunan</v>
          </cell>
          <cell r="G352" t="str">
            <v>Hub</v>
          </cell>
          <cell r="H352">
            <v>6105695000</v>
          </cell>
          <cell r="J352">
            <v>0.38</v>
          </cell>
          <cell r="K352">
            <v>287</v>
          </cell>
          <cell r="L352">
            <v>-6.7057000000000002</v>
          </cell>
          <cell r="M352">
            <v>108.56780000000001</v>
          </cell>
          <cell r="N352">
            <v>0</v>
          </cell>
          <cell r="O352" t="str">
            <v>Tahap IV 200</v>
          </cell>
        </row>
        <row r="353">
          <cell r="F353" t="str">
            <v>Gajahkumpul</v>
          </cell>
          <cell r="G353" t="str">
            <v>Penyangga</v>
          </cell>
          <cell r="H353">
            <v>5437000000</v>
          </cell>
          <cell r="K353">
            <v>57</v>
          </cell>
          <cell r="L353">
            <v>-6.7014389999999997</v>
          </cell>
          <cell r="M353">
            <v>111.23491799999999</v>
          </cell>
          <cell r="N353">
            <v>0</v>
          </cell>
          <cell r="O353" t="str">
            <v>Tahap IV 200</v>
          </cell>
        </row>
        <row r="354">
          <cell r="F354" t="str">
            <v>Pecangaan</v>
          </cell>
          <cell r="G354" t="str">
            <v>Penyangga</v>
          </cell>
          <cell r="H354">
            <v>4441806000</v>
          </cell>
          <cell r="K354">
            <v>202</v>
          </cell>
          <cell r="L354">
            <v>-6.6870222699999999</v>
          </cell>
          <cell r="M354">
            <v>111.2324362</v>
          </cell>
          <cell r="N354">
            <v>0</v>
          </cell>
          <cell r="O354" t="str">
            <v>Tahap IV 200</v>
          </cell>
        </row>
        <row r="355">
          <cell r="F355" t="str">
            <v>Bajomulyo</v>
          </cell>
          <cell r="G355" t="str">
            <v>Penyangga</v>
          </cell>
          <cell r="H355">
            <v>5437000000</v>
          </cell>
          <cell r="J355">
            <v>0.74099999999999999</v>
          </cell>
          <cell r="K355">
            <v>172</v>
          </cell>
          <cell r="L355">
            <v>-6.7014250000000004</v>
          </cell>
          <cell r="M355">
            <v>111.15182799999999</v>
          </cell>
          <cell r="N355">
            <v>0</v>
          </cell>
          <cell r="O355" t="str">
            <v>Tahap IV 200</v>
          </cell>
        </row>
        <row r="356">
          <cell r="F356" t="str">
            <v>Tambakagung</v>
          </cell>
          <cell r="G356" t="str">
            <v>Penyangga</v>
          </cell>
          <cell r="H356">
            <v>2613033872</v>
          </cell>
          <cell r="J356">
            <v>0.18</v>
          </cell>
          <cell r="K356">
            <v>249</v>
          </cell>
          <cell r="L356">
            <v>-6.6981270000000004</v>
          </cell>
          <cell r="M356">
            <v>111.237881</v>
          </cell>
          <cell r="N356" t="str">
            <v>Proses Kontrak (Pokja)</v>
          </cell>
          <cell r="O356" t="str">
            <v>Tahap I 208</v>
          </cell>
        </row>
        <row r="357">
          <cell r="F357" t="str">
            <v>Pasar Banggi</v>
          </cell>
          <cell r="G357" t="str">
            <v>Hub</v>
          </cell>
          <cell r="H357">
            <v>6658554506</v>
          </cell>
          <cell r="J357">
            <v>2.06</v>
          </cell>
          <cell r="K357">
            <v>903</v>
          </cell>
          <cell r="L357">
            <v>-6.6940439999999999</v>
          </cell>
          <cell r="M357">
            <v>111.393102</v>
          </cell>
          <cell r="N357" t="str">
            <v>Proses Kontrak (Pokja)</v>
          </cell>
          <cell r="O357" t="str">
            <v>Tahap I 208</v>
          </cell>
        </row>
        <row r="358">
          <cell r="F358" t="str">
            <v>Karangmangu</v>
          </cell>
          <cell r="G358" t="str">
            <v>Penyangga</v>
          </cell>
          <cell r="H358">
            <v>2314000000</v>
          </cell>
          <cell r="J358">
            <v>0.11</v>
          </cell>
          <cell r="K358">
            <v>1046</v>
          </cell>
          <cell r="L358">
            <v>-6.7421129999999998</v>
          </cell>
          <cell r="M358">
            <v>111.67706099999999</v>
          </cell>
          <cell r="N358" t="str">
            <v>Proses Kontrak (Pokja)</v>
          </cell>
          <cell r="O358" t="str">
            <v>Tahap I 208</v>
          </cell>
        </row>
        <row r="359">
          <cell r="F359" t="str">
            <v>Ngemplakrejo</v>
          </cell>
          <cell r="G359" t="str">
            <v>Penyangga</v>
          </cell>
          <cell r="H359">
            <v>4441806000</v>
          </cell>
          <cell r="J359">
            <v>1.28</v>
          </cell>
          <cell r="K359">
            <v>236</v>
          </cell>
          <cell r="L359">
            <v>-7.6301810000000003</v>
          </cell>
          <cell r="M359">
            <v>112.911889</v>
          </cell>
          <cell r="N359">
            <v>0</v>
          </cell>
          <cell r="O359" t="str">
            <v>Tahap IV 200</v>
          </cell>
        </row>
        <row r="360">
          <cell r="F360" t="str">
            <v>Gerongan</v>
          </cell>
          <cell r="G360" t="str">
            <v>Penyangga</v>
          </cell>
          <cell r="H360">
            <v>4441806000</v>
          </cell>
          <cell r="J360">
            <v>0.89</v>
          </cell>
          <cell r="K360">
            <v>342</v>
          </cell>
          <cell r="L360">
            <v>-7.6057689999999996</v>
          </cell>
          <cell r="M360">
            <v>112.84828899999999</v>
          </cell>
          <cell r="N360">
            <v>0</v>
          </cell>
          <cell r="O360" t="str">
            <v>Tahap IV 200</v>
          </cell>
        </row>
        <row r="361">
          <cell r="F361" t="str">
            <v>Kalirejo</v>
          </cell>
          <cell r="G361" t="str">
            <v>Hub</v>
          </cell>
          <cell r="H361">
            <v>6105695000</v>
          </cell>
          <cell r="K361">
            <v>1056</v>
          </cell>
          <cell r="L361">
            <v>-7.6211096029999998</v>
          </cell>
          <cell r="M361">
            <v>112.8950924</v>
          </cell>
          <cell r="N361">
            <v>0</v>
          </cell>
          <cell r="O361" t="str">
            <v>Tahap IV 200</v>
          </cell>
        </row>
        <row r="362">
          <cell r="F362" t="str">
            <v>Mlaten</v>
          </cell>
          <cell r="G362" t="str">
            <v>Penyangga</v>
          </cell>
          <cell r="H362">
            <v>4441806000</v>
          </cell>
          <cell r="J362">
            <v>1.73</v>
          </cell>
          <cell r="K362">
            <v>700</v>
          </cell>
          <cell r="L362">
            <v>-7.7014120000000004</v>
          </cell>
          <cell r="M362">
            <v>113.085858</v>
          </cell>
          <cell r="N362">
            <v>0</v>
          </cell>
          <cell r="O362" t="str">
            <v>Tahap IV 200</v>
          </cell>
        </row>
        <row r="363">
          <cell r="F363" t="str">
            <v>Kupang</v>
          </cell>
          <cell r="G363" t="str">
            <v>Penyangga</v>
          </cell>
          <cell r="H363">
            <v>4441806000</v>
          </cell>
          <cell r="K363">
            <v>64</v>
          </cell>
          <cell r="L363">
            <v>-7.5379889210000002</v>
          </cell>
          <cell r="M363">
            <v>112.87139089999999</v>
          </cell>
          <cell r="N363">
            <v>0</v>
          </cell>
          <cell r="O363" t="str">
            <v>Tahap IV 200</v>
          </cell>
        </row>
        <row r="364">
          <cell r="F364" t="str">
            <v>Patoameme</v>
          </cell>
          <cell r="G364" t="str">
            <v>Penyangga</v>
          </cell>
          <cell r="H364">
            <v>8066830000</v>
          </cell>
          <cell r="J364">
            <v>1.07</v>
          </cell>
          <cell r="K364">
            <v>148</v>
          </cell>
          <cell r="L364">
            <v>0.48665700000000001</v>
          </cell>
          <cell r="M364">
            <v>122.29979</v>
          </cell>
          <cell r="N364">
            <v>0</v>
          </cell>
          <cell r="O364" t="str">
            <v>Tahap I 208</v>
          </cell>
        </row>
        <row r="365">
          <cell r="F365" t="str">
            <v>Tabongo</v>
          </cell>
          <cell r="G365" t="str">
            <v>Penyangga</v>
          </cell>
          <cell r="H365">
            <v>4071361000</v>
          </cell>
          <cell r="J365">
            <v>0.4</v>
          </cell>
          <cell r="K365">
            <v>98</v>
          </cell>
          <cell r="L365">
            <v>0.50649699999999998</v>
          </cell>
          <cell r="M365">
            <v>122.461828</v>
          </cell>
          <cell r="N365">
            <v>0</v>
          </cell>
          <cell r="O365" t="str">
            <v>Tahap I 208</v>
          </cell>
        </row>
        <row r="366">
          <cell r="F366" t="str">
            <v>Girisa</v>
          </cell>
          <cell r="G366" t="str">
            <v>Penyangga (+cs)</v>
          </cell>
          <cell r="H366">
            <v>4567200000</v>
          </cell>
          <cell r="J366">
            <v>0.08</v>
          </cell>
          <cell r="K366">
            <v>115</v>
          </cell>
          <cell r="L366">
            <v>0.51890899999999995</v>
          </cell>
          <cell r="M366">
            <v>122.647173</v>
          </cell>
          <cell r="N366">
            <v>0</v>
          </cell>
          <cell r="O366" t="str">
            <v>Tahap I 208</v>
          </cell>
        </row>
        <row r="367">
          <cell r="F367" t="str">
            <v>Bubaa</v>
          </cell>
          <cell r="G367" t="str">
            <v>Penyangga</v>
          </cell>
          <cell r="H367">
            <v>4500000000</v>
          </cell>
          <cell r="J367">
            <v>0.47</v>
          </cell>
          <cell r="K367">
            <v>75</v>
          </cell>
          <cell r="L367">
            <v>0.51447500000000002</v>
          </cell>
          <cell r="M367">
            <v>122.554259</v>
          </cell>
          <cell r="N367">
            <v>0</v>
          </cell>
          <cell r="O367" t="str">
            <v>Tahap I 208</v>
          </cell>
        </row>
        <row r="368">
          <cell r="F368" t="str">
            <v>Limbatihu</v>
          </cell>
          <cell r="G368" t="str">
            <v>Penyangga</v>
          </cell>
          <cell r="H368">
            <v>4500000000</v>
          </cell>
          <cell r="J368">
            <v>1.49</v>
          </cell>
          <cell r="K368">
            <v>161</v>
          </cell>
          <cell r="L368">
            <v>0.50377799999999995</v>
          </cell>
          <cell r="M368">
            <v>122.53551899999999</v>
          </cell>
          <cell r="N368">
            <v>0</v>
          </cell>
          <cell r="O368" t="str">
            <v>Tahap III 166</v>
          </cell>
        </row>
        <row r="369">
          <cell r="F369" t="str">
            <v>Olibu</v>
          </cell>
          <cell r="G369" t="str">
            <v>Penyangga</v>
          </cell>
          <cell r="H369">
            <v>4500000000</v>
          </cell>
          <cell r="J369">
            <v>0.92</v>
          </cell>
          <cell r="K369">
            <v>43</v>
          </cell>
          <cell r="L369">
            <v>0.49932300000000002</v>
          </cell>
          <cell r="M369">
            <v>122.62003799999999</v>
          </cell>
          <cell r="N369">
            <v>0</v>
          </cell>
          <cell r="O369" t="str">
            <v>Tahap I 208</v>
          </cell>
        </row>
        <row r="370">
          <cell r="F370" t="str">
            <v>Bilato</v>
          </cell>
          <cell r="G370" t="str">
            <v>Penyangga</v>
          </cell>
          <cell r="H370">
            <v>4500000000</v>
          </cell>
          <cell r="J370">
            <v>0.38</v>
          </cell>
          <cell r="K370">
            <v>106</v>
          </cell>
          <cell r="L370">
            <v>0.51973499999999995</v>
          </cell>
          <cell r="M370">
            <v>122.65021900000001</v>
          </cell>
          <cell r="N370">
            <v>0</v>
          </cell>
          <cell r="O370" t="str">
            <v>Tahap I 208</v>
          </cell>
        </row>
        <row r="371">
          <cell r="F371" t="str">
            <v>Randuputih</v>
          </cell>
          <cell r="G371" t="str">
            <v>Penyangga</v>
          </cell>
          <cell r="H371">
            <v>4878821000</v>
          </cell>
          <cell r="J371">
            <v>0.5</v>
          </cell>
          <cell r="K371">
            <v>361</v>
          </cell>
          <cell r="L371">
            <v>-7.7028610000000004</v>
          </cell>
          <cell r="M371">
            <v>113.479625</v>
          </cell>
          <cell r="N371">
            <v>0</v>
          </cell>
          <cell r="O371" t="str">
            <v>Tahap I 208</v>
          </cell>
        </row>
        <row r="372">
          <cell r="F372" t="str">
            <v>Kalibuntu</v>
          </cell>
          <cell r="G372" t="str">
            <v>Penyangga</v>
          </cell>
          <cell r="H372">
            <v>2084493000</v>
          </cell>
          <cell r="J372">
            <v>0.12</v>
          </cell>
          <cell r="K372">
            <v>1474</v>
          </cell>
          <cell r="L372">
            <v>-7.7341420999999997</v>
          </cell>
          <cell r="M372">
            <v>113.4170926</v>
          </cell>
          <cell r="N372" t="str">
            <v>Proses Kontrak (Pokja)</v>
          </cell>
          <cell r="O372" t="str">
            <v>Tahap I 208</v>
          </cell>
        </row>
        <row r="373">
          <cell r="F373" t="str">
            <v>Gili Ketapang</v>
          </cell>
          <cell r="G373" t="str">
            <v>Penyangga</v>
          </cell>
          <cell r="H373">
            <v>4441806000</v>
          </cell>
          <cell r="K373">
            <v>604</v>
          </cell>
          <cell r="L373">
            <v>-7.680540712</v>
          </cell>
          <cell r="M373">
            <v>113.2470077</v>
          </cell>
          <cell r="N373">
            <v>0</v>
          </cell>
          <cell r="O373" t="str">
            <v>Tahap IV 200</v>
          </cell>
        </row>
        <row r="374">
          <cell r="F374" t="str">
            <v>Wonorejo</v>
          </cell>
          <cell r="G374" t="str">
            <v>Penyangga (+cs)</v>
          </cell>
          <cell r="H374">
            <v>4791933000</v>
          </cell>
          <cell r="J374">
            <v>2.11</v>
          </cell>
          <cell r="K374">
            <v>300</v>
          </cell>
          <cell r="L374">
            <v>-7.9280216000000001</v>
          </cell>
          <cell r="M374">
            <v>114.4183276</v>
          </cell>
          <cell r="N374" t="str">
            <v>Proses Kontrak (Pokja)</v>
          </cell>
          <cell r="O374" t="str">
            <v>Tahap I 208</v>
          </cell>
        </row>
        <row r="375">
          <cell r="F375" t="str">
            <v>Pesisir</v>
          </cell>
          <cell r="G375" t="str">
            <v>Hub</v>
          </cell>
          <cell r="H375">
            <v>4322097086</v>
          </cell>
          <cell r="J375">
            <v>0.3</v>
          </cell>
          <cell r="K375">
            <v>1456</v>
          </cell>
          <cell r="L375">
            <v>-7.7276018000000004</v>
          </cell>
          <cell r="M375">
            <v>113.6833622</v>
          </cell>
          <cell r="N375" t="str">
            <v>Proses Kontrak (Pokja)</v>
          </cell>
          <cell r="O375" t="str">
            <v>Tahap I 208</v>
          </cell>
        </row>
        <row r="376">
          <cell r="F376" t="str">
            <v>Dudepo</v>
          </cell>
          <cell r="G376" t="str">
            <v>Penyangga</v>
          </cell>
          <cell r="H376">
            <v>4780636000</v>
          </cell>
          <cell r="J376">
            <v>1</v>
          </cell>
          <cell r="K376">
            <v>134</v>
          </cell>
          <cell r="L376">
            <v>0.89127800000000001</v>
          </cell>
          <cell r="M376">
            <v>122.801722</v>
          </cell>
          <cell r="N376">
            <v>0</v>
          </cell>
          <cell r="O376" t="str">
            <v>Tahap IV 200</v>
          </cell>
        </row>
        <row r="377">
          <cell r="F377" t="str">
            <v>Ilodulunga</v>
          </cell>
          <cell r="G377" t="str">
            <v>Penyangga</v>
          </cell>
          <cell r="H377">
            <v>4780636000</v>
          </cell>
          <cell r="J377">
            <v>6.6699999999999995E-2</v>
          </cell>
          <cell r="K377">
            <v>96</v>
          </cell>
          <cell r="L377">
            <v>0.81891420000000004</v>
          </cell>
          <cell r="M377">
            <v>122.83027800000001</v>
          </cell>
          <cell r="N377">
            <v>0</v>
          </cell>
          <cell r="O377" t="str">
            <v>Tahap IV 200</v>
          </cell>
        </row>
        <row r="378">
          <cell r="F378" t="str">
            <v>Langge</v>
          </cell>
          <cell r="G378" t="str">
            <v>Penyangga</v>
          </cell>
          <cell r="H378">
            <v>4500000000</v>
          </cell>
          <cell r="J378">
            <v>0.67</v>
          </cell>
          <cell r="K378">
            <v>31</v>
          </cell>
          <cell r="L378">
            <v>0.80886999999999998</v>
          </cell>
          <cell r="M378">
            <v>122.84065</v>
          </cell>
          <cell r="N378">
            <v>0</v>
          </cell>
          <cell r="O378" t="str">
            <v>Tahap I 208</v>
          </cell>
        </row>
        <row r="379">
          <cell r="F379" t="str">
            <v>Bulalo</v>
          </cell>
          <cell r="G379" t="str">
            <v>Penyangga</v>
          </cell>
          <cell r="H379">
            <v>4623459000</v>
          </cell>
          <cell r="J379">
            <v>0.28999999999999998</v>
          </cell>
          <cell r="K379">
            <v>80</v>
          </cell>
          <cell r="L379">
            <v>0.83245939999999996</v>
          </cell>
          <cell r="M379">
            <v>122.8813751</v>
          </cell>
          <cell r="N379">
            <v>0</v>
          </cell>
          <cell r="O379" t="str">
            <v>Tahap III 166</v>
          </cell>
        </row>
        <row r="380">
          <cell r="F380" t="str">
            <v>Garapia</v>
          </cell>
          <cell r="G380" t="str">
            <v>Penyangga</v>
          </cell>
          <cell r="H380">
            <v>4780636000</v>
          </cell>
          <cell r="J380">
            <v>0.37</v>
          </cell>
          <cell r="K380">
            <v>300</v>
          </cell>
          <cell r="L380">
            <v>0.86501099999999997</v>
          </cell>
          <cell r="M380">
            <v>122.71886000000001</v>
          </cell>
          <cell r="N380">
            <v>0</v>
          </cell>
          <cell r="O380" t="str">
            <v>Tahap IV 200</v>
          </cell>
        </row>
        <row r="381">
          <cell r="F381" t="str">
            <v>Malambe</v>
          </cell>
          <cell r="G381" t="str">
            <v>Penyangga</v>
          </cell>
          <cell r="H381">
            <v>4780636000</v>
          </cell>
          <cell r="J381">
            <v>0.318</v>
          </cell>
          <cell r="K381">
            <v>306</v>
          </cell>
          <cell r="L381">
            <v>0.89307380000000003</v>
          </cell>
          <cell r="M381">
            <v>122.869559</v>
          </cell>
          <cell r="N381">
            <v>0</v>
          </cell>
          <cell r="O381" t="str">
            <v>Tahap IV 200</v>
          </cell>
        </row>
        <row r="382">
          <cell r="F382" t="str">
            <v>Ponelo</v>
          </cell>
          <cell r="G382" t="str">
            <v>Hub</v>
          </cell>
          <cell r="H382">
            <v>8104319000</v>
          </cell>
          <cell r="J382">
            <v>1</v>
          </cell>
          <cell r="K382">
            <v>283</v>
          </cell>
          <cell r="L382">
            <v>0.89013900000000001</v>
          </cell>
          <cell r="M382">
            <v>122.886944</v>
          </cell>
          <cell r="N382">
            <v>0</v>
          </cell>
          <cell r="O382" t="str">
            <v>Tahap IV 200</v>
          </cell>
        </row>
        <row r="383">
          <cell r="F383" t="str">
            <v>Tihengo</v>
          </cell>
          <cell r="G383" t="str">
            <v>Penyangga</v>
          </cell>
          <cell r="H383">
            <v>4500000000</v>
          </cell>
          <cell r="J383">
            <v>0.95879999999999999</v>
          </cell>
          <cell r="K383">
            <v>220</v>
          </cell>
          <cell r="L383">
            <v>0.85945070000000001</v>
          </cell>
          <cell r="M383">
            <v>122.8952199</v>
          </cell>
          <cell r="N383">
            <v>0</v>
          </cell>
          <cell r="O383" t="str">
            <v>Tahap III 166</v>
          </cell>
        </row>
        <row r="384">
          <cell r="F384" t="str">
            <v>Rutong</v>
          </cell>
          <cell r="G384" t="str">
            <v>Penyangga</v>
          </cell>
          <cell r="J384">
            <v>1</v>
          </cell>
          <cell r="K384">
            <v>30</v>
          </cell>
          <cell r="L384">
            <v>-3.703354</v>
          </cell>
          <cell r="M384">
            <v>128.271366</v>
          </cell>
          <cell r="N384">
            <v>0</v>
          </cell>
          <cell r="O384" t="e">
            <v>#N/A</v>
          </cell>
        </row>
        <row r="385">
          <cell r="F385" t="str">
            <v>Latuhalat</v>
          </cell>
          <cell r="G385" t="str">
            <v>Penyangga</v>
          </cell>
          <cell r="J385">
            <v>0.56999999999999995</v>
          </cell>
          <cell r="K385">
            <v>9100</v>
          </cell>
          <cell r="L385">
            <v>-3.7781500000000001</v>
          </cell>
          <cell r="M385">
            <v>128.121961</v>
          </cell>
          <cell r="N385">
            <v>0</v>
          </cell>
          <cell r="O385" t="e">
            <v>#N/A</v>
          </cell>
        </row>
        <row r="386">
          <cell r="F386" t="str">
            <v>Urimessing</v>
          </cell>
          <cell r="G386" t="str">
            <v>Penyangga</v>
          </cell>
          <cell r="J386">
            <v>0.5</v>
          </cell>
          <cell r="K386">
            <v>362</v>
          </cell>
          <cell r="L386">
            <v>-3.7495759999999998</v>
          </cell>
          <cell r="M386">
            <v>128.16411299999999</v>
          </cell>
          <cell r="N386">
            <v>0</v>
          </cell>
          <cell r="O386" t="e">
            <v>#N/A</v>
          </cell>
        </row>
        <row r="387">
          <cell r="F387" t="str">
            <v>Laha</v>
          </cell>
          <cell r="G387" t="str">
            <v>Penyangga (+cs)</v>
          </cell>
          <cell r="J387">
            <v>0.4</v>
          </cell>
          <cell r="K387">
            <v>400</v>
          </cell>
          <cell r="L387">
            <v>-3.7061280000000001</v>
          </cell>
          <cell r="M387">
            <v>128.10295600000001</v>
          </cell>
          <cell r="N387">
            <v>0</v>
          </cell>
          <cell r="O387" t="e">
            <v>#N/A</v>
          </cell>
        </row>
        <row r="388">
          <cell r="F388" t="str">
            <v>Sumberejo</v>
          </cell>
          <cell r="G388" t="str">
            <v>Penyangga (+cs)</v>
          </cell>
          <cell r="H388">
            <v>2432317000</v>
          </cell>
          <cell r="J388">
            <v>0.45</v>
          </cell>
          <cell r="K388">
            <v>1870</v>
          </cell>
          <cell r="L388">
            <v>-8.4383292000000001</v>
          </cell>
          <cell r="M388">
            <v>113.5837641</v>
          </cell>
          <cell r="N388">
            <v>0</v>
          </cell>
          <cell r="O388" t="str">
            <v>Tahap I 208</v>
          </cell>
        </row>
        <row r="389">
          <cell r="F389" t="str">
            <v>Paseban</v>
          </cell>
          <cell r="G389" t="str">
            <v>Penyangga</v>
          </cell>
          <cell r="H389">
            <v>2314000000</v>
          </cell>
          <cell r="J389">
            <v>1.8</v>
          </cell>
          <cell r="K389">
            <v>330</v>
          </cell>
          <cell r="L389">
            <v>-8.3290465000000005</v>
          </cell>
          <cell r="M389">
            <v>113.337692</v>
          </cell>
          <cell r="N389">
            <v>0</v>
          </cell>
          <cell r="O389" t="str">
            <v>Tahap I 208</v>
          </cell>
        </row>
        <row r="390">
          <cell r="F390" t="str">
            <v>Pugerkulon</v>
          </cell>
          <cell r="G390" t="str">
            <v>Hub</v>
          </cell>
          <cell r="H390">
            <v>4849599000</v>
          </cell>
          <cell r="J390">
            <v>1</v>
          </cell>
          <cell r="K390">
            <v>9000</v>
          </cell>
          <cell r="L390">
            <v>-8.3834531000000005</v>
          </cell>
          <cell r="M390">
            <v>113.4737106</v>
          </cell>
          <cell r="N390" t="str">
            <v>Proses Kontrak (Pokja)</v>
          </cell>
          <cell r="O390" t="str">
            <v>Tahap I 208</v>
          </cell>
        </row>
        <row r="391">
          <cell r="F391" t="str">
            <v>Kedungsalam</v>
          </cell>
          <cell r="G391" t="str">
            <v>Penyangga</v>
          </cell>
          <cell r="H391">
            <v>2314000000</v>
          </cell>
          <cell r="J391">
            <v>1.5</v>
          </cell>
          <cell r="K391">
            <v>420</v>
          </cell>
          <cell r="L391">
            <v>-8.3808330000000009</v>
          </cell>
          <cell r="M391">
            <v>112.419444</v>
          </cell>
          <cell r="N391">
            <v>0</v>
          </cell>
          <cell r="O391" t="str">
            <v>Tahap III 166</v>
          </cell>
        </row>
        <row r="392">
          <cell r="F392" t="str">
            <v>Sidoasri</v>
          </cell>
          <cell r="G392" t="str">
            <v>Penyangga</v>
          </cell>
          <cell r="H392">
            <v>4441806000</v>
          </cell>
          <cell r="J392">
            <v>1</v>
          </cell>
          <cell r="K392">
            <v>81</v>
          </cell>
          <cell r="L392">
            <v>-8.3853329999999993</v>
          </cell>
          <cell r="M392">
            <v>112.78147199999999</v>
          </cell>
          <cell r="N392">
            <v>0</v>
          </cell>
          <cell r="O392" t="str">
            <v>Tahap IV 200</v>
          </cell>
        </row>
        <row r="393">
          <cell r="F393" t="str">
            <v>Tambakrejo</v>
          </cell>
          <cell r="G393" t="str">
            <v>Penyangga</v>
          </cell>
          <cell r="H393">
            <v>4441806000</v>
          </cell>
          <cell r="K393">
            <v>500</v>
          </cell>
          <cell r="L393">
            <v>-8.4311556030000006</v>
          </cell>
          <cell r="M393">
            <v>112.68633850000001</v>
          </cell>
          <cell r="N393">
            <v>0</v>
          </cell>
          <cell r="O393" t="str">
            <v>Tahap IV 200</v>
          </cell>
        </row>
        <row r="394">
          <cell r="F394" t="str">
            <v>Silang</v>
          </cell>
          <cell r="G394" t="str">
            <v>Penyangga</v>
          </cell>
          <cell r="J394">
            <v>0.35099999999999998</v>
          </cell>
          <cell r="K394">
            <v>60</v>
          </cell>
          <cell r="L394">
            <v>-0.85431999999999997</v>
          </cell>
          <cell r="M394">
            <v>127.71802</v>
          </cell>
          <cell r="N394">
            <v>0</v>
          </cell>
          <cell r="O394" t="e">
            <v>#N/A</v>
          </cell>
        </row>
        <row r="395">
          <cell r="F395" t="str">
            <v>Dowora</v>
          </cell>
          <cell r="G395" t="str">
            <v>Penyangga</v>
          </cell>
          <cell r="J395">
            <v>1.1200000000000001</v>
          </cell>
          <cell r="K395">
            <v>991</v>
          </cell>
          <cell r="L395">
            <v>-0.84969600000000001</v>
          </cell>
          <cell r="M395">
            <v>128.10519300000001</v>
          </cell>
          <cell r="N395">
            <v>0</v>
          </cell>
          <cell r="O395" t="e">
            <v>#N/A</v>
          </cell>
        </row>
        <row r="396">
          <cell r="F396" t="str">
            <v>Gonone</v>
          </cell>
          <cell r="G396" t="str">
            <v>Penyangga</v>
          </cell>
          <cell r="J396">
            <v>0.08</v>
          </cell>
          <cell r="K396">
            <v>100</v>
          </cell>
          <cell r="L396">
            <v>-1.0893379999999999</v>
          </cell>
          <cell r="M396">
            <v>128.31720799999999</v>
          </cell>
          <cell r="N396">
            <v>0</v>
          </cell>
          <cell r="O396" t="e">
            <v>#N/A</v>
          </cell>
        </row>
        <row r="397">
          <cell r="F397" t="str">
            <v>Kakupang</v>
          </cell>
          <cell r="G397" t="str">
            <v>Penyangga</v>
          </cell>
          <cell r="J397">
            <v>1</v>
          </cell>
          <cell r="K397">
            <v>1010</v>
          </cell>
          <cell r="L397">
            <v>-0.94565100000000002</v>
          </cell>
          <cell r="M397">
            <v>128.313098</v>
          </cell>
          <cell r="N397">
            <v>0</v>
          </cell>
          <cell r="O397" t="e">
            <v>#N/A</v>
          </cell>
        </row>
        <row r="398">
          <cell r="F398" t="str">
            <v>Pulau Gala</v>
          </cell>
          <cell r="G398" t="str">
            <v>Penyangga</v>
          </cell>
          <cell r="J398">
            <v>1.5</v>
          </cell>
          <cell r="K398">
            <v>500</v>
          </cell>
          <cell r="L398">
            <v>-1.1048009999999999</v>
          </cell>
          <cell r="M398">
            <v>128.33641700000001</v>
          </cell>
          <cell r="N398">
            <v>0</v>
          </cell>
          <cell r="O398" t="e">
            <v>#N/A</v>
          </cell>
        </row>
        <row r="399">
          <cell r="F399" t="str">
            <v>Tawabi</v>
          </cell>
          <cell r="G399" t="str">
            <v>Penyangga</v>
          </cell>
          <cell r="J399">
            <v>1</v>
          </cell>
          <cell r="K399">
            <v>450</v>
          </cell>
          <cell r="L399">
            <v>-1.12357</v>
          </cell>
          <cell r="M399">
            <v>128.38976</v>
          </cell>
          <cell r="N399">
            <v>0</v>
          </cell>
          <cell r="O399" t="e">
            <v>#N/A</v>
          </cell>
        </row>
        <row r="400">
          <cell r="F400" t="str">
            <v>Mano</v>
          </cell>
          <cell r="G400" t="str">
            <v>Penyangga</v>
          </cell>
          <cell r="J400">
            <v>1</v>
          </cell>
          <cell r="K400">
            <v>402</v>
          </cell>
          <cell r="L400">
            <v>-1.827882</v>
          </cell>
          <cell r="M400">
            <v>127.644336</v>
          </cell>
          <cell r="N400">
            <v>0</v>
          </cell>
          <cell r="O400" t="e">
            <v>#N/A</v>
          </cell>
        </row>
        <row r="401">
          <cell r="F401" t="str">
            <v>Moilong</v>
          </cell>
          <cell r="G401" t="str">
            <v>Penyangga</v>
          </cell>
          <cell r="H401">
            <v>4082859000</v>
          </cell>
          <cell r="J401">
            <v>0.16</v>
          </cell>
          <cell r="K401">
            <v>389</v>
          </cell>
          <cell r="L401">
            <v>-1.4547262999999999</v>
          </cell>
          <cell r="M401">
            <v>122.4087067</v>
          </cell>
          <cell r="N401" t="str">
            <v>Proses Kontrak (Pokja)</v>
          </cell>
          <cell r="O401" t="str">
            <v>Tahap I 208</v>
          </cell>
        </row>
        <row r="402">
          <cell r="F402" t="str">
            <v>Rata</v>
          </cell>
          <cell r="G402" t="str">
            <v>Hub</v>
          </cell>
          <cell r="H402">
            <v>8104319000</v>
          </cell>
          <cell r="J402">
            <v>0.43</v>
          </cell>
          <cell r="K402">
            <v>291</v>
          </cell>
          <cell r="L402">
            <v>-1.6085818000000001</v>
          </cell>
          <cell r="M402">
            <v>122.12845110000001</v>
          </cell>
          <cell r="N402" t="str">
            <v>Proses Kontrak (Pokja)</v>
          </cell>
          <cell r="O402" t="str">
            <v>Tahap I 208</v>
          </cell>
        </row>
        <row r="403">
          <cell r="F403" t="str">
            <v>Pasir Putih</v>
          </cell>
          <cell r="G403" t="str">
            <v>Penyangga</v>
          </cell>
          <cell r="H403">
            <v>4035223444</v>
          </cell>
          <cell r="J403">
            <v>0.93</v>
          </cell>
          <cell r="K403">
            <v>100</v>
          </cell>
          <cell r="L403">
            <v>-4.0409040000000003</v>
          </cell>
          <cell r="M403">
            <v>122.977554</v>
          </cell>
          <cell r="N403" t="str">
            <v>Proses Kontrak (Pokja)</v>
          </cell>
          <cell r="O403" t="str">
            <v>Tahap I 208</v>
          </cell>
        </row>
        <row r="404">
          <cell r="F404" t="str">
            <v>Sainoa Indah</v>
          </cell>
          <cell r="G404" t="str">
            <v>Penyangga</v>
          </cell>
          <cell r="H404">
            <v>3567381000</v>
          </cell>
          <cell r="J404">
            <v>0.52</v>
          </cell>
          <cell r="K404">
            <v>138</v>
          </cell>
          <cell r="L404">
            <v>-4.2476669999999999</v>
          </cell>
          <cell r="M404">
            <v>123.14280599999999</v>
          </cell>
          <cell r="N404" t="str">
            <v>Proses Kontrak (Pokja)</v>
          </cell>
          <cell r="O404" t="str">
            <v>Tahap I 208</v>
          </cell>
        </row>
        <row r="405">
          <cell r="F405" t="str">
            <v>Saburano</v>
          </cell>
          <cell r="G405" t="str">
            <v>Hub</v>
          </cell>
          <cell r="H405">
            <v>4889637000</v>
          </cell>
          <cell r="J405">
            <v>0.69</v>
          </cell>
          <cell r="K405">
            <v>123</v>
          </cell>
          <cell r="L405">
            <v>-4.1425830000000001</v>
          </cell>
          <cell r="M405">
            <v>123.232972</v>
          </cell>
          <cell r="N405" t="str">
            <v>Proses Kontrak (Pokja)</v>
          </cell>
          <cell r="O405" t="str">
            <v>Tahap I 208</v>
          </cell>
        </row>
        <row r="406">
          <cell r="F406" t="str">
            <v>Sakam</v>
          </cell>
          <cell r="G406" t="str">
            <v>Hub</v>
          </cell>
          <cell r="J406">
            <v>0.76</v>
          </cell>
          <cell r="K406">
            <v>190</v>
          </cell>
          <cell r="L406">
            <v>0.49149599999999999</v>
          </cell>
          <cell r="M406">
            <v>128.66892899999999</v>
          </cell>
          <cell r="N406">
            <v>0</v>
          </cell>
          <cell r="O406" t="e">
            <v>#N/A</v>
          </cell>
        </row>
        <row r="407">
          <cell r="F407" t="str">
            <v>Bilifitu</v>
          </cell>
          <cell r="G407" t="str">
            <v>Penyangga</v>
          </cell>
          <cell r="J407">
            <v>0.25</v>
          </cell>
          <cell r="K407">
            <v>200</v>
          </cell>
          <cell r="L407">
            <v>0.317749</v>
          </cell>
          <cell r="M407">
            <v>128.78107499999999</v>
          </cell>
          <cell r="N407">
            <v>0</v>
          </cell>
          <cell r="O407" t="e">
            <v>#N/A</v>
          </cell>
        </row>
        <row r="408">
          <cell r="F408" t="str">
            <v>Messa</v>
          </cell>
          <cell r="G408" t="str">
            <v>Penyangga</v>
          </cell>
          <cell r="J408">
            <v>0.26</v>
          </cell>
          <cell r="K408">
            <v>50</v>
          </cell>
          <cell r="L408">
            <v>0.399117</v>
          </cell>
          <cell r="M408">
            <v>128.289502</v>
          </cell>
          <cell r="N408">
            <v>0</v>
          </cell>
          <cell r="O408" t="e">
            <v>#N/A</v>
          </cell>
        </row>
        <row r="409">
          <cell r="F409" t="str">
            <v>Sil</v>
          </cell>
          <cell r="G409" t="str">
            <v>Penyangga</v>
          </cell>
          <cell r="J409">
            <v>1</v>
          </cell>
          <cell r="K409">
            <v>46</v>
          </cell>
          <cell r="L409">
            <v>0.54961000000000004</v>
          </cell>
          <cell r="M409">
            <v>128.61886000000001</v>
          </cell>
          <cell r="N409">
            <v>0</v>
          </cell>
          <cell r="O409" t="e">
            <v>#N/A</v>
          </cell>
        </row>
        <row r="410">
          <cell r="F410" t="str">
            <v>Pangeo</v>
          </cell>
          <cell r="G410" t="str">
            <v>Penyangga</v>
          </cell>
          <cell r="J410">
            <v>0.15</v>
          </cell>
          <cell r="K410">
            <v>150</v>
          </cell>
          <cell r="L410">
            <v>2.571434</v>
          </cell>
          <cell r="M410">
            <v>128.60772700000001</v>
          </cell>
          <cell r="N410">
            <v>0</v>
          </cell>
          <cell r="O410" t="e">
            <v>#N/A</v>
          </cell>
        </row>
        <row r="411">
          <cell r="F411" t="str">
            <v>Titigogoli</v>
          </cell>
          <cell r="G411" t="str">
            <v>Penyangga</v>
          </cell>
          <cell r="J411">
            <v>0.13</v>
          </cell>
          <cell r="K411">
            <v>40</v>
          </cell>
          <cell r="L411">
            <v>2.5557588</v>
          </cell>
          <cell r="M411">
            <v>128.42814540000001</v>
          </cell>
          <cell r="N411">
            <v>0</v>
          </cell>
          <cell r="O411" t="e">
            <v>#N/A</v>
          </cell>
        </row>
        <row r="412">
          <cell r="F412" t="str">
            <v>Koloray</v>
          </cell>
          <cell r="G412" t="str">
            <v>Penyangga</v>
          </cell>
          <cell r="J412">
            <v>7.0000000000000007E-2</v>
          </cell>
          <cell r="K412">
            <v>130</v>
          </cell>
          <cell r="L412">
            <v>2.0539480000000001</v>
          </cell>
          <cell r="M412">
            <v>128.21112160000001</v>
          </cell>
          <cell r="N412">
            <v>0</v>
          </cell>
          <cell r="O412" t="e">
            <v>#N/A</v>
          </cell>
        </row>
        <row r="413">
          <cell r="F413" t="str">
            <v>Mira</v>
          </cell>
          <cell r="G413" t="str">
            <v>Penyangga</v>
          </cell>
          <cell r="J413">
            <v>0.1</v>
          </cell>
          <cell r="K413">
            <v>150</v>
          </cell>
          <cell r="L413">
            <v>2.1558250000000001</v>
          </cell>
          <cell r="M413">
            <v>128.58480800000001</v>
          </cell>
          <cell r="N413">
            <v>0</v>
          </cell>
          <cell r="O413" t="e">
            <v>#N/A</v>
          </cell>
        </row>
        <row r="414">
          <cell r="F414" t="str">
            <v>Gorua</v>
          </cell>
          <cell r="G414" t="str">
            <v>Penyangga</v>
          </cell>
          <cell r="J414">
            <v>1</v>
          </cell>
          <cell r="K414">
            <v>103</v>
          </cell>
          <cell r="L414">
            <v>2.4290470000000002</v>
          </cell>
          <cell r="M414">
            <v>128.68944300000001</v>
          </cell>
          <cell r="N414">
            <v>0</v>
          </cell>
          <cell r="O414" t="e">
            <v>#N/A</v>
          </cell>
        </row>
        <row r="415">
          <cell r="F415" t="str">
            <v>Loleo Jaya</v>
          </cell>
          <cell r="G415" t="str">
            <v>Penyangga</v>
          </cell>
          <cell r="J415">
            <v>0.14000000000000001</v>
          </cell>
          <cell r="K415">
            <v>65</v>
          </cell>
          <cell r="L415">
            <v>2.3758360000000001</v>
          </cell>
          <cell r="M415">
            <v>128.656858</v>
          </cell>
          <cell r="N415">
            <v>0</v>
          </cell>
          <cell r="O415" t="e">
            <v>#N/A</v>
          </cell>
        </row>
        <row r="416">
          <cell r="F416" t="str">
            <v>Maba</v>
          </cell>
          <cell r="G416" t="str">
            <v>Penyangga</v>
          </cell>
          <cell r="J416">
            <v>0.6</v>
          </cell>
          <cell r="K416">
            <v>25</v>
          </cell>
          <cell r="L416">
            <v>2.3976000000000002</v>
          </cell>
          <cell r="M416">
            <v>128.66695000000001</v>
          </cell>
          <cell r="N416">
            <v>0</v>
          </cell>
          <cell r="O416" t="e">
            <v>#N/A</v>
          </cell>
        </row>
        <row r="417">
          <cell r="F417" t="str">
            <v>Palahanaeng</v>
          </cell>
          <cell r="G417" t="str">
            <v>Penyangga</v>
          </cell>
          <cell r="H417">
            <v>4500000000</v>
          </cell>
          <cell r="J417">
            <v>0.05</v>
          </cell>
          <cell r="K417">
            <v>85</v>
          </cell>
          <cell r="L417">
            <v>3.5927929999999999</v>
          </cell>
          <cell r="M417">
            <v>125.574005</v>
          </cell>
          <cell r="O417" t="e">
            <v>#N/A</v>
          </cell>
        </row>
        <row r="418">
          <cell r="F418" t="str">
            <v>Naha I</v>
          </cell>
          <cell r="G418" t="str">
            <v>Penyangga</v>
          </cell>
          <cell r="H418">
            <v>4113611000</v>
          </cell>
          <cell r="J418">
            <v>7.0000000000000007E-2</v>
          </cell>
          <cell r="K418">
            <v>50</v>
          </cell>
          <cell r="L418">
            <v>3.6926380000000001</v>
          </cell>
          <cell r="M418">
            <v>125.533591</v>
          </cell>
          <cell r="O418" t="e">
            <v>#N/A</v>
          </cell>
        </row>
        <row r="419">
          <cell r="F419" t="str">
            <v>Santiago</v>
          </cell>
          <cell r="G419" t="str">
            <v>Hub</v>
          </cell>
          <cell r="H419">
            <v>6224248400</v>
          </cell>
          <cell r="J419">
            <v>0.63</v>
          </cell>
          <cell r="K419">
            <v>2.2490000000000001</v>
          </cell>
          <cell r="L419">
            <v>3.6159509999999999</v>
          </cell>
          <cell r="M419">
            <v>125.45909899999999</v>
          </cell>
          <cell r="O419" t="e">
            <v>#N/A</v>
          </cell>
        </row>
        <row r="420">
          <cell r="F420" t="str">
            <v>Inobonto Ii</v>
          </cell>
          <cell r="G420" t="str">
            <v>Penyangga</v>
          </cell>
          <cell r="H420">
            <v>8462951000</v>
          </cell>
          <cell r="J420">
            <v>1</v>
          </cell>
          <cell r="K420">
            <v>390</v>
          </cell>
          <cell r="L420">
            <v>0.92044499999999996</v>
          </cell>
          <cell r="M420">
            <v>124.11111699999999</v>
          </cell>
          <cell r="O420" t="e">
            <v>#N/A</v>
          </cell>
        </row>
        <row r="421">
          <cell r="F421" t="str">
            <v>Sauk</v>
          </cell>
          <cell r="G421" t="str">
            <v>Hub</v>
          </cell>
          <cell r="H421">
            <v>4986719000</v>
          </cell>
          <cell r="J421">
            <v>0.65</v>
          </cell>
          <cell r="K421">
            <v>160</v>
          </cell>
          <cell r="L421">
            <v>0.83840499999999996</v>
          </cell>
          <cell r="M421">
            <v>123.94516</v>
          </cell>
          <cell r="O421" t="e">
            <v>#N/A</v>
          </cell>
        </row>
        <row r="422">
          <cell r="F422" t="str">
            <v>Ranomea</v>
          </cell>
          <cell r="G422" t="str">
            <v>Penyangga</v>
          </cell>
          <cell r="H422">
            <v>4500000000</v>
          </cell>
          <cell r="J422">
            <v>1</v>
          </cell>
          <cell r="K422">
            <v>33</v>
          </cell>
          <cell r="L422">
            <v>1.1979067000000001</v>
          </cell>
          <cell r="M422">
            <v>124.58524</v>
          </cell>
          <cell r="O422" t="e">
            <v>#N/A</v>
          </cell>
        </row>
        <row r="423">
          <cell r="F423" t="str">
            <v>Matani Satu</v>
          </cell>
          <cell r="G423" t="str">
            <v>Penyangga</v>
          </cell>
          <cell r="H423">
            <v>4500000000</v>
          </cell>
          <cell r="J423">
            <v>1</v>
          </cell>
          <cell r="K423">
            <v>273</v>
          </cell>
          <cell r="L423">
            <v>1.2585033000000001</v>
          </cell>
          <cell r="M423">
            <v>124.6058567</v>
          </cell>
          <cell r="O423" t="e">
            <v>#N/A</v>
          </cell>
        </row>
        <row r="424">
          <cell r="F424" t="str">
            <v>Songbanyu</v>
          </cell>
          <cell r="G424" t="str">
            <v>Hub</v>
          </cell>
          <cell r="H424">
            <v>5500000000</v>
          </cell>
          <cell r="J424">
            <v>0.65</v>
          </cell>
          <cell r="K424">
            <v>399</v>
          </cell>
          <cell r="L424">
            <v>-8.1870499999999993</v>
          </cell>
          <cell r="M424">
            <v>110.801225</v>
          </cell>
          <cell r="N424" t="str">
            <v>Proses Kontrak (Pokja)</v>
          </cell>
          <cell r="O424" t="str">
            <v>Tahap I 208</v>
          </cell>
        </row>
        <row r="425">
          <cell r="F425" t="str">
            <v>Kanigoro</v>
          </cell>
          <cell r="G425" t="str">
            <v>Penyangga</v>
          </cell>
          <cell r="H425">
            <v>2314000000</v>
          </cell>
          <cell r="J425">
            <v>0.05</v>
          </cell>
          <cell r="K425">
            <v>176</v>
          </cell>
          <cell r="L425">
            <v>-8.1198080000000008</v>
          </cell>
          <cell r="M425">
            <v>110.5143413</v>
          </cell>
          <cell r="N425" t="str">
            <v>Proses Kontrak (Pokja)</v>
          </cell>
          <cell r="O425" t="str">
            <v>Tahap I 208</v>
          </cell>
        </row>
        <row r="426">
          <cell r="F426" t="str">
            <v>Banjarejo</v>
          </cell>
          <cell r="G426" t="str">
            <v>Penyangga</v>
          </cell>
          <cell r="H426">
            <v>2314000000</v>
          </cell>
          <cell r="J426">
            <v>0.83</v>
          </cell>
          <cell r="K426">
            <v>160</v>
          </cell>
          <cell r="L426">
            <v>-8.1321154</v>
          </cell>
          <cell r="M426">
            <v>110.5810168</v>
          </cell>
          <cell r="N426" t="str">
            <v>Proses Kontrak (Pokja)</v>
          </cell>
          <cell r="O426" t="str">
            <v>Tahap I 208</v>
          </cell>
        </row>
        <row r="427">
          <cell r="F427" t="str">
            <v>Kemadang</v>
          </cell>
          <cell r="G427" t="str">
            <v>Penyangga</v>
          </cell>
          <cell r="H427">
            <v>2314000000</v>
          </cell>
          <cell r="J427">
            <v>0.05</v>
          </cell>
          <cell r="K427">
            <v>156</v>
          </cell>
          <cell r="L427">
            <v>-8.1286763000000004</v>
          </cell>
          <cell r="M427">
            <v>110.5494743</v>
          </cell>
          <cell r="N427" t="str">
            <v>Proses Kontrak (Pokja)</v>
          </cell>
          <cell r="O427" t="str">
            <v>Tahap I 208</v>
          </cell>
        </row>
        <row r="428">
          <cell r="F428" t="str">
            <v>Sidoharjo</v>
          </cell>
          <cell r="G428" t="str">
            <v>Penyangga</v>
          </cell>
          <cell r="H428">
            <v>2314000000</v>
          </cell>
          <cell r="J428">
            <v>0.12</v>
          </cell>
          <cell r="K428">
            <v>73</v>
          </cell>
          <cell r="L428">
            <v>-8.1429211000000006</v>
          </cell>
          <cell r="M428">
            <v>110.60446899999999</v>
          </cell>
          <cell r="N428" t="str">
            <v>Proses Kontrak (Pokja)</v>
          </cell>
          <cell r="O428" t="str">
            <v>Tahap I 208</v>
          </cell>
        </row>
        <row r="429">
          <cell r="F429" t="str">
            <v>Puday</v>
          </cell>
          <cell r="G429" t="str">
            <v>Penyangga</v>
          </cell>
          <cell r="H429">
            <v>4040952000</v>
          </cell>
          <cell r="I429" t="str">
            <v>Nodin PPK 26 Mei 2026</v>
          </cell>
          <cell r="J429">
            <v>0.75</v>
          </cell>
          <cell r="K429">
            <v>676</v>
          </cell>
          <cell r="L429">
            <v>-3.9839069999999999</v>
          </cell>
          <cell r="M429">
            <v>122.578102</v>
          </cell>
          <cell r="N429" t="str">
            <v>Kontrak</v>
          </cell>
          <cell r="O429" t="str">
            <v>Tahap I 208</v>
          </cell>
        </row>
        <row r="430">
          <cell r="F430" t="str">
            <v>Sambuli</v>
          </cell>
          <cell r="G430" t="str">
            <v>Penyangga</v>
          </cell>
          <cell r="H430">
            <v>4753959000</v>
          </cell>
          <cell r="I430" t="str">
            <v>Nodin PPK 26 Mei 2026</v>
          </cell>
          <cell r="J430">
            <v>1.9</v>
          </cell>
          <cell r="K430">
            <v>380</v>
          </cell>
          <cell r="L430">
            <v>-4.0048859999999999</v>
          </cell>
          <cell r="M430">
            <v>122.63027</v>
          </cell>
          <cell r="N430" t="str">
            <v>Kontrak</v>
          </cell>
          <cell r="O430" t="str">
            <v>Tahap I 208</v>
          </cell>
        </row>
        <row r="431">
          <cell r="F431" t="str">
            <v>Tondonggeu</v>
          </cell>
          <cell r="G431" t="str">
            <v>Penyangga</v>
          </cell>
          <cell r="H431">
            <v>4883358000</v>
          </cell>
          <cell r="I431" t="str">
            <v>Nodin PPK 26 Mei 2026</v>
          </cell>
          <cell r="J431">
            <v>1.2</v>
          </cell>
          <cell r="K431">
            <v>260</v>
          </cell>
          <cell r="L431">
            <v>-4.0040230000000001</v>
          </cell>
          <cell r="M431">
            <v>122.638351</v>
          </cell>
          <cell r="N431" t="str">
            <v>Kontrak</v>
          </cell>
          <cell r="O431" t="str">
            <v>Tahap I 208</v>
          </cell>
        </row>
        <row r="432">
          <cell r="F432" t="str">
            <v>Klidang Lor</v>
          </cell>
          <cell r="G432" t="str">
            <v>Penyangga (+cs)</v>
          </cell>
          <cell r="H432">
            <v>3250000000</v>
          </cell>
          <cell r="J432">
            <v>0.2</v>
          </cell>
          <cell r="K432">
            <v>900</v>
          </cell>
          <cell r="L432">
            <v>-6.8870940000000003</v>
          </cell>
          <cell r="M432">
            <v>109.748698</v>
          </cell>
          <cell r="N432">
            <v>0</v>
          </cell>
          <cell r="O432" t="str">
            <v>Tahap III 166</v>
          </cell>
        </row>
        <row r="433">
          <cell r="F433" t="str">
            <v>Sidorejo</v>
          </cell>
          <cell r="G433" t="str">
            <v>Penyangga</v>
          </cell>
          <cell r="H433">
            <v>5437000000</v>
          </cell>
          <cell r="J433">
            <v>0.06</v>
          </cell>
          <cell r="K433">
            <v>98</v>
          </cell>
          <cell r="L433">
            <v>-6.9234179999999999</v>
          </cell>
          <cell r="M433">
            <v>110.013085</v>
          </cell>
          <cell r="N433">
            <v>0</v>
          </cell>
          <cell r="O433" t="str">
            <v>Tahap IV 200</v>
          </cell>
        </row>
        <row r="434">
          <cell r="F434" t="str">
            <v>Gempolsewu</v>
          </cell>
          <cell r="G434" t="str">
            <v>Penyangga</v>
          </cell>
          <cell r="H434">
            <v>4139572890</v>
          </cell>
          <cell r="J434">
            <v>0.24</v>
          </cell>
          <cell r="K434">
            <v>3000</v>
          </cell>
          <cell r="L434">
            <v>-6.9052778999999997</v>
          </cell>
          <cell r="M434">
            <v>110.0431284</v>
          </cell>
          <cell r="N434" t="str">
            <v>Proses Kontrak (Pokja)</v>
          </cell>
          <cell r="O434" t="str">
            <v>Tahap I 208</v>
          </cell>
        </row>
        <row r="435">
          <cell r="F435" t="str">
            <v>Muarareja</v>
          </cell>
          <cell r="G435" t="str">
            <v>Penyangga</v>
          </cell>
          <cell r="H435">
            <v>5437000000</v>
          </cell>
          <cell r="J435">
            <v>0.18</v>
          </cell>
          <cell r="K435">
            <v>799</v>
          </cell>
          <cell r="L435">
            <v>-6.8433330000000003</v>
          </cell>
          <cell r="M435">
            <v>109.10775599999999</v>
          </cell>
          <cell r="N435">
            <v>0</v>
          </cell>
          <cell r="O435" t="str">
            <v>Tahap IV 200</v>
          </cell>
        </row>
        <row r="436">
          <cell r="F436" t="str">
            <v>Tegalsari</v>
          </cell>
          <cell r="G436" t="str">
            <v>Penyangga (+cs)</v>
          </cell>
          <cell r="H436">
            <v>3250000000</v>
          </cell>
          <cell r="J436">
            <v>13581</v>
          </cell>
          <cell r="K436">
            <v>878</v>
          </cell>
          <cell r="L436">
            <v>-6.8494710000000003</v>
          </cell>
          <cell r="M436">
            <v>109.123925</v>
          </cell>
          <cell r="N436">
            <v>0</v>
          </cell>
          <cell r="O436" t="str">
            <v>Tahap III 166</v>
          </cell>
        </row>
        <row r="437">
          <cell r="F437" t="str">
            <v>Pecakaran</v>
          </cell>
          <cell r="G437" t="str">
            <v>Penyangga</v>
          </cell>
          <cell r="H437">
            <v>2314000000</v>
          </cell>
          <cell r="J437">
            <v>0.06</v>
          </cell>
          <cell r="K437">
            <v>633</v>
          </cell>
          <cell r="L437">
            <v>-6.8671670000000002</v>
          </cell>
          <cell r="M437">
            <v>109.644165</v>
          </cell>
          <cell r="N437">
            <v>0</v>
          </cell>
          <cell r="O437" t="str">
            <v>Tahap III 166</v>
          </cell>
        </row>
        <row r="438">
          <cell r="F438" t="str">
            <v>Wonokertokulon</v>
          </cell>
          <cell r="G438" t="str">
            <v>Penyangga</v>
          </cell>
          <cell r="H438">
            <v>5437000000</v>
          </cell>
          <cell r="J438">
            <v>0.15359999999999999</v>
          </cell>
          <cell r="K438">
            <v>1700</v>
          </cell>
          <cell r="L438">
            <v>-6.8433210000000004</v>
          </cell>
          <cell r="M438">
            <v>109.62294900000001</v>
          </cell>
          <cell r="N438">
            <v>0</v>
          </cell>
          <cell r="O438" t="str">
            <v>Tahap IV 200</v>
          </cell>
        </row>
        <row r="439">
          <cell r="F439" t="str">
            <v>Danasari</v>
          </cell>
          <cell r="G439" t="str">
            <v>Penyangga</v>
          </cell>
          <cell r="H439">
            <v>2314000000</v>
          </cell>
          <cell r="J439">
            <v>0.85719999999999996</v>
          </cell>
          <cell r="K439">
            <v>260</v>
          </cell>
          <cell r="L439">
            <v>-6.8527779999999998</v>
          </cell>
          <cell r="M439">
            <v>109.409167</v>
          </cell>
          <cell r="N439">
            <v>0</v>
          </cell>
          <cell r="O439" t="str">
            <v>Tahap III 166</v>
          </cell>
        </row>
        <row r="440">
          <cell r="F440" t="str">
            <v>Sugihwaras</v>
          </cell>
          <cell r="G440" t="str">
            <v>Hub</v>
          </cell>
          <cell r="H440">
            <v>4385682527</v>
          </cell>
          <cell r="J440">
            <v>0.68</v>
          </cell>
          <cell r="K440">
            <v>3793</v>
          </cell>
          <cell r="L440">
            <v>-6.8626399999999999</v>
          </cell>
          <cell r="M440">
            <v>109.368043</v>
          </cell>
          <cell r="N440" t="str">
            <v>Proses Kontrak (Pokja)</v>
          </cell>
          <cell r="O440" t="str">
            <v>Tahap I 208</v>
          </cell>
        </row>
        <row r="441">
          <cell r="F441" t="str">
            <v>Nyamplungsari</v>
          </cell>
          <cell r="G441" t="str">
            <v>Penyangga</v>
          </cell>
          <cell r="H441">
            <v>2774065679</v>
          </cell>
          <cell r="J441">
            <v>0.5</v>
          </cell>
          <cell r="K441">
            <v>120</v>
          </cell>
          <cell r="L441">
            <v>-6.8408329999999999</v>
          </cell>
          <cell r="M441">
            <v>109.443985</v>
          </cell>
          <cell r="N441" t="str">
            <v>Proses Kontrak (Pokja)</v>
          </cell>
          <cell r="O441" t="str">
            <v>Tahap I 208</v>
          </cell>
        </row>
        <row r="442">
          <cell r="F442" t="str">
            <v>Asemdoyong</v>
          </cell>
          <cell r="G442" t="str">
            <v>Penyangga (+cs)</v>
          </cell>
          <cell r="H442">
            <v>3250000000</v>
          </cell>
          <cell r="K442">
            <v>1776</v>
          </cell>
          <cell r="L442">
            <v>-6.859051</v>
          </cell>
          <cell r="M442">
            <v>109.417304</v>
          </cell>
          <cell r="N442">
            <v>0</v>
          </cell>
          <cell r="O442" t="str">
            <v>Tahap III 166</v>
          </cell>
        </row>
        <row r="443">
          <cell r="F443" t="str">
            <v>Mojo</v>
          </cell>
          <cell r="G443" t="str">
            <v>Penyangga</v>
          </cell>
          <cell r="H443">
            <v>4385682527</v>
          </cell>
          <cell r="J443">
            <v>0.3</v>
          </cell>
          <cell r="K443">
            <v>869</v>
          </cell>
          <cell r="L443">
            <v>-6.8119350000000001</v>
          </cell>
          <cell r="M443">
            <v>109.52266</v>
          </cell>
          <cell r="N443" t="str">
            <v>Proses Kontrak (Pokja)</v>
          </cell>
          <cell r="O443" t="str">
            <v>Tahap I 208</v>
          </cell>
        </row>
        <row r="444">
          <cell r="F444" t="str">
            <v>Bojongsana</v>
          </cell>
          <cell r="G444" t="str">
            <v>Penyangga</v>
          </cell>
          <cell r="H444">
            <v>5437000000</v>
          </cell>
          <cell r="K444">
            <v>189</v>
          </cell>
          <cell r="L444">
            <v>-6.8734945300000003</v>
          </cell>
          <cell r="M444">
            <v>109.287977</v>
          </cell>
          <cell r="N444">
            <v>0</v>
          </cell>
          <cell r="O444" t="str">
            <v>Tahap IV 200</v>
          </cell>
        </row>
        <row r="445">
          <cell r="F445" t="str">
            <v>Purwahamba</v>
          </cell>
          <cell r="G445" t="str">
            <v>Penyangga</v>
          </cell>
          <cell r="H445">
            <v>2314000000</v>
          </cell>
          <cell r="J445">
            <v>0.08</v>
          </cell>
          <cell r="K445">
            <v>104</v>
          </cell>
          <cell r="L445">
            <v>-6.8711029999999997</v>
          </cell>
          <cell r="M445">
            <v>109.252568</v>
          </cell>
          <cell r="N445">
            <v>0</v>
          </cell>
          <cell r="O445" t="str">
            <v>Tahap III 166</v>
          </cell>
        </row>
        <row r="446">
          <cell r="F446" t="str">
            <v>Suradadi</v>
          </cell>
          <cell r="G446" t="str">
            <v>Penyangga</v>
          </cell>
          <cell r="H446">
            <v>2314000000</v>
          </cell>
          <cell r="J446">
            <v>0.97</v>
          </cell>
          <cell r="K446">
            <v>750</v>
          </cell>
          <cell r="L446">
            <v>-6.8737240000000002</v>
          </cell>
          <cell r="M446">
            <v>109.26870599999999</v>
          </cell>
          <cell r="N446">
            <v>0</v>
          </cell>
          <cell r="O446" t="str">
            <v>Tahap I 208</v>
          </cell>
        </row>
        <row r="447">
          <cell r="F447" t="str">
            <v>Kawa</v>
          </cell>
          <cell r="G447" t="str">
            <v>Penyangga</v>
          </cell>
          <cell r="J447">
            <v>1</v>
          </cell>
          <cell r="K447">
            <v>220</v>
          </cell>
          <cell r="L447">
            <v>-2.955406</v>
          </cell>
          <cell r="M447">
            <v>128.119711</v>
          </cell>
          <cell r="N447">
            <v>0</v>
          </cell>
          <cell r="O447" t="e">
            <v>#N/A</v>
          </cell>
        </row>
        <row r="448">
          <cell r="F448" t="str">
            <v>Kasieh</v>
          </cell>
          <cell r="G448" t="str">
            <v>Penyangga</v>
          </cell>
          <cell r="J448">
            <v>0.47</v>
          </cell>
          <cell r="K448">
            <v>120</v>
          </cell>
          <cell r="L448">
            <v>-2.8510149999999999</v>
          </cell>
          <cell r="M448">
            <v>128.544894</v>
          </cell>
          <cell r="N448">
            <v>0</v>
          </cell>
          <cell r="O448" t="e">
            <v>#N/A</v>
          </cell>
        </row>
        <row r="449">
          <cell r="F449" t="str">
            <v>Sukaraja</v>
          </cell>
          <cell r="G449" t="str">
            <v>Penyangga</v>
          </cell>
          <cell r="J449">
            <v>1.3</v>
          </cell>
          <cell r="K449">
            <v>90</v>
          </cell>
          <cell r="L449">
            <v>-2.8617900000000001</v>
          </cell>
          <cell r="M449">
            <v>128.70748</v>
          </cell>
          <cell r="N449">
            <v>0</v>
          </cell>
          <cell r="O449" t="e">
            <v>#N/A</v>
          </cell>
        </row>
        <row r="450">
          <cell r="F450" t="str">
            <v>Mekkatta Selatan</v>
          </cell>
          <cell r="G450" t="str">
            <v>Penyangga</v>
          </cell>
          <cell r="H450">
            <v>4910372489</v>
          </cell>
          <cell r="I450" t="str">
            <v>Nodin PPK 3 Juni 2026</v>
          </cell>
          <cell r="J450">
            <v>1.01</v>
          </cell>
          <cell r="K450">
            <v>100</v>
          </cell>
          <cell r="L450">
            <v>-2.9622600000000001</v>
          </cell>
          <cell r="M450">
            <v>118.866799</v>
          </cell>
          <cell r="N450" t="str">
            <v>Proses Kontrak (Pokja)</v>
          </cell>
          <cell r="O450" t="str">
            <v>Tahap I 208</v>
          </cell>
        </row>
        <row r="451">
          <cell r="F451" t="str">
            <v>Tubo Poang</v>
          </cell>
          <cell r="G451" t="str">
            <v>Penyangga</v>
          </cell>
          <cell r="H451">
            <v>4185095000</v>
          </cell>
          <cell r="I451" t="str">
            <v>Nodin PPK 3 Juni 2026</v>
          </cell>
          <cell r="J451">
            <v>0.98</v>
          </cell>
          <cell r="K451">
            <v>123</v>
          </cell>
          <cell r="L451">
            <v>-3.088886</v>
          </cell>
          <cell r="M451">
            <v>118.826429</v>
          </cell>
          <cell r="N451" t="str">
            <v>Proses Kontrak (Pokja)</v>
          </cell>
          <cell r="O451" t="str">
            <v>Tahap I 208</v>
          </cell>
        </row>
        <row r="452">
          <cell r="F452" t="str">
            <v>Tubo Selatan</v>
          </cell>
          <cell r="G452" t="str">
            <v>Penyangga</v>
          </cell>
          <cell r="H452">
            <v>4345426000</v>
          </cell>
          <cell r="I452" t="str">
            <v>Nodin PPK 3 Juni 2026</v>
          </cell>
          <cell r="J452">
            <v>0.13</v>
          </cell>
          <cell r="K452">
            <v>125</v>
          </cell>
          <cell r="L452">
            <v>-3.0946305999999999</v>
          </cell>
          <cell r="M452">
            <v>118.7765583</v>
          </cell>
          <cell r="N452" t="str">
            <v>Proses Kontrak (Pokja)</v>
          </cell>
          <cell r="O452" t="str">
            <v>Tahap III 166</v>
          </cell>
        </row>
        <row r="453">
          <cell r="F453" t="str">
            <v>Daruba</v>
          </cell>
          <cell r="G453" t="str">
            <v>Penyangga</v>
          </cell>
          <cell r="J453">
            <v>0.37</v>
          </cell>
          <cell r="K453">
            <v>107</v>
          </cell>
          <cell r="L453">
            <v>2.0581694000000001</v>
          </cell>
          <cell r="M453">
            <v>128.2912388</v>
          </cell>
          <cell r="N453">
            <v>0</v>
          </cell>
          <cell r="O453" t="e">
            <v>#N/A</v>
          </cell>
        </row>
        <row r="454">
          <cell r="F454" t="str">
            <v>Juanga</v>
          </cell>
          <cell r="G454" t="str">
            <v>Penyangga</v>
          </cell>
          <cell r="J454">
            <v>0.05</v>
          </cell>
          <cell r="K454">
            <v>74</v>
          </cell>
          <cell r="L454">
            <v>1.9967509999999999</v>
          </cell>
          <cell r="M454">
            <v>128.27091999999999</v>
          </cell>
          <cell r="N454">
            <v>0</v>
          </cell>
          <cell r="O454" t="e">
            <v>#N/A</v>
          </cell>
        </row>
        <row r="455">
          <cell r="F455" t="str">
            <v>Mandiri</v>
          </cell>
          <cell r="G455" t="str">
            <v>Penyangga</v>
          </cell>
          <cell r="J455">
            <v>0.06</v>
          </cell>
          <cell r="K455">
            <v>58</v>
          </cell>
          <cell r="L455">
            <v>2.0459559999999999</v>
          </cell>
          <cell r="M455">
            <v>128.36716559999999</v>
          </cell>
          <cell r="N455">
            <v>0</v>
          </cell>
          <cell r="O455" t="e">
            <v>#N/A</v>
          </cell>
        </row>
        <row r="456">
          <cell r="F456" t="str">
            <v>Tiley</v>
          </cell>
          <cell r="G456" t="str">
            <v>Penyangga</v>
          </cell>
          <cell r="J456">
            <v>0.6</v>
          </cell>
          <cell r="K456">
            <v>80</v>
          </cell>
          <cell r="L456">
            <v>2.1689940000000001</v>
          </cell>
          <cell r="M456">
            <v>128.24717699999999</v>
          </cell>
          <cell r="N456">
            <v>0</v>
          </cell>
          <cell r="O456" t="e">
            <v>#N/A</v>
          </cell>
        </row>
        <row r="457">
          <cell r="F457" t="str">
            <v>Wayabula</v>
          </cell>
          <cell r="G457" t="str">
            <v>Penyangga</v>
          </cell>
          <cell r="J457">
            <v>0.9</v>
          </cell>
          <cell r="K457">
            <v>34</v>
          </cell>
          <cell r="L457">
            <v>2.2776070000000002</v>
          </cell>
          <cell r="M457">
            <v>128.20472699999999</v>
          </cell>
          <cell r="N457">
            <v>0</v>
          </cell>
          <cell r="O457" t="e">
            <v>#N/A</v>
          </cell>
        </row>
        <row r="458">
          <cell r="F458" t="str">
            <v>Posi-Posi</v>
          </cell>
          <cell r="G458" t="str">
            <v>Penyangga</v>
          </cell>
          <cell r="J458">
            <v>0.25</v>
          </cell>
          <cell r="K458">
            <v>87</v>
          </cell>
          <cell r="L458">
            <v>2.2912729999999999</v>
          </cell>
          <cell r="M458">
            <v>128.17564200000001</v>
          </cell>
          <cell r="N458">
            <v>0</v>
          </cell>
          <cell r="O458" t="e">
            <v>#N/A</v>
          </cell>
        </row>
        <row r="459">
          <cell r="F459" t="str">
            <v>Adaut</v>
          </cell>
          <cell r="G459" t="str">
            <v>Penyangga (+cs)</v>
          </cell>
          <cell r="J459">
            <v>1</v>
          </cell>
          <cell r="K459">
            <v>269</v>
          </cell>
          <cell r="L459">
            <v>-8.0960000000000001</v>
          </cell>
          <cell r="M459">
            <v>131.0461</v>
          </cell>
          <cell r="N459">
            <v>0</v>
          </cell>
          <cell r="O459" t="e">
            <v>#N/A</v>
          </cell>
        </row>
        <row r="460">
          <cell r="F460" t="str">
            <v>Tamit</v>
          </cell>
          <cell r="G460" t="str">
            <v>Hub</v>
          </cell>
          <cell r="H460">
            <v>8231000000</v>
          </cell>
          <cell r="J460">
            <v>2</v>
          </cell>
          <cell r="K460">
            <v>170</v>
          </cell>
          <cell r="L460">
            <v>1.0605709999999999</v>
          </cell>
          <cell r="M460">
            <v>121.57661299999999</v>
          </cell>
          <cell r="N460">
            <v>0</v>
          </cell>
          <cell r="O460" t="str">
            <v>Tahap I 208</v>
          </cell>
        </row>
        <row r="461">
          <cell r="F461" t="str">
            <v>Taat</v>
          </cell>
          <cell r="G461" t="str">
            <v>Penyangga</v>
          </cell>
          <cell r="H461">
            <v>4500000000</v>
          </cell>
          <cell r="J461">
            <v>1</v>
          </cell>
          <cell r="K461">
            <v>257</v>
          </cell>
          <cell r="L461">
            <v>1.053544</v>
          </cell>
          <cell r="M461">
            <v>121.69280000000001</v>
          </cell>
          <cell r="N461">
            <v>0</v>
          </cell>
          <cell r="O461" t="str">
            <v>Tahap I 208</v>
          </cell>
        </row>
        <row r="462">
          <cell r="F462" t="str">
            <v>Kwalabesar</v>
          </cell>
          <cell r="G462" t="str">
            <v>Penyangga</v>
          </cell>
          <cell r="H462">
            <v>4500000000</v>
          </cell>
          <cell r="J462">
            <v>1</v>
          </cell>
          <cell r="K462">
            <v>150</v>
          </cell>
          <cell r="L462">
            <v>1.0361929999999999</v>
          </cell>
          <cell r="M462">
            <v>121.95639199999999</v>
          </cell>
          <cell r="N462">
            <v>0</v>
          </cell>
          <cell r="O462" t="str">
            <v>Tahap I 208</v>
          </cell>
        </row>
        <row r="463">
          <cell r="F463" t="str">
            <v>Sumpang Binangae</v>
          </cell>
          <cell r="G463" t="str">
            <v>Penyangga</v>
          </cell>
          <cell r="H463">
            <v>4187442000</v>
          </cell>
          <cell r="J463">
            <v>0.28000000000000003</v>
          </cell>
          <cell r="K463">
            <v>200</v>
          </cell>
          <cell r="L463">
            <v>-4.4016279999999997</v>
          </cell>
          <cell r="M463">
            <v>119.604308</v>
          </cell>
          <cell r="N463">
            <v>0</v>
          </cell>
          <cell r="O463" t="str">
            <v>Tahap III 166</v>
          </cell>
        </row>
        <row r="464">
          <cell r="F464" t="str">
            <v>Mattiro Bombang</v>
          </cell>
          <cell r="G464" t="str">
            <v>Penyangga</v>
          </cell>
          <cell r="H464">
            <v>8495707000</v>
          </cell>
          <cell r="J464">
            <v>0.09</v>
          </cell>
          <cell r="K464">
            <v>396</v>
          </cell>
          <cell r="L464">
            <v>-4.6901989999999998</v>
          </cell>
          <cell r="M464">
            <v>119.467855</v>
          </cell>
          <cell r="N464" t="str">
            <v>SPPBJ</v>
          </cell>
          <cell r="O464" t="str">
            <v>Tahap I 208</v>
          </cell>
        </row>
        <row r="465">
          <cell r="F465" t="str">
            <v>Tamarupa</v>
          </cell>
          <cell r="G465" t="str">
            <v>Penyangga</v>
          </cell>
          <cell r="H465">
            <v>6732095390</v>
          </cell>
          <cell r="J465">
            <v>0.31</v>
          </cell>
          <cell r="K465">
            <v>185</v>
          </cell>
          <cell r="L465">
            <v>-4.5832240000000004</v>
          </cell>
          <cell r="M465">
            <v>119.589135</v>
          </cell>
          <cell r="N465" t="str">
            <v>SPPBJ</v>
          </cell>
          <cell r="O465" t="str">
            <v>Tahap II 146</v>
          </cell>
        </row>
        <row r="466">
          <cell r="F466" t="str">
            <v>Muara Sampara</v>
          </cell>
          <cell r="G466" t="str">
            <v>Penyangga</v>
          </cell>
          <cell r="H466">
            <v>4500000000</v>
          </cell>
          <cell r="J466">
            <v>1</v>
          </cell>
          <cell r="K466">
            <v>153</v>
          </cell>
          <cell r="L466">
            <v>-3.8629380000000002</v>
          </cell>
          <cell r="M466">
            <v>122.5051</v>
          </cell>
          <cell r="N466">
            <v>0</v>
          </cell>
          <cell r="O466" t="str">
            <v>Tahap II 146</v>
          </cell>
        </row>
        <row r="467">
          <cell r="F467" t="str">
            <v>Muara Tinobu</v>
          </cell>
          <cell r="G467" t="str">
            <v>Penyangga</v>
          </cell>
          <cell r="H467">
            <v>4500000000</v>
          </cell>
          <cell r="J467">
            <v>0.55000000000000004</v>
          </cell>
          <cell r="K467">
            <v>118</v>
          </cell>
          <cell r="L467">
            <v>-3.6532019999999998</v>
          </cell>
          <cell r="M467">
            <v>122.239512</v>
          </cell>
          <cell r="N467">
            <v>0</v>
          </cell>
          <cell r="O467" t="str">
            <v>Tahap II 146</v>
          </cell>
        </row>
        <row r="468">
          <cell r="F468" t="str">
            <v>Pasir Putih</v>
          </cell>
          <cell r="G468" t="str">
            <v>Penyangga</v>
          </cell>
          <cell r="H468">
            <v>4500000000</v>
          </cell>
          <cell r="J468">
            <v>0.5</v>
          </cell>
          <cell r="K468">
            <v>54</v>
          </cell>
          <cell r="L468">
            <v>-3.7442099999999998</v>
          </cell>
          <cell r="M468">
            <v>122.345777</v>
          </cell>
          <cell r="N468" t="str">
            <v>Proses Kontrak (Pokja)</v>
          </cell>
          <cell r="O468" t="str">
            <v>Tahap I 208</v>
          </cell>
        </row>
        <row r="469">
          <cell r="F469" t="str">
            <v>Tanjung Laimeo</v>
          </cell>
          <cell r="G469" t="str">
            <v>Hub</v>
          </cell>
          <cell r="H469">
            <v>6758220000</v>
          </cell>
          <cell r="J469">
            <v>0.34</v>
          </cell>
          <cell r="K469">
            <v>103</v>
          </cell>
          <cell r="L469">
            <v>-3.745987</v>
          </cell>
          <cell r="M469">
            <v>122.42867099999999</v>
          </cell>
          <cell r="N469" t="str">
            <v>Proses Kontrak (Pokja)</v>
          </cell>
          <cell r="O469" t="str">
            <v>Tahap II 146</v>
          </cell>
        </row>
        <row r="470">
          <cell r="F470" t="str">
            <v>Ulu Sawa</v>
          </cell>
          <cell r="G470" t="str">
            <v>Penyangga</v>
          </cell>
          <cell r="H470">
            <v>4085556419</v>
          </cell>
          <cell r="J470">
            <v>0.25</v>
          </cell>
          <cell r="K470">
            <v>65</v>
          </cell>
          <cell r="L470">
            <v>-3.750642</v>
          </cell>
          <cell r="M470">
            <v>122.421851</v>
          </cell>
          <cell r="N470" t="str">
            <v>Proses Kontrak (Pokja)</v>
          </cell>
          <cell r="O470" t="str">
            <v>Tahap II 146</v>
          </cell>
        </row>
        <row r="471">
          <cell r="F471" t="str">
            <v>Tanjung Bunga</v>
          </cell>
          <cell r="G471" t="str">
            <v>Penyangga</v>
          </cell>
          <cell r="H471">
            <v>4500000000</v>
          </cell>
          <cell r="J471">
            <v>0.13</v>
          </cell>
          <cell r="K471">
            <v>109</v>
          </cell>
          <cell r="L471">
            <v>-3.7250459999999999</v>
          </cell>
          <cell r="M471">
            <v>122.32429500000001</v>
          </cell>
          <cell r="N471">
            <v>0</v>
          </cell>
          <cell r="O471" t="str">
            <v>Tahap II 146</v>
          </cell>
        </row>
        <row r="472">
          <cell r="F472" t="str">
            <v>Adodo Molu</v>
          </cell>
          <cell r="G472" t="str">
            <v>Penyangga</v>
          </cell>
          <cell r="J472">
            <v>0.35</v>
          </cell>
          <cell r="K472">
            <v>200</v>
          </cell>
          <cell r="L472">
            <v>-6.7086980000000001</v>
          </cell>
          <cell r="M472">
            <v>131.560349</v>
          </cell>
          <cell r="N472">
            <v>0</v>
          </cell>
          <cell r="O472" t="e">
            <v>#N/A</v>
          </cell>
        </row>
        <row r="473">
          <cell r="F473" t="str">
            <v>Tutunametal</v>
          </cell>
          <cell r="G473" t="str">
            <v>Penyangga</v>
          </cell>
          <cell r="J473">
            <v>0.66</v>
          </cell>
          <cell r="K473">
            <v>120</v>
          </cell>
          <cell r="L473">
            <v>-6.7989959999999998</v>
          </cell>
          <cell r="M473">
            <v>131.523865</v>
          </cell>
          <cell r="N473">
            <v>0</v>
          </cell>
          <cell r="O473" t="e">
            <v>#N/A</v>
          </cell>
        </row>
        <row r="474">
          <cell r="F474" t="str">
            <v>Teineman</v>
          </cell>
          <cell r="G474" t="str">
            <v>Penyangga</v>
          </cell>
          <cell r="J474">
            <v>0.53</v>
          </cell>
          <cell r="K474">
            <v>323</v>
          </cell>
          <cell r="L474">
            <v>-7.0983000000000001</v>
          </cell>
          <cell r="M474">
            <v>131.4443</v>
          </cell>
          <cell r="N474">
            <v>0</v>
          </cell>
          <cell r="O474" t="e">
            <v>#N/A</v>
          </cell>
        </row>
        <row r="475">
          <cell r="F475" t="str">
            <v>Wabar</v>
          </cell>
          <cell r="G475" t="str">
            <v>Penyangga</v>
          </cell>
          <cell r="J475">
            <v>0.17</v>
          </cell>
          <cell r="K475">
            <v>45</v>
          </cell>
          <cell r="L475">
            <v>-7.3317379999999996</v>
          </cell>
          <cell r="M475">
            <v>131.44653299999999</v>
          </cell>
          <cell r="N475">
            <v>0</v>
          </cell>
          <cell r="O475" t="e">
            <v>#N/A</v>
          </cell>
        </row>
        <row r="476">
          <cell r="F476" t="str">
            <v>Tengket</v>
          </cell>
          <cell r="G476" t="str">
            <v>Hub</v>
          </cell>
          <cell r="H476">
            <v>8500000000</v>
          </cell>
          <cell r="J476">
            <v>1</v>
          </cell>
          <cell r="K476">
            <v>450</v>
          </cell>
          <cell r="L476">
            <v>-6.9392189999999996</v>
          </cell>
          <cell r="M476">
            <v>112.830416</v>
          </cell>
          <cell r="N476">
            <v>0</v>
          </cell>
          <cell r="O476" t="str">
            <v>Tahap IV 200</v>
          </cell>
        </row>
        <row r="477">
          <cell r="F477" t="str">
            <v>Klampis Barat</v>
          </cell>
          <cell r="G477" t="str">
            <v>Penyangga</v>
          </cell>
          <cell r="H477">
            <v>4441806000</v>
          </cell>
          <cell r="K477">
            <v>131</v>
          </cell>
          <cell r="L477">
            <v>-6.8934142039999999</v>
          </cell>
          <cell r="M477">
            <v>112.9031232</v>
          </cell>
          <cell r="N477">
            <v>0</v>
          </cell>
          <cell r="O477" t="str">
            <v>Tahap IV 200</v>
          </cell>
        </row>
        <row r="478">
          <cell r="F478" t="str">
            <v>Klampis Timur</v>
          </cell>
          <cell r="G478" t="str">
            <v>Penyangga</v>
          </cell>
          <cell r="H478">
            <v>4441806000</v>
          </cell>
          <cell r="K478">
            <v>90</v>
          </cell>
          <cell r="L478">
            <v>-6.8933640680000003</v>
          </cell>
          <cell r="M478">
            <v>112.9121672</v>
          </cell>
          <cell r="N478">
            <v>0</v>
          </cell>
          <cell r="O478" t="str">
            <v>Tahap IV 200</v>
          </cell>
        </row>
        <row r="479">
          <cell r="F479" t="str">
            <v>Batah Timur</v>
          </cell>
          <cell r="G479" t="str">
            <v>Penyangga</v>
          </cell>
          <cell r="H479">
            <v>2314000000</v>
          </cell>
          <cell r="J479">
            <v>1.04</v>
          </cell>
          <cell r="K479">
            <v>96</v>
          </cell>
          <cell r="L479">
            <v>-7.1850560000000003</v>
          </cell>
          <cell r="M479">
            <v>112.913386</v>
          </cell>
          <cell r="N479">
            <v>0</v>
          </cell>
          <cell r="O479" t="str">
            <v>Tahap III 166</v>
          </cell>
        </row>
        <row r="480">
          <cell r="F480" t="str">
            <v>Junganyar</v>
          </cell>
          <cell r="G480" t="str">
            <v>Penyangga</v>
          </cell>
          <cell r="H480">
            <v>2314000000</v>
          </cell>
          <cell r="K480">
            <v>232</v>
          </cell>
          <cell r="L480">
            <v>-7.0874616929999998</v>
          </cell>
          <cell r="M480">
            <v>112.6848031</v>
          </cell>
          <cell r="N480">
            <v>0</v>
          </cell>
          <cell r="O480" t="str">
            <v>Tahap III 166</v>
          </cell>
        </row>
        <row r="481">
          <cell r="F481" t="str">
            <v>Jatra Timur</v>
          </cell>
          <cell r="G481" t="str">
            <v>Penyangga</v>
          </cell>
          <cell r="H481">
            <v>4441806000</v>
          </cell>
          <cell r="J481">
            <v>0.09</v>
          </cell>
          <cell r="K481">
            <v>67</v>
          </cell>
          <cell r="L481">
            <v>-6.897818</v>
          </cell>
          <cell r="M481">
            <v>113.148651</v>
          </cell>
          <cell r="N481">
            <v>0</v>
          </cell>
          <cell r="O481" t="str">
            <v>Tahap IV 200</v>
          </cell>
        </row>
        <row r="482">
          <cell r="F482" t="str">
            <v>P. Mandangin</v>
          </cell>
          <cell r="G482" t="str">
            <v>Penyangga (+cs)</v>
          </cell>
          <cell r="H482">
            <v>4441806000</v>
          </cell>
          <cell r="K482">
            <v>2454</v>
          </cell>
          <cell r="L482">
            <v>-7.3141966189999996</v>
          </cell>
          <cell r="M482">
            <v>113.2141099</v>
          </cell>
          <cell r="N482">
            <v>0</v>
          </cell>
          <cell r="O482" t="str">
            <v>Tahap IV 200</v>
          </cell>
        </row>
        <row r="483">
          <cell r="F483" t="str">
            <v>Tapuhahi</v>
          </cell>
          <cell r="G483" t="str">
            <v>Penyangga</v>
          </cell>
          <cell r="H483">
            <v>5040041000</v>
          </cell>
          <cell r="I483" t="str">
            <v>Nodin PPK 29 Mei 2026</v>
          </cell>
          <cell r="J483">
            <v>1</v>
          </cell>
          <cell r="K483">
            <v>231</v>
          </cell>
          <cell r="L483">
            <v>-4.7909237999999998</v>
          </cell>
          <cell r="M483">
            <v>122.074406</v>
          </cell>
          <cell r="N483" t="str">
            <v>Proses Kontrak (Pokja)</v>
          </cell>
          <cell r="O483" t="str">
            <v>Tahap II 146</v>
          </cell>
        </row>
        <row r="484">
          <cell r="F484" t="str">
            <v>Terapung</v>
          </cell>
          <cell r="G484" t="str">
            <v>Hub</v>
          </cell>
          <cell r="H484">
            <v>8231000000</v>
          </cell>
          <cell r="J484">
            <v>1.08</v>
          </cell>
          <cell r="K484">
            <v>1.1000000000000001</v>
          </cell>
          <cell r="L484">
            <v>-5.188275</v>
          </cell>
          <cell r="M484">
            <v>122.31487799999999</v>
          </cell>
          <cell r="N484">
            <v>0</v>
          </cell>
          <cell r="O484" t="str">
            <v>Tahap II 146</v>
          </cell>
        </row>
        <row r="485">
          <cell r="F485" t="str">
            <v>Watolo</v>
          </cell>
          <cell r="G485" t="str">
            <v>Penyangga</v>
          </cell>
          <cell r="H485">
            <v>4500000000</v>
          </cell>
          <cell r="J485">
            <v>1.06</v>
          </cell>
          <cell r="K485">
            <v>278</v>
          </cell>
          <cell r="L485">
            <v>-5.2900749999999999</v>
          </cell>
          <cell r="M485">
            <v>122.281846</v>
          </cell>
          <cell r="N485">
            <v>0</v>
          </cell>
          <cell r="O485" t="str">
            <v>Tahap II 146</v>
          </cell>
        </row>
        <row r="486">
          <cell r="F486" t="str">
            <v>Songka</v>
          </cell>
          <cell r="G486" t="str">
            <v>Penyangga</v>
          </cell>
          <cell r="H486">
            <v>5312429000</v>
          </cell>
          <cell r="J486">
            <v>0.95</v>
          </cell>
          <cell r="K486">
            <v>48</v>
          </cell>
          <cell r="L486">
            <v>-3.0352610000000002</v>
          </cell>
          <cell r="M486">
            <v>120.226681</v>
          </cell>
          <cell r="N486">
            <v>0</v>
          </cell>
          <cell r="O486" t="str">
            <v>Tahap II 146</v>
          </cell>
        </row>
        <row r="487">
          <cell r="F487" t="str">
            <v>Takkalala</v>
          </cell>
          <cell r="G487" t="str">
            <v>Penyangga</v>
          </cell>
          <cell r="H487">
            <v>8096278000</v>
          </cell>
          <cell r="I487" t="str">
            <v>Nodin PPK 26 Mei 2026</v>
          </cell>
          <cell r="J487">
            <v>0.78</v>
          </cell>
          <cell r="K487">
            <v>122</v>
          </cell>
          <cell r="L487">
            <v>-3.0287850000000001</v>
          </cell>
          <cell r="M487">
            <v>120.225264</v>
          </cell>
          <cell r="N487" t="str">
            <v>Proses Kontrak (Pokja)</v>
          </cell>
          <cell r="O487" t="str">
            <v>Tahap II 146</v>
          </cell>
        </row>
        <row r="488">
          <cell r="F488" t="str">
            <v>Benteng</v>
          </cell>
          <cell r="G488" t="str">
            <v>Penyangga</v>
          </cell>
          <cell r="H488">
            <v>4800573000</v>
          </cell>
          <cell r="J488">
            <v>0.56999999999999995</v>
          </cell>
          <cell r="K488">
            <v>53</v>
          </cell>
          <cell r="L488">
            <v>-3.0120279999999999</v>
          </cell>
          <cell r="M488">
            <v>120.221492</v>
          </cell>
          <cell r="N488">
            <v>0</v>
          </cell>
          <cell r="O488" t="str">
            <v>Tahap III 166</v>
          </cell>
        </row>
        <row r="489">
          <cell r="F489" t="str">
            <v>Ponjalae</v>
          </cell>
          <cell r="G489" t="str">
            <v>Penyangga</v>
          </cell>
          <cell r="H489">
            <v>5131076000</v>
          </cell>
          <cell r="J489">
            <v>0.62</v>
          </cell>
          <cell r="K489">
            <v>477</v>
          </cell>
          <cell r="L489">
            <v>-2.9916770000000001</v>
          </cell>
          <cell r="M489">
            <v>120.205314</v>
          </cell>
          <cell r="N489">
            <v>0</v>
          </cell>
          <cell r="O489" t="str">
            <v>Tahap II 146</v>
          </cell>
        </row>
        <row r="490">
          <cell r="F490" t="str">
            <v>Karang-Karangan</v>
          </cell>
          <cell r="G490" t="str">
            <v>Penyangga</v>
          </cell>
          <cell r="H490">
            <v>7428993000</v>
          </cell>
          <cell r="I490" t="str">
            <v>Nodin PPK 26 Mei 2026</v>
          </cell>
          <cell r="J490">
            <v>1</v>
          </cell>
          <cell r="K490">
            <v>157</v>
          </cell>
          <cell r="L490">
            <v>-3.1230560000000001</v>
          </cell>
          <cell r="M490">
            <v>120.2595</v>
          </cell>
          <cell r="N490" t="str">
            <v>Proses Kontrak (Pokja)</v>
          </cell>
          <cell r="O490" t="str">
            <v>Tahap II 146</v>
          </cell>
        </row>
        <row r="491">
          <cell r="F491" t="str">
            <v>Padang Kalua</v>
          </cell>
          <cell r="G491" t="str">
            <v>Penyangga</v>
          </cell>
          <cell r="H491">
            <v>9613483000</v>
          </cell>
          <cell r="I491" t="str">
            <v>Nodin PPK 26 Mei 2026</v>
          </cell>
          <cell r="J491">
            <v>0.51</v>
          </cell>
          <cell r="K491">
            <v>90</v>
          </cell>
          <cell r="L491">
            <v>-3.0484228</v>
          </cell>
          <cell r="M491">
            <v>120.2331506</v>
          </cell>
          <cell r="N491" t="str">
            <v>Proses Kontrak (Pokja)</v>
          </cell>
          <cell r="O491" t="str">
            <v>Tahap II 146</v>
          </cell>
        </row>
        <row r="492">
          <cell r="F492" t="str">
            <v>Tirowali</v>
          </cell>
          <cell r="G492" t="str">
            <v>Hub</v>
          </cell>
          <cell r="H492">
            <v>8350616000</v>
          </cell>
          <cell r="I492" t="str">
            <v>Nodin PPK 26 Mei 2026</v>
          </cell>
          <cell r="J492">
            <v>1</v>
          </cell>
          <cell r="K492">
            <v>197</v>
          </cell>
          <cell r="L492">
            <v>-3.1964296999999999</v>
          </cell>
          <cell r="M492">
            <v>120.2732761</v>
          </cell>
          <cell r="N492" t="str">
            <v>Proses Kontrak (Pokja)</v>
          </cell>
          <cell r="O492" t="str">
            <v>Tahap II 146</v>
          </cell>
        </row>
        <row r="493">
          <cell r="F493" t="str">
            <v>Bassiang Timur</v>
          </cell>
          <cell r="G493" t="str">
            <v>Penyangga</v>
          </cell>
          <cell r="H493">
            <v>6414754000</v>
          </cell>
          <cell r="I493" t="str">
            <v>Nodin PPK 26 Mei 2026</v>
          </cell>
          <cell r="J493">
            <v>0.11</v>
          </cell>
          <cell r="K493">
            <v>198</v>
          </cell>
          <cell r="L493">
            <v>-3.2237629999999999</v>
          </cell>
          <cell r="M493">
            <v>120.3595309</v>
          </cell>
          <cell r="N493" t="str">
            <v>Proses Kontrak (Pokja)</v>
          </cell>
          <cell r="O493" t="str">
            <v>Tahap II 146</v>
          </cell>
        </row>
        <row r="494">
          <cell r="F494" t="str">
            <v>To'Bia</v>
          </cell>
          <cell r="G494" t="str">
            <v>Penyangga</v>
          </cell>
          <cell r="H494">
            <v>7488372000</v>
          </cell>
          <cell r="I494" t="str">
            <v>Nodin PPK 26 Mei 2026</v>
          </cell>
          <cell r="J494">
            <v>0.85</v>
          </cell>
          <cell r="K494">
            <v>120</v>
          </cell>
          <cell r="L494">
            <v>-3.2609340000000002</v>
          </cell>
          <cell r="M494">
            <v>120.401827</v>
          </cell>
          <cell r="N494" t="str">
            <v>Proses Kontrak (Pokja)</v>
          </cell>
          <cell r="O494" t="str">
            <v>Tahap II 146</v>
          </cell>
        </row>
        <row r="495">
          <cell r="F495" t="str">
            <v>Bulontiyo Barat</v>
          </cell>
          <cell r="G495" t="str">
            <v>Penyangga</v>
          </cell>
          <cell r="H495">
            <v>4500000000</v>
          </cell>
          <cell r="J495">
            <v>1.21</v>
          </cell>
          <cell r="K495">
            <v>268</v>
          </cell>
          <cell r="L495">
            <v>0.99101899999999998</v>
          </cell>
          <cell r="M495">
            <v>122.419916</v>
          </cell>
          <cell r="N495">
            <v>0</v>
          </cell>
          <cell r="O495" t="str">
            <v>Tahap II 146</v>
          </cell>
        </row>
        <row r="496">
          <cell r="F496" t="str">
            <v>Hutakalo</v>
          </cell>
          <cell r="G496" t="str">
            <v>Penyangga</v>
          </cell>
          <cell r="H496">
            <v>6312774000</v>
          </cell>
          <cell r="J496">
            <v>0.68</v>
          </cell>
          <cell r="K496">
            <v>44</v>
          </cell>
          <cell r="L496">
            <v>0.99347200000000002</v>
          </cell>
          <cell r="M496">
            <v>122.43075</v>
          </cell>
          <cell r="N496">
            <v>0</v>
          </cell>
          <cell r="O496" t="str">
            <v>Tahap IV 200</v>
          </cell>
        </row>
        <row r="497">
          <cell r="F497" t="str">
            <v>Kasia</v>
          </cell>
          <cell r="G497" t="str">
            <v>Penyangga</v>
          </cell>
          <cell r="H497">
            <v>6312774000</v>
          </cell>
          <cell r="J497">
            <v>0.91</v>
          </cell>
          <cell r="K497">
            <v>110</v>
          </cell>
          <cell r="L497">
            <v>0.99301099999999998</v>
          </cell>
          <cell r="M497">
            <v>122.369187</v>
          </cell>
          <cell r="N497">
            <v>0</v>
          </cell>
          <cell r="O497" t="str">
            <v>Tahap II 146</v>
          </cell>
        </row>
        <row r="498">
          <cell r="F498" t="str">
            <v>Deme Ii</v>
          </cell>
          <cell r="G498" t="str">
            <v>Penyangga</v>
          </cell>
          <cell r="H498">
            <v>6312774000</v>
          </cell>
          <cell r="J498">
            <v>0.69520000000000004</v>
          </cell>
          <cell r="K498">
            <v>90</v>
          </cell>
          <cell r="L498">
            <v>0.97827200000000003</v>
          </cell>
          <cell r="M498">
            <v>122.51593099999999</v>
          </cell>
          <cell r="N498">
            <v>0</v>
          </cell>
          <cell r="O498" t="str">
            <v>Tahap IV 200</v>
          </cell>
        </row>
        <row r="499">
          <cell r="F499" t="str">
            <v>Tolinggula Pantai</v>
          </cell>
          <cell r="G499" t="str">
            <v>Hub</v>
          </cell>
          <cell r="H499">
            <v>8104319000</v>
          </cell>
          <cell r="J499">
            <v>1.41</v>
          </cell>
          <cell r="K499">
            <v>267</v>
          </cell>
          <cell r="L499">
            <v>1.029501</v>
          </cell>
          <cell r="M499">
            <v>122.195718</v>
          </cell>
          <cell r="N499">
            <v>0</v>
          </cell>
          <cell r="O499" t="str">
            <v>Tahap IV 200</v>
          </cell>
        </row>
        <row r="500">
          <cell r="F500" t="str">
            <v>Mootinelo</v>
          </cell>
          <cell r="G500" t="str">
            <v>Penyangga</v>
          </cell>
          <cell r="H500">
            <v>4500000000</v>
          </cell>
          <cell r="J500">
            <v>1</v>
          </cell>
          <cell r="K500">
            <v>115</v>
          </cell>
          <cell r="L500">
            <v>0.309166</v>
          </cell>
          <cell r="M500">
            <v>123.33740400000001</v>
          </cell>
          <cell r="N500">
            <v>0</v>
          </cell>
          <cell r="O500" t="str">
            <v>Tahap III 166</v>
          </cell>
        </row>
        <row r="501">
          <cell r="F501" t="str">
            <v>Mopuya</v>
          </cell>
          <cell r="G501" t="str">
            <v>Penyangga</v>
          </cell>
          <cell r="H501">
            <v>6312946000</v>
          </cell>
          <cell r="J501">
            <v>0.13</v>
          </cell>
          <cell r="K501">
            <v>46</v>
          </cell>
          <cell r="L501">
            <v>0.32383400000000001</v>
          </cell>
          <cell r="M501">
            <v>123.277512</v>
          </cell>
          <cell r="N501" t="str">
            <v>Proses Kontrak (Pokja)</v>
          </cell>
          <cell r="O501" t="str">
            <v>Tahap II 146</v>
          </cell>
        </row>
        <row r="502">
          <cell r="F502" t="str">
            <v>Ujung Salangketo</v>
          </cell>
          <cell r="G502" t="str">
            <v>Penyangga</v>
          </cell>
          <cell r="H502">
            <v>7290184000</v>
          </cell>
          <cell r="I502" t="str">
            <v>Nodin PPK 29 Mei 2026</v>
          </cell>
          <cell r="J502">
            <v>0.67</v>
          </cell>
          <cell r="K502">
            <v>136</v>
          </cell>
          <cell r="L502">
            <v>-4.8320740000000004</v>
          </cell>
          <cell r="M502">
            <v>120.35132</v>
          </cell>
          <cell r="N502" t="str">
            <v>Proses Kontrak (Pokja)</v>
          </cell>
          <cell r="O502" t="str">
            <v>Tahap II 146</v>
          </cell>
        </row>
        <row r="503">
          <cell r="F503" t="str">
            <v>Manera</v>
          </cell>
          <cell r="G503" t="str">
            <v>Penyangga</v>
          </cell>
          <cell r="H503">
            <v>6109870000</v>
          </cell>
          <cell r="J503">
            <v>0.05</v>
          </cell>
          <cell r="K503">
            <v>70</v>
          </cell>
          <cell r="L503">
            <v>-5.0231564000000004</v>
          </cell>
          <cell r="M503">
            <v>120.2940869</v>
          </cell>
          <cell r="N503">
            <v>0</v>
          </cell>
          <cell r="O503" t="str">
            <v>Tahap III 166</v>
          </cell>
        </row>
        <row r="504">
          <cell r="F504" t="str">
            <v>Bacu</v>
          </cell>
          <cell r="G504" t="str">
            <v>Penyangga</v>
          </cell>
          <cell r="H504">
            <v>5395645000</v>
          </cell>
          <cell r="I504" t="str">
            <v>Nodin PPK 29 Mei 2026</v>
          </cell>
          <cell r="J504">
            <v>0.8</v>
          </cell>
          <cell r="K504">
            <v>200</v>
          </cell>
          <cell r="L504">
            <v>-4.9839000000000002</v>
          </cell>
          <cell r="M504">
            <v>120.29770000000001</v>
          </cell>
          <cell r="N504" t="str">
            <v>Proses Kontrak (Pokja)</v>
          </cell>
          <cell r="O504" t="str">
            <v>Tahap II 146</v>
          </cell>
        </row>
        <row r="505">
          <cell r="F505" t="str">
            <v>Bulu Bulu</v>
          </cell>
          <cell r="G505" t="str">
            <v>Penyangga (+cs)</v>
          </cell>
          <cell r="H505">
            <v>5390312000</v>
          </cell>
          <cell r="I505" t="str">
            <v>Nodin PPK 29 Mei 2026</v>
          </cell>
          <cell r="J505">
            <v>0.95</v>
          </cell>
          <cell r="K505">
            <v>415</v>
          </cell>
          <cell r="L505">
            <v>-4.9143848999999999</v>
          </cell>
          <cell r="M505">
            <v>120.3018125</v>
          </cell>
          <cell r="N505" t="str">
            <v>Proses Kontrak (Pokja)</v>
          </cell>
          <cell r="O505" t="str">
            <v>Tahap II 146</v>
          </cell>
        </row>
        <row r="506">
          <cell r="F506" t="str">
            <v>Pulau Padaelo</v>
          </cell>
          <cell r="G506" t="str">
            <v>Penyangga</v>
          </cell>
          <cell r="H506">
            <v>6312774000</v>
          </cell>
          <cell r="J506">
            <v>0.33</v>
          </cell>
          <cell r="K506">
            <v>318</v>
          </cell>
          <cell r="L506">
            <v>-5.0695189999999997</v>
          </cell>
          <cell r="M506">
            <v>120.424781</v>
          </cell>
          <cell r="N506">
            <v>0</v>
          </cell>
          <cell r="O506" t="str">
            <v>Tahap IV 200</v>
          </cell>
        </row>
        <row r="507">
          <cell r="F507" t="str">
            <v>Sanjai</v>
          </cell>
          <cell r="G507" t="str">
            <v>Penyangga</v>
          </cell>
          <cell r="H507">
            <v>6359802000</v>
          </cell>
          <cell r="I507" t="str">
            <v>Nodin PPK 29 Mei 2026</v>
          </cell>
          <cell r="J507">
            <v>1</v>
          </cell>
          <cell r="K507">
            <v>348</v>
          </cell>
          <cell r="L507">
            <v>-5.2002360000000003</v>
          </cell>
          <cell r="M507">
            <v>120.294</v>
          </cell>
          <cell r="N507" t="str">
            <v>Proses Kontrak (Pokja)</v>
          </cell>
          <cell r="O507" t="str">
            <v>Tahap II 146</v>
          </cell>
        </row>
        <row r="508">
          <cell r="F508" t="str">
            <v>Lemito</v>
          </cell>
          <cell r="G508" t="str">
            <v>Penyangga (+cs)</v>
          </cell>
          <cell r="H508">
            <v>6312774000</v>
          </cell>
          <cell r="J508">
            <v>0.25</v>
          </cell>
          <cell r="K508">
            <v>234</v>
          </cell>
          <cell r="L508">
            <v>0.53691699999999998</v>
          </cell>
          <cell r="M508">
            <v>121.571417</v>
          </cell>
          <cell r="N508">
            <v>0</v>
          </cell>
          <cell r="O508" t="str">
            <v>Tahap IV 200</v>
          </cell>
        </row>
        <row r="509">
          <cell r="F509" t="str">
            <v>Wonggarasi Barat</v>
          </cell>
          <cell r="G509" t="str">
            <v>Penyangga</v>
          </cell>
          <cell r="H509">
            <v>3185492000</v>
          </cell>
          <cell r="J509">
            <v>1.37</v>
          </cell>
          <cell r="K509">
            <v>39</v>
          </cell>
          <cell r="L509">
            <v>0.54083300000000001</v>
          </cell>
          <cell r="M509">
            <v>121.579083</v>
          </cell>
          <cell r="N509">
            <v>0</v>
          </cell>
          <cell r="O509" t="str">
            <v>Tahap III 166</v>
          </cell>
        </row>
        <row r="510">
          <cell r="F510" t="str">
            <v>Torosiaje Jaya</v>
          </cell>
          <cell r="G510" t="str">
            <v>Hub</v>
          </cell>
          <cell r="H510">
            <v>8053817000</v>
          </cell>
          <cell r="J510">
            <v>1.2</v>
          </cell>
          <cell r="K510">
            <v>278</v>
          </cell>
          <cell r="L510">
            <v>0.484904</v>
          </cell>
          <cell r="M510">
            <v>121.44051</v>
          </cell>
          <cell r="N510">
            <v>0</v>
          </cell>
          <cell r="O510" t="str">
            <v>Tahap II 146</v>
          </cell>
        </row>
        <row r="511">
          <cell r="F511" t="str">
            <v>Dudewulo</v>
          </cell>
          <cell r="G511" t="str">
            <v>Penyangga</v>
          </cell>
          <cell r="H511">
            <v>6312774000</v>
          </cell>
          <cell r="J511">
            <v>1.44</v>
          </cell>
          <cell r="K511">
            <v>55</v>
          </cell>
          <cell r="L511">
            <v>0.48788900000000002</v>
          </cell>
          <cell r="M511">
            <v>121.41466699999999</v>
          </cell>
          <cell r="N511">
            <v>0</v>
          </cell>
          <cell r="O511" t="str">
            <v>Tahap IV 200</v>
          </cell>
        </row>
        <row r="512">
          <cell r="F512" t="str">
            <v>Milangodaa</v>
          </cell>
          <cell r="G512" t="str">
            <v>Penyangga</v>
          </cell>
          <cell r="H512">
            <v>6312774000</v>
          </cell>
          <cell r="J512">
            <v>0.45</v>
          </cell>
          <cell r="K512">
            <v>56</v>
          </cell>
          <cell r="L512">
            <v>0.53141700000000003</v>
          </cell>
          <cell r="M512">
            <v>121.50788900000001</v>
          </cell>
          <cell r="N512">
            <v>0</v>
          </cell>
          <cell r="O512" t="str">
            <v>Tahap IV 200</v>
          </cell>
        </row>
        <row r="513">
          <cell r="F513" t="str">
            <v>Wonggarasi Timur</v>
          </cell>
          <cell r="G513" t="str">
            <v>Penyangga</v>
          </cell>
          <cell r="H513">
            <v>6312946000</v>
          </cell>
          <cell r="J513">
            <v>2</v>
          </cell>
          <cell r="K513">
            <v>201</v>
          </cell>
          <cell r="L513">
            <v>0.51331700000000002</v>
          </cell>
          <cell r="M513">
            <v>121.685191</v>
          </cell>
          <cell r="N513">
            <v>0</v>
          </cell>
          <cell r="O513" t="str">
            <v>Tahap II 146</v>
          </cell>
        </row>
        <row r="514">
          <cell r="F514" t="str">
            <v>Lakara</v>
          </cell>
          <cell r="G514" t="str">
            <v>Penyangga</v>
          </cell>
          <cell r="H514">
            <v>4500000000</v>
          </cell>
          <cell r="J514">
            <v>1</v>
          </cell>
          <cell r="K514">
            <v>91</v>
          </cell>
          <cell r="L514">
            <v>-4.4668910000000004</v>
          </cell>
          <cell r="M514">
            <v>122.34221100000001</v>
          </cell>
          <cell r="N514">
            <v>0</v>
          </cell>
          <cell r="O514" t="str">
            <v>Tahap II 146</v>
          </cell>
        </row>
        <row r="515">
          <cell r="F515" t="str">
            <v>Torokeku</v>
          </cell>
          <cell r="G515" t="str">
            <v>Hub</v>
          </cell>
          <cell r="H515">
            <v>8231000000</v>
          </cell>
          <cell r="J515">
            <v>0.5</v>
          </cell>
          <cell r="K515">
            <v>260</v>
          </cell>
          <cell r="L515">
            <v>-4.4841879999999996</v>
          </cell>
          <cell r="M515">
            <v>122.25212500000001</v>
          </cell>
          <cell r="N515">
            <v>0</v>
          </cell>
          <cell r="O515" t="str">
            <v>Tahap II 146</v>
          </cell>
        </row>
        <row r="516">
          <cell r="F516" t="str">
            <v>Torosiaje</v>
          </cell>
          <cell r="G516" t="str">
            <v>Penyangga</v>
          </cell>
          <cell r="H516">
            <v>6312774000</v>
          </cell>
          <cell r="J516">
            <v>5.5</v>
          </cell>
          <cell r="K516">
            <v>400</v>
          </cell>
          <cell r="L516">
            <v>0.47295599999999999</v>
          </cell>
          <cell r="M516">
            <v>121.439307</v>
          </cell>
          <cell r="N516">
            <v>0</v>
          </cell>
          <cell r="O516" t="str">
            <v>Tahap IV 200</v>
          </cell>
        </row>
        <row r="517">
          <cell r="F517" t="str">
            <v>Molosipat</v>
          </cell>
          <cell r="G517" t="str">
            <v>Penyangga</v>
          </cell>
          <cell r="H517">
            <v>6312774000</v>
          </cell>
          <cell r="J517">
            <v>0.42449999999999999</v>
          </cell>
          <cell r="K517">
            <v>46</v>
          </cell>
          <cell r="L517">
            <v>0.47825800000000002</v>
          </cell>
          <cell r="M517">
            <v>121.34800199999999</v>
          </cell>
          <cell r="N517">
            <v>0</v>
          </cell>
          <cell r="O517" t="str">
            <v>Tahap IV 200</v>
          </cell>
        </row>
        <row r="518">
          <cell r="F518" t="str">
            <v>Wamlana</v>
          </cell>
          <cell r="G518" t="str">
            <v>Hub</v>
          </cell>
          <cell r="J518">
            <v>0.51</v>
          </cell>
          <cell r="K518">
            <v>98</v>
          </cell>
          <cell r="L518">
            <v>-3.072778</v>
          </cell>
          <cell r="M518">
            <v>126.527778</v>
          </cell>
          <cell r="N518">
            <v>0</v>
          </cell>
          <cell r="O518" t="e">
            <v>#N/A</v>
          </cell>
        </row>
        <row r="519">
          <cell r="F519" t="str">
            <v>Seith</v>
          </cell>
          <cell r="G519" t="str">
            <v>Penyangga</v>
          </cell>
          <cell r="J519">
            <v>0.53</v>
          </cell>
          <cell r="K519">
            <v>322</v>
          </cell>
          <cell r="L519">
            <v>-3.3573590000000002</v>
          </cell>
          <cell r="M519">
            <v>127.182676</v>
          </cell>
          <cell r="N519">
            <v>0</v>
          </cell>
          <cell r="O519" t="e">
            <v>#N/A</v>
          </cell>
        </row>
        <row r="520">
          <cell r="F520" t="str">
            <v>Jayapura</v>
          </cell>
          <cell r="G520" t="str">
            <v>Penyangga</v>
          </cell>
          <cell r="H520">
            <v>2252162000</v>
          </cell>
          <cell r="J520">
            <v>1</v>
          </cell>
          <cell r="K520">
            <v>300</v>
          </cell>
          <cell r="L520">
            <v>-7.493036</v>
          </cell>
          <cell r="M520">
            <v>107.291022</v>
          </cell>
          <cell r="N520">
            <v>0</v>
          </cell>
          <cell r="O520" t="str">
            <v>Tahap II 146</v>
          </cell>
        </row>
        <row r="521">
          <cell r="F521" t="str">
            <v>Jayagiri</v>
          </cell>
          <cell r="G521" t="str">
            <v>Penyangga</v>
          </cell>
          <cell r="H521">
            <v>1977014000</v>
          </cell>
          <cell r="J521">
            <v>1</v>
          </cell>
          <cell r="K521">
            <v>200</v>
          </cell>
          <cell r="L521">
            <v>-7.4808919999999999</v>
          </cell>
          <cell r="M521">
            <v>107.215616</v>
          </cell>
          <cell r="N521">
            <v>0</v>
          </cell>
          <cell r="O521" t="str">
            <v>Tahap II 146</v>
          </cell>
        </row>
        <row r="522">
          <cell r="F522" t="str">
            <v>Patlean</v>
          </cell>
          <cell r="G522" t="str">
            <v>Penyangga</v>
          </cell>
          <cell r="J522">
            <v>1</v>
          </cell>
          <cell r="K522">
            <v>52</v>
          </cell>
          <cell r="L522">
            <v>1.507306</v>
          </cell>
          <cell r="M522">
            <v>128.68549999999999</v>
          </cell>
          <cell r="N522">
            <v>0</v>
          </cell>
          <cell r="O522" t="e">
            <v>#N/A</v>
          </cell>
        </row>
        <row r="523">
          <cell r="F523" t="str">
            <v>Majiko Tongone</v>
          </cell>
          <cell r="G523" t="str">
            <v>Penyangga</v>
          </cell>
          <cell r="J523">
            <v>0.67</v>
          </cell>
          <cell r="K523">
            <v>83</v>
          </cell>
          <cell r="L523">
            <v>1.520278</v>
          </cell>
          <cell r="M523">
            <v>128.413028</v>
          </cell>
          <cell r="N523">
            <v>0</v>
          </cell>
          <cell r="O523" t="e">
            <v>#N/A</v>
          </cell>
        </row>
        <row r="524">
          <cell r="F524" t="str">
            <v>Dama</v>
          </cell>
          <cell r="G524" t="str">
            <v>Penyangga</v>
          </cell>
          <cell r="J524">
            <v>0.71</v>
          </cell>
          <cell r="K524">
            <v>129</v>
          </cell>
          <cell r="L524">
            <v>1.511482</v>
          </cell>
          <cell r="M524">
            <v>128.69346100000001</v>
          </cell>
          <cell r="N524">
            <v>0</v>
          </cell>
          <cell r="O524" t="e">
            <v>#N/A</v>
          </cell>
        </row>
        <row r="525">
          <cell r="F525" t="str">
            <v>Watuar</v>
          </cell>
          <cell r="G525" t="str">
            <v>Penyangga</v>
          </cell>
          <cell r="J525">
            <v>0.64</v>
          </cell>
          <cell r="K525">
            <v>305</v>
          </cell>
          <cell r="L525">
            <v>-5.7240995000000003</v>
          </cell>
          <cell r="M525">
            <v>132.942632</v>
          </cell>
          <cell r="N525">
            <v>0</v>
          </cell>
          <cell r="O525" t="e">
            <v>#N/A</v>
          </cell>
        </row>
        <row r="526">
          <cell r="F526" t="str">
            <v>Tamangil Nuhuyanat</v>
          </cell>
          <cell r="G526" t="str">
            <v>Penyangga</v>
          </cell>
          <cell r="J526">
            <v>0.2</v>
          </cell>
          <cell r="K526">
            <v>70</v>
          </cell>
          <cell r="L526">
            <v>-5.8372999999999999</v>
          </cell>
          <cell r="M526">
            <v>132.89109999999999</v>
          </cell>
          <cell r="N526">
            <v>0</v>
          </cell>
          <cell r="O526" t="e">
            <v>#N/A</v>
          </cell>
        </row>
        <row r="527">
          <cell r="F527" t="str">
            <v>Hoor Kristen</v>
          </cell>
          <cell r="G527" t="str">
            <v>Penyangga</v>
          </cell>
          <cell r="J527">
            <v>1</v>
          </cell>
          <cell r="K527">
            <v>200</v>
          </cell>
          <cell r="L527">
            <v>-5.3684840999999999</v>
          </cell>
          <cell r="M527">
            <v>133.0920251</v>
          </cell>
          <cell r="N527">
            <v>0</v>
          </cell>
          <cell r="O527" t="e">
            <v>#N/A</v>
          </cell>
        </row>
        <row r="528">
          <cell r="F528" t="str">
            <v>Harapan</v>
          </cell>
          <cell r="G528" t="str">
            <v>Penyangga</v>
          </cell>
          <cell r="H528">
            <v>4435225000</v>
          </cell>
          <cell r="I528" t="str">
            <v>Nodin PPK 4 Juni 2026</v>
          </cell>
          <cell r="J528">
            <v>7.0000000000000007E-2</v>
          </cell>
          <cell r="K528">
            <v>156</v>
          </cell>
          <cell r="L528">
            <v>-2.7195290999999999</v>
          </cell>
          <cell r="M528">
            <v>121.0955908</v>
          </cell>
          <cell r="N528" t="str">
            <v>SPPBJ</v>
          </cell>
          <cell r="O528" t="str">
            <v>Tahap II 146</v>
          </cell>
        </row>
        <row r="529">
          <cell r="F529" t="str">
            <v>Lakawali Pantai</v>
          </cell>
          <cell r="G529" t="str">
            <v>Penyangga</v>
          </cell>
          <cell r="H529">
            <v>6860687000</v>
          </cell>
          <cell r="I529" t="str">
            <v>Nodin PPK 4 Juni 2026</v>
          </cell>
          <cell r="J529">
            <v>0.4</v>
          </cell>
          <cell r="K529">
            <v>148</v>
          </cell>
          <cell r="L529">
            <v>-2.6197889999999999</v>
          </cell>
          <cell r="M529">
            <v>121.005433</v>
          </cell>
          <cell r="N529" t="str">
            <v>Proses Kontrak (Pokja)</v>
          </cell>
          <cell r="O529" t="str">
            <v>Tahap II 146</v>
          </cell>
        </row>
        <row r="530">
          <cell r="F530" t="str">
            <v>Pasi-Pasi</v>
          </cell>
          <cell r="G530" t="str">
            <v>Penyangga</v>
          </cell>
          <cell r="H530">
            <v>3817779000</v>
          </cell>
          <cell r="I530" t="str">
            <v>Nodin PPK 4 Juni 2026</v>
          </cell>
          <cell r="J530">
            <v>0.16</v>
          </cell>
          <cell r="K530">
            <v>73</v>
          </cell>
          <cell r="L530">
            <v>-2.7084079999999999</v>
          </cell>
          <cell r="M530">
            <v>121.08744299999999</v>
          </cell>
          <cell r="N530" t="str">
            <v>Proses Kontrak (Pokja)</v>
          </cell>
          <cell r="O530" t="str">
            <v>Tahap II 146</v>
          </cell>
        </row>
        <row r="531">
          <cell r="F531" t="str">
            <v>Wewangriu</v>
          </cell>
          <cell r="G531" t="str">
            <v>Hub</v>
          </cell>
          <cell r="H531">
            <v>8386434000</v>
          </cell>
          <cell r="I531" t="str">
            <v>Nodin PPK 4 Juni 2026</v>
          </cell>
          <cell r="J531">
            <v>4.0999999999999996</v>
          </cell>
          <cell r="K531">
            <v>214</v>
          </cell>
          <cell r="L531">
            <v>-2.6387805000000002</v>
          </cell>
          <cell r="M531">
            <v>121.0872825</v>
          </cell>
          <cell r="N531" t="str">
            <v>SPPBJ</v>
          </cell>
          <cell r="O531" t="str">
            <v>Tahap II 146</v>
          </cell>
        </row>
        <row r="532">
          <cell r="F532" t="str">
            <v>Sipakainge</v>
          </cell>
          <cell r="G532" t="str">
            <v>Penyangga</v>
          </cell>
          <cell r="H532">
            <v>4500000000</v>
          </cell>
          <cell r="J532">
            <v>0.26</v>
          </cell>
          <cell r="K532">
            <v>175</v>
          </cell>
          <cell r="L532">
            <v>-3.2021950000000001</v>
          </cell>
          <cell r="M532">
            <v>121.053719</v>
          </cell>
          <cell r="N532">
            <v>0</v>
          </cell>
          <cell r="O532" t="str">
            <v>Tahap II 146</v>
          </cell>
        </row>
        <row r="533">
          <cell r="F533" t="str">
            <v>Pakue</v>
          </cell>
          <cell r="G533" t="str">
            <v>Penyangga</v>
          </cell>
          <cell r="H533">
            <v>4500000000</v>
          </cell>
          <cell r="J533">
            <v>0.8</v>
          </cell>
          <cell r="K533">
            <v>114</v>
          </cell>
          <cell r="L533">
            <v>-3.1075523</v>
          </cell>
          <cell r="M533">
            <v>121.04610529999999</v>
          </cell>
          <cell r="N533">
            <v>0</v>
          </cell>
          <cell r="O533" t="str">
            <v>Tahap II 146</v>
          </cell>
        </row>
        <row r="534">
          <cell r="F534" t="str">
            <v>Lawadia</v>
          </cell>
          <cell r="G534" t="str">
            <v>Penyangga</v>
          </cell>
          <cell r="H534">
            <v>4500000000</v>
          </cell>
          <cell r="J534">
            <v>0.55000000000000004</v>
          </cell>
          <cell r="K534">
            <v>78</v>
          </cell>
          <cell r="L534">
            <v>-3.3306431000000001</v>
          </cell>
          <cell r="M534">
            <v>120.9539865</v>
          </cell>
          <cell r="N534">
            <v>0</v>
          </cell>
          <cell r="O534" t="str">
            <v>Tahap II 146</v>
          </cell>
        </row>
        <row r="535">
          <cell r="F535" t="str">
            <v>Aewoe</v>
          </cell>
          <cell r="G535" t="str">
            <v>Penyangga</v>
          </cell>
          <cell r="H535">
            <v>6580000000</v>
          </cell>
          <cell r="J535">
            <v>1.3654999999999999</v>
          </cell>
          <cell r="K535">
            <v>223</v>
          </cell>
          <cell r="L535">
            <v>-8.8970099999999999</v>
          </cell>
          <cell r="M535">
            <v>121.146265</v>
          </cell>
          <cell r="N535">
            <v>0</v>
          </cell>
          <cell r="O535" t="str">
            <v>Tahap IV 200</v>
          </cell>
        </row>
        <row r="536">
          <cell r="F536" t="str">
            <v>Mapur</v>
          </cell>
          <cell r="G536" t="str">
            <v>Penyangga</v>
          </cell>
          <cell r="H536">
            <v>6105695000</v>
          </cell>
          <cell r="J536">
            <v>0.3</v>
          </cell>
          <cell r="K536">
            <v>145</v>
          </cell>
          <cell r="L536">
            <v>1.007857</v>
          </cell>
          <cell r="M536">
            <v>104.79687319999999</v>
          </cell>
          <cell r="N536">
            <v>0</v>
          </cell>
          <cell r="O536" t="str">
            <v>Tahap IV 200</v>
          </cell>
        </row>
        <row r="537">
          <cell r="F537" t="str">
            <v>Air Gelubi</v>
          </cell>
          <cell r="G537" t="str">
            <v>Hub</v>
          </cell>
          <cell r="H537">
            <v>6105695000</v>
          </cell>
          <cell r="J537">
            <v>1.25</v>
          </cell>
          <cell r="K537">
            <v>236</v>
          </cell>
          <cell r="L537">
            <v>0.87583299999999997</v>
          </cell>
          <cell r="M537">
            <v>104.64916700000001</v>
          </cell>
          <cell r="N537">
            <v>0</v>
          </cell>
          <cell r="O537" t="str">
            <v>Tahap IV 200</v>
          </cell>
        </row>
        <row r="538">
          <cell r="F538" t="str">
            <v>Numbing</v>
          </cell>
          <cell r="G538" t="str">
            <v>Penyangga</v>
          </cell>
          <cell r="H538">
            <v>6105695000</v>
          </cell>
          <cell r="J538">
            <v>1.62</v>
          </cell>
          <cell r="K538">
            <v>306</v>
          </cell>
          <cell r="L538">
            <v>0.74794700000000003</v>
          </cell>
          <cell r="M538">
            <v>104.74228100000001</v>
          </cell>
          <cell r="N538">
            <v>0</v>
          </cell>
          <cell r="O538" t="str">
            <v>Tahap IV 200</v>
          </cell>
        </row>
        <row r="539">
          <cell r="F539" t="str">
            <v>Malang Rapat</v>
          </cell>
          <cell r="G539" t="str">
            <v>Penyangga</v>
          </cell>
          <cell r="H539">
            <v>8500000000</v>
          </cell>
          <cell r="J539">
            <v>1.74</v>
          </cell>
          <cell r="K539">
            <v>323</v>
          </cell>
          <cell r="L539">
            <v>1.1178889999999999</v>
          </cell>
          <cell r="M539">
            <v>104.614028</v>
          </cell>
          <cell r="N539">
            <v>0</v>
          </cell>
          <cell r="O539" t="str">
            <v>Tahap IV 200</v>
          </cell>
        </row>
        <row r="540">
          <cell r="F540" t="str">
            <v>Teluk Bakau</v>
          </cell>
          <cell r="G540" t="str">
            <v>Penyangga</v>
          </cell>
          <cell r="H540">
            <v>6105695000</v>
          </cell>
          <cell r="J540">
            <v>7.4</v>
          </cell>
          <cell r="K540">
            <v>395</v>
          </cell>
          <cell r="L540">
            <v>1.021941</v>
          </cell>
          <cell r="M540">
            <v>104.654499</v>
          </cell>
          <cell r="N540">
            <v>0</v>
          </cell>
          <cell r="O540" t="str">
            <v>Tahap IV 200</v>
          </cell>
        </row>
        <row r="541">
          <cell r="F541" t="str">
            <v>Berakit</v>
          </cell>
          <cell r="G541" t="str">
            <v>Penyangga</v>
          </cell>
          <cell r="H541">
            <v>6105695000</v>
          </cell>
          <cell r="J541">
            <v>0.54</v>
          </cell>
          <cell r="K541">
            <v>371</v>
          </cell>
          <cell r="L541">
            <v>1.2087669999999999</v>
          </cell>
          <cell r="M541">
            <v>104.548117</v>
          </cell>
          <cell r="N541">
            <v>0</v>
          </cell>
          <cell r="O541" t="str">
            <v>Tahap IV 200</v>
          </cell>
        </row>
        <row r="542">
          <cell r="F542" t="str">
            <v>Layeun</v>
          </cell>
          <cell r="G542" t="str">
            <v>Penyangga</v>
          </cell>
          <cell r="J542">
            <v>1.51</v>
          </cell>
          <cell r="K542">
            <v>350</v>
          </cell>
          <cell r="L542">
            <v>5.3470170000000001</v>
          </cell>
          <cell r="M542">
            <v>95.240655000000004</v>
          </cell>
          <cell r="O542" t="e">
            <v>#N/A</v>
          </cell>
        </row>
        <row r="543">
          <cell r="F543" t="str">
            <v>Kareung</v>
          </cell>
          <cell r="G543" t="str">
            <v>Penyangga</v>
          </cell>
          <cell r="J543">
            <v>0.35</v>
          </cell>
          <cell r="K543">
            <v>70</v>
          </cell>
          <cell r="L543">
            <v>5.2896000000000001</v>
          </cell>
          <cell r="M543">
            <v>95.228300000000004</v>
          </cell>
          <cell r="O543" t="e">
            <v>#N/A</v>
          </cell>
        </row>
        <row r="544">
          <cell r="F544" t="str">
            <v>Ujong Muloh</v>
          </cell>
          <cell r="G544" t="str">
            <v>Penyangga</v>
          </cell>
          <cell r="J544">
            <v>0.64</v>
          </cell>
          <cell r="K544">
            <v>175</v>
          </cell>
          <cell r="L544">
            <v>5.0557879999999997</v>
          </cell>
          <cell r="M544">
            <v>95.339927000000003</v>
          </cell>
          <cell r="O544" t="e">
            <v>#N/A</v>
          </cell>
        </row>
        <row r="545">
          <cell r="F545" t="str">
            <v>Gle Jong</v>
          </cell>
          <cell r="G545" t="str">
            <v>Penyangga</v>
          </cell>
          <cell r="J545">
            <v>0.28999999999999998</v>
          </cell>
          <cell r="K545">
            <v>50</v>
          </cell>
          <cell r="L545">
            <v>5.0837560000000002</v>
          </cell>
          <cell r="M545">
            <v>95.321803000000003</v>
          </cell>
          <cell r="O545" t="e">
            <v>#N/A</v>
          </cell>
        </row>
        <row r="546">
          <cell r="F546" t="str">
            <v>Alue Naga</v>
          </cell>
          <cell r="G546" t="str">
            <v>Hub</v>
          </cell>
          <cell r="J546">
            <v>1.1000000000000001</v>
          </cell>
          <cell r="K546">
            <v>335</v>
          </cell>
          <cell r="L546">
            <v>5.6054399999999998</v>
          </cell>
          <cell r="M546">
            <v>95.352360000000004</v>
          </cell>
          <cell r="O546" t="e">
            <v>#N/A</v>
          </cell>
        </row>
        <row r="547">
          <cell r="F547" t="str">
            <v>Bajo Pulau</v>
          </cell>
          <cell r="G547" t="str">
            <v>Penyangga</v>
          </cell>
          <cell r="H547">
            <v>3214500000</v>
          </cell>
          <cell r="J547">
            <v>0.6</v>
          </cell>
          <cell r="K547">
            <v>484</v>
          </cell>
          <cell r="L547">
            <v>-8.5755745000000001</v>
          </cell>
          <cell r="M547">
            <v>119.0354641</v>
          </cell>
          <cell r="N547">
            <v>0</v>
          </cell>
          <cell r="O547" t="str">
            <v>Tahap II 146</v>
          </cell>
        </row>
        <row r="548">
          <cell r="F548" t="str">
            <v>Labuhan Ratu</v>
          </cell>
          <cell r="G548" t="str">
            <v>Penyangga</v>
          </cell>
          <cell r="H548">
            <v>5282139000</v>
          </cell>
          <cell r="J548">
            <v>0.7</v>
          </cell>
          <cell r="K548">
            <v>315</v>
          </cell>
          <cell r="L548">
            <v>-5.5708799999999998</v>
          </cell>
          <cell r="M548">
            <v>105.79629</v>
          </cell>
          <cell r="N548">
            <v>0</v>
          </cell>
          <cell r="O548" t="str">
            <v>Tahap II 146</v>
          </cell>
        </row>
        <row r="549">
          <cell r="F549" t="str">
            <v>Bangkuang</v>
          </cell>
          <cell r="G549" t="str">
            <v>Penyangga</v>
          </cell>
          <cell r="H549">
            <v>4320000000</v>
          </cell>
          <cell r="J549">
            <v>0.24</v>
          </cell>
          <cell r="K549">
            <v>72</v>
          </cell>
          <cell r="L549">
            <v>-2.0397660000000002</v>
          </cell>
          <cell r="M549">
            <v>114.88965399999999</v>
          </cell>
          <cell r="N549">
            <v>0</v>
          </cell>
          <cell r="O549" t="str">
            <v>Tahap III 166</v>
          </cell>
        </row>
        <row r="550">
          <cell r="F550" t="str">
            <v>Janggi</v>
          </cell>
          <cell r="G550" t="str">
            <v>Penyangga</v>
          </cell>
          <cell r="H550">
            <v>4320000000</v>
          </cell>
          <cell r="J550">
            <v>0.84</v>
          </cell>
          <cell r="K550">
            <v>70</v>
          </cell>
          <cell r="L550">
            <v>-1.948807</v>
          </cell>
          <cell r="M550">
            <v>114.91028799999999</v>
          </cell>
          <cell r="N550">
            <v>0</v>
          </cell>
          <cell r="O550" t="str">
            <v>Tahap III 166</v>
          </cell>
        </row>
        <row r="551">
          <cell r="F551" t="str">
            <v>Butong</v>
          </cell>
          <cell r="G551" t="str">
            <v>Penyangga</v>
          </cell>
          <cell r="H551">
            <v>4320000000</v>
          </cell>
          <cell r="J551">
            <v>0.27</v>
          </cell>
          <cell r="K551">
            <v>107</v>
          </cell>
          <cell r="L551">
            <v>-1.102255</v>
          </cell>
          <cell r="M551">
            <v>114.881377</v>
          </cell>
          <cell r="N551">
            <v>0</v>
          </cell>
          <cell r="O551" t="str">
            <v>Tahap III 166</v>
          </cell>
        </row>
        <row r="552">
          <cell r="F552" t="str">
            <v>Batanjung</v>
          </cell>
          <cell r="G552" t="str">
            <v>Penyangga</v>
          </cell>
          <cell r="H552">
            <v>4320000000</v>
          </cell>
          <cell r="J552">
            <v>0.48</v>
          </cell>
          <cell r="K552">
            <v>345</v>
          </cell>
          <cell r="L552">
            <v>-3.351289</v>
          </cell>
          <cell r="M552">
            <v>114.24508400000001</v>
          </cell>
          <cell r="N552">
            <v>0</v>
          </cell>
          <cell r="O552" t="str">
            <v>Tahap III 166</v>
          </cell>
        </row>
        <row r="553">
          <cell r="F553" t="str">
            <v>Palampai</v>
          </cell>
          <cell r="G553" t="str">
            <v>Penyangga</v>
          </cell>
          <cell r="H553">
            <v>4320000000</v>
          </cell>
          <cell r="J553">
            <v>0.3</v>
          </cell>
          <cell r="K553">
            <v>212</v>
          </cell>
          <cell r="L553">
            <v>-3.444928</v>
          </cell>
          <cell r="M553">
            <v>114.344189</v>
          </cell>
          <cell r="N553">
            <v>0</v>
          </cell>
          <cell r="O553" t="str">
            <v>Tahap III 166</v>
          </cell>
        </row>
        <row r="554">
          <cell r="F554" t="str">
            <v>Sei Teras</v>
          </cell>
          <cell r="G554" t="str">
            <v>Penyangga</v>
          </cell>
          <cell r="H554">
            <v>4320000000</v>
          </cell>
          <cell r="J554">
            <v>0.5</v>
          </cell>
          <cell r="K554">
            <v>280</v>
          </cell>
          <cell r="L554">
            <v>-3.3499150000000002</v>
          </cell>
          <cell r="M554">
            <v>114.321776</v>
          </cell>
          <cell r="N554">
            <v>0</v>
          </cell>
          <cell r="O554" t="str">
            <v>Tahap III 166</v>
          </cell>
        </row>
        <row r="555">
          <cell r="F555" t="str">
            <v>Papuyu I Sei. Pasanan</v>
          </cell>
          <cell r="G555" t="str">
            <v>Penyangga</v>
          </cell>
          <cell r="H555">
            <v>6201000000</v>
          </cell>
          <cell r="J555">
            <v>0.28999999999999998</v>
          </cell>
          <cell r="K555">
            <v>414</v>
          </cell>
          <cell r="L555">
            <v>-3.300446</v>
          </cell>
          <cell r="M555">
            <v>114.066102</v>
          </cell>
          <cell r="N555">
            <v>0</v>
          </cell>
          <cell r="O555" t="str">
            <v>Tahap IV 200</v>
          </cell>
        </row>
        <row r="556">
          <cell r="F556" t="str">
            <v>Papuyu Iii Sei. Pudak</v>
          </cell>
          <cell r="G556" t="str">
            <v>Hub</v>
          </cell>
          <cell r="H556">
            <v>7896000000</v>
          </cell>
          <cell r="J556">
            <v>0.49</v>
          </cell>
          <cell r="K556">
            <v>716</v>
          </cell>
          <cell r="L556">
            <v>-3.303153</v>
          </cell>
          <cell r="M556">
            <v>114.044588</v>
          </cell>
          <cell r="N556">
            <v>0</v>
          </cell>
          <cell r="O556" t="str">
            <v>Tahap IV 200</v>
          </cell>
        </row>
        <row r="557">
          <cell r="F557" t="str">
            <v>Batu Kotam</v>
          </cell>
          <cell r="G557" t="str">
            <v>Penyangga</v>
          </cell>
          <cell r="H557">
            <v>4320000000</v>
          </cell>
          <cell r="J557">
            <v>1.2</v>
          </cell>
          <cell r="K557">
            <v>165</v>
          </cell>
          <cell r="L557">
            <v>-2.2680722000000002</v>
          </cell>
          <cell r="M557">
            <v>111.4531111</v>
          </cell>
          <cell r="N557">
            <v>0</v>
          </cell>
          <cell r="O557" t="str">
            <v>Tahap III 166</v>
          </cell>
        </row>
        <row r="558">
          <cell r="F558" t="str">
            <v>Beringin</v>
          </cell>
          <cell r="G558" t="str">
            <v>Hub</v>
          </cell>
          <cell r="H558">
            <v>6932400000</v>
          </cell>
          <cell r="J558">
            <v>0.79</v>
          </cell>
          <cell r="K558">
            <v>131</v>
          </cell>
          <cell r="L558">
            <v>-3.6179443999999998</v>
          </cell>
          <cell r="M558">
            <v>115.8888056</v>
          </cell>
          <cell r="N558">
            <v>0</v>
          </cell>
          <cell r="O558" t="str">
            <v>Tahap III 166</v>
          </cell>
        </row>
        <row r="559">
          <cell r="F559" t="str">
            <v>Muara Pagatan</v>
          </cell>
          <cell r="G559" t="str">
            <v>Penyangga</v>
          </cell>
          <cell r="H559">
            <v>4320000000</v>
          </cell>
          <cell r="J559">
            <v>1.33</v>
          </cell>
          <cell r="K559">
            <v>113</v>
          </cell>
          <cell r="L559">
            <v>-3.5617123999999998</v>
          </cell>
          <cell r="M559">
            <v>115.9889979</v>
          </cell>
          <cell r="N559">
            <v>0</v>
          </cell>
          <cell r="O559" t="str">
            <v>Tahap III 166</v>
          </cell>
        </row>
        <row r="560">
          <cell r="F560" t="str">
            <v>Biduk-Biduk</v>
          </cell>
          <cell r="G560" t="str">
            <v>Hub</v>
          </cell>
          <cell r="H560">
            <v>6932400000</v>
          </cell>
          <cell r="J560">
            <v>0.92</v>
          </cell>
          <cell r="K560">
            <v>190</v>
          </cell>
          <cell r="L560">
            <v>1.263118</v>
          </cell>
          <cell r="M560">
            <v>118.68759799999999</v>
          </cell>
          <cell r="N560">
            <v>0</v>
          </cell>
          <cell r="O560" t="str">
            <v>Tahap II 146</v>
          </cell>
        </row>
        <row r="561">
          <cell r="F561" t="str">
            <v>Buyung-Buyung</v>
          </cell>
          <cell r="G561" t="str">
            <v>Penyangga</v>
          </cell>
          <cell r="H561">
            <v>4320000000</v>
          </cell>
          <cell r="J561">
            <v>0.96</v>
          </cell>
          <cell r="K561">
            <v>116</v>
          </cell>
          <cell r="L561">
            <v>1.8803890000000001</v>
          </cell>
          <cell r="M561">
            <v>117.817556</v>
          </cell>
          <cell r="N561">
            <v>0</v>
          </cell>
          <cell r="O561" t="str">
            <v>Tahap II 146</v>
          </cell>
        </row>
        <row r="562">
          <cell r="F562" t="str">
            <v>Kuta</v>
          </cell>
          <cell r="G562" t="str">
            <v>Penyangga (+cs)</v>
          </cell>
          <cell r="H562">
            <v>4678000000</v>
          </cell>
          <cell r="J562">
            <v>0.03</v>
          </cell>
          <cell r="K562">
            <v>621</v>
          </cell>
          <cell r="L562">
            <v>-8.8933900000000001</v>
          </cell>
          <cell r="M562">
            <v>116.276021</v>
          </cell>
          <cell r="N562">
            <v>0</v>
          </cell>
          <cell r="O562" t="str">
            <v>Tahap II 146</v>
          </cell>
        </row>
        <row r="563">
          <cell r="F563" t="str">
            <v>Mertak</v>
          </cell>
          <cell r="G563" t="str">
            <v>Penyangga (+cs)</v>
          </cell>
          <cell r="H563">
            <v>4678000000</v>
          </cell>
          <cell r="J563">
            <v>0.99</v>
          </cell>
          <cell r="K563">
            <v>678</v>
          </cell>
          <cell r="L563">
            <v>-8.8805209999999999</v>
          </cell>
          <cell r="M563">
            <v>116.394673</v>
          </cell>
          <cell r="N563">
            <v>0</v>
          </cell>
          <cell r="O563" t="str">
            <v>Tahap II 146</v>
          </cell>
        </row>
        <row r="564">
          <cell r="F564" t="str">
            <v>Kuala Pusung Kapal</v>
          </cell>
          <cell r="G564" t="str">
            <v>Penyangga</v>
          </cell>
          <cell r="J564">
            <v>1</v>
          </cell>
          <cell r="K564">
            <v>198</v>
          </cell>
          <cell r="L564">
            <v>4.4030490000000002</v>
          </cell>
          <cell r="M564">
            <v>98.245174000000006</v>
          </cell>
          <cell r="O564" t="e">
            <v>#N/A</v>
          </cell>
        </row>
        <row r="565">
          <cell r="F565" t="str">
            <v>Gampong Aceh</v>
          </cell>
          <cell r="G565" t="str">
            <v>Penyangga</v>
          </cell>
          <cell r="J565">
            <v>0.95</v>
          </cell>
          <cell r="K565">
            <v>305</v>
          </cell>
          <cell r="L565">
            <v>4.9516999999999998</v>
          </cell>
          <cell r="M565">
            <v>97.766580000000005</v>
          </cell>
          <cell r="O565" t="e">
            <v>#N/A</v>
          </cell>
        </row>
        <row r="566">
          <cell r="F566" t="str">
            <v>Gampong Kuala</v>
          </cell>
          <cell r="G566" t="str">
            <v>Penyangga</v>
          </cell>
          <cell r="J566">
            <v>1.08</v>
          </cell>
          <cell r="K566">
            <v>40</v>
          </cell>
          <cell r="L566">
            <v>4.9095038000000004</v>
          </cell>
          <cell r="M566">
            <v>97.839891199999997</v>
          </cell>
          <cell r="O566" t="e">
            <v>#N/A</v>
          </cell>
        </row>
        <row r="567">
          <cell r="F567" t="str">
            <v>Paya Dua</v>
          </cell>
          <cell r="G567" t="str">
            <v>Penyangga</v>
          </cell>
          <cell r="J567">
            <v>1.4</v>
          </cell>
          <cell r="K567">
            <v>107</v>
          </cell>
          <cell r="L567">
            <v>4.9012370000000001</v>
          </cell>
          <cell r="M567">
            <v>97.837755000000001</v>
          </cell>
          <cell r="O567" t="e">
            <v>#N/A</v>
          </cell>
        </row>
        <row r="568">
          <cell r="F568" t="str">
            <v>Kuala Langsa</v>
          </cell>
          <cell r="G568" t="str">
            <v>Penyangga</v>
          </cell>
          <cell r="J568">
            <v>1.4</v>
          </cell>
          <cell r="K568">
            <v>340</v>
          </cell>
          <cell r="L568">
            <v>4.5165737999999997</v>
          </cell>
          <cell r="M568">
            <v>98.014787200000001</v>
          </cell>
          <cell r="O568" t="e">
            <v>#N/A</v>
          </cell>
        </row>
        <row r="569">
          <cell r="F569" t="str">
            <v>Buncu</v>
          </cell>
          <cell r="G569" t="str">
            <v>Penyangga</v>
          </cell>
          <cell r="H569">
            <v>3214500000</v>
          </cell>
          <cell r="J569">
            <v>0.45</v>
          </cell>
          <cell r="K569">
            <v>260</v>
          </cell>
          <cell r="L569">
            <v>-8.5307618999999999</v>
          </cell>
          <cell r="M569">
            <v>119.0151486</v>
          </cell>
          <cell r="N569">
            <v>0</v>
          </cell>
          <cell r="O569" t="str">
            <v>Tahap II 146</v>
          </cell>
        </row>
        <row r="570">
          <cell r="F570" t="str">
            <v>Lamere</v>
          </cell>
          <cell r="G570" t="str">
            <v>Penyangga</v>
          </cell>
          <cell r="H570">
            <v>3214500000</v>
          </cell>
          <cell r="J570">
            <v>0.3</v>
          </cell>
          <cell r="K570">
            <v>480</v>
          </cell>
          <cell r="L570">
            <v>-8.5254435999999991</v>
          </cell>
          <cell r="M570">
            <v>119.0266819</v>
          </cell>
          <cell r="N570">
            <v>0</v>
          </cell>
          <cell r="O570" t="str">
            <v>Tahap II 146</v>
          </cell>
        </row>
        <row r="571">
          <cell r="F571" t="str">
            <v>Tanah Kuning</v>
          </cell>
          <cell r="G571" t="str">
            <v>Penyangga</v>
          </cell>
          <cell r="H571">
            <v>4320000000</v>
          </cell>
          <cell r="J571">
            <v>2.16</v>
          </cell>
          <cell r="K571">
            <v>495</v>
          </cell>
          <cell r="L571">
            <v>2.604368</v>
          </cell>
          <cell r="M571">
            <v>117.815304</v>
          </cell>
          <cell r="N571">
            <v>0</v>
          </cell>
          <cell r="O571" t="str">
            <v>Tahap III 166</v>
          </cell>
        </row>
        <row r="572">
          <cell r="F572" t="str">
            <v>Karang Anyar Pantai</v>
          </cell>
          <cell r="G572" t="str">
            <v>Penyangga (+cs)</v>
          </cell>
          <cell r="H572">
            <v>4567200000</v>
          </cell>
          <cell r="J572">
            <v>1.1599999999999999</v>
          </cell>
          <cell r="K572">
            <v>911</v>
          </cell>
          <cell r="L572">
            <v>3.3094739999999998</v>
          </cell>
          <cell r="M572">
            <v>117.570111</v>
          </cell>
          <cell r="N572">
            <v>0</v>
          </cell>
          <cell r="O572" t="str">
            <v>Tahap III 166</v>
          </cell>
        </row>
        <row r="573">
          <cell r="F573" t="str">
            <v>Tanah Merah</v>
          </cell>
          <cell r="G573" t="str">
            <v>Penyangga</v>
          </cell>
          <cell r="H573">
            <v>4320000000</v>
          </cell>
          <cell r="J573">
            <v>1</v>
          </cell>
          <cell r="K573">
            <v>80</v>
          </cell>
          <cell r="L573">
            <v>3.6664180000000002</v>
          </cell>
          <cell r="M573">
            <v>117.532507</v>
          </cell>
          <cell r="N573">
            <v>0</v>
          </cell>
          <cell r="O573" t="str">
            <v>Tahap III 166</v>
          </cell>
        </row>
        <row r="574">
          <cell r="F574" t="str">
            <v>Banjar</v>
          </cell>
          <cell r="G574" t="str">
            <v>Penyangga</v>
          </cell>
          <cell r="H574">
            <v>3214500000</v>
          </cell>
          <cell r="K574">
            <v>125</v>
          </cell>
          <cell r="L574">
            <v>-8.5751872999999996</v>
          </cell>
          <cell r="M574">
            <v>116.0714596</v>
          </cell>
          <cell r="N574">
            <v>0</v>
          </cell>
          <cell r="O574" t="str">
            <v>Tahap II 146</v>
          </cell>
        </row>
        <row r="575">
          <cell r="F575" t="str">
            <v>Kuranji Dalang</v>
          </cell>
          <cell r="G575" t="str">
            <v>Penyangga</v>
          </cell>
          <cell r="H575">
            <v>3214500000</v>
          </cell>
          <cell r="J575">
            <v>0.6</v>
          </cell>
          <cell r="K575">
            <v>145</v>
          </cell>
          <cell r="L575">
            <v>-8.6343499000000001</v>
          </cell>
          <cell r="M575">
            <v>116.0734884</v>
          </cell>
          <cell r="N575">
            <v>0</v>
          </cell>
          <cell r="O575" t="str">
            <v>Tahap II 146</v>
          </cell>
        </row>
        <row r="576">
          <cell r="F576" t="str">
            <v>Batu Putih</v>
          </cell>
          <cell r="G576" t="str">
            <v>Penyangga</v>
          </cell>
          <cell r="H576">
            <v>3214500000</v>
          </cell>
          <cell r="K576">
            <v>363</v>
          </cell>
          <cell r="L576">
            <v>-8.7592420999999998</v>
          </cell>
          <cell r="M576">
            <v>115.88182550000001</v>
          </cell>
          <cell r="N576">
            <v>0</v>
          </cell>
          <cell r="O576" t="str">
            <v>Tahap II 146</v>
          </cell>
        </row>
        <row r="577">
          <cell r="F577" t="str">
            <v>Buwun Mas</v>
          </cell>
          <cell r="G577" t="str">
            <v>Hub</v>
          </cell>
          <cell r="H577">
            <v>7342100000</v>
          </cell>
          <cell r="J577">
            <v>0.3</v>
          </cell>
          <cell r="K577">
            <v>490</v>
          </cell>
          <cell r="L577">
            <v>-8.8505140000000004</v>
          </cell>
          <cell r="M577">
            <v>116.05314</v>
          </cell>
          <cell r="N577">
            <v>0</v>
          </cell>
          <cell r="O577" t="str">
            <v>Tahap II 146</v>
          </cell>
        </row>
        <row r="578">
          <cell r="F578" t="str">
            <v>Gili Gede Indah</v>
          </cell>
          <cell r="G578" t="str">
            <v>Penyangga</v>
          </cell>
          <cell r="H578">
            <v>3214500000</v>
          </cell>
          <cell r="J578">
            <v>0.86</v>
          </cell>
          <cell r="K578">
            <v>492</v>
          </cell>
          <cell r="L578">
            <v>-8.7539929999999995</v>
          </cell>
          <cell r="M578">
            <v>115.92667</v>
          </cell>
          <cell r="N578">
            <v>0</v>
          </cell>
          <cell r="O578" t="str">
            <v>Tahap II 146</v>
          </cell>
        </row>
        <row r="579">
          <cell r="F579" t="str">
            <v>Sungai Burung</v>
          </cell>
          <cell r="G579" t="str">
            <v>Penyangga</v>
          </cell>
          <cell r="H579">
            <v>4123000000</v>
          </cell>
          <cell r="K579">
            <v>152</v>
          </cell>
          <cell r="L579">
            <v>-4.6346259999999999</v>
          </cell>
          <cell r="M579">
            <v>105.89029600000001</v>
          </cell>
          <cell r="N579">
            <v>0</v>
          </cell>
          <cell r="O579" t="str">
            <v>Tahap II 146</v>
          </cell>
        </row>
        <row r="580">
          <cell r="F580" t="str">
            <v>Sepempang</v>
          </cell>
          <cell r="G580" t="str">
            <v>Penyangga</v>
          </cell>
          <cell r="H580">
            <v>6105695000</v>
          </cell>
          <cell r="J580">
            <v>1</v>
          </cell>
          <cell r="K580">
            <v>194</v>
          </cell>
          <cell r="L580">
            <v>3.9812219999999998</v>
          </cell>
          <cell r="M580">
            <v>108.380056</v>
          </cell>
          <cell r="N580">
            <v>0</v>
          </cell>
          <cell r="O580" t="str">
            <v>Tahap IV 200</v>
          </cell>
        </row>
        <row r="581">
          <cell r="F581" t="str">
            <v>Tanjung</v>
          </cell>
          <cell r="G581" t="str">
            <v>Penyangga</v>
          </cell>
          <cell r="H581">
            <v>4123000000</v>
          </cell>
          <cell r="J581">
            <v>1</v>
          </cell>
          <cell r="K581">
            <v>109</v>
          </cell>
          <cell r="L581">
            <v>4.0169439999999996</v>
          </cell>
          <cell r="M581">
            <v>108.344722</v>
          </cell>
          <cell r="N581">
            <v>0</v>
          </cell>
          <cell r="O581" t="str">
            <v>Tahap II 146</v>
          </cell>
        </row>
        <row r="582">
          <cell r="F582" t="str">
            <v>Kelarik</v>
          </cell>
          <cell r="G582" t="str">
            <v>Penyangga</v>
          </cell>
          <cell r="H582">
            <v>4123000000</v>
          </cell>
          <cell r="J582">
            <v>0.34</v>
          </cell>
          <cell r="K582">
            <v>72</v>
          </cell>
          <cell r="L582">
            <v>3.9848699999999999</v>
          </cell>
          <cell r="M582">
            <v>107.99533599999999</v>
          </cell>
          <cell r="N582">
            <v>0</v>
          </cell>
          <cell r="O582" t="str">
            <v>Tahap III 166</v>
          </cell>
        </row>
        <row r="583">
          <cell r="F583" t="str">
            <v>Tanjung Pala</v>
          </cell>
          <cell r="G583" t="str">
            <v>Penyangga</v>
          </cell>
          <cell r="H583">
            <v>4123000000</v>
          </cell>
          <cell r="J583">
            <v>1</v>
          </cell>
          <cell r="K583">
            <v>163</v>
          </cell>
          <cell r="L583">
            <v>4.7362500000000001</v>
          </cell>
          <cell r="M583">
            <v>107.998167</v>
          </cell>
          <cell r="N583">
            <v>0</v>
          </cell>
          <cell r="O583" t="str">
            <v>Tahap III 166</v>
          </cell>
        </row>
        <row r="584">
          <cell r="F584" t="str">
            <v>Kelarik Barat</v>
          </cell>
          <cell r="G584" t="str">
            <v>Penyangga</v>
          </cell>
          <cell r="H584">
            <v>4123000000</v>
          </cell>
          <cell r="J584">
            <v>1</v>
          </cell>
          <cell r="L584">
            <v>4.1189439999999999</v>
          </cell>
          <cell r="M584">
            <v>107.84819400000001</v>
          </cell>
          <cell r="N584">
            <v>0</v>
          </cell>
          <cell r="O584" t="str">
            <v>Tahap III 166</v>
          </cell>
        </row>
        <row r="585">
          <cell r="F585" t="str">
            <v>Dualaus</v>
          </cell>
          <cell r="G585" t="str">
            <v>Hub</v>
          </cell>
          <cell r="H585">
            <v>7342100000</v>
          </cell>
          <cell r="J585">
            <v>0.74</v>
          </cell>
          <cell r="K585">
            <v>427</v>
          </cell>
          <cell r="L585">
            <v>-9.0192929999999993</v>
          </cell>
          <cell r="M585">
            <v>124.841748</v>
          </cell>
          <cell r="N585">
            <v>0</v>
          </cell>
          <cell r="O585" t="str">
            <v>Tahap III 166</v>
          </cell>
        </row>
        <row r="586">
          <cell r="F586" t="str">
            <v>Tuamese</v>
          </cell>
          <cell r="G586" t="str">
            <v>Penyangga</v>
          </cell>
          <cell r="H586">
            <v>6580000000</v>
          </cell>
          <cell r="J586">
            <v>1.05</v>
          </cell>
          <cell r="K586">
            <v>33</v>
          </cell>
          <cell r="L586">
            <v>-9.0859000000000005</v>
          </cell>
          <cell r="M586">
            <v>124.6905</v>
          </cell>
          <cell r="N586">
            <v>0</v>
          </cell>
          <cell r="O586" t="str">
            <v>Tahap IV 200</v>
          </cell>
        </row>
        <row r="587">
          <cell r="F587" t="str">
            <v>Humusu Wini</v>
          </cell>
          <cell r="G587" t="str">
            <v>Penyangga</v>
          </cell>
          <cell r="H587">
            <v>3214500000</v>
          </cell>
          <cell r="J587">
            <v>3</v>
          </cell>
          <cell r="K587">
            <v>328</v>
          </cell>
          <cell r="L587">
            <v>-9.1821439999999992</v>
          </cell>
          <cell r="M587">
            <v>124.517993</v>
          </cell>
          <cell r="N587">
            <v>0</v>
          </cell>
          <cell r="O587" t="str">
            <v>Tahap III 166</v>
          </cell>
        </row>
        <row r="588">
          <cell r="F588" t="str">
            <v>Kekatang</v>
          </cell>
          <cell r="G588" t="str">
            <v>Penyangga</v>
          </cell>
          <cell r="H588">
            <v>6587206000</v>
          </cell>
          <cell r="J588">
            <v>1.02</v>
          </cell>
          <cell r="K588">
            <v>192</v>
          </cell>
          <cell r="L588">
            <v>-5.6919820000000003</v>
          </cell>
          <cell r="M588">
            <v>105.190721</v>
          </cell>
          <cell r="N588">
            <v>0</v>
          </cell>
          <cell r="O588" t="str">
            <v>Tahap II 146</v>
          </cell>
        </row>
        <row r="589">
          <cell r="F589" t="str">
            <v>Sukarame</v>
          </cell>
          <cell r="G589" t="str">
            <v>Penyangga</v>
          </cell>
          <cell r="H589">
            <v>4123000000</v>
          </cell>
          <cell r="J589">
            <v>2</v>
          </cell>
          <cell r="K589">
            <v>105</v>
          </cell>
          <cell r="L589">
            <v>-5.7233400000000003</v>
          </cell>
          <cell r="M589">
            <v>105.173852</v>
          </cell>
          <cell r="N589">
            <v>0</v>
          </cell>
          <cell r="O589" t="str">
            <v>Tahap II 146</v>
          </cell>
        </row>
        <row r="590">
          <cell r="F590" t="str">
            <v>Penyandingan</v>
          </cell>
          <cell r="G590" t="str">
            <v>Penyangga</v>
          </cell>
          <cell r="H590">
            <v>4123000000</v>
          </cell>
          <cell r="J590">
            <v>1.01</v>
          </cell>
          <cell r="K590">
            <v>250</v>
          </cell>
          <cell r="L590">
            <v>-5.7293459999999996</v>
          </cell>
          <cell r="M590">
            <v>105.032027</v>
          </cell>
          <cell r="N590">
            <v>0</v>
          </cell>
          <cell r="O590" t="str">
            <v>Tahap II 146</v>
          </cell>
        </row>
        <row r="591">
          <cell r="F591" t="str">
            <v>Pemongkong</v>
          </cell>
          <cell r="G591" t="str">
            <v>Penyangga</v>
          </cell>
          <cell r="H591">
            <v>3214500000</v>
          </cell>
          <cell r="J591">
            <v>0.2</v>
          </cell>
          <cell r="K591">
            <v>265</v>
          </cell>
          <cell r="L591">
            <v>-8.8346666999999997</v>
          </cell>
          <cell r="M591">
            <v>116.4697778</v>
          </cell>
          <cell r="N591">
            <v>0</v>
          </cell>
          <cell r="O591" t="str">
            <v>Tahap II 146</v>
          </cell>
        </row>
        <row r="592">
          <cell r="F592" t="str">
            <v>Tanjung Luar</v>
          </cell>
          <cell r="G592" t="str">
            <v>Penyangga (+cs)</v>
          </cell>
          <cell r="H592">
            <v>4678000000</v>
          </cell>
          <cell r="J592">
            <v>5.6</v>
          </cell>
          <cell r="K592">
            <v>4571</v>
          </cell>
          <cell r="L592">
            <v>-8.7792083000000005</v>
          </cell>
          <cell r="M592">
            <v>116.5106806</v>
          </cell>
          <cell r="N592">
            <v>0</v>
          </cell>
          <cell r="O592" t="str">
            <v>Tahap II 146</v>
          </cell>
        </row>
        <row r="593">
          <cell r="F593" t="str">
            <v>Hu'U</v>
          </cell>
          <cell r="G593" t="str">
            <v>Penyangga</v>
          </cell>
          <cell r="H593">
            <v>3214500000</v>
          </cell>
          <cell r="J593">
            <v>0.8</v>
          </cell>
          <cell r="K593">
            <v>516</v>
          </cell>
          <cell r="L593">
            <v>-8.7640440000000002</v>
          </cell>
          <cell r="M593">
            <v>118.38835280000001</v>
          </cell>
          <cell r="N593">
            <v>0</v>
          </cell>
          <cell r="O593" t="str">
            <v>Tahap II 146</v>
          </cell>
        </row>
        <row r="594">
          <cell r="F594" t="str">
            <v>Jambu</v>
          </cell>
          <cell r="G594" t="str">
            <v>Penyangga</v>
          </cell>
          <cell r="H594">
            <v>3214500000</v>
          </cell>
          <cell r="J594">
            <v>0.9</v>
          </cell>
          <cell r="K594">
            <v>273</v>
          </cell>
          <cell r="L594">
            <v>-8.6813330000000004</v>
          </cell>
          <cell r="M594">
            <v>118.431139</v>
          </cell>
          <cell r="N594">
            <v>0</v>
          </cell>
          <cell r="O594" t="str">
            <v>Tahap II 146</v>
          </cell>
        </row>
        <row r="595">
          <cell r="F595" t="str">
            <v>Kabir</v>
          </cell>
          <cell r="G595" t="str">
            <v>Hub</v>
          </cell>
          <cell r="H595">
            <v>7342100000</v>
          </cell>
          <cell r="J595">
            <v>1.7</v>
          </cell>
          <cell r="K595">
            <v>260</v>
          </cell>
          <cell r="L595">
            <v>-8.2490938000000007</v>
          </cell>
          <cell r="M595">
            <v>124.2205268</v>
          </cell>
          <cell r="N595">
            <v>0</v>
          </cell>
          <cell r="O595" t="str">
            <v>Tahap III 166</v>
          </cell>
        </row>
        <row r="596">
          <cell r="F596" t="str">
            <v>Kabola</v>
          </cell>
          <cell r="G596" t="str">
            <v>Penyangga</v>
          </cell>
          <cell r="H596">
            <v>3214500000</v>
          </cell>
          <cell r="J596">
            <v>0.09</v>
          </cell>
          <cell r="K596">
            <v>217</v>
          </cell>
          <cell r="L596">
            <v>-8.1908089999999998</v>
          </cell>
          <cell r="M596">
            <v>124.59396</v>
          </cell>
          <cell r="N596">
            <v>0</v>
          </cell>
          <cell r="O596" t="str">
            <v>Tahap III 166</v>
          </cell>
        </row>
        <row r="597">
          <cell r="F597" t="str">
            <v>Karama</v>
          </cell>
          <cell r="G597" t="str">
            <v>Penyangga</v>
          </cell>
          <cell r="H597">
            <v>3214500000</v>
          </cell>
          <cell r="J597">
            <v>1.3</v>
          </cell>
          <cell r="K597">
            <v>132</v>
          </cell>
          <cell r="L597">
            <v>-8.3287440000000004</v>
          </cell>
          <cell r="M597">
            <v>118.389392</v>
          </cell>
          <cell r="N597">
            <v>0</v>
          </cell>
          <cell r="O597" t="str">
            <v>Tahap II 146</v>
          </cell>
        </row>
        <row r="598">
          <cell r="F598" t="str">
            <v>Woewutu</v>
          </cell>
          <cell r="G598" t="str">
            <v>Penyangga</v>
          </cell>
          <cell r="H598">
            <v>3214500000</v>
          </cell>
          <cell r="J598">
            <v>0.6</v>
          </cell>
          <cell r="K598">
            <v>37</v>
          </cell>
          <cell r="L598">
            <v>-8.8101599999999998</v>
          </cell>
          <cell r="M598">
            <v>121.37214</v>
          </cell>
          <cell r="N598">
            <v>0</v>
          </cell>
          <cell r="O598" t="str">
            <v>Tahap III 166</v>
          </cell>
        </row>
        <row r="599">
          <cell r="F599" t="str">
            <v>Tendakinde</v>
          </cell>
          <cell r="G599" t="str">
            <v>Penyangga</v>
          </cell>
          <cell r="H599">
            <v>3214500000</v>
          </cell>
          <cell r="J599">
            <v>1</v>
          </cell>
          <cell r="K599">
            <v>100</v>
          </cell>
          <cell r="L599">
            <v>-8.6157500000000002</v>
          </cell>
          <cell r="M599">
            <v>121.51860000000001</v>
          </cell>
          <cell r="N599">
            <v>0</v>
          </cell>
          <cell r="O599" t="str">
            <v>Tahap III 166</v>
          </cell>
        </row>
        <row r="600">
          <cell r="F600" t="str">
            <v>Kedai Gedang</v>
          </cell>
          <cell r="G600" t="str">
            <v>Hub</v>
          </cell>
          <cell r="H600">
            <v>7123100000</v>
          </cell>
          <cell r="J600">
            <v>1.01</v>
          </cell>
          <cell r="K600">
            <v>165</v>
          </cell>
          <cell r="L600">
            <v>2.0076000000000001</v>
          </cell>
          <cell r="M600">
            <v>98.412571999999997</v>
          </cell>
          <cell r="N600">
            <v>0</v>
          </cell>
          <cell r="O600" t="str">
            <v>Tahap III 166</v>
          </cell>
        </row>
        <row r="601">
          <cell r="F601" t="str">
            <v>Pasar Sorkam</v>
          </cell>
          <cell r="G601" t="str">
            <v>Penyangga</v>
          </cell>
          <cell r="H601">
            <v>4123000000</v>
          </cell>
          <cell r="J601">
            <v>1.54</v>
          </cell>
          <cell r="K601">
            <v>843</v>
          </cell>
          <cell r="L601">
            <v>1.8721000000000001</v>
          </cell>
          <cell r="M601">
            <v>98.565408000000005</v>
          </cell>
          <cell r="N601">
            <v>0</v>
          </cell>
          <cell r="O601" t="str">
            <v>Tahap III 166</v>
          </cell>
        </row>
        <row r="602">
          <cell r="F602" t="str">
            <v>Rebo</v>
          </cell>
          <cell r="G602" t="str">
            <v>Penyangga</v>
          </cell>
          <cell r="H602">
            <v>6105695000</v>
          </cell>
          <cell r="J602">
            <v>0.8</v>
          </cell>
          <cell r="K602">
            <v>175</v>
          </cell>
          <cell r="L602">
            <v>-1.9192149999999999</v>
          </cell>
          <cell r="M602">
            <v>106.172434</v>
          </cell>
          <cell r="N602">
            <v>0</v>
          </cell>
          <cell r="O602" t="str">
            <v>Tahap IV 200</v>
          </cell>
        </row>
        <row r="603">
          <cell r="F603" t="str">
            <v>Batu Belubang</v>
          </cell>
          <cell r="G603" t="str">
            <v>Penyangga</v>
          </cell>
          <cell r="H603">
            <v>6105695000</v>
          </cell>
          <cell r="J603">
            <v>1</v>
          </cell>
          <cell r="K603">
            <v>352</v>
          </cell>
          <cell r="L603">
            <v>-2.1682700000000001</v>
          </cell>
          <cell r="M603">
            <v>106.188041</v>
          </cell>
          <cell r="N603">
            <v>0</v>
          </cell>
          <cell r="O603" t="str">
            <v>Tahap IV 200</v>
          </cell>
        </row>
        <row r="604">
          <cell r="F604" t="str">
            <v>Ketapang</v>
          </cell>
          <cell r="G604" t="str">
            <v>Hub</v>
          </cell>
          <cell r="H604">
            <v>8500000000</v>
          </cell>
          <cell r="J604">
            <v>1</v>
          </cell>
          <cell r="K604">
            <v>284</v>
          </cell>
          <cell r="L604">
            <v>-2.1047470000000001</v>
          </cell>
          <cell r="M604">
            <v>106.135718</v>
          </cell>
          <cell r="N604">
            <v>0</v>
          </cell>
          <cell r="O604" t="str">
            <v>Tahap III 166</v>
          </cell>
        </row>
        <row r="605">
          <cell r="F605" t="str">
            <v>Mapur</v>
          </cell>
          <cell r="G605" t="str">
            <v>Penyangga</v>
          </cell>
          <cell r="H605">
            <v>6105695000</v>
          </cell>
          <cell r="J605">
            <v>1.83</v>
          </cell>
          <cell r="K605">
            <v>128</v>
          </cell>
          <cell r="L605">
            <v>-1.614592</v>
          </cell>
          <cell r="M605">
            <v>106.035399</v>
          </cell>
          <cell r="N605">
            <v>0</v>
          </cell>
          <cell r="O605" t="str">
            <v>Tahap IV 200</v>
          </cell>
        </row>
        <row r="606">
          <cell r="F606" t="str">
            <v>Umatoos</v>
          </cell>
          <cell r="G606" t="str">
            <v>Penyangga</v>
          </cell>
          <cell r="H606">
            <v>6580000000</v>
          </cell>
          <cell r="J606">
            <v>1</v>
          </cell>
          <cell r="K606">
            <v>213</v>
          </cell>
          <cell r="L606">
            <v>-9.6752871999999996</v>
          </cell>
          <cell r="M606">
            <v>124.93277740000001</v>
          </cell>
          <cell r="N606">
            <v>0</v>
          </cell>
          <cell r="O606" t="str">
            <v>Tahap IV 200</v>
          </cell>
        </row>
        <row r="607">
          <cell r="F607" t="str">
            <v>Kletek</v>
          </cell>
          <cell r="G607" t="str">
            <v>Penyangga</v>
          </cell>
          <cell r="H607">
            <v>3214500000</v>
          </cell>
          <cell r="J607">
            <v>6</v>
          </cell>
          <cell r="K607">
            <v>135</v>
          </cell>
          <cell r="L607">
            <v>-9.5767500000000005</v>
          </cell>
          <cell r="M607">
            <v>124.94729</v>
          </cell>
          <cell r="N607">
            <v>0</v>
          </cell>
          <cell r="O607" t="str">
            <v>Tahap II 146</v>
          </cell>
        </row>
        <row r="608">
          <cell r="F608" t="str">
            <v>Weoe</v>
          </cell>
          <cell r="G608" t="str">
            <v>Penyangga</v>
          </cell>
          <cell r="H608">
            <v>3214500000</v>
          </cell>
          <cell r="J608">
            <v>2</v>
          </cell>
          <cell r="K608">
            <v>10</v>
          </cell>
          <cell r="L608">
            <v>-9.7121393999999999</v>
          </cell>
          <cell r="M608">
            <v>124.8540589</v>
          </cell>
          <cell r="N608">
            <v>0</v>
          </cell>
          <cell r="O608" t="str">
            <v>Tahap II 146</v>
          </cell>
        </row>
        <row r="609">
          <cell r="F609" t="str">
            <v>Wuring</v>
          </cell>
          <cell r="G609" t="str">
            <v>Penyangga</v>
          </cell>
          <cell r="H609">
            <v>3214500000</v>
          </cell>
          <cell r="J609">
            <v>0.7</v>
          </cell>
          <cell r="K609">
            <v>1345</v>
          </cell>
          <cell r="L609">
            <v>-8.5573949999999996</v>
          </cell>
          <cell r="M609">
            <v>122.16022599999999</v>
          </cell>
          <cell r="N609">
            <v>0</v>
          </cell>
          <cell r="O609" t="str">
            <v>Tahap III 166</v>
          </cell>
        </row>
        <row r="610">
          <cell r="F610" t="str">
            <v>Kojagete</v>
          </cell>
          <cell r="G610" t="str">
            <v>Hub</v>
          </cell>
          <cell r="H610">
            <v>7342100000</v>
          </cell>
          <cell r="J610">
            <v>0.25</v>
          </cell>
          <cell r="K610">
            <v>280</v>
          </cell>
          <cell r="L610">
            <v>-8.4298990000000007</v>
          </cell>
          <cell r="M610">
            <v>122.37738400000001</v>
          </cell>
          <cell r="N610">
            <v>0</v>
          </cell>
          <cell r="O610" t="str">
            <v>Tahap III 166</v>
          </cell>
        </row>
        <row r="611">
          <cell r="F611" t="str">
            <v>Perumaan</v>
          </cell>
          <cell r="G611" t="str">
            <v>Penyangga (+cs)</v>
          </cell>
          <cell r="H611">
            <v>6580000000</v>
          </cell>
          <cell r="J611">
            <v>0.05</v>
          </cell>
          <cell r="K611">
            <v>915</v>
          </cell>
          <cell r="L611">
            <v>-8.4545670000000008</v>
          </cell>
          <cell r="M611">
            <v>122.44139199999999</v>
          </cell>
          <cell r="N611">
            <v>0</v>
          </cell>
          <cell r="O611" t="str">
            <v>Tahap IV 200</v>
          </cell>
        </row>
        <row r="612">
          <cell r="F612" t="str">
            <v>Watumilok</v>
          </cell>
          <cell r="G612" t="str">
            <v>Penyangga</v>
          </cell>
          <cell r="H612">
            <v>3214500000</v>
          </cell>
          <cell r="J612">
            <v>0.06</v>
          </cell>
          <cell r="K612">
            <v>52</v>
          </cell>
          <cell r="L612">
            <v>-8.6373201999999996</v>
          </cell>
          <cell r="M612">
            <v>122.2809747</v>
          </cell>
          <cell r="N612">
            <v>0</v>
          </cell>
          <cell r="O612" t="str">
            <v>Tahap III 166</v>
          </cell>
        </row>
        <row r="613">
          <cell r="F613" t="str">
            <v>Geliting</v>
          </cell>
          <cell r="G613" t="str">
            <v>Penyangga</v>
          </cell>
          <cell r="H613">
            <v>3214500000</v>
          </cell>
          <cell r="J613">
            <v>7.0000000000000007E-2</v>
          </cell>
          <cell r="K613">
            <v>9</v>
          </cell>
          <cell r="L613">
            <v>-8.6420413000000007</v>
          </cell>
          <cell r="M613">
            <v>122.2903884</v>
          </cell>
          <cell r="N613">
            <v>0</v>
          </cell>
          <cell r="O613" t="str">
            <v>Tahap III 166</v>
          </cell>
        </row>
        <row r="614">
          <cell r="F614" t="str">
            <v>Lowolabo</v>
          </cell>
          <cell r="G614" t="str">
            <v>Penyangga</v>
          </cell>
          <cell r="H614">
            <v>6580000000</v>
          </cell>
          <cell r="J614">
            <v>0.2</v>
          </cell>
          <cell r="K614">
            <v>0</v>
          </cell>
          <cell r="L614">
            <v>-8.7650500999999998</v>
          </cell>
          <cell r="M614">
            <v>122.0568806</v>
          </cell>
          <cell r="N614">
            <v>0</v>
          </cell>
          <cell r="O614" t="str">
            <v>Tahap IV 200</v>
          </cell>
        </row>
        <row r="615">
          <cell r="F615" t="str">
            <v>Golo Mori</v>
          </cell>
          <cell r="G615" t="str">
            <v>Penyangga</v>
          </cell>
          <cell r="H615">
            <v>6580000000</v>
          </cell>
          <cell r="J615">
            <v>2.25</v>
          </cell>
          <cell r="K615">
            <v>137</v>
          </cell>
          <cell r="L615">
            <v>-8.6714971999999992</v>
          </cell>
          <cell r="M615">
            <v>119.8312778</v>
          </cell>
          <cell r="N615">
            <v>0</v>
          </cell>
          <cell r="O615" t="str">
            <v>Tahap IV 200</v>
          </cell>
        </row>
        <row r="616">
          <cell r="F616" t="str">
            <v>Nanga Lili</v>
          </cell>
          <cell r="G616" t="str">
            <v>Penyangga</v>
          </cell>
          <cell r="H616">
            <v>6580000000</v>
          </cell>
          <cell r="J616">
            <v>0</v>
          </cell>
          <cell r="K616">
            <v>91</v>
          </cell>
          <cell r="L616">
            <v>-8.7804806000000006</v>
          </cell>
          <cell r="M616">
            <v>120.1315056</v>
          </cell>
          <cell r="N616">
            <v>0</v>
          </cell>
          <cell r="O616" t="str">
            <v>Tahap IV 200</v>
          </cell>
        </row>
        <row r="617">
          <cell r="F617" t="str">
            <v>Kore</v>
          </cell>
          <cell r="G617" t="str">
            <v>Penyangga</v>
          </cell>
          <cell r="H617">
            <v>3214500000</v>
          </cell>
          <cell r="J617">
            <v>2</v>
          </cell>
          <cell r="K617">
            <v>627</v>
          </cell>
          <cell r="L617">
            <v>-8.3678530000000002</v>
          </cell>
          <cell r="M617">
            <v>118.293947</v>
          </cell>
          <cell r="N617">
            <v>0</v>
          </cell>
          <cell r="O617" t="str">
            <v>Tahap II 146</v>
          </cell>
        </row>
        <row r="618">
          <cell r="F618" t="str">
            <v>Bumi Waras</v>
          </cell>
          <cell r="G618" t="str">
            <v>Penyangga</v>
          </cell>
          <cell r="H618">
            <v>10470826000</v>
          </cell>
          <cell r="J618">
            <v>1.75</v>
          </cell>
          <cell r="K618">
            <v>31</v>
          </cell>
          <cell r="L618">
            <v>-5.4465839999999996</v>
          </cell>
          <cell r="M618">
            <v>105.282636</v>
          </cell>
          <cell r="N618">
            <v>0</v>
          </cell>
          <cell r="O618" t="str">
            <v>Tahap II 146</v>
          </cell>
        </row>
        <row r="619">
          <cell r="F619" t="str">
            <v>Kangkung</v>
          </cell>
          <cell r="G619" t="str">
            <v>Penyangga</v>
          </cell>
          <cell r="H619">
            <v>4686128000</v>
          </cell>
          <cell r="J619">
            <v>0.38</v>
          </cell>
          <cell r="K619">
            <v>3.145</v>
          </cell>
          <cell r="L619">
            <v>-5.4499240000000002</v>
          </cell>
          <cell r="M619">
            <v>105.267411</v>
          </cell>
          <cell r="N619">
            <v>0</v>
          </cell>
          <cell r="O619" t="str">
            <v>Tahap II 146</v>
          </cell>
        </row>
        <row r="620">
          <cell r="F620" t="str">
            <v>Kota Karang Raya</v>
          </cell>
          <cell r="G620" t="str">
            <v>Hub</v>
          </cell>
          <cell r="H620">
            <v>5250872000</v>
          </cell>
          <cell r="J620">
            <v>0.12</v>
          </cell>
          <cell r="K620">
            <v>461</v>
          </cell>
          <cell r="L620">
            <v>-5.4603010000000003</v>
          </cell>
          <cell r="M620">
            <v>105.25572200000001</v>
          </cell>
          <cell r="N620">
            <v>0</v>
          </cell>
          <cell r="O620" t="str">
            <v>Tahap II 146</v>
          </cell>
        </row>
        <row r="621">
          <cell r="F621" t="str">
            <v>Kota Ndora</v>
          </cell>
          <cell r="G621" t="str">
            <v>Hub</v>
          </cell>
          <cell r="H621">
            <v>7342100000</v>
          </cell>
          <cell r="J621">
            <v>0</v>
          </cell>
          <cell r="K621">
            <v>223</v>
          </cell>
          <cell r="L621">
            <v>-8.8264859999999992</v>
          </cell>
          <cell r="M621">
            <v>120.611806</v>
          </cell>
          <cell r="N621">
            <v>0</v>
          </cell>
          <cell r="O621" t="str">
            <v>Tahap III 166</v>
          </cell>
        </row>
        <row r="622">
          <cell r="F622" t="str">
            <v>Waesae</v>
          </cell>
          <cell r="G622" t="str">
            <v>Penyangga</v>
          </cell>
          <cell r="H622">
            <v>3214500000</v>
          </cell>
          <cell r="J622">
            <v>2.1</v>
          </cell>
          <cell r="K622">
            <v>27</v>
          </cell>
          <cell r="L622">
            <v>-8.8308996999999998</v>
          </cell>
          <cell r="M622">
            <v>120.855317</v>
          </cell>
          <cell r="N622">
            <v>0</v>
          </cell>
          <cell r="O622" t="str">
            <v>Tahap III 166</v>
          </cell>
        </row>
        <row r="623">
          <cell r="F623" t="str">
            <v>Pulau Lemukutan</v>
          </cell>
          <cell r="G623" t="str">
            <v>Penyangga</v>
          </cell>
          <cell r="H623">
            <v>6201000000</v>
          </cell>
          <cell r="J623">
            <v>1.02</v>
          </cell>
          <cell r="K623">
            <v>301</v>
          </cell>
          <cell r="L623">
            <v>0.74500299999999997</v>
          </cell>
          <cell r="M623">
            <v>108.72659</v>
          </cell>
          <cell r="N623">
            <v>0</v>
          </cell>
          <cell r="O623" t="str">
            <v>Tahap IV 200</v>
          </cell>
        </row>
        <row r="624">
          <cell r="F624" t="str">
            <v>Kuala</v>
          </cell>
          <cell r="G624" t="str">
            <v>Hub</v>
          </cell>
          <cell r="H624">
            <v>6932400000</v>
          </cell>
          <cell r="J624">
            <v>1.2</v>
          </cell>
          <cell r="K624">
            <v>157</v>
          </cell>
          <cell r="L624">
            <v>0.92092200000000002</v>
          </cell>
          <cell r="M624">
            <v>108.96364199999999</v>
          </cell>
          <cell r="N624">
            <v>0</v>
          </cell>
          <cell r="O624" t="str">
            <v>Tahap II 146</v>
          </cell>
        </row>
        <row r="625">
          <cell r="F625" t="str">
            <v>Dabong</v>
          </cell>
          <cell r="G625" t="str">
            <v>Penyangga</v>
          </cell>
          <cell r="H625">
            <v>4320000000</v>
          </cell>
          <cell r="J625">
            <v>13.5</v>
          </cell>
          <cell r="K625">
            <v>225</v>
          </cell>
          <cell r="L625">
            <v>-0.59565900000000005</v>
          </cell>
          <cell r="M625">
            <v>109.258668</v>
          </cell>
          <cell r="N625">
            <v>0</v>
          </cell>
          <cell r="O625" t="str">
            <v>Tahap III 166</v>
          </cell>
        </row>
        <row r="626">
          <cell r="F626" t="str">
            <v>Jeruju Besar</v>
          </cell>
          <cell r="G626" t="str">
            <v>Penyangga</v>
          </cell>
          <cell r="H626">
            <v>4320000000</v>
          </cell>
          <cell r="J626">
            <v>0.4</v>
          </cell>
          <cell r="K626">
            <v>60</v>
          </cell>
          <cell r="L626">
            <v>-0.67546899999999999</v>
          </cell>
          <cell r="M626">
            <v>109.27309</v>
          </cell>
          <cell r="N626">
            <v>0</v>
          </cell>
          <cell r="O626" t="str">
            <v>Tahap III 166</v>
          </cell>
        </row>
        <row r="627">
          <cell r="F627" t="str">
            <v>Kuala Karang</v>
          </cell>
          <cell r="G627" t="str">
            <v>Hub</v>
          </cell>
          <cell r="H627">
            <v>6932400000</v>
          </cell>
          <cell r="J627">
            <v>2</v>
          </cell>
          <cell r="K627">
            <v>418</v>
          </cell>
          <cell r="L627">
            <v>-0.44710299999999997</v>
          </cell>
          <cell r="M627">
            <v>109.123091</v>
          </cell>
          <cell r="N627">
            <v>0</v>
          </cell>
          <cell r="O627" t="str">
            <v>Tahap III 166</v>
          </cell>
        </row>
        <row r="628">
          <cell r="F628" t="str">
            <v>Mampok</v>
          </cell>
          <cell r="G628" t="str">
            <v>Penyangga</v>
          </cell>
          <cell r="H628">
            <v>6105695000</v>
          </cell>
          <cell r="J628">
            <v>3.6</v>
          </cell>
          <cell r="K628">
            <v>41</v>
          </cell>
          <cell r="L628">
            <v>2.9566686999999998</v>
          </cell>
          <cell r="M628">
            <v>105.7130603</v>
          </cell>
          <cell r="N628">
            <v>0</v>
          </cell>
          <cell r="O628" t="str">
            <v>Tahap IV 200</v>
          </cell>
        </row>
        <row r="629">
          <cell r="F629" t="str">
            <v>Kuala Maras</v>
          </cell>
          <cell r="G629" t="str">
            <v>Hub</v>
          </cell>
          <cell r="H629">
            <v>6105695000</v>
          </cell>
          <cell r="J629">
            <v>2.6</v>
          </cell>
          <cell r="K629">
            <v>288</v>
          </cell>
          <cell r="L629">
            <v>2.9054994000000001</v>
          </cell>
          <cell r="M629">
            <v>105.8074429</v>
          </cell>
          <cell r="N629">
            <v>0</v>
          </cell>
          <cell r="O629" t="str">
            <v>Tahap IV 200</v>
          </cell>
        </row>
        <row r="630">
          <cell r="F630" t="str">
            <v>Putik</v>
          </cell>
          <cell r="G630" t="str">
            <v>Penyangga</v>
          </cell>
          <cell r="H630">
            <v>6105695000</v>
          </cell>
          <cell r="J630">
            <v>0.35</v>
          </cell>
          <cell r="K630">
            <v>226</v>
          </cell>
          <cell r="L630">
            <v>3.3445642000000002</v>
          </cell>
          <cell r="M630">
            <v>106.2963256</v>
          </cell>
          <cell r="N630">
            <v>0</v>
          </cell>
          <cell r="O630" t="str">
            <v>Tahap IV 200</v>
          </cell>
        </row>
        <row r="631">
          <cell r="F631" t="str">
            <v>Air Bini</v>
          </cell>
          <cell r="G631" t="str">
            <v>Penyangga</v>
          </cell>
          <cell r="H631">
            <v>6105695000</v>
          </cell>
          <cell r="J631">
            <v>0.72</v>
          </cell>
          <cell r="K631">
            <v>88</v>
          </cell>
          <cell r="L631">
            <v>3.1098398999999999</v>
          </cell>
          <cell r="M631">
            <v>106.2603656</v>
          </cell>
          <cell r="N631">
            <v>0</v>
          </cell>
          <cell r="O631" t="str">
            <v>Tahap IV 200</v>
          </cell>
        </row>
        <row r="632">
          <cell r="F632" t="str">
            <v>Piasan</v>
          </cell>
          <cell r="G632" t="str">
            <v>Penyangga</v>
          </cell>
          <cell r="H632">
            <v>6105695000</v>
          </cell>
          <cell r="J632">
            <v>0.17</v>
          </cell>
          <cell r="K632">
            <v>113</v>
          </cell>
          <cell r="L632">
            <v>3.3083458000000001</v>
          </cell>
          <cell r="M632">
            <v>106.2234868</v>
          </cell>
          <cell r="N632">
            <v>0</v>
          </cell>
          <cell r="O632" t="str">
            <v>Tahap IV 200</v>
          </cell>
        </row>
        <row r="633">
          <cell r="F633" t="str">
            <v>Geulumpang Sulu Timu</v>
          </cell>
          <cell r="G633" t="str">
            <v>Penyangga</v>
          </cell>
          <cell r="J633">
            <v>1.2</v>
          </cell>
          <cell r="K633">
            <v>286</v>
          </cell>
          <cell r="L633">
            <v>5.2604920000000002</v>
          </cell>
          <cell r="M633">
            <v>96.993461999999994</v>
          </cell>
          <cell r="O633" t="e">
            <v>#N/A</v>
          </cell>
        </row>
        <row r="634">
          <cell r="F634" t="str">
            <v>Lapang Barat</v>
          </cell>
          <cell r="G634" t="str">
            <v>Penyangga</v>
          </cell>
          <cell r="J634">
            <v>5.8</v>
          </cell>
          <cell r="K634">
            <v>302</v>
          </cell>
          <cell r="L634">
            <v>5.2473650000000003</v>
          </cell>
          <cell r="M634">
            <v>96.883904999999999</v>
          </cell>
          <cell r="O634" t="e">
            <v>#N/A</v>
          </cell>
        </row>
        <row r="635">
          <cell r="F635" t="str">
            <v>Kuala Cerape</v>
          </cell>
          <cell r="G635" t="str">
            <v>Penyangga</v>
          </cell>
          <cell r="J635">
            <v>2.5</v>
          </cell>
          <cell r="K635">
            <v>159</v>
          </cell>
          <cell r="L635">
            <v>5.275976</v>
          </cell>
          <cell r="M635">
            <v>96.84572</v>
          </cell>
          <cell r="O635" t="e">
            <v>#N/A</v>
          </cell>
        </row>
        <row r="636">
          <cell r="F636" t="str">
            <v>Lancang</v>
          </cell>
          <cell r="G636" t="str">
            <v>Penyangga</v>
          </cell>
          <cell r="J636">
            <v>4.5</v>
          </cell>
          <cell r="K636">
            <v>420</v>
          </cell>
          <cell r="L636">
            <v>5.2026633999999996</v>
          </cell>
          <cell r="M636">
            <v>96.496966999999998</v>
          </cell>
          <cell r="O636" t="e">
            <v>#N/A</v>
          </cell>
        </row>
        <row r="637">
          <cell r="F637" t="str">
            <v>Matang Pasi</v>
          </cell>
          <cell r="G637" t="str">
            <v>Penyangga</v>
          </cell>
          <cell r="J637">
            <v>1.3</v>
          </cell>
          <cell r="K637">
            <v>330</v>
          </cell>
          <cell r="L637">
            <v>5.2098000000000004</v>
          </cell>
          <cell r="M637">
            <v>96.601399999999998</v>
          </cell>
          <cell r="O637" t="e">
            <v>#N/A</v>
          </cell>
        </row>
        <row r="638">
          <cell r="F638" t="str">
            <v>Teluk Gelam</v>
          </cell>
          <cell r="G638" t="str">
            <v>Penyangga</v>
          </cell>
          <cell r="H638">
            <v>4320000000</v>
          </cell>
          <cell r="J638">
            <v>3</v>
          </cell>
          <cell r="K638">
            <v>151</v>
          </cell>
          <cell r="L638">
            <v>0.36631799999999998</v>
          </cell>
          <cell r="M638">
            <v>109.167047</v>
          </cell>
          <cell r="N638">
            <v>0</v>
          </cell>
          <cell r="O638" t="str">
            <v>Tahap III 166</v>
          </cell>
        </row>
        <row r="639">
          <cell r="F639" t="str">
            <v>Kuala Secapah</v>
          </cell>
          <cell r="G639" t="str">
            <v>Hub</v>
          </cell>
          <cell r="H639">
            <v>6932400000</v>
          </cell>
          <cell r="J639">
            <v>1.2</v>
          </cell>
          <cell r="K639">
            <v>350</v>
          </cell>
          <cell r="L639">
            <v>0.32183</v>
          </cell>
          <cell r="M639">
            <v>108.967467</v>
          </cell>
          <cell r="N639">
            <v>0</v>
          </cell>
          <cell r="O639" t="str">
            <v>Tahap III 166</v>
          </cell>
        </row>
        <row r="640">
          <cell r="F640" t="str">
            <v>Penibung</v>
          </cell>
          <cell r="G640" t="str">
            <v>Penyangga</v>
          </cell>
          <cell r="H640">
            <v>4320000000</v>
          </cell>
          <cell r="J640">
            <v>0.09</v>
          </cell>
          <cell r="K640">
            <v>80</v>
          </cell>
          <cell r="L640">
            <v>0.40958600000000001</v>
          </cell>
          <cell r="M640">
            <v>108.946951</v>
          </cell>
          <cell r="N640">
            <v>0</v>
          </cell>
          <cell r="O640" t="str">
            <v>Tahap III 166</v>
          </cell>
        </row>
        <row r="641">
          <cell r="F641" t="str">
            <v>Sengkubang</v>
          </cell>
          <cell r="G641" t="str">
            <v>Penyangga</v>
          </cell>
          <cell r="H641">
            <v>4320000000</v>
          </cell>
          <cell r="J641">
            <v>0.05</v>
          </cell>
          <cell r="K641">
            <v>68</v>
          </cell>
          <cell r="L641">
            <v>0.42981799999999998</v>
          </cell>
          <cell r="M641">
            <v>108.94565</v>
          </cell>
          <cell r="N641">
            <v>0</v>
          </cell>
          <cell r="O641" t="str">
            <v>Tahap III 166</v>
          </cell>
        </row>
        <row r="642">
          <cell r="F642" t="str">
            <v>Sungai Duri Ii</v>
          </cell>
          <cell r="G642" t="str">
            <v>Penyangga</v>
          </cell>
          <cell r="H642">
            <v>4320000000</v>
          </cell>
          <cell r="J642">
            <v>0.12</v>
          </cell>
          <cell r="K642">
            <v>80</v>
          </cell>
          <cell r="L642">
            <v>0.54039300000000001</v>
          </cell>
          <cell r="M642">
            <v>108.919425</v>
          </cell>
          <cell r="N642">
            <v>0</v>
          </cell>
          <cell r="O642" t="str">
            <v>Tahap III 166</v>
          </cell>
        </row>
        <row r="643">
          <cell r="F643" t="str">
            <v>Muara Asam-Asam</v>
          </cell>
          <cell r="G643" t="str">
            <v>Penyangga (+cs)</v>
          </cell>
          <cell r="H643">
            <v>4567200000</v>
          </cell>
          <cell r="J643">
            <v>1.8</v>
          </cell>
          <cell r="K643">
            <v>400</v>
          </cell>
          <cell r="L643">
            <v>-3.9654159999999998</v>
          </cell>
          <cell r="M643">
            <v>115.123516</v>
          </cell>
          <cell r="N643">
            <v>0</v>
          </cell>
          <cell r="O643" t="str">
            <v>Tahap II 146</v>
          </cell>
        </row>
        <row r="644">
          <cell r="F644" t="str">
            <v>Batakan</v>
          </cell>
          <cell r="G644" t="str">
            <v>Penyangga</v>
          </cell>
          <cell r="H644">
            <v>6201000000</v>
          </cell>
          <cell r="J644">
            <v>0.50939999999999996</v>
          </cell>
          <cell r="K644">
            <v>900</v>
          </cell>
          <cell r="L644">
            <v>-4.0764899999999997</v>
          </cell>
          <cell r="M644">
            <v>114.63021000000001</v>
          </cell>
          <cell r="N644">
            <v>0</v>
          </cell>
          <cell r="O644" t="str">
            <v>Tahap IV 200</v>
          </cell>
        </row>
        <row r="645">
          <cell r="F645" t="str">
            <v>Kuala Tambangan</v>
          </cell>
          <cell r="G645" t="str">
            <v>Hub</v>
          </cell>
          <cell r="H645">
            <v>6932400000</v>
          </cell>
          <cell r="J645">
            <v>1</v>
          </cell>
          <cell r="K645">
            <v>603</v>
          </cell>
          <cell r="L645">
            <v>-3.973725</v>
          </cell>
          <cell r="M645">
            <v>114.628624</v>
          </cell>
          <cell r="N645">
            <v>0</v>
          </cell>
          <cell r="O645" t="str">
            <v>Tahap II 146</v>
          </cell>
        </row>
        <row r="646">
          <cell r="F646" t="str">
            <v>Pagatan Besar</v>
          </cell>
          <cell r="G646" t="str">
            <v>Penyangga</v>
          </cell>
          <cell r="H646">
            <v>6201000000</v>
          </cell>
          <cell r="J646">
            <v>0.30099999999999999</v>
          </cell>
          <cell r="K646">
            <v>388</v>
          </cell>
          <cell r="L646">
            <v>-3.8079299999999998</v>
          </cell>
          <cell r="M646">
            <v>114.60429999999999</v>
          </cell>
          <cell r="N646">
            <v>0</v>
          </cell>
          <cell r="O646" t="str">
            <v>Tahap IV 200</v>
          </cell>
        </row>
        <row r="647">
          <cell r="F647" t="str">
            <v>Tabanio</v>
          </cell>
          <cell r="G647" t="str">
            <v>Penyangga</v>
          </cell>
          <cell r="H647">
            <v>4320000000</v>
          </cell>
          <cell r="J647">
            <v>1.84</v>
          </cell>
          <cell r="K647">
            <v>736</v>
          </cell>
          <cell r="L647">
            <v>-3.7634970000000001</v>
          </cell>
          <cell r="M647">
            <v>114.609677</v>
          </cell>
          <cell r="N647">
            <v>0</v>
          </cell>
          <cell r="O647" t="str">
            <v>Tahap II 146</v>
          </cell>
        </row>
        <row r="648">
          <cell r="F648" t="str">
            <v>Oetuke</v>
          </cell>
          <cell r="G648" t="str">
            <v>Penyangga</v>
          </cell>
          <cell r="H648">
            <v>3214500000</v>
          </cell>
          <cell r="J648">
            <v>1</v>
          </cell>
          <cell r="K648">
            <v>246</v>
          </cell>
          <cell r="L648">
            <v>-9.9921000000000006</v>
          </cell>
          <cell r="M648">
            <v>124.55788</v>
          </cell>
          <cell r="N648">
            <v>0</v>
          </cell>
          <cell r="O648" t="str">
            <v>Tahap II 146</v>
          </cell>
        </row>
        <row r="649">
          <cell r="F649" t="str">
            <v>Kualin</v>
          </cell>
          <cell r="G649" t="str">
            <v>Hub</v>
          </cell>
          <cell r="H649">
            <v>7342100000</v>
          </cell>
          <cell r="J649">
            <v>0</v>
          </cell>
          <cell r="K649">
            <v>14</v>
          </cell>
          <cell r="L649">
            <v>-10.128192</v>
          </cell>
          <cell r="M649">
            <v>124.462081</v>
          </cell>
          <cell r="N649">
            <v>0</v>
          </cell>
          <cell r="O649" t="str">
            <v>Tahap II 146</v>
          </cell>
        </row>
        <row r="650">
          <cell r="F650" t="str">
            <v>Kalianda</v>
          </cell>
          <cell r="G650" t="str">
            <v>Penyangga</v>
          </cell>
          <cell r="H650">
            <v>4123000000</v>
          </cell>
          <cell r="J650">
            <v>0.06</v>
          </cell>
          <cell r="K650">
            <v>148</v>
          </cell>
          <cell r="L650">
            <v>-5.7425569999999997</v>
          </cell>
          <cell r="M650">
            <v>105.588453</v>
          </cell>
          <cell r="N650">
            <v>0</v>
          </cell>
          <cell r="O650" t="str">
            <v>Tahap II 146</v>
          </cell>
        </row>
        <row r="651">
          <cell r="F651" t="str">
            <v>Banding</v>
          </cell>
          <cell r="G651" t="str">
            <v>Penyangga</v>
          </cell>
          <cell r="H651">
            <v>4123000000</v>
          </cell>
          <cell r="J651">
            <v>1</v>
          </cell>
          <cell r="K651">
            <v>133</v>
          </cell>
          <cell r="L651">
            <v>-5.8114489999999996</v>
          </cell>
          <cell r="M651">
            <v>105.59256999999999</v>
          </cell>
          <cell r="N651">
            <v>0</v>
          </cell>
          <cell r="O651" t="str">
            <v>Tahap II 146</v>
          </cell>
        </row>
        <row r="652">
          <cell r="F652" t="str">
            <v>Kurau</v>
          </cell>
          <cell r="G652" t="str">
            <v>Hub</v>
          </cell>
          <cell r="H652">
            <v>8500000000</v>
          </cell>
          <cell r="J652">
            <v>0.3</v>
          </cell>
          <cell r="K652">
            <v>650</v>
          </cell>
          <cell r="L652">
            <v>-2.3376880999999998</v>
          </cell>
          <cell r="M652">
            <v>106.2312141</v>
          </cell>
          <cell r="N652">
            <v>0</v>
          </cell>
          <cell r="O652" t="str">
            <v>Tahap IV 200</v>
          </cell>
        </row>
        <row r="653">
          <cell r="F653" t="str">
            <v>Paluh Sibaji</v>
          </cell>
          <cell r="G653" t="str">
            <v>Penyangga</v>
          </cell>
          <cell r="H653">
            <v>4123000000</v>
          </cell>
          <cell r="J653">
            <v>1</v>
          </cell>
          <cell r="K653">
            <v>1</v>
          </cell>
          <cell r="L653">
            <v>3.6663890000000001</v>
          </cell>
          <cell r="M653">
            <v>98.904160000000005</v>
          </cell>
          <cell r="N653">
            <v>0</v>
          </cell>
          <cell r="O653" t="str">
            <v>Tahap III 166</v>
          </cell>
        </row>
        <row r="654">
          <cell r="F654" t="str">
            <v>Nelayan Indah</v>
          </cell>
          <cell r="G654" t="str">
            <v>Penyangga</v>
          </cell>
          <cell r="H654">
            <v>4123000000</v>
          </cell>
          <cell r="K654">
            <v>394</v>
          </cell>
          <cell r="L654">
            <v>3.7557999999999998</v>
          </cell>
          <cell r="M654">
            <v>98.701800000000006</v>
          </cell>
          <cell r="N654">
            <v>0</v>
          </cell>
          <cell r="O654" t="str">
            <v>Tahap III 166</v>
          </cell>
        </row>
        <row r="655">
          <cell r="F655" t="str">
            <v>Secanggang</v>
          </cell>
          <cell r="G655" t="str">
            <v>Penyangga</v>
          </cell>
          <cell r="H655">
            <v>6105695000</v>
          </cell>
          <cell r="J655">
            <v>1</v>
          </cell>
          <cell r="K655">
            <v>108</v>
          </cell>
          <cell r="L655">
            <v>3.8792779999999998</v>
          </cell>
          <cell r="M655">
            <v>98.546971999999997</v>
          </cell>
          <cell r="N655">
            <v>0</v>
          </cell>
          <cell r="O655" t="str">
            <v>Tahap IV 200</v>
          </cell>
        </row>
        <row r="656">
          <cell r="F656" t="str">
            <v>Kwala Serapuh</v>
          </cell>
          <cell r="G656" t="str">
            <v>Penyangga</v>
          </cell>
          <cell r="H656">
            <v>4123000000</v>
          </cell>
          <cell r="K656">
            <v>226</v>
          </cell>
          <cell r="L656">
            <v>4.0379737999999996</v>
          </cell>
          <cell r="M656">
            <v>98.452415400000007</v>
          </cell>
          <cell r="N656">
            <v>0</v>
          </cell>
          <cell r="O656" t="str">
            <v>Tahap III 166</v>
          </cell>
        </row>
        <row r="657">
          <cell r="F657" t="str">
            <v>Kwangko</v>
          </cell>
          <cell r="G657" t="str">
            <v>Penyangga</v>
          </cell>
          <cell r="H657">
            <v>3214500000</v>
          </cell>
          <cell r="J657">
            <v>0.5</v>
          </cell>
          <cell r="K657">
            <v>350</v>
          </cell>
          <cell r="L657">
            <v>-8.6658109999999997</v>
          </cell>
          <cell r="M657">
            <v>118.249942</v>
          </cell>
          <cell r="N657">
            <v>0</v>
          </cell>
          <cell r="O657" t="str">
            <v>Tahap II 146</v>
          </cell>
        </row>
        <row r="658">
          <cell r="F658" t="str">
            <v>Sagu</v>
          </cell>
          <cell r="G658" t="str">
            <v>Penyangga</v>
          </cell>
          <cell r="H658">
            <v>6580000000</v>
          </cell>
          <cell r="J658">
            <v>0.2</v>
          </cell>
          <cell r="K658">
            <v>500</v>
          </cell>
          <cell r="L658">
            <v>-8.2386359999999996</v>
          </cell>
          <cell r="M658">
            <v>123.211889</v>
          </cell>
          <cell r="N658">
            <v>0</v>
          </cell>
          <cell r="O658" t="str">
            <v>Tahap IV 200</v>
          </cell>
        </row>
        <row r="659">
          <cell r="F659" t="str">
            <v>Lamahala Jaya</v>
          </cell>
          <cell r="G659" t="str">
            <v>Penyangga</v>
          </cell>
          <cell r="H659">
            <v>3214500000</v>
          </cell>
          <cell r="J659">
            <v>1.59</v>
          </cell>
          <cell r="K659">
            <v>700</v>
          </cell>
          <cell r="L659">
            <v>-8.3880999999999997</v>
          </cell>
          <cell r="M659">
            <v>123.14919999999999</v>
          </cell>
          <cell r="N659">
            <v>0</v>
          </cell>
          <cell r="O659" t="str">
            <v>Tahap III 166</v>
          </cell>
        </row>
        <row r="660">
          <cell r="F660" t="str">
            <v>Labelen</v>
          </cell>
          <cell r="G660" t="str">
            <v>Hub</v>
          </cell>
          <cell r="H660">
            <v>7342100000</v>
          </cell>
          <cell r="J660">
            <v>2</v>
          </cell>
          <cell r="K660">
            <v>183</v>
          </cell>
          <cell r="L660">
            <v>-8.4280650000000001</v>
          </cell>
          <cell r="M660">
            <v>123.13207199999999</v>
          </cell>
          <cell r="N660">
            <v>0</v>
          </cell>
          <cell r="O660" t="str">
            <v>Tahap III 166</v>
          </cell>
        </row>
        <row r="661">
          <cell r="F661" t="str">
            <v>Waiwuring</v>
          </cell>
          <cell r="G661" t="str">
            <v>Penyangga</v>
          </cell>
          <cell r="H661">
            <v>6580000000</v>
          </cell>
          <cell r="J661">
            <v>0.27529999999999999</v>
          </cell>
          <cell r="K661">
            <v>280</v>
          </cell>
          <cell r="L661">
            <v>-8.2957780000000003</v>
          </cell>
          <cell r="M661">
            <v>123.304635</v>
          </cell>
          <cell r="N661">
            <v>0</v>
          </cell>
          <cell r="O661" t="str">
            <v>Tahap IV 200</v>
          </cell>
        </row>
        <row r="662">
          <cell r="F662" t="str">
            <v>Labuhan Bazau</v>
          </cell>
          <cell r="G662" t="str">
            <v>Penyangga</v>
          </cell>
          <cell r="H662">
            <v>6105695000</v>
          </cell>
          <cell r="J662">
            <v>0.05</v>
          </cell>
          <cell r="K662">
            <v>70</v>
          </cell>
          <cell r="L662">
            <v>9.0923000000000004E-2</v>
          </cell>
          <cell r="M662">
            <v>98.846323999999996</v>
          </cell>
          <cell r="N662">
            <v>0</v>
          </cell>
          <cell r="O662" t="str">
            <v>Tahap IV 200</v>
          </cell>
        </row>
        <row r="663">
          <cell r="F663" t="str">
            <v>Bale-Bale Sibohou</v>
          </cell>
          <cell r="G663" t="str">
            <v>Penyangga</v>
          </cell>
          <cell r="H663">
            <v>4123000000</v>
          </cell>
          <cell r="J663">
            <v>0.89</v>
          </cell>
          <cell r="K663">
            <v>95</v>
          </cell>
          <cell r="L663">
            <v>-3.4859999999999999E-3</v>
          </cell>
          <cell r="M663">
            <v>98.390578000000005</v>
          </cell>
          <cell r="N663">
            <v>0</v>
          </cell>
          <cell r="O663" t="str">
            <v>Tahap III 166</v>
          </cell>
        </row>
        <row r="664">
          <cell r="F664" t="str">
            <v>Majino Lorang</v>
          </cell>
          <cell r="G664" t="str">
            <v>Penyangga</v>
          </cell>
          <cell r="H664">
            <v>4123000000</v>
          </cell>
          <cell r="J664">
            <v>0.36</v>
          </cell>
          <cell r="K664">
            <v>90</v>
          </cell>
          <cell r="L664">
            <v>-7.6789999999999996E-4</v>
          </cell>
          <cell r="M664">
            <v>98.228884899999997</v>
          </cell>
          <cell r="N664">
            <v>0</v>
          </cell>
          <cell r="O664" t="str">
            <v>Tahap III 166</v>
          </cell>
        </row>
        <row r="665">
          <cell r="F665" t="str">
            <v>Teluk Santong</v>
          </cell>
          <cell r="G665" t="str">
            <v>Penyangga (+cs)</v>
          </cell>
          <cell r="H665">
            <v>4678000000</v>
          </cell>
          <cell r="J665">
            <v>0.5</v>
          </cell>
          <cell r="K665">
            <v>1613</v>
          </cell>
          <cell r="L665">
            <v>-8.7082569999999997</v>
          </cell>
          <cell r="M665">
            <v>117.85654</v>
          </cell>
          <cell r="N665">
            <v>0</v>
          </cell>
          <cell r="O665" t="str">
            <v>Tahap II 146</v>
          </cell>
        </row>
        <row r="666">
          <cell r="F666" t="str">
            <v>Labuhan Jambu</v>
          </cell>
          <cell r="G666" t="str">
            <v>Penyangga (+cs)</v>
          </cell>
          <cell r="H666">
            <v>4678000000</v>
          </cell>
          <cell r="J666">
            <v>1.63</v>
          </cell>
          <cell r="K666">
            <v>476</v>
          </cell>
          <cell r="L666">
            <v>-8.7016823999999993</v>
          </cell>
          <cell r="M666">
            <v>118.01617570000001</v>
          </cell>
          <cell r="N666">
            <v>0</v>
          </cell>
          <cell r="O666" t="str">
            <v>Tahap II 146</v>
          </cell>
        </row>
        <row r="667">
          <cell r="F667" t="str">
            <v>Labuhan Alas</v>
          </cell>
          <cell r="G667" t="str">
            <v>Penyangga</v>
          </cell>
          <cell r="H667">
            <v>3214500000</v>
          </cell>
          <cell r="J667">
            <v>0.05</v>
          </cell>
          <cell r="K667">
            <v>97</v>
          </cell>
          <cell r="L667">
            <v>-8.5027100000000004</v>
          </cell>
          <cell r="M667">
            <v>117.000097</v>
          </cell>
          <cell r="N667">
            <v>0</v>
          </cell>
          <cell r="O667" t="str">
            <v>Tahap II 146</v>
          </cell>
        </row>
        <row r="668">
          <cell r="F668" t="str">
            <v>Labuhan Mapin</v>
          </cell>
          <cell r="G668" t="str">
            <v>Penyangga</v>
          </cell>
          <cell r="H668">
            <v>3214500000</v>
          </cell>
          <cell r="J668">
            <v>0.05</v>
          </cell>
          <cell r="K668">
            <v>672</v>
          </cell>
          <cell r="L668">
            <v>-8.5240519999999993</v>
          </cell>
          <cell r="M668">
            <v>116.922498</v>
          </cell>
          <cell r="N668">
            <v>0</v>
          </cell>
          <cell r="O668" t="str">
            <v>Tahap II 146</v>
          </cell>
        </row>
        <row r="669">
          <cell r="F669" t="str">
            <v>Labuhan Burung</v>
          </cell>
          <cell r="G669" t="str">
            <v>Penyangga</v>
          </cell>
          <cell r="H669">
            <v>3214500000</v>
          </cell>
          <cell r="J669">
            <v>0.1</v>
          </cell>
          <cell r="K669">
            <v>494</v>
          </cell>
          <cell r="L669">
            <v>-8.4519079999999995</v>
          </cell>
          <cell r="M669">
            <v>117.033984</v>
          </cell>
          <cell r="N669">
            <v>0</v>
          </cell>
          <cell r="O669" t="str">
            <v>Tahap II 146</v>
          </cell>
        </row>
        <row r="670">
          <cell r="F670" t="str">
            <v>Pulau Kaung</v>
          </cell>
          <cell r="G670" t="str">
            <v>Penyangga</v>
          </cell>
          <cell r="H670">
            <v>3214500000</v>
          </cell>
          <cell r="J670">
            <v>0.05</v>
          </cell>
          <cell r="K670">
            <v>371</v>
          </cell>
          <cell r="L670">
            <v>-8.4621139999999997</v>
          </cell>
          <cell r="M670">
            <v>117.010232</v>
          </cell>
          <cell r="N670">
            <v>0</v>
          </cell>
          <cell r="O670" t="str">
            <v>Tahap II 146</v>
          </cell>
        </row>
        <row r="671">
          <cell r="F671" t="str">
            <v>Bozihona</v>
          </cell>
          <cell r="G671" t="str">
            <v>Penyangga</v>
          </cell>
          <cell r="H671">
            <v>6105695000</v>
          </cell>
          <cell r="J671">
            <v>1.19</v>
          </cell>
          <cell r="K671">
            <v>133</v>
          </cell>
          <cell r="L671">
            <v>1.09674</v>
          </cell>
          <cell r="M671">
            <v>97.831900000000005</v>
          </cell>
          <cell r="N671">
            <v>0</v>
          </cell>
          <cell r="O671" t="str">
            <v>Tahap IV 200</v>
          </cell>
        </row>
        <row r="672">
          <cell r="F672" t="str">
            <v>Lambu</v>
          </cell>
          <cell r="G672" t="str">
            <v>Penyangga</v>
          </cell>
          <cell r="H672">
            <v>3214500000</v>
          </cell>
          <cell r="J672">
            <v>0.05</v>
          </cell>
          <cell r="K672">
            <v>400</v>
          </cell>
          <cell r="L672">
            <v>-8.6514810000000004</v>
          </cell>
          <cell r="M672">
            <v>119.07742589999999</v>
          </cell>
          <cell r="N672">
            <v>0</v>
          </cell>
          <cell r="O672" t="str">
            <v>Tahap II 146</v>
          </cell>
        </row>
        <row r="673">
          <cell r="F673" t="str">
            <v>Kuala Cangkoy</v>
          </cell>
          <cell r="G673" t="str">
            <v>Penyangga</v>
          </cell>
          <cell r="J673">
            <v>2.9</v>
          </cell>
          <cell r="K673">
            <v>650</v>
          </cell>
          <cell r="L673">
            <v>5.1794599999999997</v>
          </cell>
          <cell r="M673">
            <v>97.302372000000005</v>
          </cell>
          <cell r="O673" t="e">
            <v>#N/A</v>
          </cell>
        </row>
        <row r="674">
          <cell r="F674" t="str">
            <v>Matang Puntong</v>
          </cell>
          <cell r="G674" t="str">
            <v>Penyangga</v>
          </cell>
          <cell r="J674">
            <v>0.05</v>
          </cell>
          <cell r="K674">
            <v>43</v>
          </cell>
          <cell r="L674">
            <v>5.1981229999999998</v>
          </cell>
          <cell r="M674">
            <v>97.364971999999995</v>
          </cell>
          <cell r="O674" t="e">
            <v>#N/A</v>
          </cell>
        </row>
        <row r="675">
          <cell r="F675" t="str">
            <v>Ulee Rubek Barat</v>
          </cell>
          <cell r="G675" t="str">
            <v>Penyangga</v>
          </cell>
          <cell r="J675">
            <v>1.9</v>
          </cell>
          <cell r="K675">
            <v>700</v>
          </cell>
          <cell r="L675">
            <v>5.2164374999999996</v>
          </cell>
          <cell r="M675">
            <v>97.408165299999993</v>
          </cell>
          <cell r="O675" t="e">
            <v>#N/A</v>
          </cell>
        </row>
        <row r="676">
          <cell r="F676" t="str">
            <v>Ulee Rubek Timu</v>
          </cell>
          <cell r="G676" t="str">
            <v>Penyangga</v>
          </cell>
          <cell r="J676">
            <v>1.3</v>
          </cell>
          <cell r="K676">
            <v>190</v>
          </cell>
          <cell r="L676">
            <v>5.2193769999999997</v>
          </cell>
          <cell r="M676">
            <v>97.423060000000007</v>
          </cell>
          <cell r="O676" t="e">
            <v>#N/A</v>
          </cell>
        </row>
        <row r="677">
          <cell r="F677" t="str">
            <v>Ujong Blang</v>
          </cell>
          <cell r="G677" t="str">
            <v>Penyangga</v>
          </cell>
          <cell r="J677">
            <v>0.93</v>
          </cell>
          <cell r="K677">
            <v>2</v>
          </cell>
          <cell r="L677">
            <v>5.2044699999999997</v>
          </cell>
          <cell r="M677">
            <v>97.114296999999993</v>
          </cell>
          <cell r="O677" t="e">
            <v>#N/A</v>
          </cell>
        </row>
        <row r="678">
          <cell r="F678" t="str">
            <v>Kuala</v>
          </cell>
          <cell r="G678" t="str">
            <v>Penyangga</v>
          </cell>
          <cell r="J678">
            <v>1.8</v>
          </cell>
          <cell r="K678">
            <v>35</v>
          </cell>
          <cell r="L678">
            <v>5.1467780000000003</v>
          </cell>
          <cell r="M678">
            <v>97.154813000000004</v>
          </cell>
          <cell r="N678">
            <v>0</v>
          </cell>
          <cell r="O678" t="str">
            <v>Tahap II 146</v>
          </cell>
        </row>
        <row r="679">
          <cell r="F679" t="str">
            <v>Langi</v>
          </cell>
          <cell r="G679" t="str">
            <v>Hub</v>
          </cell>
          <cell r="J679">
            <v>1</v>
          </cell>
          <cell r="K679">
            <v>250</v>
          </cell>
          <cell r="L679">
            <v>2.8250649999999999</v>
          </cell>
          <cell r="M679">
            <v>95.767910999999998</v>
          </cell>
          <cell r="O679" t="e">
            <v>#N/A</v>
          </cell>
        </row>
        <row r="680">
          <cell r="F680" t="str">
            <v>Nasreuhe</v>
          </cell>
          <cell r="G680" t="str">
            <v>Penyangga</v>
          </cell>
          <cell r="J680">
            <v>0.92</v>
          </cell>
          <cell r="K680">
            <v>300</v>
          </cell>
          <cell r="L680">
            <v>2.6141839999999998</v>
          </cell>
          <cell r="M680">
            <v>95.887354000000002</v>
          </cell>
          <cell r="O680" t="e">
            <v>#N/A</v>
          </cell>
        </row>
        <row r="681">
          <cell r="F681" t="str">
            <v>Kampung Aie</v>
          </cell>
          <cell r="G681" t="str">
            <v>Penyangga</v>
          </cell>
          <cell r="J681">
            <v>0.56000000000000005</v>
          </cell>
          <cell r="K681">
            <v>300</v>
          </cell>
          <cell r="L681">
            <v>2.5787640000000001</v>
          </cell>
          <cell r="M681">
            <v>95.963603000000006</v>
          </cell>
          <cell r="O681" t="e">
            <v>#N/A</v>
          </cell>
        </row>
        <row r="682">
          <cell r="F682" t="str">
            <v>Namosain</v>
          </cell>
          <cell r="G682" t="str">
            <v>Penyangga (+cs)</v>
          </cell>
          <cell r="H682">
            <v>4678000000</v>
          </cell>
          <cell r="J682">
            <v>4</v>
          </cell>
          <cell r="K682">
            <v>2000</v>
          </cell>
          <cell r="L682">
            <v>-10.17266</v>
          </cell>
          <cell r="M682">
            <v>123.560823</v>
          </cell>
          <cell r="N682">
            <v>0</v>
          </cell>
          <cell r="O682" t="str">
            <v>Tahap II 146</v>
          </cell>
        </row>
        <row r="683">
          <cell r="F683" t="str">
            <v>Nunbaun Delha</v>
          </cell>
          <cell r="G683" t="str">
            <v>Penyangga</v>
          </cell>
          <cell r="H683">
            <v>6580000000</v>
          </cell>
          <cell r="J683">
            <v>0.05</v>
          </cell>
          <cell r="K683">
            <v>33</v>
          </cell>
          <cell r="L683">
            <v>-10.168200000000001</v>
          </cell>
          <cell r="M683">
            <v>123.5692</v>
          </cell>
          <cell r="N683">
            <v>0</v>
          </cell>
          <cell r="O683" t="str">
            <v>Tahap IV 200</v>
          </cell>
        </row>
        <row r="684">
          <cell r="F684" t="str">
            <v>Lasiana</v>
          </cell>
          <cell r="G684" t="str">
            <v>Hub</v>
          </cell>
          <cell r="H684">
            <v>7342100000</v>
          </cell>
          <cell r="J684">
            <v>0.19</v>
          </cell>
          <cell r="K684">
            <v>1000</v>
          </cell>
          <cell r="L684">
            <v>-10.1371</v>
          </cell>
          <cell r="M684">
            <v>123.669</v>
          </cell>
          <cell r="N684">
            <v>0</v>
          </cell>
          <cell r="O684" t="str">
            <v>Tahap II 146</v>
          </cell>
        </row>
        <row r="685">
          <cell r="F685" t="str">
            <v>Oesapa</v>
          </cell>
          <cell r="G685" t="str">
            <v>Penyangga</v>
          </cell>
          <cell r="H685">
            <v>3214500000</v>
          </cell>
          <cell r="J685">
            <v>0.49</v>
          </cell>
          <cell r="K685">
            <v>651</v>
          </cell>
          <cell r="L685">
            <v>-10.144997999999999</v>
          </cell>
          <cell r="M685">
            <v>123.65078</v>
          </cell>
          <cell r="N685">
            <v>0</v>
          </cell>
          <cell r="O685" t="str">
            <v>Tahap II 146</v>
          </cell>
        </row>
        <row r="686">
          <cell r="F686" t="str">
            <v>Oesapa Barat</v>
          </cell>
          <cell r="G686" t="str">
            <v>Penyangga</v>
          </cell>
          <cell r="H686">
            <v>6580000000</v>
          </cell>
          <cell r="J686">
            <v>5.2499999999999998E-2</v>
          </cell>
          <cell r="K686">
            <v>70</v>
          </cell>
          <cell r="L686">
            <v>-10.1408</v>
          </cell>
          <cell r="M686">
            <v>123.62609999999999</v>
          </cell>
          <cell r="N686">
            <v>0</v>
          </cell>
          <cell r="O686" t="str">
            <v>Tahap IV 200</v>
          </cell>
        </row>
        <row r="687">
          <cell r="F687" t="str">
            <v>Pasir Panjang</v>
          </cell>
          <cell r="G687" t="str">
            <v>Penyangga</v>
          </cell>
          <cell r="H687">
            <v>6580000000</v>
          </cell>
          <cell r="J687">
            <v>0.24</v>
          </cell>
          <cell r="K687">
            <v>100</v>
          </cell>
          <cell r="L687">
            <v>-10.1508</v>
          </cell>
          <cell r="M687">
            <v>123.60299999999999</v>
          </cell>
          <cell r="N687">
            <v>0</v>
          </cell>
          <cell r="O687" t="str">
            <v>Tahap IV 200</v>
          </cell>
        </row>
        <row r="688">
          <cell r="F688" t="str">
            <v>Hansisi</v>
          </cell>
          <cell r="G688" t="str">
            <v>Penyangga</v>
          </cell>
          <cell r="H688">
            <v>3214500000</v>
          </cell>
          <cell r="J688">
            <v>5</v>
          </cell>
          <cell r="K688">
            <v>900</v>
          </cell>
          <cell r="L688">
            <v>-10.183017</v>
          </cell>
          <cell r="M688">
            <v>123.49185</v>
          </cell>
          <cell r="N688">
            <v>0</v>
          </cell>
          <cell r="O688" t="str">
            <v>Tahap II 146</v>
          </cell>
        </row>
        <row r="689">
          <cell r="F689" t="str">
            <v>Uiasa</v>
          </cell>
          <cell r="G689" t="str">
            <v>Penyangga</v>
          </cell>
          <cell r="H689">
            <v>3214500000</v>
          </cell>
          <cell r="J689">
            <v>5</v>
          </cell>
          <cell r="K689">
            <v>227</v>
          </cell>
          <cell r="L689">
            <v>-10.147694</v>
          </cell>
          <cell r="M689">
            <v>123.465069</v>
          </cell>
          <cell r="N689">
            <v>0</v>
          </cell>
          <cell r="O689" t="str">
            <v>Tahap II 146</v>
          </cell>
        </row>
        <row r="690">
          <cell r="F690" t="str">
            <v>Ujung Tanah</v>
          </cell>
          <cell r="G690" t="str">
            <v>Penyangga</v>
          </cell>
          <cell r="J690">
            <v>1.5</v>
          </cell>
          <cell r="K690">
            <v>65</v>
          </cell>
          <cell r="L690">
            <v>3.694204</v>
          </cell>
          <cell r="M690">
            <v>96.864878000000004</v>
          </cell>
          <cell r="O690" t="e">
            <v>#N/A</v>
          </cell>
        </row>
        <row r="691">
          <cell r="F691" t="str">
            <v>Padang Baru</v>
          </cell>
          <cell r="G691" t="str">
            <v>Penyangga</v>
          </cell>
          <cell r="J691">
            <v>2.5</v>
          </cell>
          <cell r="K691">
            <v>260</v>
          </cell>
          <cell r="L691">
            <v>3.724383</v>
          </cell>
          <cell r="M691">
            <v>96.805841999999998</v>
          </cell>
          <cell r="O691" t="e">
            <v>#N/A</v>
          </cell>
        </row>
        <row r="692">
          <cell r="F692" t="str">
            <v>Sawang Indah</v>
          </cell>
          <cell r="G692" t="str">
            <v>Penyangga</v>
          </cell>
          <cell r="J692">
            <v>0.1</v>
          </cell>
          <cell r="K692">
            <v>72</v>
          </cell>
          <cell r="L692">
            <v>3.527898</v>
          </cell>
          <cell r="M692">
            <v>97.009292000000002</v>
          </cell>
          <cell r="O692" t="e">
            <v>#N/A</v>
          </cell>
        </row>
        <row r="693">
          <cell r="F693" t="str">
            <v>Labuhan Tarok II</v>
          </cell>
          <cell r="G693" t="str">
            <v>Penyangga</v>
          </cell>
          <cell r="J693">
            <v>0.36</v>
          </cell>
          <cell r="K693">
            <v>186</v>
          </cell>
          <cell r="L693">
            <v>3.4393500000000001</v>
          </cell>
          <cell r="M693">
            <v>97.064391000000001</v>
          </cell>
          <cell r="O693" t="e">
            <v>#N/A</v>
          </cell>
        </row>
        <row r="694">
          <cell r="F694" t="str">
            <v>Sigulai</v>
          </cell>
          <cell r="G694" t="str">
            <v>Penyangga</v>
          </cell>
          <cell r="J694">
            <v>1</v>
          </cell>
          <cell r="K694">
            <v>135</v>
          </cell>
          <cell r="L694">
            <v>2.8109000000000002</v>
          </cell>
          <cell r="M694">
            <v>95.968599999999995</v>
          </cell>
          <cell r="O694" t="e">
            <v>#N/A</v>
          </cell>
        </row>
        <row r="695">
          <cell r="F695" t="str">
            <v>Lugu Sebahak</v>
          </cell>
          <cell r="G695" t="str">
            <v>Hub</v>
          </cell>
          <cell r="J695">
            <v>0.62</v>
          </cell>
          <cell r="K695">
            <v>150</v>
          </cell>
          <cell r="L695">
            <v>2.689689</v>
          </cell>
          <cell r="M695">
            <v>96.108953</v>
          </cell>
          <cell r="O695" t="e">
            <v>#N/A</v>
          </cell>
        </row>
        <row r="696">
          <cell r="F696" t="str">
            <v>Muara Aman</v>
          </cell>
          <cell r="G696" t="str">
            <v>Penyangga</v>
          </cell>
          <cell r="J696">
            <v>1.1299999999999999</v>
          </cell>
          <cell r="K696">
            <v>224</v>
          </cell>
          <cell r="L696">
            <v>2.7028789999999998</v>
          </cell>
          <cell r="M696">
            <v>96.125817999999995</v>
          </cell>
          <cell r="O696" t="e">
            <v>#N/A</v>
          </cell>
        </row>
        <row r="697">
          <cell r="F697" t="str">
            <v>Sambay</v>
          </cell>
          <cell r="G697" t="str">
            <v>Penyangga</v>
          </cell>
          <cell r="J697">
            <v>1</v>
          </cell>
          <cell r="K697">
            <v>365</v>
          </cell>
          <cell r="L697">
            <v>2.6484999999999999</v>
          </cell>
          <cell r="M697">
            <v>96.195499999999996</v>
          </cell>
          <cell r="O697" t="e">
            <v>#N/A</v>
          </cell>
        </row>
        <row r="698">
          <cell r="F698" t="str">
            <v>Malaju</v>
          </cell>
          <cell r="G698" t="str">
            <v>Hub</v>
          </cell>
          <cell r="H698">
            <v>7342100000</v>
          </cell>
          <cell r="J698">
            <v>0.7</v>
          </cell>
          <cell r="K698">
            <v>837</v>
          </cell>
          <cell r="L698">
            <v>-8.3066329999999997</v>
          </cell>
          <cell r="M698">
            <v>118.387986</v>
          </cell>
          <cell r="N698">
            <v>0</v>
          </cell>
          <cell r="O698" t="str">
            <v>Tahap II 146</v>
          </cell>
        </row>
        <row r="699">
          <cell r="F699" t="str">
            <v>Maligi</v>
          </cell>
          <cell r="G699" t="str">
            <v>Hub</v>
          </cell>
          <cell r="H699">
            <v>7123100000</v>
          </cell>
          <cell r="J699">
            <v>0.32</v>
          </cell>
          <cell r="K699">
            <v>370</v>
          </cell>
          <cell r="L699">
            <v>6.8030999999999994E-2</v>
          </cell>
          <cell r="M699">
            <v>99.618178</v>
          </cell>
          <cell r="N699">
            <v>0</v>
          </cell>
          <cell r="O699" t="str">
            <v>Tahap III 166</v>
          </cell>
        </row>
        <row r="700">
          <cell r="F700" t="str">
            <v>Ranah Pasisie</v>
          </cell>
          <cell r="G700" t="str">
            <v>Penyangga</v>
          </cell>
          <cell r="H700">
            <v>4123000000</v>
          </cell>
          <cell r="J700">
            <v>1.5</v>
          </cell>
          <cell r="K700">
            <v>1.3080000000000001</v>
          </cell>
          <cell r="L700">
            <v>-1.1924000000000001E-2</v>
          </cell>
          <cell r="M700">
            <v>99.722990999999993</v>
          </cell>
          <cell r="N700">
            <v>0</v>
          </cell>
          <cell r="O700" t="str">
            <v>Tahap III 166</v>
          </cell>
        </row>
        <row r="701">
          <cell r="F701" t="str">
            <v>Sasak</v>
          </cell>
          <cell r="G701" t="str">
            <v>Penyangga</v>
          </cell>
          <cell r="H701">
            <v>6105695000</v>
          </cell>
          <cell r="J701">
            <v>0.25</v>
          </cell>
          <cell r="K701">
            <v>672</v>
          </cell>
          <cell r="L701">
            <v>-4.0039999999999997E-3</v>
          </cell>
          <cell r="M701">
            <v>99.70617</v>
          </cell>
          <cell r="N701">
            <v>0</v>
          </cell>
          <cell r="O701" t="str">
            <v>Tahap IV 200</v>
          </cell>
        </row>
        <row r="702">
          <cell r="F702" t="str">
            <v>Aia Bangih</v>
          </cell>
          <cell r="G702" t="str">
            <v>Penyangga</v>
          </cell>
          <cell r="H702">
            <v>6105695000</v>
          </cell>
          <cell r="J702">
            <v>1</v>
          </cell>
          <cell r="K702">
            <v>3000</v>
          </cell>
          <cell r="L702">
            <v>0.20303399999999999</v>
          </cell>
          <cell r="M702">
            <v>99.393576999999993</v>
          </cell>
          <cell r="N702">
            <v>0</v>
          </cell>
          <cell r="O702" t="str">
            <v>Tahap IV 200</v>
          </cell>
        </row>
        <row r="703">
          <cell r="F703" t="str">
            <v>Kota Jawa</v>
          </cell>
          <cell r="G703" t="str">
            <v>Penyangga</v>
          </cell>
          <cell r="H703">
            <v>4123000000</v>
          </cell>
          <cell r="J703">
            <v>0.5</v>
          </cell>
          <cell r="K703">
            <v>355</v>
          </cell>
          <cell r="L703">
            <v>-5.6345910000000003</v>
          </cell>
          <cell r="M703">
            <v>104.30957100000001</v>
          </cell>
          <cell r="N703">
            <v>0</v>
          </cell>
          <cell r="O703" t="str">
            <v>Tahap II 146</v>
          </cell>
        </row>
        <row r="704">
          <cell r="F704" t="str">
            <v>Marang</v>
          </cell>
          <cell r="G704" t="str">
            <v>Hub</v>
          </cell>
          <cell r="H704">
            <v>7123100000</v>
          </cell>
          <cell r="J704">
            <v>0.6</v>
          </cell>
          <cell r="K704">
            <v>874</v>
          </cell>
          <cell r="L704">
            <v>-5.4051809999999998</v>
          </cell>
          <cell r="M704">
            <v>104.070042</v>
          </cell>
          <cell r="N704">
            <v>0</v>
          </cell>
          <cell r="O704" t="str">
            <v>Tahap II 146</v>
          </cell>
        </row>
        <row r="705">
          <cell r="F705" t="str">
            <v>Pasar Kota Krui</v>
          </cell>
          <cell r="G705" t="str">
            <v>Penyangga</v>
          </cell>
          <cell r="H705">
            <v>4123000000</v>
          </cell>
          <cell r="J705" t="str">
            <v>Tidak Ditemukan</v>
          </cell>
          <cell r="K705">
            <v>174</v>
          </cell>
          <cell r="L705">
            <v>-5.1791669999999996</v>
          </cell>
          <cell r="M705">
            <v>103.935833</v>
          </cell>
          <cell r="N705">
            <v>0</v>
          </cell>
          <cell r="O705" t="str">
            <v>Tahap II 146</v>
          </cell>
        </row>
        <row r="706">
          <cell r="F706" t="str">
            <v>Muara Gading Mas</v>
          </cell>
          <cell r="G706" t="str">
            <v>Penyangga</v>
          </cell>
          <cell r="H706">
            <v>5355406000</v>
          </cell>
          <cell r="J706">
            <v>0.57999999999999996</v>
          </cell>
          <cell r="K706">
            <v>5.1829999999999998</v>
          </cell>
          <cell r="L706">
            <v>-5.3646000000000003</v>
          </cell>
          <cell r="M706">
            <v>105.81692</v>
          </cell>
          <cell r="N706">
            <v>0</v>
          </cell>
          <cell r="O706" t="str">
            <v>Tahap II 146</v>
          </cell>
        </row>
        <row r="707">
          <cell r="F707" t="str">
            <v>Mbuliwaralau</v>
          </cell>
          <cell r="G707" t="str">
            <v>Penyangga</v>
          </cell>
          <cell r="H707">
            <v>3214500000</v>
          </cell>
          <cell r="J707">
            <v>0.5</v>
          </cell>
          <cell r="K707">
            <v>224</v>
          </cell>
          <cell r="L707">
            <v>-8.8288890000000002</v>
          </cell>
          <cell r="M707">
            <v>121.880306</v>
          </cell>
          <cell r="N707">
            <v>0</v>
          </cell>
          <cell r="O707" t="str">
            <v>Tahap III 166</v>
          </cell>
        </row>
        <row r="708">
          <cell r="F708" t="str">
            <v>Pasar Lama</v>
          </cell>
          <cell r="G708" t="str">
            <v>Penyangga</v>
          </cell>
          <cell r="H708">
            <v>4123000000</v>
          </cell>
          <cell r="J708">
            <v>0.3</v>
          </cell>
          <cell r="K708">
            <v>136</v>
          </cell>
          <cell r="L708">
            <v>-4.8005000000000004</v>
          </cell>
          <cell r="M708">
            <v>103.3482222</v>
          </cell>
          <cell r="N708">
            <v>0</v>
          </cell>
          <cell r="O708" t="str">
            <v>Tahap III 166</v>
          </cell>
        </row>
        <row r="709">
          <cell r="F709" t="str">
            <v>Way Hawang</v>
          </cell>
          <cell r="G709" t="str">
            <v>Penyangga</v>
          </cell>
          <cell r="H709">
            <v>4123000000</v>
          </cell>
          <cell r="J709">
            <v>1</v>
          </cell>
          <cell r="K709">
            <v>64</v>
          </cell>
          <cell r="L709">
            <v>-4.8673080000000004</v>
          </cell>
          <cell r="M709">
            <v>103.432863</v>
          </cell>
          <cell r="N709">
            <v>0</v>
          </cell>
          <cell r="O709" t="str">
            <v>Tahap III 166</v>
          </cell>
        </row>
        <row r="710">
          <cell r="F710" t="str">
            <v>Balam</v>
          </cell>
          <cell r="G710" t="str">
            <v>Penyangga</v>
          </cell>
          <cell r="H710">
            <v>6105695000</v>
          </cell>
          <cell r="J710">
            <v>0.41</v>
          </cell>
          <cell r="K710">
            <v>150</v>
          </cell>
          <cell r="L710">
            <v>-5.0385869999999997</v>
          </cell>
          <cell r="M710">
            <v>103.789683</v>
          </cell>
          <cell r="N710">
            <v>0</v>
          </cell>
          <cell r="O710" t="str">
            <v>Tahap IV 200</v>
          </cell>
        </row>
        <row r="711">
          <cell r="F711" t="str">
            <v>Muara Kelingi</v>
          </cell>
          <cell r="G711" t="str">
            <v>Penyangga</v>
          </cell>
          <cell r="H711">
            <v>6105695000</v>
          </cell>
          <cell r="J711">
            <v>0.05</v>
          </cell>
          <cell r="K711">
            <v>80</v>
          </cell>
          <cell r="L711">
            <v>-3.0739700000000001</v>
          </cell>
          <cell r="M711">
            <v>103.23124</v>
          </cell>
          <cell r="N711">
            <v>0</v>
          </cell>
          <cell r="O711" t="str">
            <v>Tahap IV 200</v>
          </cell>
        </row>
        <row r="712">
          <cell r="F712" t="str">
            <v>Muara Rengas</v>
          </cell>
          <cell r="G712" t="str">
            <v>Penyangga</v>
          </cell>
          <cell r="H712">
            <v>6105695000</v>
          </cell>
          <cell r="J712">
            <v>0.05</v>
          </cell>
          <cell r="K712">
            <v>106</v>
          </cell>
          <cell r="L712">
            <v>-2.9426700000000001</v>
          </cell>
          <cell r="M712">
            <v>103.30668</v>
          </cell>
          <cell r="N712">
            <v>0</v>
          </cell>
          <cell r="O712" t="str">
            <v>Tahap IV 200</v>
          </cell>
        </row>
        <row r="713">
          <cell r="F713" t="str">
            <v>Ratulodong</v>
          </cell>
          <cell r="G713" t="str">
            <v>Penyangga</v>
          </cell>
          <cell r="H713">
            <v>6580000000</v>
          </cell>
          <cell r="J713">
            <v>0.16839999999999999</v>
          </cell>
          <cell r="K713">
            <v>208</v>
          </cell>
          <cell r="L713">
            <v>-8.1776248999999996</v>
          </cell>
          <cell r="M713">
            <v>122.8992444</v>
          </cell>
          <cell r="N713">
            <v>0</v>
          </cell>
          <cell r="O713" t="str">
            <v>Tahap IV 200</v>
          </cell>
        </row>
        <row r="714">
          <cell r="F714" t="str">
            <v>Lewolaga</v>
          </cell>
          <cell r="G714" t="str">
            <v>Penyangga</v>
          </cell>
          <cell r="H714">
            <v>6580000000</v>
          </cell>
          <cell r="J714">
            <v>0.46550000000000002</v>
          </cell>
          <cell r="K714">
            <v>139</v>
          </cell>
          <cell r="L714">
            <v>-8.4239025999999999</v>
          </cell>
          <cell r="M714">
            <v>122.80896199999999</v>
          </cell>
          <cell r="N714">
            <v>0</v>
          </cell>
          <cell r="O714" t="str">
            <v>Tahap IV 200</v>
          </cell>
        </row>
        <row r="715">
          <cell r="F715" t="str">
            <v>Nangadhero</v>
          </cell>
          <cell r="G715" t="str">
            <v>Penyangga</v>
          </cell>
          <cell r="H715">
            <v>3214500000</v>
          </cell>
          <cell r="J715">
            <v>2.2999999999999998</v>
          </cell>
          <cell r="K715">
            <v>432</v>
          </cell>
          <cell r="L715">
            <v>-8.5322669999999992</v>
          </cell>
          <cell r="M715">
            <v>121.330716</v>
          </cell>
          <cell r="N715">
            <v>0</v>
          </cell>
          <cell r="O715" t="str">
            <v>Tahap III 166</v>
          </cell>
        </row>
        <row r="716">
          <cell r="F716" t="str">
            <v>Gunung Sari</v>
          </cell>
          <cell r="G716" t="str">
            <v>Penyangga</v>
          </cell>
          <cell r="H716">
            <v>3214500000</v>
          </cell>
          <cell r="J716">
            <v>0.56000000000000005</v>
          </cell>
          <cell r="K716">
            <v>153</v>
          </cell>
          <cell r="L716">
            <v>-8.3638429999999993</v>
          </cell>
          <cell r="M716">
            <v>122.29228000000001</v>
          </cell>
          <cell r="N716">
            <v>0</v>
          </cell>
          <cell r="O716" t="str">
            <v>Tahap III 166</v>
          </cell>
        </row>
        <row r="717">
          <cell r="F717" t="str">
            <v>Nangahale</v>
          </cell>
          <cell r="G717" t="str">
            <v>Hub</v>
          </cell>
          <cell r="H717">
            <v>7342100000</v>
          </cell>
          <cell r="J717">
            <v>0.6</v>
          </cell>
          <cell r="K717">
            <v>57</v>
          </cell>
          <cell r="L717">
            <v>-8.5552033000000005</v>
          </cell>
          <cell r="M717">
            <v>122.50863560000001</v>
          </cell>
          <cell r="N717">
            <v>0</v>
          </cell>
          <cell r="O717" t="str">
            <v>Tahap III 166</v>
          </cell>
        </row>
        <row r="718">
          <cell r="F718" t="str">
            <v>Nangamiro</v>
          </cell>
          <cell r="G718" t="str">
            <v>Penyangga</v>
          </cell>
          <cell r="H718">
            <v>3214500000</v>
          </cell>
          <cell r="J718">
            <v>1</v>
          </cell>
          <cell r="K718">
            <v>360</v>
          </cell>
          <cell r="L718">
            <v>-8.1584690000000002</v>
          </cell>
          <cell r="M718">
            <v>117.72735299999999</v>
          </cell>
          <cell r="N718">
            <v>0</v>
          </cell>
          <cell r="O718" t="str">
            <v>Tahap II 146</v>
          </cell>
        </row>
        <row r="719">
          <cell r="F719" t="str">
            <v>Nenang</v>
          </cell>
          <cell r="G719" t="str">
            <v>Hub</v>
          </cell>
          <cell r="H719">
            <v>6932400000</v>
          </cell>
          <cell r="J719">
            <v>1.1100000000000001</v>
          </cell>
          <cell r="K719">
            <v>220</v>
          </cell>
          <cell r="L719">
            <v>-1.2897057000000001</v>
          </cell>
          <cell r="M719">
            <v>116.76091270000001</v>
          </cell>
          <cell r="N719">
            <v>0</v>
          </cell>
          <cell r="O719" t="str">
            <v>Tahap II 146</v>
          </cell>
        </row>
        <row r="720">
          <cell r="F720" t="str">
            <v>Tanjung Tengah</v>
          </cell>
          <cell r="G720" t="str">
            <v>Penyangga</v>
          </cell>
          <cell r="H720">
            <v>4320000000</v>
          </cell>
          <cell r="J720">
            <v>0.61</v>
          </cell>
          <cell r="K720">
            <v>142</v>
          </cell>
          <cell r="L720">
            <v>-1.4009417</v>
          </cell>
          <cell r="M720">
            <v>116.6423118</v>
          </cell>
          <cell r="N720">
            <v>0</v>
          </cell>
          <cell r="O720" t="str">
            <v>Tahap II 146</v>
          </cell>
        </row>
        <row r="721">
          <cell r="F721" t="str">
            <v>Api-Api</v>
          </cell>
          <cell r="G721" t="str">
            <v>Penyangga</v>
          </cell>
          <cell r="H721">
            <v>4320000000</v>
          </cell>
          <cell r="J721">
            <v>0.5</v>
          </cell>
          <cell r="K721">
            <v>130</v>
          </cell>
          <cell r="L721">
            <v>-1.437316</v>
          </cell>
          <cell r="M721">
            <v>116.57058069999999</v>
          </cell>
          <cell r="N721">
            <v>0</v>
          </cell>
          <cell r="O721" t="str">
            <v>Tahap II 146</v>
          </cell>
        </row>
        <row r="722">
          <cell r="F722" t="str">
            <v>Seulayat Ulakan</v>
          </cell>
          <cell r="G722" t="str">
            <v>Penyangga</v>
          </cell>
          <cell r="H722">
            <v>4123000000</v>
          </cell>
          <cell r="J722">
            <v>1.5</v>
          </cell>
          <cell r="K722">
            <v>50</v>
          </cell>
          <cell r="L722">
            <v>-0.71556900000000001</v>
          </cell>
          <cell r="M722">
            <v>100.199039</v>
          </cell>
          <cell r="N722">
            <v>0</v>
          </cell>
          <cell r="O722" t="str">
            <v>Tahap III 166</v>
          </cell>
        </row>
        <row r="723">
          <cell r="F723" t="str">
            <v>Padang Seurahet</v>
          </cell>
          <cell r="G723" t="str">
            <v>Hub</v>
          </cell>
          <cell r="J723">
            <v>1.1499999999999999</v>
          </cell>
          <cell r="K723">
            <v>543</v>
          </cell>
          <cell r="L723">
            <v>4.1395479999999996</v>
          </cell>
          <cell r="M723">
            <v>96.133684000000002</v>
          </cell>
          <cell r="O723" t="e">
            <v>#N/A</v>
          </cell>
        </row>
        <row r="724">
          <cell r="F724" t="str">
            <v>Suak Seumaseh</v>
          </cell>
          <cell r="G724" t="str">
            <v>Penyangga</v>
          </cell>
          <cell r="J724">
            <v>2.5</v>
          </cell>
          <cell r="K724">
            <v>80</v>
          </cell>
          <cell r="L724">
            <v>4.2711499999999996</v>
          </cell>
          <cell r="M724">
            <v>95.971199999999996</v>
          </cell>
          <cell r="O724" t="e">
            <v>#N/A</v>
          </cell>
        </row>
        <row r="725">
          <cell r="F725" t="str">
            <v>Panton Makmur</v>
          </cell>
          <cell r="G725" t="str">
            <v>Penyangga</v>
          </cell>
          <cell r="J725">
            <v>0.13</v>
          </cell>
          <cell r="K725">
            <v>50</v>
          </cell>
          <cell r="L725">
            <v>4.6433555000000002</v>
          </cell>
          <cell r="M725">
            <v>95.582801500000002</v>
          </cell>
          <cell r="O725" t="e">
            <v>#N/A</v>
          </cell>
        </row>
        <row r="726">
          <cell r="F726" t="str">
            <v>Kuala Tadu</v>
          </cell>
          <cell r="G726" t="str">
            <v>Penyangga</v>
          </cell>
          <cell r="J726">
            <v>0.6</v>
          </cell>
          <cell r="K726">
            <v>174</v>
          </cell>
          <cell r="L726">
            <v>3.966367</v>
          </cell>
          <cell r="M726">
            <v>96.309669</v>
          </cell>
          <cell r="O726" t="e">
            <v>#N/A</v>
          </cell>
        </row>
        <row r="727">
          <cell r="F727" t="str">
            <v>Padang Tikar Dua</v>
          </cell>
          <cell r="G727" t="str">
            <v>Hub</v>
          </cell>
          <cell r="H727">
            <v>6932400000</v>
          </cell>
          <cell r="J727">
            <v>0.81</v>
          </cell>
          <cell r="K727">
            <v>525</v>
          </cell>
          <cell r="L727">
            <v>-0.67546899999999999</v>
          </cell>
          <cell r="M727">
            <v>109.27309</v>
          </cell>
          <cell r="N727">
            <v>0</v>
          </cell>
          <cell r="O727" t="str">
            <v>Tahap III 166</v>
          </cell>
        </row>
        <row r="728">
          <cell r="F728" t="str">
            <v>Padang Tikar Satu</v>
          </cell>
          <cell r="G728" t="str">
            <v>Penyangga</v>
          </cell>
          <cell r="H728">
            <v>4320000000</v>
          </cell>
          <cell r="J728">
            <v>0.09</v>
          </cell>
          <cell r="K728">
            <v>315</v>
          </cell>
          <cell r="L728">
            <v>-0.67312799999999995</v>
          </cell>
          <cell r="M728">
            <v>109.26077600000001</v>
          </cell>
          <cell r="N728">
            <v>0</v>
          </cell>
          <cell r="O728" t="str">
            <v>Tahap III 166</v>
          </cell>
        </row>
        <row r="729">
          <cell r="F729" t="str">
            <v>Tasik Malaya</v>
          </cell>
          <cell r="G729" t="str">
            <v>Penyangga</v>
          </cell>
          <cell r="H729">
            <v>6201000000</v>
          </cell>
          <cell r="J729">
            <v>0.05</v>
          </cell>
          <cell r="K729">
            <v>111</v>
          </cell>
          <cell r="L729">
            <v>-0.74070599999999998</v>
          </cell>
          <cell r="M729">
            <v>109.246419</v>
          </cell>
          <cell r="N729">
            <v>0</v>
          </cell>
          <cell r="O729" t="str">
            <v>Tahap IV 200</v>
          </cell>
        </row>
        <row r="730">
          <cell r="F730" t="str">
            <v>Kampung Keramat</v>
          </cell>
          <cell r="G730" t="str">
            <v>Penyangga</v>
          </cell>
          <cell r="H730">
            <v>4320000000</v>
          </cell>
          <cell r="J730">
            <v>0.25</v>
          </cell>
          <cell r="K730">
            <v>100</v>
          </cell>
          <cell r="L730">
            <v>-3.2429543999999999</v>
          </cell>
          <cell r="M730">
            <v>113.3246901</v>
          </cell>
          <cell r="N730">
            <v>0</v>
          </cell>
          <cell r="O730" t="str">
            <v>Tahap III 166</v>
          </cell>
        </row>
        <row r="731">
          <cell r="F731" t="str">
            <v>Pagatan Hilir</v>
          </cell>
          <cell r="G731" t="str">
            <v>Hub</v>
          </cell>
          <cell r="H731">
            <v>7896000000</v>
          </cell>
          <cell r="J731">
            <v>4.6100000000000003</v>
          </cell>
          <cell r="K731">
            <v>694</v>
          </cell>
          <cell r="L731">
            <v>-3.2785769999999999</v>
          </cell>
          <cell r="M731">
            <v>113.345753</v>
          </cell>
          <cell r="N731">
            <v>0</v>
          </cell>
          <cell r="O731" t="str">
            <v>Tahap IV 200</v>
          </cell>
        </row>
        <row r="732">
          <cell r="F732" t="str">
            <v>Sei Ijum Raya</v>
          </cell>
          <cell r="G732" t="str">
            <v>Penyangga</v>
          </cell>
          <cell r="H732">
            <v>4320000000</v>
          </cell>
          <cell r="J732">
            <v>1.8</v>
          </cell>
          <cell r="K732">
            <v>153</v>
          </cell>
          <cell r="L732">
            <v>-2.9074979999999999</v>
          </cell>
          <cell r="M732">
            <v>113.00467</v>
          </cell>
          <cell r="N732">
            <v>0</v>
          </cell>
          <cell r="O732" t="str">
            <v>Tahap III 166</v>
          </cell>
        </row>
        <row r="733">
          <cell r="F733" t="str">
            <v>Kadahang</v>
          </cell>
          <cell r="G733" t="str">
            <v>Penyangga</v>
          </cell>
          <cell r="H733">
            <v>3214500000</v>
          </cell>
          <cell r="J733">
            <v>2.1</v>
          </cell>
          <cell r="K733">
            <v>112</v>
          </cell>
          <cell r="L733">
            <v>-9.3960699999999999</v>
          </cell>
          <cell r="M733">
            <v>120.02599600000001</v>
          </cell>
          <cell r="N733">
            <v>0</v>
          </cell>
          <cell r="O733" t="str">
            <v>Tahap III 166</v>
          </cell>
        </row>
        <row r="734">
          <cell r="F734" t="str">
            <v>Temu</v>
          </cell>
          <cell r="G734" t="str">
            <v>Penyangga</v>
          </cell>
          <cell r="H734">
            <v>3214500000</v>
          </cell>
          <cell r="J734">
            <v>1</v>
          </cell>
          <cell r="K734">
            <v>134</v>
          </cell>
          <cell r="L734">
            <v>-9.65</v>
          </cell>
          <cell r="M734">
            <v>120.2424</v>
          </cell>
          <cell r="N734">
            <v>0</v>
          </cell>
          <cell r="O734" t="str">
            <v>Tahap III 166</v>
          </cell>
        </row>
        <row r="735">
          <cell r="F735" t="str">
            <v>Palaka Hembi</v>
          </cell>
          <cell r="G735" t="str">
            <v>Penyangga (+cs)</v>
          </cell>
          <cell r="H735">
            <v>4678000000</v>
          </cell>
          <cell r="J735">
            <v>1</v>
          </cell>
          <cell r="K735">
            <v>340</v>
          </cell>
          <cell r="L735">
            <v>-9.6422950000000007</v>
          </cell>
          <cell r="M735">
            <v>120.48488399999999</v>
          </cell>
          <cell r="N735">
            <v>0</v>
          </cell>
          <cell r="O735" t="str">
            <v>Tahap III 166</v>
          </cell>
        </row>
        <row r="736">
          <cell r="F736" t="str">
            <v>Wanga</v>
          </cell>
          <cell r="G736" t="str">
            <v>Penyangga</v>
          </cell>
          <cell r="H736">
            <v>3214500000</v>
          </cell>
          <cell r="J736">
            <v>2.2999999999999998</v>
          </cell>
          <cell r="K736">
            <v>412</v>
          </cell>
          <cell r="L736">
            <v>-9.7844789999999993</v>
          </cell>
          <cell r="M736">
            <v>120.607584</v>
          </cell>
          <cell r="N736">
            <v>0</v>
          </cell>
          <cell r="O736" t="str">
            <v>Tahap III 166</v>
          </cell>
        </row>
        <row r="737">
          <cell r="F737" t="str">
            <v>Deluk</v>
          </cell>
          <cell r="G737" t="str">
            <v>Penyangga</v>
          </cell>
          <cell r="H737">
            <v>6105695000</v>
          </cell>
          <cell r="J737">
            <v>1.86</v>
          </cell>
          <cell r="K737">
            <v>150</v>
          </cell>
          <cell r="L737">
            <v>1.5681400000000001</v>
          </cell>
          <cell r="M737">
            <v>102.187439</v>
          </cell>
          <cell r="N737">
            <v>0</v>
          </cell>
          <cell r="O737" t="str">
            <v>Tahap IV 200</v>
          </cell>
        </row>
        <row r="738">
          <cell r="F738" t="str">
            <v>Muntai</v>
          </cell>
          <cell r="G738" t="str">
            <v>Penyangga</v>
          </cell>
          <cell r="H738">
            <v>6105695000</v>
          </cell>
          <cell r="J738">
            <v>0.7</v>
          </cell>
          <cell r="K738">
            <v>230</v>
          </cell>
          <cell r="L738">
            <v>1.5250600000000001</v>
          </cell>
          <cell r="M738">
            <v>102.435705</v>
          </cell>
          <cell r="N738">
            <v>0</v>
          </cell>
          <cell r="O738" t="str">
            <v>Tahap IV 200</v>
          </cell>
        </row>
        <row r="739">
          <cell r="F739" t="str">
            <v>Kuala Alam</v>
          </cell>
          <cell r="G739" t="str">
            <v>Penyangga</v>
          </cell>
          <cell r="H739">
            <v>6105695000</v>
          </cell>
          <cell r="J739">
            <v>1.01</v>
          </cell>
          <cell r="K739">
            <v>201</v>
          </cell>
          <cell r="L739">
            <v>1.4474100000000001</v>
          </cell>
          <cell r="M739">
            <v>102.15469</v>
          </cell>
          <cell r="N739">
            <v>0</v>
          </cell>
          <cell r="O739" t="str">
            <v>Tahap IV 200</v>
          </cell>
        </row>
        <row r="740">
          <cell r="F740" t="str">
            <v>Meskom</v>
          </cell>
          <cell r="G740" t="str">
            <v>Penyangga</v>
          </cell>
          <cell r="H740">
            <v>6105695000</v>
          </cell>
          <cell r="J740">
            <v>0.35</v>
          </cell>
          <cell r="K740">
            <v>160</v>
          </cell>
          <cell r="L740">
            <v>1.5583499999999999</v>
          </cell>
          <cell r="M740">
            <v>102.02588</v>
          </cell>
          <cell r="N740">
            <v>0</v>
          </cell>
          <cell r="O740" t="str">
            <v>Tahap IV 200</v>
          </cell>
        </row>
        <row r="741">
          <cell r="F741" t="str">
            <v>Tebing Tinggi Okura</v>
          </cell>
          <cell r="G741" t="str">
            <v>Penyangga</v>
          </cell>
          <cell r="H741">
            <v>6105695000</v>
          </cell>
          <cell r="J741">
            <v>0.06</v>
          </cell>
          <cell r="K741">
            <v>256</v>
          </cell>
          <cell r="L741">
            <v>0.57590660000000005</v>
          </cell>
          <cell r="M741">
            <v>101.53314330000001</v>
          </cell>
          <cell r="N741">
            <v>0</v>
          </cell>
          <cell r="O741" t="str">
            <v>Tahap IV 200</v>
          </cell>
        </row>
        <row r="742">
          <cell r="F742" t="str">
            <v>Teluk Batil</v>
          </cell>
          <cell r="G742" t="str">
            <v>Penyangga</v>
          </cell>
          <cell r="H742">
            <v>6105695000</v>
          </cell>
          <cell r="J742">
            <v>0.1</v>
          </cell>
          <cell r="K742">
            <v>56</v>
          </cell>
          <cell r="L742">
            <v>1.1389216</v>
          </cell>
          <cell r="M742">
            <v>102.1695524</v>
          </cell>
          <cell r="N742">
            <v>0</v>
          </cell>
          <cell r="O742" t="str">
            <v>Tahap IV 200</v>
          </cell>
        </row>
        <row r="743">
          <cell r="F743" t="str">
            <v>Pangkalan Banteng</v>
          </cell>
          <cell r="G743" t="str">
            <v>Penyangga</v>
          </cell>
          <cell r="H743">
            <v>6201000000</v>
          </cell>
          <cell r="J743">
            <v>0.14000000000000001</v>
          </cell>
          <cell r="K743">
            <v>62</v>
          </cell>
          <cell r="L743">
            <v>-2.4963199999999999</v>
          </cell>
          <cell r="M743">
            <v>111.865515</v>
          </cell>
          <cell r="N743">
            <v>0</v>
          </cell>
          <cell r="O743" t="str">
            <v>Tahap IV 200</v>
          </cell>
        </row>
        <row r="744">
          <cell r="F744" t="str">
            <v>Oenggae</v>
          </cell>
          <cell r="G744" t="str">
            <v>Penyangga</v>
          </cell>
          <cell r="H744">
            <v>3214500000</v>
          </cell>
          <cell r="J744">
            <v>1</v>
          </cell>
          <cell r="K744">
            <v>150</v>
          </cell>
          <cell r="L744">
            <v>-10.605399</v>
          </cell>
          <cell r="M744">
            <v>123.190178</v>
          </cell>
          <cell r="N744">
            <v>0</v>
          </cell>
          <cell r="O744" t="str">
            <v>Tahap III 166</v>
          </cell>
        </row>
        <row r="745">
          <cell r="F745" t="str">
            <v>Papela</v>
          </cell>
          <cell r="G745" t="str">
            <v>Penyangga (+cs)</v>
          </cell>
          <cell r="H745">
            <v>4678000000</v>
          </cell>
          <cell r="J745">
            <v>3</v>
          </cell>
          <cell r="K745">
            <v>1560</v>
          </cell>
          <cell r="L745">
            <v>-10.60083</v>
          </cell>
          <cell r="M745">
            <v>123.377011</v>
          </cell>
          <cell r="N745">
            <v>0</v>
          </cell>
          <cell r="O745" t="str">
            <v>Tahap III 166</v>
          </cell>
        </row>
        <row r="746">
          <cell r="F746" t="str">
            <v>Pasar Baru Batahan</v>
          </cell>
          <cell r="G746" t="str">
            <v>Hub</v>
          </cell>
          <cell r="H746">
            <v>7123100000</v>
          </cell>
          <cell r="J746">
            <v>1.1599999999999999</v>
          </cell>
          <cell r="K746">
            <v>177</v>
          </cell>
          <cell r="L746">
            <v>0.39446700000000001</v>
          </cell>
          <cell r="M746">
            <v>99.142977999999999</v>
          </cell>
          <cell r="N746">
            <v>0</v>
          </cell>
          <cell r="O746" t="str">
            <v>Tahap III 166</v>
          </cell>
        </row>
        <row r="747">
          <cell r="F747" t="str">
            <v>Tabuyung</v>
          </cell>
          <cell r="G747" t="str">
            <v>Penyangga</v>
          </cell>
          <cell r="H747">
            <v>4123000000</v>
          </cell>
          <cell r="J747">
            <v>2</v>
          </cell>
          <cell r="K747">
            <v>216</v>
          </cell>
          <cell r="L747">
            <v>0.84165599999999996</v>
          </cell>
          <cell r="M747">
            <v>98.995867000000004</v>
          </cell>
          <cell r="N747">
            <v>0</v>
          </cell>
          <cell r="O747" t="str">
            <v>Tahap III 166</v>
          </cell>
        </row>
        <row r="748">
          <cell r="F748" t="str">
            <v>Pasar V Natal</v>
          </cell>
          <cell r="G748" t="str">
            <v>Penyangga</v>
          </cell>
          <cell r="H748">
            <v>4123000000</v>
          </cell>
          <cell r="J748">
            <v>0.1</v>
          </cell>
          <cell r="K748">
            <v>170</v>
          </cell>
          <cell r="L748">
            <v>0.55238600000000004</v>
          </cell>
          <cell r="M748">
            <v>99.110819000000006</v>
          </cell>
          <cell r="N748">
            <v>0</v>
          </cell>
          <cell r="O748" t="str">
            <v>Tahap III 166</v>
          </cell>
        </row>
        <row r="749">
          <cell r="F749" t="str">
            <v>Afia</v>
          </cell>
          <cell r="G749" t="str">
            <v>Penyangga</v>
          </cell>
          <cell r="H749">
            <v>4123000000</v>
          </cell>
          <cell r="J749">
            <v>1</v>
          </cell>
          <cell r="K749">
            <v>150</v>
          </cell>
          <cell r="L749">
            <v>1.377545</v>
          </cell>
          <cell r="M749">
            <v>97.550285299999999</v>
          </cell>
          <cell r="N749">
            <v>0</v>
          </cell>
          <cell r="O749" t="str">
            <v>Tahap III 166</v>
          </cell>
        </row>
        <row r="750">
          <cell r="F750" t="str">
            <v>Laira</v>
          </cell>
          <cell r="G750" t="str">
            <v>Penyangga</v>
          </cell>
          <cell r="H750">
            <v>4123000000</v>
          </cell>
          <cell r="J750">
            <v>0.56999999999999995</v>
          </cell>
          <cell r="K750">
            <v>120</v>
          </cell>
          <cell r="L750">
            <v>1.129564</v>
          </cell>
          <cell r="M750">
            <v>97.817625000000007</v>
          </cell>
          <cell r="N750">
            <v>0</v>
          </cell>
          <cell r="O750" t="str">
            <v>Tahap III 166</v>
          </cell>
        </row>
        <row r="751">
          <cell r="F751" t="str">
            <v>Bawozihono</v>
          </cell>
          <cell r="G751" t="str">
            <v>Penyangga</v>
          </cell>
          <cell r="H751">
            <v>6105695000</v>
          </cell>
          <cell r="J751">
            <v>0.08</v>
          </cell>
          <cell r="K751">
            <v>150</v>
          </cell>
          <cell r="L751">
            <v>0.74148999999999998</v>
          </cell>
          <cell r="M751">
            <v>97.88767</v>
          </cell>
          <cell r="N751">
            <v>0</v>
          </cell>
          <cell r="O751" t="str">
            <v>Tahap IV 200</v>
          </cell>
        </row>
        <row r="752">
          <cell r="F752" t="str">
            <v>Pasar Teluk Dalam</v>
          </cell>
          <cell r="G752" t="str">
            <v>Penyangga</v>
          </cell>
          <cell r="H752">
            <v>4123000000</v>
          </cell>
          <cell r="J752">
            <v>0.66</v>
          </cell>
          <cell r="K752">
            <v>115</v>
          </cell>
          <cell r="L752">
            <v>0.56464000000000003</v>
          </cell>
          <cell r="M752">
            <v>97.826507000000007</v>
          </cell>
          <cell r="N752">
            <v>0</v>
          </cell>
          <cell r="O752" t="str">
            <v>Tahap III 166</v>
          </cell>
        </row>
        <row r="753">
          <cell r="F753" t="str">
            <v>Afulu</v>
          </cell>
          <cell r="G753" t="str">
            <v>Penyangga</v>
          </cell>
          <cell r="H753">
            <v>4123000000</v>
          </cell>
          <cell r="J753">
            <v>1</v>
          </cell>
          <cell r="K753">
            <v>150</v>
          </cell>
          <cell r="L753">
            <v>1.259598</v>
          </cell>
          <cell r="M753">
            <v>97.237831099999994</v>
          </cell>
          <cell r="N753">
            <v>0</v>
          </cell>
          <cell r="O753" t="str">
            <v>Tahap III 166</v>
          </cell>
        </row>
        <row r="754">
          <cell r="F754" t="str">
            <v>Pasar Lahewa</v>
          </cell>
          <cell r="G754" t="str">
            <v>Hub</v>
          </cell>
          <cell r="H754">
            <v>7123100000</v>
          </cell>
          <cell r="J754">
            <v>2</v>
          </cell>
          <cell r="K754">
            <v>300</v>
          </cell>
          <cell r="L754">
            <v>1.4015181000000001</v>
          </cell>
          <cell r="M754">
            <v>97.169532799999999</v>
          </cell>
          <cell r="N754">
            <v>0</v>
          </cell>
          <cell r="O754" t="str">
            <v>Tahap III 166</v>
          </cell>
        </row>
        <row r="755">
          <cell r="F755" t="str">
            <v>Siofa Banua</v>
          </cell>
          <cell r="G755" t="str">
            <v>Penyangga</v>
          </cell>
          <cell r="H755">
            <v>6105695000</v>
          </cell>
          <cell r="J755">
            <v>0.12</v>
          </cell>
          <cell r="K755">
            <v>400</v>
          </cell>
          <cell r="L755">
            <v>1.4539709999999999</v>
          </cell>
          <cell r="M755">
            <v>97.493674999999996</v>
          </cell>
          <cell r="N755">
            <v>0</v>
          </cell>
          <cell r="O755" t="str">
            <v>Tahap IV 200</v>
          </cell>
        </row>
        <row r="756">
          <cell r="F756" t="str">
            <v>Pekik Nyaring</v>
          </cell>
          <cell r="G756" t="str">
            <v>Penyangga</v>
          </cell>
          <cell r="H756">
            <v>4123000000</v>
          </cell>
          <cell r="J756">
            <v>1.4</v>
          </cell>
          <cell r="K756">
            <v>255</v>
          </cell>
          <cell r="L756">
            <v>-3.7398799999999999</v>
          </cell>
          <cell r="M756">
            <v>102.252905</v>
          </cell>
          <cell r="N756">
            <v>0</v>
          </cell>
          <cell r="O756" t="str">
            <v>Tahap II 146</v>
          </cell>
        </row>
        <row r="757">
          <cell r="F757" t="str">
            <v>Pasar Palik</v>
          </cell>
          <cell r="G757" t="str">
            <v>Hub</v>
          </cell>
          <cell r="H757">
            <v>7123100000</v>
          </cell>
          <cell r="J757">
            <v>1.2</v>
          </cell>
          <cell r="K757">
            <v>95</v>
          </cell>
          <cell r="L757">
            <v>-3.584705</v>
          </cell>
          <cell r="M757">
            <v>102.124917</v>
          </cell>
          <cell r="N757">
            <v>0</v>
          </cell>
          <cell r="O757" t="str">
            <v>Tahap II 146</v>
          </cell>
        </row>
        <row r="758">
          <cell r="F758" t="str">
            <v>Serangai</v>
          </cell>
          <cell r="G758" t="str">
            <v>Penyangga</v>
          </cell>
          <cell r="H758">
            <v>4123000000</v>
          </cell>
          <cell r="J758">
            <v>1</v>
          </cell>
          <cell r="K758">
            <v>180</v>
          </cell>
          <cell r="L758">
            <v>-3.4305751</v>
          </cell>
          <cell r="M758">
            <v>101.9017949</v>
          </cell>
          <cell r="N758">
            <v>0</v>
          </cell>
          <cell r="O758" t="str">
            <v>Tahap II 146</v>
          </cell>
        </row>
        <row r="759">
          <cell r="F759" t="str">
            <v>Pasar Sebelat</v>
          </cell>
          <cell r="G759" t="str">
            <v>Penyangga</v>
          </cell>
          <cell r="H759">
            <v>4123000000</v>
          </cell>
          <cell r="J759">
            <v>1</v>
          </cell>
          <cell r="K759">
            <v>81</v>
          </cell>
          <cell r="L759">
            <v>-3.2371159999999999</v>
          </cell>
          <cell r="M759">
            <v>101.618532</v>
          </cell>
          <cell r="N759">
            <v>0</v>
          </cell>
          <cell r="O759" t="str">
            <v>Tahap II 146</v>
          </cell>
        </row>
        <row r="760">
          <cell r="F760" t="str">
            <v>Pasar Ipuh</v>
          </cell>
          <cell r="G760" t="str">
            <v>Penyangga</v>
          </cell>
          <cell r="H760">
            <v>4123000000</v>
          </cell>
          <cell r="J760">
            <v>2</v>
          </cell>
          <cell r="K760">
            <v>174</v>
          </cell>
          <cell r="L760">
            <v>-3.0117362999999999</v>
          </cell>
          <cell r="M760">
            <v>101.48230239999999</v>
          </cell>
          <cell r="N760">
            <v>0</v>
          </cell>
          <cell r="O760" t="str">
            <v>Tahap II 146</v>
          </cell>
        </row>
        <row r="761">
          <cell r="F761" t="str">
            <v>Pekat</v>
          </cell>
          <cell r="G761" t="str">
            <v>Penyangga</v>
          </cell>
          <cell r="H761">
            <v>3214500000</v>
          </cell>
          <cell r="J761">
            <v>1.1000000000000001</v>
          </cell>
          <cell r="K761">
            <v>211</v>
          </cell>
          <cell r="L761">
            <v>-8.2480440000000002</v>
          </cell>
          <cell r="M761">
            <v>117.719375</v>
          </cell>
          <cell r="N761">
            <v>0</v>
          </cell>
          <cell r="O761" t="str">
            <v>Tahap II 146</v>
          </cell>
        </row>
        <row r="762">
          <cell r="F762" t="str">
            <v>Sei Jawi-Jawi</v>
          </cell>
          <cell r="G762" t="str">
            <v>Penyangga</v>
          </cell>
          <cell r="H762">
            <v>6105695000</v>
          </cell>
          <cell r="J762">
            <v>0.17</v>
          </cell>
          <cell r="K762">
            <v>1.05</v>
          </cell>
          <cell r="L762">
            <v>2.9674019999999999</v>
          </cell>
          <cell r="M762">
            <v>99.812708000000001</v>
          </cell>
          <cell r="N762">
            <v>0</v>
          </cell>
          <cell r="O762" t="str">
            <v>Tahap IV 200</v>
          </cell>
        </row>
        <row r="763">
          <cell r="F763" t="str">
            <v>Bagan Asahan Baru</v>
          </cell>
          <cell r="G763" t="str">
            <v>Penyangga</v>
          </cell>
          <cell r="H763">
            <v>4123000000</v>
          </cell>
          <cell r="J763">
            <v>1</v>
          </cell>
          <cell r="K763">
            <v>1.238</v>
          </cell>
          <cell r="L763">
            <v>3.0123829999999998</v>
          </cell>
          <cell r="M763">
            <v>99.859817000000007</v>
          </cell>
          <cell r="N763">
            <v>0</v>
          </cell>
          <cell r="O763" t="str">
            <v>Tahap II 146</v>
          </cell>
        </row>
        <row r="764">
          <cell r="F764" t="str">
            <v>Bagan Asahan Pekan</v>
          </cell>
          <cell r="G764" t="str">
            <v>Penyangga</v>
          </cell>
          <cell r="H764">
            <v>4123000000</v>
          </cell>
          <cell r="J764">
            <v>0.04</v>
          </cell>
          <cell r="K764">
            <v>2637</v>
          </cell>
          <cell r="L764">
            <v>3.0167000000000002</v>
          </cell>
          <cell r="M764">
            <v>99.8596</v>
          </cell>
          <cell r="N764">
            <v>0</v>
          </cell>
          <cell r="O764" t="str">
            <v>Tahap III 166</v>
          </cell>
        </row>
        <row r="765">
          <cell r="F765" t="str">
            <v>Nenas Siam</v>
          </cell>
          <cell r="G765" t="str">
            <v>Penyangga</v>
          </cell>
          <cell r="H765">
            <v>4123000000</v>
          </cell>
          <cell r="J765">
            <v>0.5</v>
          </cell>
          <cell r="K765">
            <v>582</v>
          </cell>
          <cell r="L765">
            <v>3.4144963000000002</v>
          </cell>
          <cell r="M765">
            <v>99.326279700000001</v>
          </cell>
          <cell r="N765">
            <v>0</v>
          </cell>
          <cell r="O765" t="str">
            <v>Tahap III 166</v>
          </cell>
        </row>
        <row r="766">
          <cell r="F766" t="str">
            <v>Pasar Bawah</v>
          </cell>
          <cell r="G766" t="str">
            <v>Penyangga</v>
          </cell>
          <cell r="H766">
            <v>6105695000</v>
          </cell>
          <cell r="J766">
            <v>0.02</v>
          </cell>
          <cell r="K766">
            <v>549</v>
          </cell>
          <cell r="L766">
            <v>-4.48386</v>
          </cell>
          <cell r="M766">
            <v>102.89790000000001</v>
          </cell>
          <cell r="N766">
            <v>0</v>
          </cell>
          <cell r="O766" t="str">
            <v>Tahap IV 200</v>
          </cell>
        </row>
        <row r="767">
          <cell r="F767" t="str">
            <v>Pasar Pino</v>
          </cell>
          <cell r="G767" t="str">
            <v>Penyangga</v>
          </cell>
          <cell r="H767">
            <v>6105695000</v>
          </cell>
          <cell r="J767">
            <v>1</v>
          </cell>
          <cell r="K767">
            <v>406</v>
          </cell>
          <cell r="L767">
            <v>-4.4084399999999997</v>
          </cell>
          <cell r="M767">
            <v>102.85136</v>
          </cell>
          <cell r="N767">
            <v>0</v>
          </cell>
          <cell r="O767" t="str">
            <v>Tahap IV 200</v>
          </cell>
        </row>
        <row r="768">
          <cell r="F768" t="str">
            <v>Kungkai Baru</v>
          </cell>
          <cell r="G768" t="str">
            <v>Penyangga</v>
          </cell>
          <cell r="H768">
            <v>4123000000</v>
          </cell>
          <cell r="J768">
            <v>1.18</v>
          </cell>
          <cell r="K768">
            <v>56</v>
          </cell>
          <cell r="L768">
            <v>-4.0111330000000001</v>
          </cell>
          <cell r="M768">
            <v>102.351086</v>
          </cell>
          <cell r="N768">
            <v>0</v>
          </cell>
          <cell r="O768" t="str">
            <v>Tahap II 146</v>
          </cell>
        </row>
        <row r="769">
          <cell r="F769" t="str">
            <v>Pasar Seluma</v>
          </cell>
          <cell r="G769" t="str">
            <v>Penyangga</v>
          </cell>
          <cell r="H769">
            <v>4123000000</v>
          </cell>
          <cell r="J769">
            <v>2.06</v>
          </cell>
          <cell r="K769">
            <v>470</v>
          </cell>
          <cell r="L769">
            <v>-4.1327778000000004</v>
          </cell>
          <cell r="M769">
            <v>102.5105556</v>
          </cell>
          <cell r="N769">
            <v>0</v>
          </cell>
          <cell r="O769" t="str">
            <v>Tahap II 146</v>
          </cell>
        </row>
        <row r="770">
          <cell r="F770" t="str">
            <v>Ketapang Baru</v>
          </cell>
          <cell r="G770" t="str">
            <v>Penyangga</v>
          </cell>
          <cell r="H770">
            <v>4123000000</v>
          </cell>
          <cell r="J770">
            <v>0.03</v>
          </cell>
          <cell r="K770">
            <v>64</v>
          </cell>
          <cell r="L770">
            <v>-4.3283100000000001</v>
          </cell>
          <cell r="M770">
            <v>102.759073</v>
          </cell>
          <cell r="N770">
            <v>0</v>
          </cell>
          <cell r="O770" t="str">
            <v>Tahap II 146</v>
          </cell>
        </row>
        <row r="771">
          <cell r="F771" t="str">
            <v>Muara Maras</v>
          </cell>
          <cell r="G771" t="str">
            <v>Penyangga</v>
          </cell>
          <cell r="H771">
            <v>4123000000</v>
          </cell>
          <cell r="J771">
            <v>0.88</v>
          </cell>
          <cell r="K771">
            <v>67</v>
          </cell>
          <cell r="L771">
            <v>-4.3533333000000001</v>
          </cell>
          <cell r="M771">
            <v>102.7961111</v>
          </cell>
          <cell r="N771">
            <v>0</v>
          </cell>
          <cell r="O771" t="str">
            <v>Tahap II 146</v>
          </cell>
        </row>
        <row r="772">
          <cell r="F772" t="str">
            <v>Sumberkima</v>
          </cell>
          <cell r="G772" t="str">
            <v>Penyangga</v>
          </cell>
          <cell r="H772">
            <v>3214500000</v>
          </cell>
          <cell r="J772">
            <v>1.5</v>
          </cell>
          <cell r="K772">
            <v>386</v>
          </cell>
          <cell r="L772">
            <v>-8.1375720000000005</v>
          </cell>
          <cell r="M772">
            <v>114.599475</v>
          </cell>
          <cell r="N772">
            <v>0</v>
          </cell>
          <cell r="O772" t="str">
            <v>Tahap II 146</v>
          </cell>
        </row>
        <row r="773">
          <cell r="F773" t="str">
            <v>Air Kuning</v>
          </cell>
          <cell r="G773" t="str">
            <v>Hub</v>
          </cell>
          <cell r="H773">
            <v>7342100000</v>
          </cell>
          <cell r="J773">
            <v>0.3</v>
          </cell>
          <cell r="K773">
            <v>895</v>
          </cell>
          <cell r="L773">
            <v>-8.4055569999999999</v>
          </cell>
          <cell r="M773">
            <v>114.643027</v>
          </cell>
          <cell r="N773">
            <v>0</v>
          </cell>
          <cell r="O773" t="str">
            <v>Tahap II 146</v>
          </cell>
        </row>
        <row r="774">
          <cell r="F774" t="str">
            <v>Candikusuma</v>
          </cell>
          <cell r="G774" t="str">
            <v>Penyangga</v>
          </cell>
          <cell r="H774">
            <v>3214500000</v>
          </cell>
          <cell r="J774">
            <v>0.2</v>
          </cell>
          <cell r="K774">
            <v>289</v>
          </cell>
          <cell r="L774">
            <v>-8.3089929999999992</v>
          </cell>
          <cell r="M774">
            <v>114.51900999999999</v>
          </cell>
          <cell r="N774">
            <v>0</v>
          </cell>
          <cell r="O774" t="str">
            <v>Tahap II 146</v>
          </cell>
        </row>
        <row r="775">
          <cell r="F775" t="str">
            <v>Piong</v>
          </cell>
          <cell r="G775" t="str">
            <v>Penyangga</v>
          </cell>
          <cell r="H775">
            <v>3214500000</v>
          </cell>
          <cell r="J775">
            <v>0.3</v>
          </cell>
          <cell r="K775">
            <v>72</v>
          </cell>
          <cell r="L775">
            <v>-8.3498940000000008</v>
          </cell>
          <cell r="M775">
            <v>118.257007</v>
          </cell>
          <cell r="N775">
            <v>0</v>
          </cell>
          <cell r="O775" t="str">
            <v>Tahap II 146</v>
          </cell>
        </row>
        <row r="776">
          <cell r="F776" t="str">
            <v>Posek</v>
          </cell>
          <cell r="G776" t="str">
            <v>Hub</v>
          </cell>
          <cell r="H776">
            <v>6105695000</v>
          </cell>
          <cell r="J776">
            <v>0.97</v>
          </cell>
          <cell r="K776">
            <v>408</v>
          </cell>
          <cell r="L776">
            <v>-0.37096000000000001</v>
          </cell>
          <cell r="M776">
            <v>104.17218</v>
          </cell>
          <cell r="N776">
            <v>0</v>
          </cell>
          <cell r="O776" t="str">
            <v>Tahap IV 200</v>
          </cell>
        </row>
        <row r="777">
          <cell r="F777" t="str">
            <v>Mepar</v>
          </cell>
          <cell r="G777" t="str">
            <v>Penyangga</v>
          </cell>
          <cell r="H777">
            <v>6105695000</v>
          </cell>
          <cell r="J777">
            <v>0.45</v>
          </cell>
          <cell r="K777">
            <v>127</v>
          </cell>
          <cell r="L777">
            <v>-0.25696960000000002</v>
          </cell>
          <cell r="M777">
            <v>104.5905832</v>
          </cell>
          <cell r="N777">
            <v>0</v>
          </cell>
          <cell r="O777" t="str">
            <v>Tahap IV 200</v>
          </cell>
        </row>
        <row r="778">
          <cell r="F778" t="str">
            <v>Belungkur</v>
          </cell>
          <cell r="G778" t="str">
            <v>Penyangga</v>
          </cell>
          <cell r="H778">
            <v>4123000000</v>
          </cell>
          <cell r="J778">
            <v>1.1299999999999999</v>
          </cell>
          <cell r="K778">
            <v>180</v>
          </cell>
          <cell r="L778">
            <v>-0.29258899999999999</v>
          </cell>
          <cell r="M778">
            <v>104.95648300000001</v>
          </cell>
          <cell r="N778">
            <v>0</v>
          </cell>
          <cell r="O778" t="str">
            <v>Tahap III 166</v>
          </cell>
        </row>
        <row r="779">
          <cell r="F779" t="str">
            <v>Berlian</v>
          </cell>
          <cell r="G779" t="str">
            <v>Penyangga</v>
          </cell>
          <cell r="H779">
            <v>4123000000</v>
          </cell>
          <cell r="J779">
            <v>0.92</v>
          </cell>
          <cell r="K779">
            <v>50</v>
          </cell>
          <cell r="L779">
            <v>-0.85932600000000003</v>
          </cell>
          <cell r="M779">
            <v>104.40858799999999</v>
          </cell>
          <cell r="N779">
            <v>0</v>
          </cell>
          <cell r="O779" t="str">
            <v>Tahap III 166</v>
          </cell>
        </row>
        <row r="780">
          <cell r="F780" t="str">
            <v>Reo</v>
          </cell>
          <cell r="G780" t="str">
            <v>Penyangga</v>
          </cell>
          <cell r="H780">
            <v>3214500000</v>
          </cell>
          <cell r="J780">
            <v>1</v>
          </cell>
          <cell r="K780">
            <v>335</v>
          </cell>
          <cell r="L780">
            <v>-8.3104878000000006</v>
          </cell>
          <cell r="M780">
            <v>120.4910515</v>
          </cell>
          <cell r="N780">
            <v>0</v>
          </cell>
          <cell r="O780" t="str">
            <v>Tahap III 166</v>
          </cell>
        </row>
        <row r="781">
          <cell r="F781" t="str">
            <v>Pota</v>
          </cell>
          <cell r="G781" t="str">
            <v>Penyangga</v>
          </cell>
          <cell r="H781">
            <v>3214500000</v>
          </cell>
          <cell r="J781">
            <v>1</v>
          </cell>
          <cell r="K781">
            <v>270</v>
          </cell>
          <cell r="L781">
            <v>-8.3434069999999991</v>
          </cell>
          <cell r="M781">
            <v>120.757785</v>
          </cell>
          <cell r="N781">
            <v>0</v>
          </cell>
          <cell r="O781" t="str">
            <v>Tahap III 166</v>
          </cell>
        </row>
        <row r="782">
          <cell r="F782" t="str">
            <v>Poto Tano</v>
          </cell>
          <cell r="G782" t="str">
            <v>Hub</v>
          </cell>
          <cell r="H782">
            <v>7342100000</v>
          </cell>
          <cell r="J782">
            <v>1.3</v>
          </cell>
          <cell r="K782">
            <v>259</v>
          </cell>
          <cell r="L782">
            <v>-8.5266730000000006</v>
          </cell>
          <cell r="M782">
            <v>116.83237800000001</v>
          </cell>
          <cell r="N782">
            <v>0</v>
          </cell>
          <cell r="O782" t="str">
            <v>Tahap II 146</v>
          </cell>
        </row>
        <row r="783">
          <cell r="F783" t="str">
            <v>Labuhan Lalar</v>
          </cell>
          <cell r="G783" t="str">
            <v>Penyangga</v>
          </cell>
          <cell r="H783">
            <v>3214500000</v>
          </cell>
          <cell r="J783">
            <v>1</v>
          </cell>
          <cell r="K783">
            <v>380</v>
          </cell>
          <cell r="L783">
            <v>-8.8169000000000004</v>
          </cell>
          <cell r="M783">
            <v>116.81699999999999</v>
          </cell>
          <cell r="N783">
            <v>0</v>
          </cell>
          <cell r="O783" t="str">
            <v>Tahap II 146</v>
          </cell>
        </row>
        <row r="784">
          <cell r="F784" t="str">
            <v>Kersik</v>
          </cell>
          <cell r="G784" t="str">
            <v>Penyangga</v>
          </cell>
          <cell r="H784">
            <v>6201000000</v>
          </cell>
          <cell r="J784">
            <v>2</v>
          </cell>
          <cell r="K784">
            <v>135</v>
          </cell>
          <cell r="L784">
            <v>-6.3806000000000002E-2</v>
          </cell>
          <cell r="M784">
            <v>117.493121</v>
          </cell>
          <cell r="N784">
            <v>0</v>
          </cell>
          <cell r="O784" t="str">
            <v>Tahap IV 200</v>
          </cell>
        </row>
        <row r="785">
          <cell r="F785" t="str">
            <v>Tanjung Limau</v>
          </cell>
          <cell r="G785" t="str">
            <v>Penyangga</v>
          </cell>
          <cell r="H785">
            <v>6201000000</v>
          </cell>
          <cell r="J785">
            <v>2</v>
          </cell>
          <cell r="K785">
            <v>203</v>
          </cell>
          <cell r="L785">
            <v>-0.212917</v>
          </cell>
          <cell r="M785">
            <v>117.419972</v>
          </cell>
          <cell r="N785">
            <v>0</v>
          </cell>
          <cell r="O785" t="str">
            <v>Tahap IV 200</v>
          </cell>
        </row>
        <row r="786">
          <cell r="F786" t="str">
            <v>Pelapis</v>
          </cell>
          <cell r="G786" t="str">
            <v>Penyangga</v>
          </cell>
          <cell r="H786">
            <v>4320000000</v>
          </cell>
          <cell r="J786">
            <v>0.5</v>
          </cell>
          <cell r="K786">
            <v>271</v>
          </cell>
          <cell r="L786">
            <v>-1.2951820000000001</v>
          </cell>
          <cell r="M786">
            <v>109.153372</v>
          </cell>
          <cell r="N786">
            <v>0</v>
          </cell>
          <cell r="O786" t="str">
            <v>Tahap III 166</v>
          </cell>
        </row>
        <row r="787">
          <cell r="F787" t="str">
            <v>Dusun Kecil</v>
          </cell>
          <cell r="G787" t="str">
            <v>Penyangga</v>
          </cell>
          <cell r="H787">
            <v>4320000000</v>
          </cell>
          <cell r="J787">
            <v>1.5</v>
          </cell>
          <cell r="K787">
            <v>741</v>
          </cell>
          <cell r="L787">
            <v>-1.0629189999999999</v>
          </cell>
          <cell r="M787">
            <v>109.459428</v>
          </cell>
          <cell r="N787">
            <v>0</v>
          </cell>
          <cell r="O787" t="str">
            <v>Tahap III 166</v>
          </cell>
        </row>
        <row r="788">
          <cell r="F788" t="str">
            <v>Telukbatang Utara</v>
          </cell>
          <cell r="G788" t="str">
            <v>Penyangga</v>
          </cell>
          <cell r="H788">
            <v>6201000000</v>
          </cell>
          <cell r="J788">
            <v>1.7</v>
          </cell>
          <cell r="K788">
            <v>221</v>
          </cell>
          <cell r="L788">
            <v>-0.97728060000000005</v>
          </cell>
          <cell r="M788">
            <v>109.7558944</v>
          </cell>
          <cell r="N788">
            <v>0</v>
          </cell>
          <cell r="O788" t="str">
            <v>Tahap IV 200</v>
          </cell>
        </row>
        <row r="789">
          <cell r="F789" t="str">
            <v>Praisalura</v>
          </cell>
          <cell r="G789" t="str">
            <v>Penyangga</v>
          </cell>
          <cell r="H789">
            <v>3214500000</v>
          </cell>
          <cell r="J789">
            <v>1</v>
          </cell>
          <cell r="K789">
            <v>105</v>
          </cell>
          <cell r="L789">
            <v>-10.313117</v>
          </cell>
          <cell r="M789">
            <v>120.1803</v>
          </cell>
          <cell r="N789">
            <v>0</v>
          </cell>
          <cell r="O789" t="str">
            <v>Tahap III 166</v>
          </cell>
        </row>
        <row r="790">
          <cell r="F790" t="str">
            <v>Pulau Rajo Inderapura</v>
          </cell>
          <cell r="G790" t="str">
            <v>Hub</v>
          </cell>
          <cell r="H790">
            <v>7123100000</v>
          </cell>
          <cell r="J790">
            <v>1.05</v>
          </cell>
          <cell r="K790">
            <v>371</v>
          </cell>
          <cell r="L790">
            <v>-2.0262540000000002</v>
          </cell>
          <cell r="M790">
            <v>100.88067599999999</v>
          </cell>
          <cell r="N790">
            <v>0</v>
          </cell>
          <cell r="O790" t="str">
            <v>Tahap III 166</v>
          </cell>
        </row>
        <row r="791">
          <cell r="F791" t="str">
            <v>Air Haji Barat</v>
          </cell>
          <cell r="G791" t="str">
            <v>Penyangga</v>
          </cell>
          <cell r="H791">
            <v>4123000000</v>
          </cell>
          <cell r="J791">
            <v>0.7</v>
          </cell>
          <cell r="K791">
            <v>110</v>
          </cell>
          <cell r="L791">
            <v>-1.9528350000000001</v>
          </cell>
          <cell r="M791">
            <v>100.871255</v>
          </cell>
          <cell r="N791">
            <v>0</v>
          </cell>
          <cell r="O791" t="str">
            <v>Tahap III 166</v>
          </cell>
        </row>
        <row r="792">
          <cell r="F792" t="str">
            <v>Ledeunu</v>
          </cell>
          <cell r="G792" t="str">
            <v>Penyangga</v>
          </cell>
          <cell r="H792">
            <v>3214500000</v>
          </cell>
          <cell r="J792">
            <v>0.15</v>
          </cell>
          <cell r="K792">
            <v>123</v>
          </cell>
          <cell r="L792">
            <v>-10.604558000000001</v>
          </cell>
          <cell r="M792">
            <v>121.605958</v>
          </cell>
          <cell r="N792">
            <v>0</v>
          </cell>
          <cell r="O792" t="str">
            <v>Tahap III 166</v>
          </cell>
        </row>
        <row r="793">
          <cell r="F793" t="str">
            <v>Raemadia</v>
          </cell>
          <cell r="G793" t="str">
            <v>Penyangga (+cs)</v>
          </cell>
          <cell r="H793">
            <v>4678000000</v>
          </cell>
          <cell r="J793">
            <v>0.45</v>
          </cell>
          <cell r="K793">
            <v>150</v>
          </cell>
          <cell r="L793">
            <v>-10.4723723</v>
          </cell>
          <cell r="M793">
            <v>121.84438609999999</v>
          </cell>
          <cell r="N793">
            <v>0</v>
          </cell>
          <cell r="O793" t="str">
            <v>Tahap III 166</v>
          </cell>
        </row>
        <row r="794">
          <cell r="F794" t="str">
            <v>Dumu</v>
          </cell>
          <cell r="G794" t="str">
            <v>Penyangga</v>
          </cell>
          <cell r="H794">
            <v>3214500000</v>
          </cell>
          <cell r="J794">
            <v>0.6</v>
          </cell>
          <cell r="K794">
            <v>40</v>
          </cell>
          <cell r="L794">
            <v>-8.6914060000000006</v>
          </cell>
          <cell r="M794">
            <v>118.92469199999999</v>
          </cell>
          <cell r="N794">
            <v>0</v>
          </cell>
          <cell r="O794" t="str">
            <v>Tahap II 146</v>
          </cell>
        </row>
        <row r="795">
          <cell r="F795" t="str">
            <v>Kangga</v>
          </cell>
          <cell r="G795" t="str">
            <v>Penyangga</v>
          </cell>
          <cell r="H795">
            <v>3214500000</v>
          </cell>
          <cell r="K795">
            <v>200</v>
          </cell>
          <cell r="L795">
            <v>-8.7073309999999999</v>
          </cell>
          <cell r="M795">
            <v>118.93965300000001</v>
          </cell>
          <cell r="N795">
            <v>0</v>
          </cell>
          <cell r="O795" t="str">
            <v>Tahap II 146</v>
          </cell>
        </row>
        <row r="796">
          <cell r="F796" t="str">
            <v>Karampi</v>
          </cell>
          <cell r="G796" t="str">
            <v>Penyangga</v>
          </cell>
          <cell r="H796">
            <v>3214500000</v>
          </cell>
          <cell r="J796">
            <v>4.5999999999999996</v>
          </cell>
          <cell r="K796">
            <v>333</v>
          </cell>
          <cell r="L796">
            <v>-8.76295</v>
          </cell>
          <cell r="M796">
            <v>118.89760200000001</v>
          </cell>
          <cell r="N796">
            <v>0</v>
          </cell>
          <cell r="O796" t="str">
            <v>Tahap II 146</v>
          </cell>
        </row>
        <row r="797">
          <cell r="F797" t="str">
            <v>Karumbu</v>
          </cell>
          <cell r="G797" t="str">
            <v>Penyangga</v>
          </cell>
          <cell r="H797">
            <v>3214500000</v>
          </cell>
          <cell r="J797">
            <v>4.5999999999999996</v>
          </cell>
          <cell r="K797">
            <v>229</v>
          </cell>
          <cell r="L797">
            <v>-8.7108950000000007</v>
          </cell>
          <cell r="M797">
            <v>118.820223</v>
          </cell>
          <cell r="N797">
            <v>0</v>
          </cell>
          <cell r="O797" t="str">
            <v>Tahap II 146</v>
          </cell>
        </row>
        <row r="798">
          <cell r="F798" t="str">
            <v>Rompo</v>
          </cell>
          <cell r="G798" t="str">
            <v>Hub</v>
          </cell>
          <cell r="H798">
            <v>7342100000</v>
          </cell>
          <cell r="J798">
            <v>0.4</v>
          </cell>
          <cell r="K798">
            <v>460</v>
          </cell>
          <cell r="L798">
            <v>-8.7058649999999993</v>
          </cell>
          <cell r="M798">
            <v>118.80184800000001</v>
          </cell>
          <cell r="N798">
            <v>0</v>
          </cell>
          <cell r="O798" t="str">
            <v>Tahap II 146</v>
          </cell>
        </row>
        <row r="799">
          <cell r="F799" t="str">
            <v>Sambane</v>
          </cell>
          <cell r="G799" t="str">
            <v>Penyangga</v>
          </cell>
          <cell r="H799">
            <v>3214500000</v>
          </cell>
          <cell r="J799">
            <v>4.62</v>
          </cell>
          <cell r="K799">
            <v>65</v>
          </cell>
          <cell r="L799">
            <v>-8.6968490000000003</v>
          </cell>
          <cell r="M799">
            <v>118.87458100000001</v>
          </cell>
          <cell r="N799">
            <v>0</v>
          </cell>
          <cell r="O799" t="str">
            <v>Tahap II 146</v>
          </cell>
        </row>
        <row r="800">
          <cell r="F800" t="str">
            <v>Sarae Ruma</v>
          </cell>
          <cell r="G800" t="str">
            <v>Penyangga</v>
          </cell>
          <cell r="H800">
            <v>3214500000</v>
          </cell>
          <cell r="K800">
            <v>372</v>
          </cell>
          <cell r="L800">
            <v>-8.7945820000000001</v>
          </cell>
          <cell r="M800">
            <v>118.939245</v>
          </cell>
          <cell r="N800">
            <v>0</v>
          </cell>
          <cell r="O800" t="str">
            <v>Tahap II 146</v>
          </cell>
        </row>
        <row r="801">
          <cell r="F801" t="str">
            <v>Maileppet</v>
          </cell>
          <cell r="G801" t="str">
            <v>Penyangga</v>
          </cell>
          <cell r="H801">
            <v>4123000000</v>
          </cell>
          <cell r="J801">
            <v>0.3</v>
          </cell>
          <cell r="K801">
            <v>170</v>
          </cell>
          <cell r="L801">
            <v>-1.575472</v>
          </cell>
          <cell r="M801">
            <v>99.195971999999998</v>
          </cell>
          <cell r="N801">
            <v>0</v>
          </cell>
          <cell r="O801" t="str">
            <v>Tahap III 166</v>
          </cell>
        </row>
        <row r="802">
          <cell r="F802" t="str">
            <v>Saliguma</v>
          </cell>
          <cell r="G802" t="str">
            <v>Hub</v>
          </cell>
          <cell r="H802">
            <v>6105695000</v>
          </cell>
          <cell r="J802">
            <v>1</v>
          </cell>
          <cell r="K802">
            <v>1500</v>
          </cell>
          <cell r="L802">
            <v>-1.448599</v>
          </cell>
          <cell r="M802">
            <v>99.116743999999997</v>
          </cell>
          <cell r="N802">
            <v>0</v>
          </cell>
          <cell r="O802" t="str">
            <v>Tahap IV 200</v>
          </cell>
        </row>
        <row r="803">
          <cell r="F803" t="str">
            <v>Muara Sikabaluan</v>
          </cell>
          <cell r="G803" t="str">
            <v>Penyangga</v>
          </cell>
          <cell r="H803">
            <v>6105695000</v>
          </cell>
          <cell r="J803">
            <v>0.24</v>
          </cell>
          <cell r="K803">
            <v>210</v>
          </cell>
          <cell r="L803">
            <v>-1.08375</v>
          </cell>
          <cell r="M803">
            <v>98.960110999999998</v>
          </cell>
          <cell r="N803">
            <v>0</v>
          </cell>
          <cell r="O803" t="str">
            <v>Tahap IV 200</v>
          </cell>
        </row>
        <row r="804">
          <cell r="F804" t="str">
            <v>Handil Terusan</v>
          </cell>
          <cell r="G804" t="str">
            <v>Penyangga</v>
          </cell>
          <cell r="H804">
            <v>6201000000</v>
          </cell>
          <cell r="J804">
            <v>0.5</v>
          </cell>
          <cell r="K804">
            <v>302</v>
          </cell>
          <cell r="L804">
            <v>-0.56777999999999995</v>
          </cell>
          <cell r="M804">
            <v>117.36915</v>
          </cell>
          <cell r="N804">
            <v>0</v>
          </cell>
          <cell r="O804" t="str">
            <v>Tahap IV 200</v>
          </cell>
        </row>
        <row r="805">
          <cell r="F805" t="str">
            <v>Samboja Kuala</v>
          </cell>
          <cell r="G805" t="str">
            <v>Hub</v>
          </cell>
          <cell r="H805">
            <v>7896000000</v>
          </cell>
          <cell r="J805">
            <v>0.34100000000000003</v>
          </cell>
          <cell r="K805">
            <v>485</v>
          </cell>
          <cell r="L805">
            <v>-1.021682</v>
          </cell>
          <cell r="M805">
            <v>117.116838</v>
          </cell>
          <cell r="N805">
            <v>0</v>
          </cell>
          <cell r="O805" t="str">
            <v>Tahap IV 200</v>
          </cell>
        </row>
        <row r="806">
          <cell r="F806" t="str">
            <v>Boro</v>
          </cell>
          <cell r="G806" t="str">
            <v>Penyangga</v>
          </cell>
          <cell r="H806">
            <v>3214500000</v>
          </cell>
          <cell r="J806">
            <v>4.5999999999999996</v>
          </cell>
          <cell r="K806">
            <v>270</v>
          </cell>
          <cell r="L806">
            <v>-8.3562650000000005</v>
          </cell>
          <cell r="M806">
            <v>118.271202</v>
          </cell>
          <cell r="N806">
            <v>0</v>
          </cell>
          <cell r="O806" t="str">
            <v>Tahap II 146</v>
          </cell>
        </row>
        <row r="807">
          <cell r="F807" t="str">
            <v>Sandue</v>
          </cell>
          <cell r="G807" t="str">
            <v>Penyangga</v>
          </cell>
          <cell r="H807">
            <v>3214500000</v>
          </cell>
          <cell r="J807">
            <v>0.68</v>
          </cell>
          <cell r="K807">
            <v>155</v>
          </cell>
          <cell r="L807">
            <v>-8.3717170000000003</v>
          </cell>
          <cell r="M807">
            <v>118.311196</v>
          </cell>
          <cell r="N807">
            <v>0</v>
          </cell>
          <cell r="O807" t="str">
            <v>Tahap II 146</v>
          </cell>
        </row>
        <row r="808">
          <cell r="F808" t="str">
            <v>Sangia</v>
          </cell>
          <cell r="G808" t="str">
            <v>Penyangga</v>
          </cell>
          <cell r="H808">
            <v>3214500000</v>
          </cell>
          <cell r="J808">
            <v>1</v>
          </cell>
          <cell r="K808">
            <v>111</v>
          </cell>
          <cell r="L808">
            <v>-8.5625815999999997</v>
          </cell>
          <cell r="M808">
            <v>119.0171345</v>
          </cell>
          <cell r="N808">
            <v>0</v>
          </cell>
          <cell r="O808" t="str">
            <v>Tahap II 146</v>
          </cell>
        </row>
        <row r="809">
          <cell r="F809" t="str">
            <v>Mekar Jaya</v>
          </cell>
          <cell r="G809" t="str">
            <v>Penyangga</v>
          </cell>
          <cell r="H809">
            <v>6105695000</v>
          </cell>
          <cell r="J809">
            <v>1</v>
          </cell>
          <cell r="K809">
            <v>66</v>
          </cell>
          <cell r="L809">
            <v>3.7344170000000001</v>
          </cell>
          <cell r="M809">
            <v>108.147744</v>
          </cell>
          <cell r="N809">
            <v>0</v>
          </cell>
          <cell r="O809" t="str">
            <v>Tahap IV 200</v>
          </cell>
        </row>
        <row r="810">
          <cell r="F810" t="str">
            <v>Sedanau</v>
          </cell>
          <cell r="G810" t="str">
            <v>Hub</v>
          </cell>
          <cell r="H810">
            <v>6105695000</v>
          </cell>
          <cell r="J810">
            <v>1</v>
          </cell>
          <cell r="K810">
            <v>453</v>
          </cell>
          <cell r="L810">
            <v>3.7871670000000002</v>
          </cell>
          <cell r="M810">
            <v>108.033472</v>
          </cell>
          <cell r="N810">
            <v>0</v>
          </cell>
          <cell r="O810" t="str">
            <v>Tahap IV 200</v>
          </cell>
        </row>
        <row r="811">
          <cell r="F811" t="str">
            <v>Sabang Mawang</v>
          </cell>
          <cell r="G811" t="str">
            <v>Penyangga</v>
          </cell>
          <cell r="H811">
            <v>6105695000</v>
          </cell>
          <cell r="J811">
            <v>1</v>
          </cell>
          <cell r="K811">
            <v>114</v>
          </cell>
          <cell r="L811">
            <v>3.6219440000000001</v>
          </cell>
          <cell r="M811">
            <v>108.12527799999999</v>
          </cell>
          <cell r="N811">
            <v>0</v>
          </cell>
          <cell r="O811" t="str">
            <v>Tahap IV 200</v>
          </cell>
        </row>
        <row r="812">
          <cell r="F812" t="str">
            <v>Sededap</v>
          </cell>
          <cell r="G812" t="str">
            <v>Penyangga</v>
          </cell>
          <cell r="H812">
            <v>6105695000</v>
          </cell>
          <cell r="J812">
            <v>1</v>
          </cell>
          <cell r="K812">
            <v>73</v>
          </cell>
          <cell r="L812">
            <v>3.5797340000000002</v>
          </cell>
          <cell r="M812">
            <v>108.04818400000001</v>
          </cell>
          <cell r="N812">
            <v>0</v>
          </cell>
          <cell r="O812" t="str">
            <v>Tahap IV 200</v>
          </cell>
        </row>
        <row r="813">
          <cell r="F813" t="str">
            <v>Selading</v>
          </cell>
          <cell r="G813" t="str">
            <v>Penyangga</v>
          </cell>
          <cell r="H813">
            <v>6105695000</v>
          </cell>
          <cell r="J813">
            <v>1</v>
          </cell>
          <cell r="K813">
            <v>194</v>
          </cell>
          <cell r="L813">
            <v>3.6316109999999999</v>
          </cell>
          <cell r="M813">
            <v>108.054222</v>
          </cell>
          <cell r="N813">
            <v>0</v>
          </cell>
          <cell r="O813" t="str">
            <v>Tahap IV 200</v>
          </cell>
        </row>
        <row r="814">
          <cell r="F814" t="str">
            <v>Batu Belanak</v>
          </cell>
          <cell r="G814" t="str">
            <v>Penyangga</v>
          </cell>
          <cell r="H814">
            <v>6105695000</v>
          </cell>
          <cell r="J814">
            <v>1</v>
          </cell>
          <cell r="K814">
            <v>56</v>
          </cell>
          <cell r="L814">
            <v>3.0194990000000002</v>
          </cell>
          <cell r="M814">
            <v>107.786535</v>
          </cell>
          <cell r="N814">
            <v>0</v>
          </cell>
          <cell r="O814" t="str">
            <v>Tahap IV 200</v>
          </cell>
        </row>
        <row r="815">
          <cell r="F815" t="str">
            <v>Temoyong</v>
          </cell>
          <cell r="G815" t="str">
            <v>Penyangga</v>
          </cell>
          <cell r="H815">
            <v>6105695000</v>
          </cell>
          <cell r="J815">
            <v>0.33</v>
          </cell>
          <cell r="K815">
            <v>750</v>
          </cell>
          <cell r="L815">
            <v>0.902034</v>
          </cell>
          <cell r="M815">
            <v>103.951429</v>
          </cell>
          <cell r="N815">
            <v>0</v>
          </cell>
          <cell r="O815" t="str">
            <v>Tahap IV 200</v>
          </cell>
        </row>
        <row r="816">
          <cell r="F816" t="str">
            <v>Semayang</v>
          </cell>
          <cell r="G816" t="str">
            <v>Hub</v>
          </cell>
          <cell r="H816">
            <v>7896000000</v>
          </cell>
          <cell r="J816">
            <v>0.19</v>
          </cell>
          <cell r="K816">
            <v>652</v>
          </cell>
          <cell r="L816">
            <v>-0.17299300000000001</v>
          </cell>
          <cell r="M816">
            <v>116.448959</v>
          </cell>
          <cell r="N816">
            <v>0</v>
          </cell>
          <cell r="O816" t="str">
            <v>Tahap IV 200</v>
          </cell>
        </row>
        <row r="817">
          <cell r="F817" t="str">
            <v>Pela</v>
          </cell>
          <cell r="G817" t="str">
            <v>Penyangga</v>
          </cell>
          <cell r="H817">
            <v>4320000000</v>
          </cell>
          <cell r="J817">
            <v>0.05</v>
          </cell>
          <cell r="K817">
            <v>81</v>
          </cell>
          <cell r="L817">
            <v>-0.24027999999999999</v>
          </cell>
          <cell r="M817">
            <v>116.544821</v>
          </cell>
          <cell r="N817">
            <v>0</v>
          </cell>
          <cell r="O817" t="str">
            <v>Tahap III 166</v>
          </cell>
        </row>
        <row r="818">
          <cell r="F818" t="str">
            <v>Sangkuliman</v>
          </cell>
          <cell r="G818" t="str">
            <v>Penyangga</v>
          </cell>
          <cell r="H818">
            <v>4320000000</v>
          </cell>
          <cell r="J818">
            <v>0.56999999999999995</v>
          </cell>
          <cell r="K818">
            <v>355</v>
          </cell>
          <cell r="L818">
            <v>-0.24102447799999999</v>
          </cell>
          <cell r="M818">
            <v>116.5523046</v>
          </cell>
          <cell r="N818">
            <v>0</v>
          </cell>
          <cell r="O818" t="str">
            <v>Tahap III 166</v>
          </cell>
        </row>
        <row r="819">
          <cell r="F819" t="str">
            <v>Jantur Selatan</v>
          </cell>
          <cell r="G819" t="str">
            <v>Penyangga (+cs)</v>
          </cell>
          <cell r="H819">
            <v>6201000000</v>
          </cell>
          <cell r="J819">
            <v>0.2</v>
          </cell>
          <cell r="K819">
            <v>710</v>
          </cell>
          <cell r="L819">
            <v>-0.41284700000000002</v>
          </cell>
          <cell r="M819">
            <v>116.28053300000001</v>
          </cell>
          <cell r="N819">
            <v>0</v>
          </cell>
          <cell r="O819" t="str">
            <v>Tahap IV 200</v>
          </cell>
        </row>
        <row r="820">
          <cell r="F820" t="str">
            <v>Busung</v>
          </cell>
          <cell r="G820" t="str">
            <v>Penyangga</v>
          </cell>
          <cell r="H820">
            <v>6105695000</v>
          </cell>
          <cell r="J820">
            <v>0.11</v>
          </cell>
          <cell r="K820">
            <v>410</v>
          </cell>
          <cell r="L820">
            <v>1.013012</v>
          </cell>
          <cell r="M820">
            <v>104.33559700000001</v>
          </cell>
          <cell r="N820">
            <v>0</v>
          </cell>
          <cell r="O820" t="str">
            <v>Tahap IV 200</v>
          </cell>
        </row>
        <row r="821">
          <cell r="F821" t="str">
            <v>Kuala Sempang</v>
          </cell>
          <cell r="G821" t="str">
            <v>Penyangga</v>
          </cell>
          <cell r="H821">
            <v>6105695000</v>
          </cell>
          <cell r="J821">
            <v>0.7</v>
          </cell>
          <cell r="K821">
            <v>75</v>
          </cell>
          <cell r="L821">
            <v>1.027633</v>
          </cell>
          <cell r="M821">
            <v>104.339467</v>
          </cell>
          <cell r="N821">
            <v>0</v>
          </cell>
          <cell r="O821" t="str">
            <v>Tahap IV 200</v>
          </cell>
        </row>
        <row r="822">
          <cell r="F822" t="str">
            <v>Kampung Bugis</v>
          </cell>
          <cell r="G822" t="str">
            <v>Penyangga</v>
          </cell>
          <cell r="H822">
            <v>6105695000</v>
          </cell>
          <cell r="J822">
            <v>0.41</v>
          </cell>
          <cell r="K822">
            <v>336</v>
          </cell>
          <cell r="L822">
            <v>0.94455299999999998</v>
          </cell>
          <cell r="M822">
            <v>104.444355</v>
          </cell>
          <cell r="N822">
            <v>0</v>
          </cell>
          <cell r="O822" t="str">
            <v>Tahap IV 200</v>
          </cell>
        </row>
        <row r="823">
          <cell r="F823" t="str">
            <v>Antiga Kelod</v>
          </cell>
          <cell r="G823" t="str">
            <v>Penyangga</v>
          </cell>
          <cell r="H823">
            <v>3214500000</v>
          </cell>
          <cell r="J823">
            <v>0.4</v>
          </cell>
          <cell r="K823">
            <v>125</v>
          </cell>
          <cell r="L823">
            <v>-8.5441900000000004</v>
          </cell>
          <cell r="M823">
            <v>115.496526</v>
          </cell>
          <cell r="N823">
            <v>0</v>
          </cell>
          <cell r="O823" t="str">
            <v>Tahap II 146</v>
          </cell>
        </row>
        <row r="824">
          <cell r="F824" t="str">
            <v>Seri Kembang</v>
          </cell>
          <cell r="G824" t="str">
            <v>Penyangga</v>
          </cell>
          <cell r="H824">
            <v>4123000000</v>
          </cell>
          <cell r="J824">
            <v>0.41</v>
          </cell>
          <cell r="K824">
            <v>120</v>
          </cell>
          <cell r="L824">
            <v>-3.6293600000000001</v>
          </cell>
          <cell r="M824">
            <v>104.57738000000001</v>
          </cell>
          <cell r="N824">
            <v>0</v>
          </cell>
          <cell r="O824" t="str">
            <v>Tahap II 146</v>
          </cell>
        </row>
        <row r="825">
          <cell r="F825" t="str">
            <v>Sunur</v>
          </cell>
          <cell r="G825" t="str">
            <v>Penyangga</v>
          </cell>
          <cell r="H825">
            <v>6105695000</v>
          </cell>
          <cell r="J825">
            <v>0.15</v>
          </cell>
          <cell r="K825">
            <v>204</v>
          </cell>
          <cell r="L825">
            <v>-3.53606</v>
          </cell>
          <cell r="M825">
            <v>104.54826</v>
          </cell>
          <cell r="N825">
            <v>0</v>
          </cell>
          <cell r="O825" t="str">
            <v>Tahap IV 200</v>
          </cell>
        </row>
        <row r="826">
          <cell r="F826" t="str">
            <v>Burai</v>
          </cell>
          <cell r="G826" t="str">
            <v>Penyangga</v>
          </cell>
          <cell r="H826">
            <v>4123000000</v>
          </cell>
          <cell r="J826">
            <v>1.99</v>
          </cell>
          <cell r="K826">
            <v>220</v>
          </cell>
          <cell r="L826">
            <v>-3.2800500000000001</v>
          </cell>
          <cell r="M826">
            <v>104.59738</v>
          </cell>
          <cell r="N826">
            <v>0</v>
          </cell>
          <cell r="O826" t="str">
            <v>Tahap II 146</v>
          </cell>
        </row>
        <row r="827">
          <cell r="F827" t="str">
            <v>Setarap</v>
          </cell>
          <cell r="G827" t="str">
            <v>Hub</v>
          </cell>
          <cell r="H827">
            <v>6932400000</v>
          </cell>
          <cell r="J827">
            <v>1.65</v>
          </cell>
          <cell r="K827">
            <v>150</v>
          </cell>
          <cell r="L827">
            <v>-3.79271</v>
          </cell>
          <cell r="M827">
            <v>115.53182</v>
          </cell>
          <cell r="N827">
            <v>0</v>
          </cell>
          <cell r="O827" t="str">
            <v>Tahap III 166</v>
          </cell>
        </row>
        <row r="828">
          <cell r="F828" t="str">
            <v>Sungaicuka</v>
          </cell>
          <cell r="G828" t="str">
            <v>Penyangga</v>
          </cell>
          <cell r="H828">
            <v>4320000000</v>
          </cell>
          <cell r="J828">
            <v>1</v>
          </cell>
          <cell r="K828">
            <v>150</v>
          </cell>
          <cell r="L828">
            <v>-3.8571111</v>
          </cell>
          <cell r="M828">
            <v>115.3846667</v>
          </cell>
          <cell r="N828">
            <v>0</v>
          </cell>
          <cell r="O828" t="str">
            <v>Tahap IV 200</v>
          </cell>
        </row>
        <row r="829">
          <cell r="F829" t="str">
            <v>Sungaidua Laut</v>
          </cell>
          <cell r="G829" t="str">
            <v>Penyangga</v>
          </cell>
          <cell r="H829">
            <v>6201000000</v>
          </cell>
          <cell r="J829">
            <v>0.7</v>
          </cell>
          <cell r="K829">
            <v>150</v>
          </cell>
          <cell r="L829">
            <v>-3.6965832999999999</v>
          </cell>
          <cell r="M829">
            <v>115.7578889</v>
          </cell>
          <cell r="N829">
            <v>0</v>
          </cell>
          <cell r="O829" t="str">
            <v>Tahap IV 200</v>
          </cell>
        </row>
        <row r="830">
          <cell r="F830" t="str">
            <v>Jaboi</v>
          </cell>
          <cell r="G830" t="str">
            <v>Penyangga</v>
          </cell>
          <cell r="J830">
            <v>1</v>
          </cell>
          <cell r="K830">
            <v>65</v>
          </cell>
          <cell r="L830">
            <v>5.7943920000000002</v>
          </cell>
          <cell r="M830">
            <v>95.343457999999998</v>
          </cell>
          <cell r="O830" t="e">
            <v>#N/A</v>
          </cell>
        </row>
        <row r="831">
          <cell r="F831" t="str">
            <v>Batee Shok</v>
          </cell>
          <cell r="G831" t="str">
            <v>Penyangga</v>
          </cell>
          <cell r="J831">
            <v>4.8</v>
          </cell>
          <cell r="K831">
            <v>79</v>
          </cell>
          <cell r="L831">
            <v>5.8385360000000004</v>
          </cell>
          <cell r="M831">
            <v>95.298844000000003</v>
          </cell>
          <cell r="O831" t="e">
            <v>#N/A</v>
          </cell>
        </row>
        <row r="832">
          <cell r="F832" t="str">
            <v>Keunekai</v>
          </cell>
          <cell r="G832" t="str">
            <v>Penyangga</v>
          </cell>
          <cell r="J832">
            <v>0.34</v>
          </cell>
          <cell r="K832">
            <v>71</v>
          </cell>
          <cell r="L832">
            <v>5.7767600000000003</v>
          </cell>
          <cell r="M832">
            <v>95.312960000000004</v>
          </cell>
          <cell r="O832" t="e">
            <v>#N/A</v>
          </cell>
        </row>
        <row r="833">
          <cell r="F833" t="str">
            <v>Sungai Pancang</v>
          </cell>
          <cell r="G833" t="str">
            <v>Penyangga</v>
          </cell>
          <cell r="H833">
            <v>6201000000</v>
          </cell>
          <cell r="J833">
            <v>0.4</v>
          </cell>
          <cell r="K833">
            <v>500</v>
          </cell>
          <cell r="L833">
            <v>4.1635559999999998</v>
          </cell>
          <cell r="M833">
            <v>117.902126</v>
          </cell>
          <cell r="N833">
            <v>0</v>
          </cell>
          <cell r="O833" t="str">
            <v>Tahap IV 200</v>
          </cell>
        </row>
        <row r="834">
          <cell r="F834" t="str">
            <v>Amaiteng Mulia</v>
          </cell>
          <cell r="G834" t="str">
            <v>Penyangga</v>
          </cell>
          <cell r="J834">
            <v>1.97</v>
          </cell>
          <cell r="K834">
            <v>451</v>
          </cell>
          <cell r="L834">
            <v>2.4899529999999999</v>
          </cell>
          <cell r="M834">
            <v>96.371613999999994</v>
          </cell>
          <cell r="O834" t="e">
            <v>#N/A</v>
          </cell>
        </row>
        <row r="835">
          <cell r="F835" t="str">
            <v>Latiung</v>
          </cell>
          <cell r="G835" t="str">
            <v>Penyangga</v>
          </cell>
          <cell r="J835">
            <v>0.6</v>
          </cell>
          <cell r="K835">
            <v>87</v>
          </cell>
          <cell r="L835">
            <v>2.3445170000000002</v>
          </cell>
          <cell r="M835">
            <v>96.468005000000005</v>
          </cell>
          <cell r="O835" t="e">
            <v>#N/A</v>
          </cell>
        </row>
        <row r="836">
          <cell r="F836" t="str">
            <v>Kahad</v>
          </cell>
          <cell r="G836" t="str">
            <v>Penyangga</v>
          </cell>
          <cell r="J836">
            <v>0.28000000000000003</v>
          </cell>
          <cell r="K836">
            <v>200</v>
          </cell>
          <cell r="L836">
            <v>2.3705569999999998</v>
          </cell>
          <cell r="M836">
            <v>96.333085999999994</v>
          </cell>
          <cell r="O836" t="e">
            <v>#N/A</v>
          </cell>
        </row>
        <row r="837">
          <cell r="F837" t="str">
            <v>Soro</v>
          </cell>
          <cell r="G837" t="str">
            <v>Penyangga</v>
          </cell>
          <cell r="H837">
            <v>3214500000</v>
          </cell>
          <cell r="J837">
            <v>1.8</v>
          </cell>
          <cell r="K837">
            <v>458</v>
          </cell>
          <cell r="L837">
            <v>-8.5595219999999994</v>
          </cell>
          <cell r="M837">
            <v>118.239806</v>
          </cell>
          <cell r="N837">
            <v>0</v>
          </cell>
          <cell r="O837" t="str">
            <v>Tahap II 146</v>
          </cell>
        </row>
        <row r="838">
          <cell r="F838" t="str">
            <v>Tolo Kalo</v>
          </cell>
          <cell r="G838" t="str">
            <v>Penyangga</v>
          </cell>
          <cell r="H838">
            <v>3214500000</v>
          </cell>
          <cell r="J838">
            <v>1.8</v>
          </cell>
          <cell r="K838">
            <v>174</v>
          </cell>
          <cell r="L838">
            <v>-8.5293969999999995</v>
          </cell>
          <cell r="M838">
            <v>118.180897</v>
          </cell>
          <cell r="N838">
            <v>0</v>
          </cell>
          <cell r="O838" t="str">
            <v>Tahap II 146</v>
          </cell>
        </row>
        <row r="839">
          <cell r="F839" t="str">
            <v>Sugian</v>
          </cell>
          <cell r="G839" t="str">
            <v>Penyangga</v>
          </cell>
          <cell r="H839">
            <v>3214500000</v>
          </cell>
          <cell r="J839">
            <v>0.8</v>
          </cell>
          <cell r="K839">
            <v>536</v>
          </cell>
          <cell r="L839">
            <v>-8.3368529999999996</v>
          </cell>
          <cell r="M839">
            <v>116.69652000000001</v>
          </cell>
          <cell r="N839">
            <v>0</v>
          </cell>
          <cell r="O839" t="str">
            <v>Tahap II 146</v>
          </cell>
        </row>
        <row r="840">
          <cell r="F840" t="str">
            <v>Suka Baru</v>
          </cell>
          <cell r="G840" t="str">
            <v>Penyangga</v>
          </cell>
          <cell r="H840">
            <v>4320000000</v>
          </cell>
          <cell r="J840">
            <v>0.2</v>
          </cell>
          <cell r="K840">
            <v>237</v>
          </cell>
          <cell r="L840">
            <v>-1.8290789999999999</v>
          </cell>
          <cell r="M840">
            <v>109.908337</v>
          </cell>
          <cell r="N840">
            <v>0</v>
          </cell>
          <cell r="O840" t="str">
            <v>Tahap III 166</v>
          </cell>
        </row>
        <row r="841">
          <cell r="F841" t="str">
            <v>Panglima Raja</v>
          </cell>
          <cell r="G841" t="str">
            <v>Penyangga</v>
          </cell>
          <cell r="H841">
            <v>6105695000</v>
          </cell>
          <cell r="J841">
            <v>0.21</v>
          </cell>
          <cell r="K841">
            <v>1.18</v>
          </cell>
          <cell r="L841">
            <v>-0.24473600000000001</v>
          </cell>
          <cell r="M841">
            <v>103.632092</v>
          </cell>
          <cell r="N841">
            <v>0</v>
          </cell>
          <cell r="O841" t="str">
            <v>Tahap IV 200</v>
          </cell>
        </row>
        <row r="842">
          <cell r="F842" t="str">
            <v>Sungaibuluh</v>
          </cell>
          <cell r="G842" t="str">
            <v>Hub</v>
          </cell>
          <cell r="H842">
            <v>6105695000</v>
          </cell>
          <cell r="J842">
            <v>0.81</v>
          </cell>
          <cell r="K842">
            <v>821</v>
          </cell>
          <cell r="L842">
            <v>-0.41424850000000002</v>
          </cell>
          <cell r="M842">
            <v>103.5982415</v>
          </cell>
          <cell r="N842">
            <v>0</v>
          </cell>
          <cell r="O842" t="str">
            <v>Tahap IV 200</v>
          </cell>
        </row>
        <row r="843">
          <cell r="F843" t="str">
            <v>Batang Tumu</v>
          </cell>
          <cell r="G843" t="str">
            <v>Penyangga</v>
          </cell>
          <cell r="H843">
            <v>6105695000</v>
          </cell>
          <cell r="J843">
            <v>0.82</v>
          </cell>
          <cell r="K843">
            <v>750</v>
          </cell>
          <cell r="L843">
            <v>-2.9916999999999999E-2</v>
          </cell>
          <cell r="M843">
            <v>103.373222</v>
          </cell>
          <cell r="N843">
            <v>0</v>
          </cell>
          <cell r="O843" t="str">
            <v>Tahap IV 200</v>
          </cell>
        </row>
        <row r="844">
          <cell r="F844" t="str">
            <v>Bekawan</v>
          </cell>
          <cell r="G844" t="str">
            <v>Penyangga</v>
          </cell>
          <cell r="H844">
            <v>6105695000</v>
          </cell>
          <cell r="J844">
            <v>7.0000000000000007E-2</v>
          </cell>
          <cell r="K844">
            <v>230</v>
          </cell>
          <cell r="L844">
            <v>-1.38481E-2</v>
          </cell>
          <cell r="M844">
            <v>103.74684569999999</v>
          </cell>
          <cell r="N844">
            <v>0</v>
          </cell>
          <cell r="O844" t="str">
            <v>Tahap IV 200</v>
          </cell>
        </row>
        <row r="845">
          <cell r="F845" t="str">
            <v>Kuala Patah Parang</v>
          </cell>
          <cell r="G845" t="str">
            <v>Penyangga (+cs)</v>
          </cell>
          <cell r="H845">
            <v>6105695000</v>
          </cell>
          <cell r="J845">
            <v>0.82</v>
          </cell>
          <cell r="K845">
            <v>1.42</v>
          </cell>
          <cell r="L845">
            <v>-0.60211700000000001</v>
          </cell>
          <cell r="M845">
            <v>103.4085</v>
          </cell>
          <cell r="N845">
            <v>0</v>
          </cell>
          <cell r="O845" t="str">
            <v>Tahap IV 200</v>
          </cell>
        </row>
        <row r="846">
          <cell r="F846" t="str">
            <v>Tanjungpasir</v>
          </cell>
          <cell r="G846" t="str">
            <v>Penyangga</v>
          </cell>
          <cell r="H846">
            <v>6105695000</v>
          </cell>
          <cell r="J846">
            <v>0.5</v>
          </cell>
          <cell r="K846">
            <v>1755</v>
          </cell>
          <cell r="L846">
            <v>-0.51723600000000003</v>
          </cell>
          <cell r="M846">
            <v>103.40760299999999</v>
          </cell>
          <cell r="N846">
            <v>0</v>
          </cell>
          <cell r="O846" t="str">
            <v>Tahap IV 200</v>
          </cell>
        </row>
        <row r="847">
          <cell r="F847" t="str">
            <v>Sungai Kupah</v>
          </cell>
          <cell r="G847" t="str">
            <v>Hub</v>
          </cell>
          <cell r="H847">
            <v>6932400000</v>
          </cell>
          <cell r="J847">
            <v>1.46</v>
          </cell>
          <cell r="K847">
            <v>145</v>
          </cell>
          <cell r="L847">
            <v>3.1094E-2</v>
          </cell>
          <cell r="M847">
            <v>109.18310529999999</v>
          </cell>
          <cell r="N847">
            <v>0</v>
          </cell>
          <cell r="O847" t="str">
            <v>Tahap III 166</v>
          </cell>
        </row>
        <row r="848">
          <cell r="F848" t="str">
            <v>Tanjung Saleh</v>
          </cell>
          <cell r="G848" t="str">
            <v>Penyangga</v>
          </cell>
          <cell r="H848">
            <v>4320000000</v>
          </cell>
          <cell r="J848">
            <v>1.81</v>
          </cell>
          <cell r="K848">
            <v>76</v>
          </cell>
          <cell r="L848">
            <v>-7.6754000000000003E-2</v>
          </cell>
          <cell r="M848">
            <v>109.164581</v>
          </cell>
          <cell r="N848">
            <v>0</v>
          </cell>
          <cell r="O848" t="str">
            <v>Tahap III 166</v>
          </cell>
        </row>
        <row r="849">
          <cell r="F849" t="str">
            <v>Kuala Sungai Pasir</v>
          </cell>
          <cell r="G849" t="str">
            <v>Penyangga</v>
          </cell>
          <cell r="H849">
            <v>4123000000</v>
          </cell>
          <cell r="J849">
            <v>1</v>
          </cell>
          <cell r="K849">
            <v>1.835</v>
          </cell>
          <cell r="L849">
            <v>-3.5942500000000002</v>
          </cell>
          <cell r="M849">
            <v>105.823583</v>
          </cell>
          <cell r="N849">
            <v>0</v>
          </cell>
          <cell r="O849" t="str">
            <v>Tahap II 146</v>
          </cell>
        </row>
        <row r="850">
          <cell r="F850" t="str">
            <v>Sungai Lumpur</v>
          </cell>
          <cell r="G850" t="str">
            <v>Hub</v>
          </cell>
          <cell r="H850">
            <v>7123100000</v>
          </cell>
          <cell r="J850">
            <v>1</v>
          </cell>
          <cell r="K850">
            <v>1.956</v>
          </cell>
          <cell r="L850">
            <v>-3.418056</v>
          </cell>
          <cell r="M850">
            <v>105.880556</v>
          </cell>
          <cell r="N850">
            <v>0</v>
          </cell>
          <cell r="O850" t="str">
            <v>Tahap II 146</v>
          </cell>
        </row>
        <row r="851">
          <cell r="F851" t="str">
            <v>Simpang Tiga Jaya</v>
          </cell>
          <cell r="G851" t="str">
            <v>Penyangga</v>
          </cell>
          <cell r="H851">
            <v>6105695000</v>
          </cell>
          <cell r="J851">
            <v>0.09</v>
          </cell>
          <cell r="K851">
            <v>2.746</v>
          </cell>
          <cell r="L851">
            <v>-3.3078590000000001</v>
          </cell>
          <cell r="M851">
            <v>105.978054</v>
          </cell>
          <cell r="N851">
            <v>0</v>
          </cell>
          <cell r="O851" t="str">
            <v>Tahap IV 200</v>
          </cell>
        </row>
        <row r="852">
          <cell r="F852" t="str">
            <v>Simpang Tiga Makmur</v>
          </cell>
          <cell r="G852" t="str">
            <v>Penyangga</v>
          </cell>
          <cell r="H852">
            <v>4123000000</v>
          </cell>
          <cell r="J852">
            <v>0.1</v>
          </cell>
          <cell r="K852">
            <v>50</v>
          </cell>
          <cell r="L852">
            <v>-3.349361</v>
          </cell>
          <cell r="M852">
            <v>105.921555</v>
          </cell>
          <cell r="N852">
            <v>0</v>
          </cell>
          <cell r="O852" t="str">
            <v>Tahap II 146</v>
          </cell>
        </row>
        <row r="853">
          <cell r="F853" t="str">
            <v>Sentebang</v>
          </cell>
          <cell r="G853" t="str">
            <v>Penyangga</v>
          </cell>
          <cell r="H853">
            <v>6201000000</v>
          </cell>
          <cell r="J853">
            <v>1.02</v>
          </cell>
          <cell r="K853">
            <v>106</v>
          </cell>
          <cell r="L853">
            <v>1.32769</v>
          </cell>
          <cell r="M853">
            <v>109.034448</v>
          </cell>
          <cell r="N853">
            <v>0</v>
          </cell>
          <cell r="O853" t="str">
            <v>Tahap IV 200</v>
          </cell>
        </row>
        <row r="854">
          <cell r="F854" t="str">
            <v>Mayang</v>
          </cell>
          <cell r="G854" t="str">
            <v>Penyangga</v>
          </cell>
          <cell r="H854">
            <v>6105695000</v>
          </cell>
          <cell r="J854">
            <v>1.42</v>
          </cell>
          <cell r="K854">
            <v>274</v>
          </cell>
          <cell r="L854">
            <v>-2.671951</v>
          </cell>
          <cell r="M854">
            <v>108.14726</v>
          </cell>
          <cell r="N854">
            <v>0</v>
          </cell>
          <cell r="O854" t="str">
            <v>Tahap IV 200</v>
          </cell>
        </row>
        <row r="855">
          <cell r="F855" t="str">
            <v>Baru</v>
          </cell>
          <cell r="G855" t="str">
            <v>Penyangga</v>
          </cell>
          <cell r="H855">
            <v>6105695000</v>
          </cell>
          <cell r="J855">
            <v>1</v>
          </cell>
          <cell r="K855">
            <v>731</v>
          </cell>
          <cell r="L855">
            <v>-2.858851</v>
          </cell>
          <cell r="M855">
            <v>108.296871</v>
          </cell>
          <cell r="N855">
            <v>0</v>
          </cell>
          <cell r="O855" t="str">
            <v>Tahap IV 200</v>
          </cell>
        </row>
        <row r="856">
          <cell r="F856" t="str">
            <v>Sidang Muara Jaya</v>
          </cell>
          <cell r="G856" t="str">
            <v>Penyangga</v>
          </cell>
          <cell r="H856">
            <v>4123000000</v>
          </cell>
          <cell r="J856">
            <v>2</v>
          </cell>
          <cell r="K856">
            <v>275</v>
          </cell>
          <cell r="L856">
            <v>-4.1410099999999996</v>
          </cell>
          <cell r="M856">
            <v>105.73303</v>
          </cell>
          <cell r="N856">
            <v>0</v>
          </cell>
          <cell r="O856" t="str">
            <v>Tahap II 146</v>
          </cell>
        </row>
        <row r="857">
          <cell r="F857" t="str">
            <v>Kuala Teladas</v>
          </cell>
          <cell r="G857" t="str">
            <v>Penyangga</v>
          </cell>
          <cell r="H857">
            <v>4123000000</v>
          </cell>
          <cell r="J857">
            <v>0.34</v>
          </cell>
          <cell r="K857">
            <v>702</v>
          </cell>
          <cell r="L857">
            <v>-4.4114899000000003</v>
          </cell>
          <cell r="M857">
            <v>105.84847329999999</v>
          </cell>
          <cell r="N857">
            <v>0</v>
          </cell>
          <cell r="O857" t="str">
            <v>Tahap II 146</v>
          </cell>
        </row>
        <row r="858">
          <cell r="F858" t="str">
            <v>Sungai Sibur</v>
          </cell>
          <cell r="G858" t="str">
            <v>Hub</v>
          </cell>
          <cell r="H858">
            <v>6105695000</v>
          </cell>
          <cell r="J858">
            <v>1</v>
          </cell>
          <cell r="K858">
            <v>1.631</v>
          </cell>
          <cell r="L858">
            <v>-3.9717699999999998</v>
          </cell>
          <cell r="M858">
            <v>105.883608</v>
          </cell>
          <cell r="N858">
            <v>0</v>
          </cell>
          <cell r="O858" t="str">
            <v>Tahap IV 200</v>
          </cell>
        </row>
        <row r="859">
          <cell r="F859" t="str">
            <v>Sungai Undang</v>
          </cell>
          <cell r="G859" t="str">
            <v>Penyangga (+cs)</v>
          </cell>
          <cell r="H859">
            <v>4567200000</v>
          </cell>
          <cell r="J859">
            <v>0.08</v>
          </cell>
          <cell r="K859">
            <v>409</v>
          </cell>
          <cell r="L859">
            <v>-3.4058470000000001</v>
          </cell>
          <cell r="M859">
            <v>112.558527</v>
          </cell>
          <cell r="N859">
            <v>0</v>
          </cell>
          <cell r="O859" t="str">
            <v>Tahap III 166</v>
          </cell>
        </row>
        <row r="860">
          <cell r="F860" t="str">
            <v>Sungai Bakau</v>
          </cell>
          <cell r="G860" t="str">
            <v>Penyangga</v>
          </cell>
          <cell r="H860">
            <v>4320000000</v>
          </cell>
          <cell r="J860">
            <v>0.5</v>
          </cell>
          <cell r="K860">
            <v>116</v>
          </cell>
          <cell r="L860">
            <v>-3.361278</v>
          </cell>
          <cell r="M860">
            <v>112.68461499999999</v>
          </cell>
          <cell r="N860">
            <v>0</v>
          </cell>
          <cell r="O860" t="str">
            <v>Tahap III 166</v>
          </cell>
        </row>
        <row r="861">
          <cell r="F861" t="str">
            <v>Upang Makmur</v>
          </cell>
          <cell r="G861" t="str">
            <v>Penyangga</v>
          </cell>
          <cell r="H861">
            <v>4123000000</v>
          </cell>
          <cell r="J861">
            <v>7.0000000000000007E-2</v>
          </cell>
          <cell r="K861">
            <v>314</v>
          </cell>
          <cell r="L861">
            <v>-2.5246400000000002</v>
          </cell>
          <cell r="M861">
            <v>104.99252</v>
          </cell>
          <cell r="N861">
            <v>0</v>
          </cell>
          <cell r="O861" t="str">
            <v>Tahap II 146</v>
          </cell>
        </row>
        <row r="862">
          <cell r="F862" t="str">
            <v>Juru Taro</v>
          </cell>
          <cell r="G862" t="str">
            <v>Penyangga</v>
          </cell>
          <cell r="H862">
            <v>4123000000</v>
          </cell>
          <cell r="J862">
            <v>0.67</v>
          </cell>
          <cell r="K862">
            <v>129</v>
          </cell>
          <cell r="L862">
            <v>-2.3950100000000001</v>
          </cell>
          <cell r="M862">
            <v>105.11687000000001</v>
          </cell>
          <cell r="N862">
            <v>0</v>
          </cell>
          <cell r="O862" t="str">
            <v>Tahap II 146</v>
          </cell>
        </row>
        <row r="863">
          <cell r="F863" t="str">
            <v>Karang Anyar</v>
          </cell>
          <cell r="G863" t="str">
            <v>Penyangga</v>
          </cell>
          <cell r="H863">
            <v>4123000000</v>
          </cell>
          <cell r="J863">
            <v>0.15</v>
          </cell>
          <cell r="K863">
            <v>186</v>
          </cell>
          <cell r="L863">
            <v>-2.5573000000000001</v>
          </cell>
          <cell r="M863">
            <v>104.7837</v>
          </cell>
          <cell r="N863">
            <v>0</v>
          </cell>
          <cell r="O863" t="str">
            <v>Tahap II 146</v>
          </cell>
        </row>
        <row r="864">
          <cell r="F864" t="str">
            <v>Ringin Agung</v>
          </cell>
          <cell r="G864" t="str">
            <v>Penyangga</v>
          </cell>
          <cell r="H864">
            <v>4123000000</v>
          </cell>
          <cell r="J864">
            <v>1.5</v>
          </cell>
          <cell r="K864">
            <v>95</v>
          </cell>
          <cell r="L864">
            <v>-2.23115</v>
          </cell>
          <cell r="M864">
            <v>104.47507</v>
          </cell>
          <cell r="N864">
            <v>0</v>
          </cell>
          <cell r="O864" t="str">
            <v>Tahap II 146</v>
          </cell>
        </row>
        <row r="865">
          <cell r="F865" t="str">
            <v>Sungai Batang</v>
          </cell>
          <cell r="G865" t="str">
            <v>Penyangga</v>
          </cell>
          <cell r="H865">
            <v>4123000000</v>
          </cell>
          <cell r="J865">
            <v>1</v>
          </cell>
          <cell r="K865">
            <v>100</v>
          </cell>
          <cell r="L865">
            <v>-2.6497299999999999</v>
          </cell>
          <cell r="M865">
            <v>105.63200000000001</v>
          </cell>
          <cell r="N865">
            <v>0</v>
          </cell>
          <cell r="O865" t="str">
            <v>Tahap II 146</v>
          </cell>
        </row>
        <row r="866">
          <cell r="F866" t="str">
            <v>Benan</v>
          </cell>
          <cell r="G866" t="str">
            <v>Penyangga (+cs)</v>
          </cell>
          <cell r="H866">
            <v>4567200000</v>
          </cell>
          <cell r="J866">
            <v>0.12</v>
          </cell>
          <cell r="K866">
            <v>216</v>
          </cell>
          <cell r="L866">
            <v>0.46406999999999998</v>
          </cell>
          <cell r="M866">
            <v>104.45318899999999</v>
          </cell>
          <cell r="N866">
            <v>0</v>
          </cell>
          <cell r="O866" t="str">
            <v>Tahap III 166</v>
          </cell>
        </row>
        <row r="867">
          <cell r="F867" t="str">
            <v>Mensanak</v>
          </cell>
          <cell r="G867" t="str">
            <v>Penyangga (+cs)</v>
          </cell>
          <cell r="H867">
            <v>4567200000</v>
          </cell>
          <cell r="J867">
            <v>0.16</v>
          </cell>
          <cell r="K867">
            <v>283</v>
          </cell>
          <cell r="L867">
            <v>0.37203599999999998</v>
          </cell>
          <cell r="M867">
            <v>104.52718299999999</v>
          </cell>
          <cell r="N867">
            <v>0</v>
          </cell>
          <cell r="O867" t="str">
            <v>Tahap III 166</v>
          </cell>
        </row>
        <row r="868">
          <cell r="F868" t="str">
            <v>Tajur Biru</v>
          </cell>
          <cell r="G868" t="str">
            <v>Hub</v>
          </cell>
          <cell r="H868">
            <v>6105695000</v>
          </cell>
          <cell r="J868">
            <v>1</v>
          </cell>
          <cell r="K868">
            <v>405</v>
          </cell>
          <cell r="L868">
            <v>0.28610000000000002</v>
          </cell>
          <cell r="M868">
            <v>104.41898</v>
          </cell>
          <cell r="N868">
            <v>0</v>
          </cell>
          <cell r="O868" t="str">
            <v>Tahap IV 200</v>
          </cell>
        </row>
        <row r="869">
          <cell r="F869" t="str">
            <v>Leungah</v>
          </cell>
          <cell r="G869" t="str">
            <v>Penyangga</v>
          </cell>
          <cell r="J869">
            <v>1.79</v>
          </cell>
          <cell r="K869">
            <v>35</v>
          </cell>
          <cell r="L869">
            <v>5.5780409999999998</v>
          </cell>
          <cell r="M869">
            <v>95.713423000000006</v>
          </cell>
          <cell r="O869" t="e">
            <v>#N/A</v>
          </cell>
        </row>
        <row r="870">
          <cell r="F870" t="str">
            <v>Pasi Beurandeh</v>
          </cell>
          <cell r="G870" t="str">
            <v>Penyangga</v>
          </cell>
          <cell r="J870">
            <v>2</v>
          </cell>
          <cell r="K870">
            <v>300</v>
          </cell>
          <cell r="L870">
            <v>5.4327930000000002</v>
          </cell>
          <cell r="M870">
            <v>95.910186999999993</v>
          </cell>
          <cell r="O870" t="e">
            <v>#N/A</v>
          </cell>
        </row>
        <row r="871">
          <cell r="F871" t="str">
            <v>Jeumeurang</v>
          </cell>
          <cell r="G871" t="str">
            <v>Penyangga</v>
          </cell>
          <cell r="J871">
            <v>3.2</v>
          </cell>
          <cell r="K871">
            <v>600</v>
          </cell>
          <cell r="L871">
            <v>5.2954030000000003</v>
          </cell>
          <cell r="M871">
            <v>96.074813000000006</v>
          </cell>
          <cell r="O871" t="e">
            <v>#N/A</v>
          </cell>
        </row>
        <row r="872">
          <cell r="F872" t="str">
            <v>Tanjong Krueng</v>
          </cell>
          <cell r="G872" t="str">
            <v>Hub</v>
          </cell>
          <cell r="J872">
            <v>0.53</v>
          </cell>
          <cell r="K872">
            <v>43</v>
          </cell>
          <cell r="L872">
            <v>5.3253320000000004</v>
          </cell>
          <cell r="M872">
            <v>96.043615000000003</v>
          </cell>
          <cell r="O872" t="e">
            <v>#N/A</v>
          </cell>
        </row>
        <row r="873">
          <cell r="F873" t="str">
            <v>Kuala Pidie</v>
          </cell>
          <cell r="G873" t="str">
            <v>Penyangga</v>
          </cell>
          <cell r="J873">
            <v>3.5</v>
          </cell>
          <cell r="K873">
            <v>55</v>
          </cell>
          <cell r="L873">
            <v>5.3899660000000003</v>
          </cell>
          <cell r="M873">
            <v>95.961718000000005</v>
          </cell>
          <cell r="O873" t="e">
            <v>#N/A</v>
          </cell>
        </row>
        <row r="874">
          <cell r="F874" t="str">
            <v>Keurisi Meunasah Beurembang</v>
          </cell>
          <cell r="G874" t="str">
            <v>Penyangga</v>
          </cell>
          <cell r="J874">
            <v>1.02</v>
          </cell>
          <cell r="K874">
            <v>205</v>
          </cell>
          <cell r="L874">
            <v>5.2291230000000004</v>
          </cell>
          <cell r="M874">
            <v>96.331847999999994</v>
          </cell>
          <cell r="O874" t="e">
            <v>#N/A</v>
          </cell>
        </row>
        <row r="875">
          <cell r="F875" t="str">
            <v>Meunasah Jurong</v>
          </cell>
          <cell r="G875" t="str">
            <v>Penyangga</v>
          </cell>
          <cell r="J875">
            <v>0.32</v>
          </cell>
          <cell r="K875">
            <v>150</v>
          </cell>
          <cell r="L875">
            <v>5.2524439999999997</v>
          </cell>
          <cell r="M875">
            <v>96.253497999999993</v>
          </cell>
          <cell r="O875" t="e">
            <v>#N/A</v>
          </cell>
        </row>
        <row r="876">
          <cell r="F876" t="str">
            <v>Tanjung</v>
          </cell>
          <cell r="G876" t="str">
            <v>Penyangga</v>
          </cell>
          <cell r="H876">
            <v>3214500000</v>
          </cell>
          <cell r="J876">
            <v>1.5</v>
          </cell>
          <cell r="K876">
            <v>293</v>
          </cell>
          <cell r="L876">
            <v>-8.4521429999999995</v>
          </cell>
          <cell r="M876">
            <v>118.71385100000001</v>
          </cell>
          <cell r="N876">
            <v>0</v>
          </cell>
          <cell r="O876" t="str">
            <v>Tahap II 146</v>
          </cell>
        </row>
        <row r="877">
          <cell r="F877" t="str">
            <v>Tanjung Kelit</v>
          </cell>
          <cell r="G877" t="str">
            <v>Hub</v>
          </cell>
          <cell r="H877">
            <v>7123100000</v>
          </cell>
          <cell r="J877">
            <v>1</v>
          </cell>
          <cell r="K877">
            <v>438</v>
          </cell>
          <cell r="L877">
            <v>1.7077999999999999E-2</v>
          </cell>
          <cell r="M877">
            <v>104.49034399999999</v>
          </cell>
          <cell r="N877">
            <v>0</v>
          </cell>
          <cell r="O877" t="str">
            <v>Tahap III 166</v>
          </cell>
        </row>
        <row r="878">
          <cell r="F878" t="str">
            <v>Pancur</v>
          </cell>
          <cell r="G878" t="str">
            <v>Penyangga</v>
          </cell>
          <cell r="H878">
            <v>4123000000</v>
          </cell>
          <cell r="J878">
            <v>1</v>
          </cell>
          <cell r="K878">
            <v>153</v>
          </cell>
          <cell r="L878">
            <v>-7.8498899999999996E-2</v>
          </cell>
          <cell r="M878">
            <v>104.6367195</v>
          </cell>
          <cell r="N878">
            <v>0</v>
          </cell>
          <cell r="O878" t="str">
            <v>Tahap III 166</v>
          </cell>
        </row>
        <row r="879">
          <cell r="F879" t="str">
            <v>Sekanah</v>
          </cell>
          <cell r="G879" t="str">
            <v>Penyangga</v>
          </cell>
          <cell r="H879">
            <v>4123000000</v>
          </cell>
          <cell r="J879">
            <v>0.85</v>
          </cell>
          <cell r="K879">
            <v>519</v>
          </cell>
          <cell r="L879">
            <v>-7.7071000000000001E-2</v>
          </cell>
          <cell r="M879">
            <v>104.850407</v>
          </cell>
          <cell r="N879">
            <v>0</v>
          </cell>
          <cell r="O879" t="str">
            <v>Tahap III 166</v>
          </cell>
        </row>
        <row r="880">
          <cell r="F880" t="str">
            <v>Penaah</v>
          </cell>
          <cell r="G880" t="str">
            <v>Penyangga</v>
          </cell>
          <cell r="H880">
            <v>4123000000</v>
          </cell>
          <cell r="J880">
            <v>0.25</v>
          </cell>
          <cell r="K880">
            <v>273</v>
          </cell>
          <cell r="L880">
            <v>-4.1364999999999999E-2</v>
          </cell>
          <cell r="M880">
            <v>104.63985099999999</v>
          </cell>
          <cell r="N880">
            <v>0</v>
          </cell>
          <cell r="O880" t="str">
            <v>Tahap III 166</v>
          </cell>
        </row>
        <row r="881">
          <cell r="F881" t="str">
            <v>Pulau Kerayaan</v>
          </cell>
          <cell r="G881" t="str">
            <v>Penyangga</v>
          </cell>
          <cell r="H881">
            <v>4320000000</v>
          </cell>
          <cell r="J881">
            <v>0.1</v>
          </cell>
          <cell r="K881">
            <v>1.6</v>
          </cell>
          <cell r="L881">
            <v>-4.0886529999999999</v>
          </cell>
          <cell r="M881">
            <v>116.20081</v>
          </cell>
          <cell r="N881">
            <v>0</v>
          </cell>
          <cell r="O881" t="str">
            <v>Tahap III 166</v>
          </cell>
        </row>
        <row r="882">
          <cell r="F882" t="str">
            <v>Tanjung Lalak Selatan</v>
          </cell>
          <cell r="G882" t="str">
            <v>Hub</v>
          </cell>
          <cell r="H882">
            <v>6932400000</v>
          </cell>
          <cell r="J882">
            <v>1.57</v>
          </cell>
          <cell r="K882">
            <v>213</v>
          </cell>
          <cell r="L882">
            <v>-3.9896921999999999</v>
          </cell>
          <cell r="M882">
            <v>116.1878289</v>
          </cell>
          <cell r="N882">
            <v>0</v>
          </cell>
          <cell r="O882" t="str">
            <v>Tahap III 166</v>
          </cell>
        </row>
        <row r="883">
          <cell r="F883" t="str">
            <v>Tanjung Seloka</v>
          </cell>
          <cell r="G883" t="str">
            <v>Penyangga</v>
          </cell>
          <cell r="H883">
            <v>4320000000</v>
          </cell>
          <cell r="J883">
            <v>0.05</v>
          </cell>
          <cell r="K883">
            <v>239</v>
          </cell>
          <cell r="L883">
            <v>-3.9037826</v>
          </cell>
          <cell r="M883">
            <v>116.3095641</v>
          </cell>
          <cell r="N883">
            <v>0</v>
          </cell>
          <cell r="O883" t="str">
            <v>Tahap III 166</v>
          </cell>
        </row>
        <row r="884">
          <cell r="F884" t="str">
            <v>Sabuai</v>
          </cell>
          <cell r="G884" t="str">
            <v>Penyangga</v>
          </cell>
          <cell r="H884">
            <v>6201000000</v>
          </cell>
          <cell r="J884">
            <v>0.25750000000000001</v>
          </cell>
          <cell r="K884">
            <v>100</v>
          </cell>
          <cell r="L884">
            <v>-2.945217</v>
          </cell>
          <cell r="M884">
            <v>111.49109799999999</v>
          </cell>
          <cell r="N884">
            <v>0</v>
          </cell>
          <cell r="O884" t="str">
            <v>Tahap IV 200</v>
          </cell>
        </row>
        <row r="885">
          <cell r="F885" t="str">
            <v>Sungai Bakau</v>
          </cell>
          <cell r="G885" t="str">
            <v>Penyangga</v>
          </cell>
          <cell r="H885">
            <v>4320000000</v>
          </cell>
          <cell r="J885">
            <v>0.16800000000000001</v>
          </cell>
          <cell r="K885">
            <v>486</v>
          </cell>
          <cell r="L885">
            <v>-2.9925190000000002</v>
          </cell>
          <cell r="M885">
            <v>111.582904</v>
          </cell>
          <cell r="N885">
            <v>0</v>
          </cell>
          <cell r="O885" t="str">
            <v>Tahap III 166</v>
          </cell>
        </row>
        <row r="886">
          <cell r="F886" t="str">
            <v>Sungai Cabang Barat</v>
          </cell>
          <cell r="G886" t="str">
            <v>Penyangga</v>
          </cell>
          <cell r="H886">
            <v>4320000000</v>
          </cell>
          <cell r="J886">
            <v>0.6</v>
          </cell>
          <cell r="K886">
            <v>225</v>
          </cell>
          <cell r="L886">
            <v>-2.9953832999999999</v>
          </cell>
          <cell r="M886">
            <v>111.1806</v>
          </cell>
          <cell r="N886">
            <v>0</v>
          </cell>
          <cell r="O886" t="str">
            <v>Tahap III 166</v>
          </cell>
        </row>
        <row r="887">
          <cell r="F887" t="str">
            <v>Sungai Damar</v>
          </cell>
          <cell r="G887" t="str">
            <v>Hub</v>
          </cell>
          <cell r="H887">
            <v>6932400000</v>
          </cell>
          <cell r="J887">
            <v>1.4</v>
          </cell>
          <cell r="K887">
            <v>177</v>
          </cell>
          <cell r="L887">
            <v>-3.0587559999999998</v>
          </cell>
          <cell r="M887">
            <v>111.01455799999999</v>
          </cell>
          <cell r="N887">
            <v>0</v>
          </cell>
          <cell r="O887" t="str">
            <v>Tahap III 166</v>
          </cell>
        </row>
        <row r="888">
          <cell r="F888" t="str">
            <v>Pulau Seliu</v>
          </cell>
          <cell r="G888" t="str">
            <v>Penyangga</v>
          </cell>
          <cell r="H888">
            <v>6105695000</v>
          </cell>
          <cell r="J888">
            <v>0.25</v>
          </cell>
          <cell r="K888">
            <v>291</v>
          </cell>
          <cell r="L888">
            <v>-3.2010242</v>
          </cell>
          <cell r="M888">
            <v>107.5450343</v>
          </cell>
          <cell r="N888">
            <v>0</v>
          </cell>
          <cell r="O888" t="str">
            <v>Tahap IV 200</v>
          </cell>
        </row>
        <row r="889">
          <cell r="F889" t="str">
            <v>Tanjungrusa</v>
          </cell>
          <cell r="G889" t="str">
            <v>Hub</v>
          </cell>
          <cell r="H889">
            <v>6105695000</v>
          </cell>
          <cell r="J889">
            <v>1.23</v>
          </cell>
          <cell r="K889">
            <v>567</v>
          </cell>
          <cell r="L889">
            <v>-3.1592256999999999</v>
          </cell>
          <cell r="M889">
            <v>107.834864</v>
          </cell>
          <cell r="N889">
            <v>0</v>
          </cell>
          <cell r="O889" t="str">
            <v>Tahap IV 200</v>
          </cell>
        </row>
        <row r="890">
          <cell r="F890" t="str">
            <v>Pantai</v>
          </cell>
          <cell r="G890" t="str">
            <v>Penyangga (+cs)</v>
          </cell>
          <cell r="H890">
            <v>4567200000</v>
          </cell>
          <cell r="J890">
            <v>8.5000000000000006E-2</v>
          </cell>
          <cell r="K890">
            <v>339</v>
          </cell>
          <cell r="L890">
            <v>-3.1383994</v>
          </cell>
          <cell r="M890">
            <v>116.13302969999999</v>
          </cell>
          <cell r="N890">
            <v>0</v>
          </cell>
          <cell r="O890" t="str">
            <v>Tahap III 166</v>
          </cell>
        </row>
        <row r="891">
          <cell r="F891" t="str">
            <v>Tanjung Samalantakan</v>
          </cell>
          <cell r="G891" t="str">
            <v>Hub</v>
          </cell>
          <cell r="H891">
            <v>6932400000</v>
          </cell>
          <cell r="J891">
            <v>1</v>
          </cell>
          <cell r="K891">
            <v>273</v>
          </cell>
          <cell r="L891">
            <v>-2.5838540000000001</v>
          </cell>
          <cell r="M891">
            <v>116.412233</v>
          </cell>
          <cell r="N891">
            <v>0</v>
          </cell>
          <cell r="O891" t="str">
            <v>Tahap III 166</v>
          </cell>
        </row>
        <row r="892">
          <cell r="F892" t="str">
            <v>Tala Gening</v>
          </cell>
          <cell r="G892" t="str">
            <v>Penyangga</v>
          </cell>
          <cell r="H892">
            <v>6105695000</v>
          </cell>
          <cell r="J892">
            <v>1.9</v>
          </cell>
          <cell r="K892">
            <v>89</v>
          </cell>
          <cell r="L892">
            <v>-5.4978389999999999</v>
          </cell>
          <cell r="M892">
            <v>104.59719699999999</v>
          </cell>
          <cell r="N892">
            <v>0</v>
          </cell>
          <cell r="O892" t="str">
            <v>Tahap II 146</v>
          </cell>
        </row>
        <row r="893">
          <cell r="F893" t="str">
            <v>Tanjung Agung</v>
          </cell>
          <cell r="G893" t="str">
            <v>Penyangga</v>
          </cell>
          <cell r="H893">
            <v>4123000000</v>
          </cell>
          <cell r="J893">
            <v>0.7</v>
          </cell>
          <cell r="K893">
            <v>480</v>
          </cell>
          <cell r="L893">
            <v>-5.5133049999999999</v>
          </cell>
          <cell r="M893">
            <v>104.559922</v>
          </cell>
          <cell r="N893">
            <v>0</v>
          </cell>
          <cell r="O893" t="str">
            <v>Tahap II 146</v>
          </cell>
        </row>
        <row r="894">
          <cell r="F894" t="str">
            <v>Betung</v>
          </cell>
          <cell r="G894" t="str">
            <v>Penyangga</v>
          </cell>
          <cell r="H894">
            <v>4123000000</v>
          </cell>
          <cell r="J894">
            <v>1.4</v>
          </cell>
          <cell r="K894">
            <v>210</v>
          </cell>
          <cell r="L894">
            <v>-5.5592370000000004</v>
          </cell>
          <cell r="M894">
            <v>104.545284</v>
          </cell>
          <cell r="N894">
            <v>0</v>
          </cell>
          <cell r="O894" t="str">
            <v>Tahap II 146</v>
          </cell>
        </row>
        <row r="895">
          <cell r="F895" t="str">
            <v>Karang Brak</v>
          </cell>
          <cell r="G895" t="str">
            <v>Penyangga</v>
          </cell>
          <cell r="H895">
            <v>6105695000</v>
          </cell>
          <cell r="J895">
            <v>1</v>
          </cell>
          <cell r="K895">
            <v>130</v>
          </cell>
          <cell r="L895">
            <v>-5.7306030000000003</v>
          </cell>
          <cell r="M895">
            <v>104.645</v>
          </cell>
          <cell r="N895">
            <v>0</v>
          </cell>
          <cell r="O895" t="str">
            <v>Tahap IV 200</v>
          </cell>
        </row>
        <row r="896">
          <cell r="F896" t="str">
            <v>Tanjungan</v>
          </cell>
          <cell r="G896" t="str">
            <v>Penyangga</v>
          </cell>
          <cell r="H896">
            <v>4123000000</v>
          </cell>
          <cell r="J896">
            <v>0.96</v>
          </cell>
          <cell r="K896">
            <v>451</v>
          </cell>
          <cell r="L896">
            <v>-5.5472409999999996</v>
          </cell>
          <cell r="M896">
            <v>104.528656</v>
          </cell>
          <cell r="N896">
            <v>0</v>
          </cell>
          <cell r="O896" t="str">
            <v>Tahap II 146</v>
          </cell>
        </row>
        <row r="897">
          <cell r="F897" t="str">
            <v>Way Nipah</v>
          </cell>
          <cell r="G897" t="str">
            <v>Penyangga</v>
          </cell>
          <cell r="H897">
            <v>4123000000</v>
          </cell>
          <cell r="J897">
            <v>0.51</v>
          </cell>
          <cell r="K897">
            <v>250</v>
          </cell>
          <cell r="L897">
            <v>-5.5967989999999999</v>
          </cell>
          <cell r="M897">
            <v>104.561002</v>
          </cell>
          <cell r="N897">
            <v>0</v>
          </cell>
          <cell r="O897" t="str">
            <v>Tahap II 146</v>
          </cell>
        </row>
        <row r="898">
          <cell r="F898" t="str">
            <v>Karang Anyar</v>
          </cell>
          <cell r="G898" t="str">
            <v>Penyangga</v>
          </cell>
          <cell r="H898">
            <v>4123000000</v>
          </cell>
          <cell r="J898">
            <v>1</v>
          </cell>
          <cell r="K898">
            <v>60</v>
          </cell>
          <cell r="L898">
            <v>-5.5299265000000002</v>
          </cell>
          <cell r="M898">
            <v>104.5462402</v>
          </cell>
          <cell r="N898">
            <v>0</v>
          </cell>
          <cell r="O898" t="str">
            <v>Tahap II 146</v>
          </cell>
        </row>
        <row r="899">
          <cell r="F899" t="str">
            <v>Semembang</v>
          </cell>
          <cell r="G899" t="str">
            <v>Penyangga</v>
          </cell>
          <cell r="H899">
            <v>6105695000</v>
          </cell>
          <cell r="J899">
            <v>1.17</v>
          </cell>
          <cell r="K899">
            <v>108</v>
          </cell>
          <cell r="L899">
            <v>0.50351999999999997</v>
          </cell>
          <cell r="M899">
            <v>103.631156</v>
          </cell>
          <cell r="N899">
            <v>0</v>
          </cell>
          <cell r="O899" t="str">
            <v>Tahap IV 200</v>
          </cell>
        </row>
        <row r="900">
          <cell r="F900" t="str">
            <v>Telaga Tujuh</v>
          </cell>
          <cell r="G900" t="str">
            <v>Penyangga (+cs)</v>
          </cell>
          <cell r="H900">
            <v>6105695000</v>
          </cell>
          <cell r="J900">
            <v>1.63</v>
          </cell>
          <cell r="K900">
            <v>301</v>
          </cell>
          <cell r="L900">
            <v>0.50307900000000005</v>
          </cell>
          <cell r="M900">
            <v>103.621593</v>
          </cell>
          <cell r="N900">
            <v>0</v>
          </cell>
          <cell r="O900" t="str">
            <v>Tahap IV 200</v>
          </cell>
        </row>
        <row r="901">
          <cell r="F901" t="str">
            <v>Teluk Kabung Selatan</v>
          </cell>
          <cell r="G901" t="str">
            <v>Hub</v>
          </cell>
          <cell r="H901">
            <v>7123100000</v>
          </cell>
          <cell r="J901">
            <v>1.2</v>
          </cell>
          <cell r="K901">
            <v>80</v>
          </cell>
          <cell r="L901">
            <v>-1.117264</v>
          </cell>
          <cell r="M901">
            <v>100.387176</v>
          </cell>
          <cell r="N901">
            <v>0</v>
          </cell>
          <cell r="O901" t="str">
            <v>Tahap III 166</v>
          </cell>
        </row>
        <row r="902">
          <cell r="F902" t="str">
            <v>Sungai Pinang</v>
          </cell>
          <cell r="G902" t="str">
            <v>Penyangga</v>
          </cell>
          <cell r="H902">
            <v>4123000000</v>
          </cell>
          <cell r="J902">
            <v>0.43</v>
          </cell>
          <cell r="K902">
            <v>328</v>
          </cell>
          <cell r="L902">
            <v>-1.145759</v>
          </cell>
          <cell r="M902">
            <v>100.380916</v>
          </cell>
          <cell r="N902">
            <v>0</v>
          </cell>
          <cell r="O902" t="str">
            <v>Tahap III 166</v>
          </cell>
        </row>
        <row r="903">
          <cell r="F903" t="str">
            <v>Bintet</v>
          </cell>
          <cell r="G903" t="str">
            <v>Penyangga</v>
          </cell>
          <cell r="H903">
            <v>6105695000</v>
          </cell>
          <cell r="J903">
            <v>0.1</v>
          </cell>
          <cell r="K903">
            <v>300</v>
          </cell>
          <cell r="L903">
            <v>-1.5228690300000001</v>
          </cell>
          <cell r="M903">
            <v>105.8505514</v>
          </cell>
          <cell r="N903">
            <v>0</v>
          </cell>
          <cell r="O903" t="str">
            <v>Tahap IV 200</v>
          </cell>
        </row>
        <row r="904">
          <cell r="F904" t="str">
            <v>Semulut</v>
          </cell>
          <cell r="G904" t="str">
            <v>Penyangga</v>
          </cell>
          <cell r="H904">
            <v>6105695000</v>
          </cell>
          <cell r="J904">
            <v>0.75</v>
          </cell>
          <cell r="K904">
            <v>30</v>
          </cell>
          <cell r="L904">
            <v>-1.653818</v>
          </cell>
          <cell r="M904">
            <v>105.66214600000001</v>
          </cell>
          <cell r="N904">
            <v>0</v>
          </cell>
          <cell r="O904" t="str">
            <v>Tahap IV 200</v>
          </cell>
        </row>
        <row r="905">
          <cell r="F905" t="str">
            <v>Teluk Limau</v>
          </cell>
          <cell r="G905" t="str">
            <v>Hub</v>
          </cell>
          <cell r="H905">
            <v>6105695000</v>
          </cell>
          <cell r="J905">
            <v>0.2</v>
          </cell>
          <cell r="K905">
            <v>337</v>
          </cell>
          <cell r="L905">
            <v>-1.5553129999999999</v>
          </cell>
          <cell r="M905">
            <v>105.60252199999999</v>
          </cell>
          <cell r="N905">
            <v>0</v>
          </cell>
          <cell r="O905" t="str">
            <v>Tahap IV 200</v>
          </cell>
        </row>
        <row r="906">
          <cell r="F906" t="str">
            <v>Rambat</v>
          </cell>
          <cell r="G906" t="str">
            <v>Penyangga</v>
          </cell>
          <cell r="H906">
            <v>6105695000</v>
          </cell>
          <cell r="J906">
            <v>0.6</v>
          </cell>
          <cell r="K906">
            <v>79</v>
          </cell>
          <cell r="L906">
            <v>-1.899607</v>
          </cell>
          <cell r="M906">
            <v>105.252628</v>
          </cell>
          <cell r="N906">
            <v>0</v>
          </cell>
          <cell r="O906" t="str">
            <v>Tahap IV 200</v>
          </cell>
        </row>
        <row r="907">
          <cell r="F907" t="str">
            <v>Tanjung Niur</v>
          </cell>
          <cell r="G907" t="str">
            <v>Penyangga</v>
          </cell>
          <cell r="H907">
            <v>6105695000</v>
          </cell>
          <cell r="J907">
            <v>0.1</v>
          </cell>
          <cell r="K907">
            <v>118</v>
          </cell>
          <cell r="L907">
            <v>-2.0811410000000001</v>
          </cell>
          <cell r="M907">
            <v>105.562573</v>
          </cell>
          <cell r="N907">
            <v>0</v>
          </cell>
          <cell r="O907" t="str">
            <v>Tahap IV 200</v>
          </cell>
        </row>
        <row r="908">
          <cell r="F908" t="str">
            <v>Darul Ikhsan</v>
          </cell>
          <cell r="G908" t="str">
            <v>Penyangga</v>
          </cell>
          <cell r="J908">
            <v>0.47</v>
          </cell>
          <cell r="K908">
            <v>682</v>
          </cell>
          <cell r="L908">
            <v>2.920204</v>
          </cell>
          <cell r="M908">
            <v>97.486266999999998</v>
          </cell>
          <cell r="O908" t="e">
            <v>#N/A</v>
          </cell>
        </row>
        <row r="909">
          <cell r="F909" t="str">
            <v>Ujong Pulo Rayeuk</v>
          </cell>
          <cell r="G909" t="str">
            <v>Penyangga</v>
          </cell>
          <cell r="J909">
            <v>1.22</v>
          </cell>
          <cell r="K909">
            <v>623</v>
          </cell>
          <cell r="L909">
            <v>2.8914</v>
          </cell>
          <cell r="M909">
            <v>97.525239999999997</v>
          </cell>
          <cell r="O909" t="e">
            <v>#N/A</v>
          </cell>
        </row>
        <row r="910">
          <cell r="F910" t="str">
            <v>Teluk Nibung</v>
          </cell>
          <cell r="G910" t="str">
            <v>Hub</v>
          </cell>
          <cell r="J910">
            <v>1.22</v>
          </cell>
          <cell r="K910">
            <v>157</v>
          </cell>
          <cell r="L910">
            <v>2.3366340000000001</v>
          </cell>
          <cell r="M910">
            <v>97.387923999999998</v>
          </cell>
          <cell r="O910" t="e">
            <v>#N/A</v>
          </cell>
        </row>
        <row r="911">
          <cell r="F911" t="str">
            <v>Bagan Punak Pesisir</v>
          </cell>
          <cell r="G911" t="str">
            <v>Penyangga</v>
          </cell>
          <cell r="H911">
            <v>6105695000</v>
          </cell>
          <cell r="J911">
            <v>1.2</v>
          </cell>
          <cell r="K911">
            <v>684</v>
          </cell>
          <cell r="L911">
            <v>2.1047760000000002</v>
          </cell>
          <cell r="M911">
            <v>100.81124699999999</v>
          </cell>
          <cell r="N911">
            <v>0</v>
          </cell>
          <cell r="O911" t="str">
            <v>Tahap IV 200</v>
          </cell>
        </row>
        <row r="912">
          <cell r="F912" t="str">
            <v>Panipahan</v>
          </cell>
          <cell r="G912" t="str">
            <v>Penyangga</v>
          </cell>
          <cell r="H912">
            <v>6105695000</v>
          </cell>
          <cell r="J912">
            <v>1</v>
          </cell>
          <cell r="K912">
            <v>1225</v>
          </cell>
          <cell r="L912">
            <v>2.4605839999999999</v>
          </cell>
          <cell r="M912">
            <v>100.34052</v>
          </cell>
          <cell r="N912">
            <v>0</v>
          </cell>
          <cell r="O912" t="str">
            <v>Tahap IV 200</v>
          </cell>
        </row>
        <row r="913">
          <cell r="F913" t="str">
            <v>Panipahan Darat</v>
          </cell>
          <cell r="G913" t="str">
            <v>Penyangga</v>
          </cell>
          <cell r="H913">
            <v>6105695000</v>
          </cell>
          <cell r="J913">
            <v>0.1</v>
          </cell>
          <cell r="K913">
            <v>1.105</v>
          </cell>
          <cell r="L913">
            <v>2.4705370000000002</v>
          </cell>
          <cell r="M913">
            <v>100.334254</v>
          </cell>
          <cell r="N913">
            <v>0</v>
          </cell>
          <cell r="O913" t="str">
            <v>Tahap IV 200</v>
          </cell>
        </row>
        <row r="914">
          <cell r="F914" t="str">
            <v>Telukpulai</v>
          </cell>
          <cell r="G914" t="str">
            <v>Hub</v>
          </cell>
          <cell r="H914">
            <v>6105695000</v>
          </cell>
          <cell r="J914">
            <v>1</v>
          </cell>
          <cell r="K914">
            <v>1.0249999999999999</v>
          </cell>
          <cell r="L914">
            <v>2.4808780000000001</v>
          </cell>
          <cell r="M914">
            <v>100.334881</v>
          </cell>
          <cell r="N914">
            <v>0</v>
          </cell>
          <cell r="O914" t="str">
            <v>Tahap IV 200</v>
          </cell>
        </row>
        <row r="915">
          <cell r="F915" t="str">
            <v>Sinaboi</v>
          </cell>
          <cell r="G915" t="str">
            <v>Penyangga</v>
          </cell>
          <cell r="H915">
            <v>6105695000</v>
          </cell>
          <cell r="J915">
            <v>0.5</v>
          </cell>
          <cell r="K915">
            <v>508</v>
          </cell>
          <cell r="L915">
            <v>2.2814139999999998</v>
          </cell>
          <cell r="M915">
            <v>101.01835</v>
          </cell>
          <cell r="N915">
            <v>0</v>
          </cell>
          <cell r="O915" t="str">
            <v>Tahap IV 200</v>
          </cell>
        </row>
        <row r="916">
          <cell r="F916" t="str">
            <v>Tetandara</v>
          </cell>
          <cell r="G916" t="str">
            <v>Penyangga (+cs)</v>
          </cell>
          <cell r="H916">
            <v>4678000000</v>
          </cell>
          <cell r="J916">
            <v>0.52</v>
          </cell>
          <cell r="K916">
            <v>241</v>
          </cell>
          <cell r="L916">
            <v>-8.8734730000000006</v>
          </cell>
          <cell r="M916">
            <v>121.664333</v>
          </cell>
          <cell r="N916">
            <v>0</v>
          </cell>
          <cell r="O916" t="str">
            <v>Tahap III 166</v>
          </cell>
        </row>
        <row r="917">
          <cell r="F917" t="str">
            <v>Rorurangga</v>
          </cell>
          <cell r="G917" t="str">
            <v>Penyangga</v>
          </cell>
          <cell r="H917">
            <v>3214500000</v>
          </cell>
          <cell r="J917">
            <v>0.56999999999999995</v>
          </cell>
          <cell r="K917">
            <v>267</v>
          </cell>
          <cell r="L917">
            <v>-8.8546940000000003</v>
          </cell>
          <cell r="M917">
            <v>121.52116700000001</v>
          </cell>
          <cell r="N917">
            <v>0</v>
          </cell>
          <cell r="O917" t="str">
            <v>Tahap III 166</v>
          </cell>
        </row>
        <row r="918">
          <cell r="F918" t="str">
            <v>Tiku Selatan</v>
          </cell>
          <cell r="G918" t="str">
            <v>Hub</v>
          </cell>
          <cell r="H918">
            <v>7123100000</v>
          </cell>
          <cell r="J918">
            <v>1.5</v>
          </cell>
          <cell r="K918">
            <v>1.0680000000000001</v>
          </cell>
          <cell r="L918">
            <v>-0.39965099999999998</v>
          </cell>
          <cell r="M918">
            <v>99.914798000000005</v>
          </cell>
          <cell r="N918">
            <v>0</v>
          </cell>
          <cell r="O918" t="str">
            <v>Tahap III 166</v>
          </cell>
        </row>
        <row r="919">
          <cell r="F919" t="str">
            <v>Marunggi</v>
          </cell>
          <cell r="G919" t="str">
            <v>Penyangga</v>
          </cell>
          <cell r="H919">
            <v>4123000000</v>
          </cell>
          <cell r="J919">
            <v>1</v>
          </cell>
          <cell r="K919">
            <v>200</v>
          </cell>
          <cell r="L919">
            <v>-0.661269</v>
          </cell>
          <cell r="M919">
            <v>100.145043</v>
          </cell>
          <cell r="N919">
            <v>0</v>
          </cell>
          <cell r="O919" t="str">
            <v>Tahap III 166</v>
          </cell>
        </row>
        <row r="920">
          <cell r="F920" t="str">
            <v>Ampalu</v>
          </cell>
          <cell r="G920" t="str">
            <v>Penyangga</v>
          </cell>
          <cell r="H920">
            <v>4123000000</v>
          </cell>
          <cell r="J920">
            <v>8.74</v>
          </cell>
          <cell r="K920">
            <v>200</v>
          </cell>
          <cell r="L920">
            <v>-0.60819100000000004</v>
          </cell>
          <cell r="M920">
            <v>100.113165</v>
          </cell>
          <cell r="N920">
            <v>0</v>
          </cell>
          <cell r="O920" t="str">
            <v>Tahap III 166</v>
          </cell>
        </row>
        <row r="921">
          <cell r="F921" t="str">
            <v>Koto Tinggi Kuranji Hilir</v>
          </cell>
          <cell r="G921" t="str">
            <v>Penyangga</v>
          </cell>
          <cell r="H921">
            <v>4123000000</v>
          </cell>
          <cell r="J921">
            <v>1</v>
          </cell>
          <cell r="K921">
            <v>80</v>
          </cell>
          <cell r="L921">
            <v>-0.504992</v>
          </cell>
          <cell r="M921">
            <v>100.040369</v>
          </cell>
          <cell r="N921">
            <v>0</v>
          </cell>
          <cell r="O921" t="str">
            <v>Tahap III 166</v>
          </cell>
        </row>
        <row r="922">
          <cell r="F922" t="str">
            <v>Pilubang</v>
          </cell>
          <cell r="G922" t="str">
            <v>Penyangga</v>
          </cell>
          <cell r="H922">
            <v>6105695000</v>
          </cell>
          <cell r="J922">
            <v>1.3</v>
          </cell>
          <cell r="K922">
            <v>410</v>
          </cell>
          <cell r="L922">
            <v>-0.56256399999999995</v>
          </cell>
          <cell r="M922">
            <v>100.09025800000001</v>
          </cell>
          <cell r="N922">
            <v>0</v>
          </cell>
          <cell r="O922" t="str">
            <v>Tahap IV 200</v>
          </cell>
        </row>
        <row r="923">
          <cell r="F923" t="str">
            <v>Celagen</v>
          </cell>
          <cell r="G923" t="str">
            <v>Penyangga</v>
          </cell>
          <cell r="H923">
            <v>6105695000</v>
          </cell>
          <cell r="J923">
            <v>1.04</v>
          </cell>
          <cell r="K923">
            <v>500</v>
          </cell>
          <cell r="L923">
            <v>-2.8715190000000002</v>
          </cell>
          <cell r="M923">
            <v>107.015891</v>
          </cell>
          <cell r="N923">
            <v>0</v>
          </cell>
          <cell r="O923" t="str">
            <v>Tahap IV 200</v>
          </cell>
        </row>
        <row r="924">
          <cell r="F924" t="str">
            <v>Tanjung Sangkar</v>
          </cell>
          <cell r="G924" t="str">
            <v>Penyangga</v>
          </cell>
          <cell r="H924">
            <v>6105695000</v>
          </cell>
          <cell r="J924">
            <v>1.3</v>
          </cell>
          <cell r="K924">
            <v>800</v>
          </cell>
          <cell r="L924">
            <v>-2.8912939999999998</v>
          </cell>
          <cell r="M924">
            <v>106.79727800000001</v>
          </cell>
          <cell r="N924">
            <v>0</v>
          </cell>
          <cell r="O924" t="str">
            <v>Tahap IV 200</v>
          </cell>
        </row>
        <row r="925">
          <cell r="F925" t="str">
            <v>Kepoh</v>
          </cell>
          <cell r="G925" t="str">
            <v>Penyangga</v>
          </cell>
          <cell r="H925">
            <v>6105695000</v>
          </cell>
          <cell r="J925">
            <v>0.1</v>
          </cell>
          <cell r="K925">
            <v>80</v>
          </cell>
          <cell r="L925">
            <v>-2.9235861000000001</v>
          </cell>
          <cell r="M925">
            <v>106.5496972</v>
          </cell>
          <cell r="N925">
            <v>0</v>
          </cell>
          <cell r="O925" t="str">
            <v>Tahap IV 200</v>
          </cell>
        </row>
        <row r="926">
          <cell r="F926" t="str">
            <v>Serdang</v>
          </cell>
          <cell r="G926" t="str">
            <v>Penyangga</v>
          </cell>
          <cell r="H926">
            <v>6105695000</v>
          </cell>
          <cell r="J926">
            <v>0.3</v>
          </cell>
          <cell r="K926">
            <v>100</v>
          </cell>
          <cell r="L926">
            <v>-2.9670230000000002</v>
          </cell>
          <cell r="M926">
            <v>106.34617110000001</v>
          </cell>
          <cell r="N926">
            <v>0</v>
          </cell>
          <cell r="O926" t="str">
            <v>Tahap IV 200</v>
          </cell>
        </row>
        <row r="927">
          <cell r="F927" t="str">
            <v>Tanjung Ketapang</v>
          </cell>
          <cell r="G927" t="str">
            <v>Penyangga</v>
          </cell>
          <cell r="H927">
            <v>6105695000</v>
          </cell>
          <cell r="J927">
            <v>0.49</v>
          </cell>
          <cell r="K927">
            <v>800</v>
          </cell>
          <cell r="L927">
            <v>-3.0055350000000001</v>
          </cell>
          <cell r="M927">
            <v>106.44365500000001</v>
          </cell>
          <cell r="N927">
            <v>0</v>
          </cell>
          <cell r="O927" t="str">
            <v>Tahap IV 200</v>
          </cell>
        </row>
        <row r="928">
          <cell r="F928" t="str">
            <v>Pasir Putih</v>
          </cell>
          <cell r="G928" t="str">
            <v>Penyangga</v>
          </cell>
          <cell r="H928">
            <v>4123000000</v>
          </cell>
          <cell r="J928">
            <v>0.56530000000000002</v>
          </cell>
          <cell r="K928">
            <v>200</v>
          </cell>
          <cell r="L928">
            <v>-3.0547211000000001</v>
          </cell>
          <cell r="M928">
            <v>106.74032390000001</v>
          </cell>
          <cell r="N928" t="str">
            <v>Proses Kontrak (Pokja)</v>
          </cell>
          <cell r="O928" t="str">
            <v>Tahap I 208</v>
          </cell>
        </row>
        <row r="929">
          <cell r="F929" t="str">
            <v>Sadai</v>
          </cell>
          <cell r="G929" t="str">
            <v>Penyangga</v>
          </cell>
          <cell r="H929">
            <v>6105695000</v>
          </cell>
          <cell r="J929">
            <v>0.96</v>
          </cell>
          <cell r="K929">
            <v>1.292</v>
          </cell>
          <cell r="L929">
            <v>-3.0082469999999999</v>
          </cell>
          <cell r="M929">
            <v>106.742171</v>
          </cell>
          <cell r="N929">
            <v>0</v>
          </cell>
          <cell r="O929" t="str">
            <v>Tahap IV 200</v>
          </cell>
        </row>
        <row r="930">
          <cell r="F930" t="str">
            <v>Tungkal Ii</v>
          </cell>
          <cell r="G930" t="str">
            <v>Hub</v>
          </cell>
          <cell r="H930">
            <v>8764900000</v>
          </cell>
          <cell r="J930">
            <v>1.1000000000000001</v>
          </cell>
          <cell r="K930">
            <v>660</v>
          </cell>
          <cell r="L930">
            <v>0.82203800000000005</v>
          </cell>
          <cell r="M930">
            <v>103.477327</v>
          </cell>
          <cell r="N930">
            <v>0</v>
          </cell>
          <cell r="O930" t="str">
            <v>Tahap IV 200</v>
          </cell>
        </row>
        <row r="931">
          <cell r="F931" t="str">
            <v>Teluk Uma</v>
          </cell>
          <cell r="G931" t="str">
            <v>Penyangga</v>
          </cell>
          <cell r="H931">
            <v>6105695000</v>
          </cell>
          <cell r="J931">
            <v>4.6100000000000003</v>
          </cell>
          <cell r="K931">
            <v>160</v>
          </cell>
          <cell r="L931">
            <v>1.0455369999999999</v>
          </cell>
          <cell r="M931">
            <v>103.41034000000001</v>
          </cell>
          <cell r="N931">
            <v>0</v>
          </cell>
          <cell r="O931" t="str">
            <v>Tahap IV 200</v>
          </cell>
        </row>
        <row r="932">
          <cell r="F932" t="str">
            <v>Batu Limau</v>
          </cell>
          <cell r="G932" t="str">
            <v>Penyangga</v>
          </cell>
          <cell r="H932">
            <v>6105695000</v>
          </cell>
          <cell r="J932">
            <v>4.62</v>
          </cell>
          <cell r="K932">
            <v>350</v>
          </cell>
          <cell r="L932">
            <v>0.62202500000000005</v>
          </cell>
          <cell r="M932">
            <v>103.475009</v>
          </cell>
          <cell r="N932">
            <v>0</v>
          </cell>
          <cell r="O932" t="str">
            <v>Tahap IV 200</v>
          </cell>
        </row>
        <row r="933">
          <cell r="F933" t="str">
            <v>Mekar Sari</v>
          </cell>
          <cell r="G933" t="str">
            <v>Penyangga</v>
          </cell>
          <cell r="H933">
            <v>6105695000</v>
          </cell>
          <cell r="J933">
            <v>1</v>
          </cell>
          <cell r="K933">
            <v>85</v>
          </cell>
          <cell r="L933">
            <v>1.0207238999999999</v>
          </cell>
          <cell r="M933">
            <v>102.46063580000001</v>
          </cell>
          <cell r="N933">
            <v>0</v>
          </cell>
          <cell r="O933" t="str">
            <v>Tahap IV 200</v>
          </cell>
        </row>
        <row r="934">
          <cell r="F934" t="str">
            <v>Centai</v>
          </cell>
          <cell r="G934" t="str">
            <v>Penyangga</v>
          </cell>
          <cell r="H934">
            <v>6105695000</v>
          </cell>
          <cell r="J934">
            <v>0.5</v>
          </cell>
          <cell r="K934">
            <v>503</v>
          </cell>
          <cell r="L934">
            <v>1.0403591999999999</v>
          </cell>
          <cell r="M934">
            <v>102.59489050000001</v>
          </cell>
          <cell r="N934">
            <v>0</v>
          </cell>
          <cell r="O934" t="str">
            <v>Tahap IV 200</v>
          </cell>
        </row>
        <row r="935">
          <cell r="F935" t="str">
            <v>Tanah Merah</v>
          </cell>
          <cell r="G935" t="str">
            <v>Penyangga (+cs)</v>
          </cell>
          <cell r="H935">
            <v>4567200000</v>
          </cell>
          <cell r="J935">
            <v>0.85</v>
          </cell>
          <cell r="K935">
            <v>256</v>
          </cell>
          <cell r="L935">
            <v>1.1548750000000001</v>
          </cell>
          <cell r="M935">
            <v>102.7777133</v>
          </cell>
          <cell r="N935">
            <v>0</v>
          </cell>
          <cell r="O935" t="str">
            <v>Tahap III 166</v>
          </cell>
        </row>
        <row r="936">
          <cell r="F936" t="str">
            <v>Teluk</v>
          </cell>
          <cell r="G936" t="str">
            <v>Penyangga</v>
          </cell>
          <cell r="H936">
            <v>6105695000</v>
          </cell>
          <cell r="J936">
            <v>2.25</v>
          </cell>
          <cell r="K936">
            <v>300</v>
          </cell>
          <cell r="L936">
            <v>0.50364969999999998</v>
          </cell>
          <cell r="M936">
            <v>103.17874879999999</v>
          </cell>
          <cell r="N936">
            <v>0</v>
          </cell>
          <cell r="O936" t="str">
            <v>Tahap IV 200</v>
          </cell>
        </row>
        <row r="937">
          <cell r="F937" t="str">
            <v>Penyengat</v>
          </cell>
          <cell r="G937" t="str">
            <v>Penyangga</v>
          </cell>
          <cell r="H937">
            <v>6105695000</v>
          </cell>
          <cell r="J937">
            <v>2</v>
          </cell>
          <cell r="K937">
            <v>300</v>
          </cell>
          <cell r="L937">
            <v>0.86459699999999995</v>
          </cell>
          <cell r="M937">
            <v>102.36575809999999</v>
          </cell>
          <cell r="N937">
            <v>0</v>
          </cell>
          <cell r="O937" t="str">
            <v>Tahap IV 200</v>
          </cell>
        </row>
        <row r="938">
          <cell r="F938" t="str">
            <v>Nanga Embaloh</v>
          </cell>
          <cell r="G938" t="str">
            <v>Penyangga</v>
          </cell>
          <cell r="H938">
            <v>4320000000</v>
          </cell>
          <cell r="J938">
            <v>1.49</v>
          </cell>
          <cell r="K938">
            <v>1.1000000000000001</v>
          </cell>
          <cell r="L938">
            <v>0.82781899999999997</v>
          </cell>
          <cell r="M938">
            <v>112.589208</v>
          </cell>
          <cell r="N938">
            <v>0</v>
          </cell>
          <cell r="O938" t="str">
            <v>Tahap III 166</v>
          </cell>
        </row>
        <row r="939">
          <cell r="F939" t="str">
            <v>Nanga Leboyan</v>
          </cell>
          <cell r="G939" t="str">
            <v>Penyangga</v>
          </cell>
          <cell r="H939">
            <v>4320000000</v>
          </cell>
          <cell r="J939">
            <v>2</v>
          </cell>
          <cell r="K939">
            <v>420</v>
          </cell>
          <cell r="L939">
            <v>0.855958</v>
          </cell>
          <cell r="M939">
            <v>112.216003</v>
          </cell>
          <cell r="N939">
            <v>0</v>
          </cell>
          <cell r="O939" t="str">
            <v>Tahap III 166</v>
          </cell>
        </row>
        <row r="940">
          <cell r="F940" t="str">
            <v>Nibung</v>
          </cell>
          <cell r="G940" t="str">
            <v>Penyangga (+cs)</v>
          </cell>
          <cell r="H940">
            <v>4567200000</v>
          </cell>
          <cell r="J940">
            <v>2</v>
          </cell>
          <cell r="K940">
            <v>920</v>
          </cell>
          <cell r="L940">
            <v>0.64900829999999998</v>
          </cell>
          <cell r="M940">
            <v>112.1822083</v>
          </cell>
          <cell r="N940">
            <v>0</v>
          </cell>
          <cell r="O940" t="str">
            <v>Tahap III 166</v>
          </cell>
        </row>
        <row r="941">
          <cell r="F941" t="str">
            <v>Tapolangu</v>
          </cell>
          <cell r="G941" t="str">
            <v>Penyangga</v>
          </cell>
          <cell r="H941">
            <v>6580000000</v>
          </cell>
          <cell r="J941">
            <v>0.2039</v>
          </cell>
          <cell r="K941">
            <v>87</v>
          </cell>
          <cell r="L941">
            <v>-8.3057920000000003</v>
          </cell>
          <cell r="M941">
            <v>123.616839</v>
          </cell>
          <cell r="N941">
            <v>0</v>
          </cell>
          <cell r="O941" t="str">
            <v>Tahap IV 200</v>
          </cell>
        </row>
        <row r="942">
          <cell r="F942" t="str">
            <v>Babokerong</v>
          </cell>
          <cell r="G942" t="str">
            <v>Penyangga (+cs)</v>
          </cell>
          <cell r="H942">
            <v>4678000000</v>
          </cell>
          <cell r="J942">
            <v>0.93</v>
          </cell>
          <cell r="K942">
            <v>350</v>
          </cell>
          <cell r="L942">
            <v>-8.4935550000000006</v>
          </cell>
          <cell r="M942">
            <v>123.25287899999999</v>
          </cell>
          <cell r="N942">
            <v>0</v>
          </cell>
          <cell r="O942" t="str">
            <v>Tahap III 166</v>
          </cell>
        </row>
        <row r="943">
          <cell r="F943" t="str">
            <v>Lewoleba Tengah</v>
          </cell>
          <cell r="G943" t="str">
            <v>Penyangga</v>
          </cell>
          <cell r="H943">
            <v>3214500000</v>
          </cell>
          <cell r="J943">
            <v>0.92</v>
          </cell>
          <cell r="K943">
            <v>720</v>
          </cell>
          <cell r="L943">
            <v>-8.3703260000000004</v>
          </cell>
          <cell r="M943">
            <v>123.42609299999999</v>
          </cell>
          <cell r="N943">
            <v>0</v>
          </cell>
          <cell r="O943" t="str">
            <v>Tahap III 166</v>
          </cell>
        </row>
        <row r="944">
          <cell r="F944" t="str">
            <v>Balauring</v>
          </cell>
          <cell r="G944" t="str">
            <v>Penyangga</v>
          </cell>
          <cell r="H944">
            <v>6580000000</v>
          </cell>
          <cell r="J944">
            <v>0.44009999999999999</v>
          </cell>
          <cell r="K944">
            <v>178</v>
          </cell>
          <cell r="L944">
            <v>-8.2338889999999996</v>
          </cell>
          <cell r="M944">
            <v>123.704342</v>
          </cell>
          <cell r="N944">
            <v>0</v>
          </cell>
          <cell r="O944" t="str">
            <v>Tahap IV 200</v>
          </cell>
        </row>
        <row r="945">
          <cell r="F945" t="str">
            <v>Wailolong</v>
          </cell>
          <cell r="G945" t="str">
            <v>Hub</v>
          </cell>
          <cell r="H945">
            <v>7342100000</v>
          </cell>
          <cell r="J945">
            <v>0</v>
          </cell>
          <cell r="K945">
            <v>43</v>
          </cell>
          <cell r="L945">
            <v>-8.2544690000000003</v>
          </cell>
          <cell r="M945">
            <v>123.651667</v>
          </cell>
          <cell r="N945">
            <v>0</v>
          </cell>
          <cell r="O945" t="str">
            <v>Tahap III 166</v>
          </cell>
        </row>
        <row r="946">
          <cell r="F946" t="str">
            <v>Pantai Harapan</v>
          </cell>
          <cell r="G946" t="str">
            <v>Penyangga</v>
          </cell>
          <cell r="H946">
            <v>3214500000</v>
          </cell>
          <cell r="J946">
            <v>0.63449999999999995</v>
          </cell>
          <cell r="K946">
            <v>360</v>
          </cell>
          <cell r="L946">
            <v>-8.5325609999999994</v>
          </cell>
          <cell r="M946">
            <v>123.450501</v>
          </cell>
          <cell r="N946">
            <v>0</v>
          </cell>
          <cell r="O946" t="str">
            <v>Tahap III 166</v>
          </cell>
        </row>
        <row r="947">
          <cell r="F947" t="str">
            <v>Waka</v>
          </cell>
          <cell r="G947" t="str">
            <v>Penyangga</v>
          </cell>
          <cell r="H947">
            <v>3214500000</v>
          </cell>
          <cell r="J947">
            <v>15.46</v>
          </cell>
          <cell r="K947">
            <v>45</v>
          </cell>
          <cell r="L947">
            <v>-8.4994440000000004</v>
          </cell>
          <cell r="M947">
            <v>121.640972</v>
          </cell>
          <cell r="N947">
            <v>0</v>
          </cell>
          <cell r="O947" t="str">
            <v>Tahap III 166</v>
          </cell>
        </row>
        <row r="948">
          <cell r="F948" t="str">
            <v>Sowi</v>
          </cell>
          <cell r="G948" t="str">
            <v>Penyangga</v>
          </cell>
          <cell r="J948" t="str">
            <v>Tidak Ditemukan</v>
          </cell>
          <cell r="K948">
            <v>85</v>
          </cell>
          <cell r="L948">
            <v>-0.89700088</v>
          </cell>
          <cell r="M948">
            <v>134.03204740000001</v>
          </cell>
          <cell r="O948" t="e">
            <v>#N/A</v>
          </cell>
        </row>
        <row r="949">
          <cell r="F949" t="str">
            <v>Dembek</v>
          </cell>
          <cell r="G949" t="str">
            <v>Penyangga</v>
          </cell>
          <cell r="J949">
            <v>1</v>
          </cell>
          <cell r="K949">
            <v>33</v>
          </cell>
          <cell r="L949">
            <v>-1.596088</v>
          </cell>
          <cell r="M949">
            <v>134.146793</v>
          </cell>
          <cell r="O949" t="e">
            <v>#N/A</v>
          </cell>
        </row>
        <row r="950">
          <cell r="F950" t="str">
            <v>Yekwandi</v>
          </cell>
          <cell r="G950" t="str">
            <v>Penyangga</v>
          </cell>
          <cell r="J950">
            <v>1</v>
          </cell>
          <cell r="K950">
            <v>133</v>
          </cell>
          <cell r="L950">
            <v>-1.6458299999999999</v>
          </cell>
          <cell r="M950">
            <v>134.08260000000001</v>
          </cell>
          <cell r="O950" t="e">
            <v>#N/A</v>
          </cell>
        </row>
        <row r="951">
          <cell r="F951" t="str">
            <v>Muari</v>
          </cell>
          <cell r="G951" t="str">
            <v>Penyangga</v>
          </cell>
          <cell r="J951">
            <v>0.22500000000000001</v>
          </cell>
          <cell r="K951">
            <v>33</v>
          </cell>
          <cell r="L951">
            <v>-1.357305</v>
          </cell>
          <cell r="M951">
            <v>134.246465</v>
          </cell>
          <cell r="O951" t="e">
            <v>#N/A</v>
          </cell>
        </row>
        <row r="952">
          <cell r="F952" t="str">
            <v>Oransbari</v>
          </cell>
          <cell r="G952" t="str">
            <v>Penyangga</v>
          </cell>
          <cell r="J952">
            <v>2</v>
          </cell>
          <cell r="K952">
            <v>125</v>
          </cell>
          <cell r="L952">
            <v>-1.3424400000000001</v>
          </cell>
          <cell r="M952">
            <v>134.25519</v>
          </cell>
          <cell r="O952" t="e">
            <v>#N/A</v>
          </cell>
        </row>
        <row r="953">
          <cell r="F953" t="str">
            <v>Abreso</v>
          </cell>
          <cell r="G953" t="str">
            <v>Hub</v>
          </cell>
          <cell r="J953">
            <v>1</v>
          </cell>
          <cell r="K953">
            <v>2000</v>
          </cell>
          <cell r="L953">
            <v>-1.51935</v>
          </cell>
          <cell r="M953">
            <v>134.20112</v>
          </cell>
          <cell r="O953" t="e">
            <v>#N/A</v>
          </cell>
        </row>
        <row r="954">
          <cell r="F954" t="str">
            <v>Nuspairo</v>
          </cell>
          <cell r="G954" t="str">
            <v>Penyangga</v>
          </cell>
          <cell r="J954">
            <v>0.25</v>
          </cell>
          <cell r="K954">
            <v>25</v>
          </cell>
          <cell r="L954">
            <v>-1.86348</v>
          </cell>
          <cell r="M954">
            <v>134.1198</v>
          </cell>
          <cell r="O954" t="e">
            <v>#N/A</v>
          </cell>
        </row>
        <row r="955">
          <cell r="F955" t="str">
            <v>Reyob</v>
          </cell>
          <cell r="G955" t="str">
            <v>Penyangga</v>
          </cell>
          <cell r="J955">
            <v>0.25</v>
          </cell>
          <cell r="K955">
            <v>30</v>
          </cell>
          <cell r="L955">
            <v>-1.8461399999999999</v>
          </cell>
          <cell r="M955">
            <v>134.10332</v>
          </cell>
          <cell r="O955" t="e">
            <v>#N/A</v>
          </cell>
        </row>
        <row r="956">
          <cell r="F956" t="str">
            <v>Yarpate</v>
          </cell>
          <cell r="G956" t="str">
            <v>Penyangga</v>
          </cell>
          <cell r="J956">
            <v>0.25</v>
          </cell>
          <cell r="K956">
            <v>30</v>
          </cell>
          <cell r="L956">
            <v>-2.0920390000000002</v>
          </cell>
          <cell r="M956">
            <v>134.070303</v>
          </cell>
          <cell r="O956" t="e">
            <v>#N/A</v>
          </cell>
        </row>
        <row r="957">
          <cell r="F957" t="str">
            <v>Insumbrei</v>
          </cell>
          <cell r="G957" t="str">
            <v>Penyangga</v>
          </cell>
          <cell r="J957">
            <v>0.06</v>
          </cell>
          <cell r="K957">
            <v>100</v>
          </cell>
          <cell r="L957">
            <v>-0.83482000000000001</v>
          </cell>
          <cell r="M957">
            <v>135.52634</v>
          </cell>
          <cell r="O957" t="e">
            <v>#N/A</v>
          </cell>
        </row>
        <row r="958">
          <cell r="F958" t="str">
            <v>Rayori</v>
          </cell>
          <cell r="G958" t="str">
            <v>Penyangga</v>
          </cell>
          <cell r="J958">
            <v>1</v>
          </cell>
          <cell r="K958">
            <v>1153</v>
          </cell>
          <cell r="L958">
            <v>-0.82347000000000004</v>
          </cell>
          <cell r="M958">
            <v>135.49516</v>
          </cell>
          <cell r="O958" t="e">
            <v>#N/A</v>
          </cell>
        </row>
        <row r="959">
          <cell r="F959" t="str">
            <v>Awaki</v>
          </cell>
          <cell r="G959" t="str">
            <v>Hub</v>
          </cell>
          <cell r="J959">
            <v>0.35</v>
          </cell>
          <cell r="K959">
            <v>86</v>
          </cell>
          <cell r="L959">
            <v>-0.83555999999999997</v>
          </cell>
          <cell r="M959">
            <v>135.58492000000001</v>
          </cell>
          <cell r="O959" t="e">
            <v>#N/A</v>
          </cell>
        </row>
        <row r="960">
          <cell r="F960" t="str">
            <v>Fanindi</v>
          </cell>
          <cell r="G960" t="str">
            <v>Penyangga</v>
          </cell>
          <cell r="J960">
            <v>0.81</v>
          </cell>
          <cell r="K960">
            <v>706</v>
          </cell>
          <cell r="L960">
            <v>-0.83723000000000003</v>
          </cell>
          <cell r="M960">
            <v>135.59057999999999</v>
          </cell>
          <cell r="O960" t="e">
            <v>#N/A</v>
          </cell>
        </row>
        <row r="961">
          <cell r="F961" t="str">
            <v>Maryaidori</v>
          </cell>
          <cell r="G961" t="str">
            <v>Penyangga</v>
          </cell>
          <cell r="J961">
            <v>1</v>
          </cell>
          <cell r="K961">
            <v>80</v>
          </cell>
          <cell r="L961">
            <v>-0.85664830000000003</v>
          </cell>
          <cell r="M961">
            <v>135.62209490000001</v>
          </cell>
          <cell r="O961" t="e">
            <v>#N/A</v>
          </cell>
        </row>
        <row r="962">
          <cell r="F962" t="str">
            <v>Odori</v>
          </cell>
          <cell r="G962" t="str">
            <v>Penyangga</v>
          </cell>
          <cell r="J962">
            <v>0.06</v>
          </cell>
          <cell r="K962">
            <v>154</v>
          </cell>
          <cell r="L962">
            <v>-0.82828000000000002</v>
          </cell>
          <cell r="M962">
            <v>135.57225</v>
          </cell>
          <cell r="O962" t="e">
            <v>#N/A</v>
          </cell>
        </row>
        <row r="963">
          <cell r="F963" t="str">
            <v>Duber</v>
          </cell>
          <cell r="G963" t="str">
            <v>Penyangga</v>
          </cell>
          <cell r="J963">
            <v>0.16</v>
          </cell>
          <cell r="K963">
            <v>146</v>
          </cell>
          <cell r="L963">
            <v>-0.93905000000000005</v>
          </cell>
          <cell r="M963">
            <v>135.49462</v>
          </cell>
          <cell r="O963" t="e">
            <v>#N/A</v>
          </cell>
        </row>
        <row r="964">
          <cell r="F964" t="str">
            <v>Wombonda</v>
          </cell>
          <cell r="G964" t="str">
            <v>Penyangga</v>
          </cell>
          <cell r="J964">
            <v>0.15</v>
          </cell>
          <cell r="K964">
            <v>49</v>
          </cell>
          <cell r="L964">
            <v>-0.87075999999999998</v>
          </cell>
          <cell r="M964">
            <v>135.65618000000001</v>
          </cell>
          <cell r="O964" t="e">
            <v>#N/A</v>
          </cell>
        </row>
        <row r="965">
          <cell r="F965" t="str">
            <v>Bintuni Timur</v>
          </cell>
          <cell r="G965" t="str">
            <v>Hub</v>
          </cell>
          <cell r="J965">
            <v>1</v>
          </cell>
          <cell r="K965">
            <v>23</v>
          </cell>
          <cell r="L965">
            <v>-2.1212399999999998</v>
          </cell>
          <cell r="M965">
            <v>133.53308000000001</v>
          </cell>
          <cell r="O965" t="e">
            <v>#N/A</v>
          </cell>
        </row>
        <row r="966">
          <cell r="F966" t="str">
            <v>Coa</v>
          </cell>
          <cell r="G966" t="str">
            <v>Hub</v>
          </cell>
          <cell r="J966">
            <v>1.5</v>
          </cell>
          <cell r="K966">
            <v>180</v>
          </cell>
          <cell r="L966">
            <v>-3.6086399999999998</v>
          </cell>
          <cell r="M966">
            <v>133.70945</v>
          </cell>
          <cell r="O966" t="e">
            <v>#N/A</v>
          </cell>
        </row>
        <row r="967">
          <cell r="F967" t="str">
            <v>Potowai Buru</v>
          </cell>
          <cell r="G967" t="str">
            <v>Penyangga</v>
          </cell>
          <cell r="J967">
            <v>2.5</v>
          </cell>
          <cell r="K967">
            <v>207</v>
          </cell>
          <cell r="L967">
            <v>-4.3031100000000002</v>
          </cell>
          <cell r="M967">
            <v>134.94479999999999</v>
          </cell>
          <cell r="O967" t="e">
            <v>#N/A</v>
          </cell>
        </row>
        <row r="968">
          <cell r="F968" t="str">
            <v>Andamata</v>
          </cell>
          <cell r="G968" t="str">
            <v>Penyangga</v>
          </cell>
          <cell r="J968">
            <v>0.63</v>
          </cell>
          <cell r="K968">
            <v>80</v>
          </cell>
          <cell r="L968">
            <v>-2.6825000000000001</v>
          </cell>
          <cell r="M968">
            <v>132.51013</v>
          </cell>
          <cell r="O968" t="e">
            <v>#N/A</v>
          </cell>
        </row>
        <row r="969">
          <cell r="F969" t="str">
            <v>Danaweria</v>
          </cell>
          <cell r="G969" t="str">
            <v>Hub</v>
          </cell>
          <cell r="J969">
            <v>0.7</v>
          </cell>
          <cell r="K969">
            <v>192</v>
          </cell>
          <cell r="L969">
            <v>-2.9402900000000001</v>
          </cell>
          <cell r="M969">
            <v>132.32359</v>
          </cell>
          <cell r="O969" t="e">
            <v>#N/A</v>
          </cell>
        </row>
        <row r="970">
          <cell r="F970" t="str">
            <v>Tunas Gain</v>
          </cell>
          <cell r="G970" t="str">
            <v>Penyangga</v>
          </cell>
          <cell r="J970">
            <v>0.63780000000000003</v>
          </cell>
          <cell r="K970">
            <v>5</v>
          </cell>
          <cell r="L970">
            <v>-3.1784629999999998</v>
          </cell>
          <cell r="M970">
            <v>132.62049999999999</v>
          </cell>
          <cell r="O970" t="e">
            <v>#N/A</v>
          </cell>
        </row>
        <row r="971">
          <cell r="F971" t="str">
            <v>Goras</v>
          </cell>
          <cell r="G971" t="str">
            <v>Penyangga</v>
          </cell>
          <cell r="J971">
            <v>0.13800000000000001</v>
          </cell>
          <cell r="K971">
            <v>91</v>
          </cell>
          <cell r="L971">
            <v>-2.7809650000000001</v>
          </cell>
          <cell r="M971">
            <v>132.700536</v>
          </cell>
          <cell r="O971" t="e">
            <v>#N/A</v>
          </cell>
        </row>
        <row r="972">
          <cell r="F972" t="str">
            <v>Bisa</v>
          </cell>
          <cell r="G972" t="str">
            <v>Penyangga</v>
          </cell>
          <cell r="J972" t="str">
            <v>Tidak Ditemukan</v>
          </cell>
          <cell r="K972">
            <v>0</v>
          </cell>
          <cell r="L972">
            <v>-2.7179440000000001</v>
          </cell>
          <cell r="M972">
            <v>132.12625</v>
          </cell>
          <cell r="O972" t="e">
            <v>#N/A</v>
          </cell>
        </row>
        <row r="973">
          <cell r="F973" t="str">
            <v>Offie</v>
          </cell>
          <cell r="G973" t="str">
            <v>Penyangga</v>
          </cell>
          <cell r="J973">
            <v>0.02</v>
          </cell>
          <cell r="K973">
            <v>97</v>
          </cell>
          <cell r="L973">
            <v>-2.69983</v>
          </cell>
          <cell r="M973">
            <v>132.20017000000001</v>
          </cell>
          <cell r="O973" t="e">
            <v>#N/A</v>
          </cell>
        </row>
        <row r="974">
          <cell r="F974" t="str">
            <v>Armopa</v>
          </cell>
          <cell r="G974" t="str">
            <v>Penyangga</v>
          </cell>
          <cell r="J974" t="str">
            <v>Tidak Ditemukan</v>
          </cell>
          <cell r="K974">
            <v>12</v>
          </cell>
          <cell r="L974">
            <v>-2.2888709999999999</v>
          </cell>
          <cell r="M974">
            <v>139.612945</v>
          </cell>
          <cell r="O974" t="e">
            <v>#N/A</v>
          </cell>
        </row>
        <row r="975">
          <cell r="F975" t="str">
            <v>Krim Podena</v>
          </cell>
          <cell r="G975" t="str">
            <v>Penyangga</v>
          </cell>
          <cell r="J975" t="str">
            <v>Tidak Ditemukan</v>
          </cell>
          <cell r="K975">
            <v>30</v>
          </cell>
          <cell r="L975">
            <v>-2.1836500000000001</v>
          </cell>
          <cell r="M975">
            <v>139.43455</v>
          </cell>
          <cell r="O975" t="e">
            <v>#N/A</v>
          </cell>
        </row>
        <row r="976">
          <cell r="F976" t="str">
            <v>Tarontha Srum</v>
          </cell>
          <cell r="G976" t="str">
            <v>Penyangga</v>
          </cell>
          <cell r="J976" t="str">
            <v>Tidak Ditemukan</v>
          </cell>
          <cell r="K976">
            <v>11</v>
          </cell>
          <cell r="L976">
            <v>-2.2645200000000001</v>
          </cell>
          <cell r="M976">
            <v>139.56608</v>
          </cell>
          <cell r="O976" t="e">
            <v>#N/A</v>
          </cell>
        </row>
        <row r="977">
          <cell r="F977" t="str">
            <v>Kapitiau</v>
          </cell>
          <cell r="G977" t="str">
            <v>Penyangga</v>
          </cell>
          <cell r="J977">
            <v>1</v>
          </cell>
          <cell r="K977">
            <v>230</v>
          </cell>
          <cell r="L977">
            <v>-2.3784109999999998</v>
          </cell>
          <cell r="M977">
            <v>139.799847</v>
          </cell>
          <cell r="O977" t="e">
            <v>#N/A</v>
          </cell>
        </row>
        <row r="978">
          <cell r="F978" t="str">
            <v>Betaf</v>
          </cell>
          <cell r="G978" t="str">
            <v>Penyangga</v>
          </cell>
          <cell r="J978">
            <v>1</v>
          </cell>
          <cell r="K978">
            <v>150</v>
          </cell>
          <cell r="L978">
            <v>-2.1147399999999998</v>
          </cell>
          <cell r="M978">
            <v>139.25894</v>
          </cell>
          <cell r="O978" t="e">
            <v>#N/A</v>
          </cell>
        </row>
        <row r="979">
          <cell r="F979" t="str">
            <v>Finyabor</v>
          </cell>
          <cell r="G979" t="str">
            <v>Hub</v>
          </cell>
          <cell r="J979">
            <v>0.96</v>
          </cell>
          <cell r="K979">
            <v>98</v>
          </cell>
          <cell r="L979">
            <v>-2.038821</v>
          </cell>
          <cell r="M979">
            <v>139.13057599999999</v>
          </cell>
          <cell r="O979" t="e">
            <v>#N/A</v>
          </cell>
        </row>
        <row r="980">
          <cell r="F980" t="str">
            <v>Tambrawar</v>
          </cell>
          <cell r="G980" t="str">
            <v>Penyangga</v>
          </cell>
          <cell r="J980" t="str">
            <v>Tidak Ditemukan</v>
          </cell>
          <cell r="K980">
            <v>1</v>
          </cell>
          <cell r="L980">
            <v>-1.97654</v>
          </cell>
          <cell r="M980">
            <v>139.00294500000001</v>
          </cell>
          <cell r="O980" t="e">
            <v>#N/A</v>
          </cell>
        </row>
        <row r="981">
          <cell r="F981" t="str">
            <v>Lembah Neidam</v>
          </cell>
          <cell r="G981" t="str">
            <v>Penyangga</v>
          </cell>
          <cell r="J981" t="str">
            <v>0,33 Ha</v>
          </cell>
          <cell r="K981">
            <v>43</v>
          </cell>
          <cell r="L981">
            <v>-1.8843749999999999</v>
          </cell>
          <cell r="M981">
            <v>138.75989999999999</v>
          </cell>
          <cell r="O981" t="e">
            <v>#N/A</v>
          </cell>
        </row>
        <row r="982">
          <cell r="F982" t="str">
            <v>Bagaiserwar Dua</v>
          </cell>
          <cell r="G982" t="str">
            <v>Penyangga</v>
          </cell>
          <cell r="J982" t="str">
            <v>Tidak Ditemukan</v>
          </cell>
          <cell r="K982">
            <v>45</v>
          </cell>
          <cell r="L982">
            <v>-1.9202459999999999</v>
          </cell>
          <cell r="M982">
            <v>138.788849</v>
          </cell>
          <cell r="O982" t="e">
            <v>#N/A</v>
          </cell>
        </row>
        <row r="983">
          <cell r="F983" t="str">
            <v>Holmafen</v>
          </cell>
          <cell r="G983" t="str">
            <v>Penyangga</v>
          </cell>
          <cell r="J983" t="str">
            <v>0,28 Ha</v>
          </cell>
          <cell r="K983">
            <v>41</v>
          </cell>
          <cell r="L983">
            <v>-1.9693590000000001</v>
          </cell>
          <cell r="M983">
            <v>138.87814900000001</v>
          </cell>
          <cell r="O983" t="e">
            <v>#N/A</v>
          </cell>
        </row>
        <row r="984">
          <cell r="F984" t="str">
            <v>Bariwaro</v>
          </cell>
          <cell r="G984" t="str">
            <v>Penyangga</v>
          </cell>
          <cell r="J984" t="str">
            <v>Tidak Ditemukan</v>
          </cell>
          <cell r="K984">
            <v>0</v>
          </cell>
          <cell r="L984">
            <v>-2.2218249999999999</v>
          </cell>
          <cell r="M984">
            <v>137.04131899999999</v>
          </cell>
          <cell r="O984" t="e">
            <v>#N/A</v>
          </cell>
        </row>
        <row r="985">
          <cell r="F985" t="str">
            <v>Nadofoai</v>
          </cell>
          <cell r="G985" t="str">
            <v>Penyangga</v>
          </cell>
          <cell r="J985">
            <v>0.5</v>
          </cell>
          <cell r="K985">
            <v>65</v>
          </cell>
          <cell r="L985">
            <v>-2.19746</v>
          </cell>
          <cell r="M985">
            <v>136.82731999999999</v>
          </cell>
          <cell r="O985" t="e">
            <v>#N/A</v>
          </cell>
        </row>
        <row r="986">
          <cell r="F986" t="str">
            <v>Mayaghaido</v>
          </cell>
          <cell r="G986" t="str">
            <v>Penyangga</v>
          </cell>
          <cell r="J986">
            <v>6.0578E-2</v>
          </cell>
          <cell r="K986">
            <v>39</v>
          </cell>
          <cell r="L986">
            <v>-2.2920739999999999</v>
          </cell>
          <cell r="M986">
            <v>136.72912239999999</v>
          </cell>
          <cell r="O986" t="e">
            <v>#N/A</v>
          </cell>
        </row>
        <row r="987">
          <cell r="F987" t="str">
            <v>Ronarai</v>
          </cell>
          <cell r="G987" t="str">
            <v>Penyangga</v>
          </cell>
          <cell r="J987" t="str">
            <v>Tidak Ditemukan</v>
          </cell>
          <cell r="K987">
            <v>10</v>
          </cell>
          <cell r="L987">
            <v>-2.2950013409999999</v>
          </cell>
          <cell r="M987">
            <v>136.74255489999999</v>
          </cell>
          <cell r="O987" t="e">
            <v>#N/A</v>
          </cell>
        </row>
        <row r="988">
          <cell r="F988" t="str">
            <v>Emauri</v>
          </cell>
          <cell r="G988" t="str">
            <v>Penyangga</v>
          </cell>
          <cell r="J988">
            <v>0.25464900000000001</v>
          </cell>
          <cell r="K988">
            <v>30</v>
          </cell>
          <cell r="L988">
            <v>-2.2840368</v>
          </cell>
          <cell r="M988">
            <v>136.76697340000001</v>
          </cell>
          <cell r="O988" t="e">
            <v>#N/A</v>
          </cell>
        </row>
        <row r="989">
          <cell r="F989" t="str">
            <v>Nau</v>
          </cell>
          <cell r="G989" t="str">
            <v>Penyangga</v>
          </cell>
          <cell r="J989" t="str">
            <v>Tidak Ditemukan</v>
          </cell>
          <cell r="K989">
            <v>52</v>
          </cell>
          <cell r="L989">
            <v>-2.2171930999999998</v>
          </cell>
          <cell r="M989">
            <v>136.26213709999999</v>
          </cell>
          <cell r="O989" t="e">
            <v>#N/A</v>
          </cell>
        </row>
        <row r="990">
          <cell r="F990" t="str">
            <v>Apainabo</v>
          </cell>
          <cell r="G990" t="str">
            <v>Penyangga</v>
          </cell>
          <cell r="J990">
            <v>5.4850999999999997E-2</v>
          </cell>
          <cell r="K990">
            <v>50</v>
          </cell>
          <cell r="L990">
            <v>-2.2101031999999998</v>
          </cell>
          <cell r="M990">
            <v>136.45388550000001</v>
          </cell>
          <cell r="O990" t="e">
            <v>#N/A</v>
          </cell>
        </row>
        <row r="991">
          <cell r="F991" t="str">
            <v>Ghoyui</v>
          </cell>
          <cell r="G991" t="str">
            <v>Penyangga</v>
          </cell>
          <cell r="J991" t="str">
            <v>Tidak Ditemukan</v>
          </cell>
          <cell r="K991">
            <v>18</v>
          </cell>
          <cell r="L991">
            <v>-2.2061109999999999</v>
          </cell>
          <cell r="M991">
            <v>136.446944</v>
          </cell>
          <cell r="O991" t="e">
            <v>#N/A</v>
          </cell>
        </row>
        <row r="992">
          <cell r="F992" t="str">
            <v>Mambui</v>
          </cell>
          <cell r="G992" t="str">
            <v>Penyangga</v>
          </cell>
          <cell r="J992">
            <v>1.8700000000000001E-2</v>
          </cell>
          <cell r="K992">
            <v>100</v>
          </cell>
          <cell r="L992">
            <v>-2.2046613000000002</v>
          </cell>
          <cell r="M992">
            <v>136.43022450000001</v>
          </cell>
          <cell r="O992" t="e">
            <v>#N/A</v>
          </cell>
        </row>
        <row r="993">
          <cell r="F993" t="str">
            <v>Paradoi</v>
          </cell>
          <cell r="G993" t="str">
            <v>Penyangga</v>
          </cell>
          <cell r="J993">
            <v>5.3232000000000002E-2</v>
          </cell>
          <cell r="K993">
            <v>60</v>
          </cell>
          <cell r="L993">
            <v>-2.2057405999999999</v>
          </cell>
          <cell r="M993">
            <v>136.44185619999999</v>
          </cell>
          <cell r="O993" t="e">
            <v>#N/A</v>
          </cell>
        </row>
        <row r="994">
          <cell r="F994" t="str">
            <v>Ronggaiwa</v>
          </cell>
          <cell r="G994" t="str">
            <v>Penyangga</v>
          </cell>
          <cell r="J994">
            <v>7.8770000000000007E-2</v>
          </cell>
          <cell r="K994">
            <v>200</v>
          </cell>
          <cell r="L994">
            <v>-2.2087903</v>
          </cell>
          <cell r="M994">
            <v>136.4510521</v>
          </cell>
          <cell r="O994" t="e">
            <v>#N/A</v>
          </cell>
        </row>
        <row r="995">
          <cell r="F995" t="str">
            <v>Ureifaisei I/Sanggae</v>
          </cell>
          <cell r="G995" t="str">
            <v>Penyangga</v>
          </cell>
          <cell r="J995" t="str">
            <v>Tidak Ditemukan</v>
          </cell>
          <cell r="K995">
            <v>14</v>
          </cell>
          <cell r="L995">
            <v>-2.2154440000000002</v>
          </cell>
          <cell r="M995">
            <v>136.45358300000001</v>
          </cell>
          <cell r="O995" t="e">
            <v>#N/A</v>
          </cell>
        </row>
        <row r="996">
          <cell r="F996" t="str">
            <v>Ureifaisei Iii/ Paradoi</v>
          </cell>
          <cell r="G996" t="str">
            <v>Penyangga</v>
          </cell>
          <cell r="J996">
            <v>5.4850999999999997E-2</v>
          </cell>
          <cell r="K996">
            <v>50</v>
          </cell>
          <cell r="L996">
            <v>-2.2056331</v>
          </cell>
          <cell r="M996">
            <v>136.43901529999999</v>
          </cell>
          <cell r="O996" t="e">
            <v>#N/A</v>
          </cell>
        </row>
        <row r="997">
          <cell r="F997" t="str">
            <v>Nonomi</v>
          </cell>
          <cell r="G997" t="str">
            <v>Penyangga</v>
          </cell>
          <cell r="J997" t="str">
            <v>Tidak Ditemukan</v>
          </cell>
          <cell r="K997">
            <v>18</v>
          </cell>
          <cell r="L997">
            <v>-2.226667</v>
          </cell>
          <cell r="M997">
            <v>136.38833299999999</v>
          </cell>
          <cell r="O997" t="e">
            <v>#N/A</v>
          </cell>
        </row>
        <row r="998">
          <cell r="F998" t="str">
            <v>Sarafambai</v>
          </cell>
          <cell r="G998" t="str">
            <v>Penyangga</v>
          </cell>
          <cell r="J998" t="str">
            <v>Tidak Ditemukan</v>
          </cell>
          <cell r="K998">
            <v>29</v>
          </cell>
          <cell r="L998">
            <v>-2.2400529040000001</v>
          </cell>
          <cell r="M998">
            <v>136.36902359999999</v>
          </cell>
          <cell r="O998" t="e">
            <v>#N/A</v>
          </cell>
        </row>
        <row r="999">
          <cell r="F999" t="str">
            <v>Waren II</v>
          </cell>
          <cell r="G999" t="str">
            <v>Penyangga</v>
          </cell>
          <cell r="J999">
            <v>0.4894</v>
          </cell>
          <cell r="K999">
            <v>150</v>
          </cell>
          <cell r="L999">
            <v>-2.2490855000000001</v>
          </cell>
          <cell r="M999">
            <v>136.3705914</v>
          </cell>
          <cell r="O999" t="e">
            <v>#N/A</v>
          </cell>
        </row>
        <row r="1000">
          <cell r="F1000" t="str">
            <v>Nurawi</v>
          </cell>
          <cell r="G1000" t="str">
            <v>Penyangga</v>
          </cell>
          <cell r="J1000">
            <v>0.3</v>
          </cell>
          <cell r="K1000">
            <v>47</v>
          </cell>
          <cell r="L1000">
            <v>-1.52616</v>
          </cell>
          <cell r="M1000">
            <v>135.82852</v>
          </cell>
          <cell r="O1000" t="e">
            <v>#N/A</v>
          </cell>
        </row>
        <row r="1001">
          <cell r="F1001" t="str">
            <v>Munggui</v>
          </cell>
          <cell r="G1001" t="str">
            <v>Penyangga</v>
          </cell>
          <cell r="J1001">
            <v>0.5</v>
          </cell>
          <cell r="K1001">
            <v>100</v>
          </cell>
          <cell r="L1001">
            <v>-1.6585000000000001</v>
          </cell>
          <cell r="M1001">
            <v>135.84067999999999</v>
          </cell>
          <cell r="O1001" t="e">
            <v>#N/A</v>
          </cell>
        </row>
        <row r="1002">
          <cell r="F1002" t="str">
            <v>Jaimaria</v>
          </cell>
          <cell r="G1002" t="str">
            <v>Penyangga</v>
          </cell>
          <cell r="J1002">
            <v>0.24</v>
          </cell>
          <cell r="K1002">
            <v>50</v>
          </cell>
          <cell r="L1002">
            <v>-1.6884300000000001</v>
          </cell>
          <cell r="M1002">
            <v>135.58761000000001</v>
          </cell>
          <cell r="O1002" t="e">
            <v>#N/A</v>
          </cell>
        </row>
        <row r="1003">
          <cell r="F1003" t="str">
            <v>Inowa</v>
          </cell>
          <cell r="G1003" t="str">
            <v>Hub</v>
          </cell>
          <cell r="J1003">
            <v>0.33</v>
          </cell>
          <cell r="K1003">
            <v>133</v>
          </cell>
          <cell r="L1003">
            <v>-1.7395499999999999</v>
          </cell>
          <cell r="M1003">
            <v>135.79884999999999</v>
          </cell>
          <cell r="O1003" t="e">
            <v>#N/A</v>
          </cell>
        </row>
        <row r="1004">
          <cell r="F1004" t="str">
            <v>Maniri</v>
          </cell>
          <cell r="G1004" t="str">
            <v>Penyangga</v>
          </cell>
          <cell r="J1004">
            <v>0.5</v>
          </cell>
          <cell r="K1004">
            <v>160</v>
          </cell>
          <cell r="L1004">
            <v>-1.76006</v>
          </cell>
          <cell r="M1004">
            <v>135.78801000000001</v>
          </cell>
          <cell r="O1004" t="e">
            <v>#N/A</v>
          </cell>
        </row>
        <row r="1005">
          <cell r="F1005" t="str">
            <v>Woiwani</v>
          </cell>
          <cell r="G1005" t="str">
            <v>Penyangga</v>
          </cell>
          <cell r="J1005">
            <v>0.55000000000000004</v>
          </cell>
          <cell r="K1005">
            <v>138</v>
          </cell>
          <cell r="L1005">
            <v>-1.7455400000000001</v>
          </cell>
          <cell r="M1005">
            <v>135.87619000000001</v>
          </cell>
          <cell r="O1005" t="e">
            <v>#N/A</v>
          </cell>
        </row>
        <row r="1006">
          <cell r="F1006" t="str">
            <v>Mena</v>
          </cell>
          <cell r="G1006" t="str">
            <v>Penyangga</v>
          </cell>
          <cell r="J1006">
            <v>0.25</v>
          </cell>
          <cell r="K1006">
            <v>45</v>
          </cell>
          <cell r="L1006">
            <v>-2.3665189999999998</v>
          </cell>
          <cell r="M1006">
            <v>134.53233299999999</v>
          </cell>
          <cell r="O1006" t="e">
            <v>#N/A</v>
          </cell>
        </row>
        <row r="1007">
          <cell r="F1007" t="str">
            <v>Dotir</v>
          </cell>
          <cell r="G1007" t="str">
            <v>Penyangga</v>
          </cell>
          <cell r="J1007">
            <v>1</v>
          </cell>
          <cell r="K1007">
            <v>32</v>
          </cell>
          <cell r="L1007">
            <v>-2.6553810000000002</v>
          </cell>
          <cell r="M1007">
            <v>134.494283</v>
          </cell>
          <cell r="O1007" t="e">
            <v>#N/A</v>
          </cell>
        </row>
        <row r="1008">
          <cell r="F1008" t="str">
            <v>Iriati</v>
          </cell>
          <cell r="G1008" t="str">
            <v>Hub</v>
          </cell>
          <cell r="J1008">
            <v>0.25</v>
          </cell>
          <cell r="K1008">
            <v>120</v>
          </cell>
          <cell r="L1008">
            <v>-2.7727219999999999</v>
          </cell>
          <cell r="M1008">
            <v>134.51783599999999</v>
          </cell>
          <cell r="O1008" t="e">
            <v>#N/A</v>
          </cell>
        </row>
        <row r="1009">
          <cell r="F1009" t="str">
            <v>Windesi</v>
          </cell>
          <cell r="G1009" t="str">
            <v>Penyangga</v>
          </cell>
          <cell r="J1009">
            <v>0.25</v>
          </cell>
          <cell r="K1009">
            <v>32</v>
          </cell>
          <cell r="L1009">
            <v>-2.4209000000000001</v>
          </cell>
          <cell r="M1009">
            <v>134.21664200000001</v>
          </cell>
          <cell r="O1009" t="e">
            <v>#N/A</v>
          </cell>
        </row>
        <row r="1010">
          <cell r="F1010" t="str">
            <v>Yopmeos</v>
          </cell>
          <cell r="G1010" t="str">
            <v>Penyangga</v>
          </cell>
          <cell r="J1010">
            <v>0.25</v>
          </cell>
          <cell r="K1010">
            <v>65</v>
          </cell>
          <cell r="L1010">
            <v>-2.545715</v>
          </cell>
          <cell r="M1010">
            <v>134.37003300000001</v>
          </cell>
          <cell r="O1010" t="e">
            <v>#N/A</v>
          </cell>
        </row>
        <row r="1011">
          <cell r="F1011" t="str">
            <v>Beriten</v>
          </cell>
          <cell r="G1011" t="str">
            <v>Penyangga</v>
          </cell>
          <cell r="J1011">
            <v>0.25</v>
          </cell>
          <cell r="K1011">
            <v>21</v>
          </cell>
          <cell r="L1011">
            <v>-5.6935200000000004</v>
          </cell>
          <cell r="M1011">
            <v>138.13668999999999</v>
          </cell>
          <cell r="O1011" t="e">
            <v>#N/A</v>
          </cell>
        </row>
        <row r="1012">
          <cell r="F1012" t="str">
            <v>Bakasai</v>
          </cell>
          <cell r="G1012" t="str">
            <v>Hub</v>
          </cell>
          <cell r="J1012">
            <v>0.1</v>
          </cell>
          <cell r="K1012">
            <v>184</v>
          </cell>
          <cell r="L1012">
            <v>-5.7442700000000002</v>
          </cell>
          <cell r="M1012">
            <v>138.39111</v>
          </cell>
          <cell r="O1012" t="e">
            <v>#N/A</v>
          </cell>
        </row>
        <row r="1013">
          <cell r="F1013" t="str">
            <v>Jufri</v>
          </cell>
          <cell r="G1013" t="str">
            <v>Penyangga</v>
          </cell>
          <cell r="J1013">
            <v>0.1</v>
          </cell>
          <cell r="K1013">
            <v>512</v>
          </cell>
          <cell r="L1013">
            <v>-5.37066</v>
          </cell>
          <cell r="M1013">
            <v>138.10133999999999</v>
          </cell>
          <cell r="O1013" t="e">
            <v>#N/A</v>
          </cell>
        </row>
        <row r="1014">
          <cell r="F1014" t="str">
            <v>Atapo</v>
          </cell>
          <cell r="G1014" t="str">
            <v>Penyangga</v>
          </cell>
          <cell r="J1014">
            <v>1</v>
          </cell>
          <cell r="K1014">
            <v>72</v>
          </cell>
          <cell r="L1014">
            <v>-4.7120600000000001</v>
          </cell>
          <cell r="M1014">
            <v>136.45299</v>
          </cell>
          <cell r="O1014" t="e">
            <v>#N/A</v>
          </cell>
        </row>
        <row r="1015">
          <cell r="F1015" t="str">
            <v>Mupuruka</v>
          </cell>
          <cell r="G1015" t="str">
            <v>Penyangga</v>
          </cell>
          <cell r="J1015">
            <v>0.1734</v>
          </cell>
          <cell r="K1015">
            <v>395</v>
          </cell>
          <cell r="L1015">
            <v>-4.5596059999999996</v>
          </cell>
          <cell r="M1015">
            <v>136.031497</v>
          </cell>
          <cell r="O1015" t="e">
            <v>#N/A</v>
          </cell>
        </row>
        <row r="1016">
          <cell r="F1016" t="str">
            <v>Pronggo</v>
          </cell>
          <cell r="G1016" t="str">
            <v>Penyangga</v>
          </cell>
          <cell r="J1016">
            <v>0.25</v>
          </cell>
          <cell r="K1016">
            <v>322</v>
          </cell>
          <cell r="L1016">
            <v>-4.4938919999999998</v>
          </cell>
          <cell r="M1016">
            <v>135.713866</v>
          </cell>
          <cell r="O1016" t="e">
            <v>#N/A</v>
          </cell>
        </row>
        <row r="1017">
          <cell r="F1017" t="str">
            <v>Atuka</v>
          </cell>
          <cell r="G1017" t="str">
            <v>Penyangga</v>
          </cell>
          <cell r="J1017">
            <v>0.20269999999999999</v>
          </cell>
          <cell r="K1017">
            <v>304</v>
          </cell>
          <cell r="L1017">
            <v>-4.7883300000000002</v>
          </cell>
          <cell r="M1017">
            <v>136.57328000000001</v>
          </cell>
          <cell r="O1017" t="e">
            <v>#N/A</v>
          </cell>
        </row>
        <row r="1018">
          <cell r="F1018" t="str">
            <v>Poumako</v>
          </cell>
          <cell r="G1018" t="str">
            <v>Penyangga</v>
          </cell>
          <cell r="J1018">
            <v>1.5</v>
          </cell>
          <cell r="K1018">
            <v>943</v>
          </cell>
          <cell r="L1018">
            <v>-4.7895969999999997</v>
          </cell>
          <cell r="M1018">
            <v>136.76930100000001</v>
          </cell>
          <cell r="O1018" t="e">
            <v>#N/A</v>
          </cell>
        </row>
        <row r="1019">
          <cell r="F1019" t="str">
            <v>Doromena</v>
          </cell>
          <cell r="G1019" t="str">
            <v>Penyangga</v>
          </cell>
          <cell r="J1019">
            <v>1</v>
          </cell>
          <cell r="K1019">
            <v>119</v>
          </cell>
          <cell r="L1019">
            <v>-2.4164400000000001</v>
          </cell>
          <cell r="M1019">
            <v>140.42626000000001</v>
          </cell>
          <cell r="O1019" t="e">
            <v>#N/A</v>
          </cell>
        </row>
        <row r="1020">
          <cell r="F1020" t="str">
            <v>Newa</v>
          </cell>
          <cell r="G1020" t="str">
            <v>Penyangga</v>
          </cell>
          <cell r="K1020">
            <v>65</v>
          </cell>
          <cell r="L1020">
            <v>-2.4483190000000001</v>
          </cell>
          <cell r="M1020">
            <v>140.54482100000001</v>
          </cell>
          <cell r="O1020" t="e">
            <v>#N/A</v>
          </cell>
        </row>
        <row r="1021">
          <cell r="F1021" t="str">
            <v>Yongsu Sapari</v>
          </cell>
          <cell r="G1021" t="str">
            <v>Penyangga</v>
          </cell>
          <cell r="K1021">
            <v>30</v>
          </cell>
          <cell r="L1021">
            <v>-2.4326910000000002</v>
          </cell>
          <cell r="M1021">
            <v>140.465743</v>
          </cell>
          <cell r="O1021" t="e">
            <v>#N/A</v>
          </cell>
        </row>
        <row r="1022">
          <cell r="F1022" t="str">
            <v>Kayo Batu</v>
          </cell>
          <cell r="G1022" t="str">
            <v>Hub</v>
          </cell>
          <cell r="J1022">
            <v>1</v>
          </cell>
          <cell r="K1022">
            <v>729</v>
          </cell>
          <cell r="L1022">
            <v>-2.5315799999999999</v>
          </cell>
          <cell r="M1022">
            <v>140.73660000000001</v>
          </cell>
          <cell r="O1022" t="e">
            <v>#N/A</v>
          </cell>
        </row>
        <row r="1023">
          <cell r="F1023" t="str">
            <v>Serbin</v>
          </cell>
          <cell r="G1023" t="str">
            <v>Penyangga</v>
          </cell>
          <cell r="J1023">
            <v>0.15</v>
          </cell>
          <cell r="K1023">
            <v>45</v>
          </cell>
          <cell r="L1023">
            <v>-1.0152099999999999</v>
          </cell>
          <cell r="M1023">
            <v>134.79713000000001</v>
          </cell>
          <cell r="O1023" t="e">
            <v>#N/A</v>
          </cell>
        </row>
        <row r="1024">
          <cell r="F1024" t="str">
            <v>Warido</v>
          </cell>
          <cell r="G1024" t="str">
            <v>Penyangga</v>
          </cell>
          <cell r="J1024">
            <v>0.06</v>
          </cell>
          <cell r="K1024">
            <v>42</v>
          </cell>
          <cell r="L1024">
            <v>-0.987066</v>
          </cell>
          <cell r="M1024">
            <v>134.80286000000001</v>
          </cell>
          <cell r="O1024" t="e">
            <v>#N/A</v>
          </cell>
        </row>
        <row r="1025">
          <cell r="F1025" t="str">
            <v>Kornasoren</v>
          </cell>
          <cell r="G1025" t="str">
            <v>Hub</v>
          </cell>
          <cell r="J1025">
            <v>1</v>
          </cell>
          <cell r="K1025">
            <v>15</v>
          </cell>
          <cell r="L1025">
            <v>-0.93396999999999997</v>
          </cell>
          <cell r="M1025">
            <v>134.86497</v>
          </cell>
          <cell r="O1025" t="e">
            <v>#N/A</v>
          </cell>
        </row>
        <row r="1026">
          <cell r="F1026" t="str">
            <v>Pyefuri</v>
          </cell>
          <cell r="G1026" t="str">
            <v>Penyangga</v>
          </cell>
          <cell r="J1026">
            <v>0.15</v>
          </cell>
          <cell r="K1026">
            <v>15</v>
          </cell>
          <cell r="L1026">
            <v>-0.93869000000000002</v>
          </cell>
          <cell r="M1026">
            <v>134.83472</v>
          </cell>
          <cell r="O1026" t="e">
            <v>#N/A</v>
          </cell>
        </row>
        <row r="1027">
          <cell r="F1027" t="str">
            <v>Andei</v>
          </cell>
          <cell r="G1027" t="str">
            <v>Penyangga</v>
          </cell>
          <cell r="J1027">
            <v>0.06</v>
          </cell>
          <cell r="K1027">
            <v>17</v>
          </cell>
          <cell r="L1027">
            <v>-0.93867599999999995</v>
          </cell>
          <cell r="M1027">
            <v>134.89199400000001</v>
          </cell>
          <cell r="O1027" t="e">
            <v>#N/A</v>
          </cell>
        </row>
        <row r="1028">
          <cell r="F1028" t="str">
            <v>Sauri</v>
          </cell>
          <cell r="G1028" t="str">
            <v>Penyangga</v>
          </cell>
          <cell r="J1028">
            <v>0.06</v>
          </cell>
          <cell r="K1028">
            <v>50</v>
          </cell>
          <cell r="L1028">
            <v>-1.0081599999999999</v>
          </cell>
          <cell r="M1028">
            <v>134.93414000000001</v>
          </cell>
          <cell r="O1028" t="e">
            <v>#N/A</v>
          </cell>
        </row>
        <row r="1029">
          <cell r="F1029" t="str">
            <v>Ampunbukor</v>
          </cell>
          <cell r="G1029" t="str">
            <v>Penyangga</v>
          </cell>
          <cell r="J1029">
            <v>1</v>
          </cell>
          <cell r="K1029">
            <v>88</v>
          </cell>
          <cell r="L1029">
            <v>-0.92227000000000003</v>
          </cell>
          <cell r="M1029">
            <v>135.77656999999999</v>
          </cell>
          <cell r="O1029" t="e">
            <v>#N/A</v>
          </cell>
        </row>
        <row r="1030">
          <cell r="F1030" t="str">
            <v>Ramdori</v>
          </cell>
          <cell r="G1030" t="str">
            <v>Penyangga</v>
          </cell>
          <cell r="J1030">
            <v>0.06</v>
          </cell>
          <cell r="K1030">
            <v>45</v>
          </cell>
          <cell r="L1030">
            <v>-0.85635510000000004</v>
          </cell>
          <cell r="M1030">
            <v>135.7619315</v>
          </cell>
          <cell r="O1030" t="e">
            <v>#N/A</v>
          </cell>
        </row>
        <row r="1031">
          <cell r="F1031" t="str">
            <v>Sarwa</v>
          </cell>
          <cell r="G1031" t="str">
            <v>Penyangga</v>
          </cell>
          <cell r="J1031">
            <v>0.06</v>
          </cell>
          <cell r="K1031">
            <v>50</v>
          </cell>
          <cell r="L1031">
            <v>-0.90413969999999999</v>
          </cell>
          <cell r="M1031">
            <v>135.77513440000001</v>
          </cell>
          <cell r="O1031" t="e">
            <v>#N/A</v>
          </cell>
        </row>
        <row r="1032">
          <cell r="F1032" t="str">
            <v>Swaipak</v>
          </cell>
          <cell r="G1032" t="str">
            <v>Penyangga</v>
          </cell>
          <cell r="J1032">
            <v>6.25E-2</v>
          </cell>
          <cell r="K1032">
            <v>140</v>
          </cell>
          <cell r="L1032">
            <v>-0.93086049999999998</v>
          </cell>
          <cell r="M1032">
            <v>135.7816722</v>
          </cell>
          <cell r="O1032" t="e">
            <v>#N/A</v>
          </cell>
        </row>
        <row r="1033">
          <cell r="F1033" t="str">
            <v>Yenbepioper</v>
          </cell>
          <cell r="G1033" t="str">
            <v>Penyangga</v>
          </cell>
          <cell r="J1033">
            <v>1</v>
          </cell>
          <cell r="K1033">
            <v>55</v>
          </cell>
          <cell r="L1033">
            <v>-0.91591999999999996</v>
          </cell>
          <cell r="M1033">
            <v>135.77732</v>
          </cell>
          <cell r="O1033" t="e">
            <v>#N/A</v>
          </cell>
        </row>
        <row r="1034">
          <cell r="F1034" t="str">
            <v>Douwbo</v>
          </cell>
          <cell r="G1034" t="str">
            <v>Penyangga</v>
          </cell>
          <cell r="J1034">
            <v>0.25</v>
          </cell>
          <cell r="K1034">
            <v>55</v>
          </cell>
          <cell r="L1034">
            <v>-0.71530000000000005</v>
          </cell>
          <cell r="M1034">
            <v>135.78419</v>
          </cell>
          <cell r="O1034" t="e">
            <v>#N/A</v>
          </cell>
        </row>
        <row r="1035">
          <cell r="F1035" t="str">
            <v>Marsram</v>
          </cell>
          <cell r="G1035" t="str">
            <v>Hub</v>
          </cell>
          <cell r="J1035">
            <v>1</v>
          </cell>
          <cell r="K1035">
            <v>80</v>
          </cell>
          <cell r="L1035">
            <v>-0.79905000000000004</v>
          </cell>
          <cell r="M1035">
            <v>135.70242999999999</v>
          </cell>
          <cell r="O1035" t="e">
            <v>#N/A</v>
          </cell>
        </row>
        <row r="1036">
          <cell r="F1036" t="str">
            <v>Syurdori</v>
          </cell>
          <cell r="G1036" t="str">
            <v>Penyangga</v>
          </cell>
          <cell r="J1036">
            <v>0.15</v>
          </cell>
          <cell r="K1036">
            <v>260</v>
          </cell>
          <cell r="L1036">
            <v>-0.72435050000000001</v>
          </cell>
          <cell r="M1036">
            <v>135.77217440000001</v>
          </cell>
          <cell r="O1036" t="e">
            <v>#N/A</v>
          </cell>
        </row>
        <row r="1037">
          <cell r="F1037" t="str">
            <v>Waryesi</v>
          </cell>
          <cell r="G1037" t="str">
            <v>Penyangga</v>
          </cell>
          <cell r="J1037">
            <v>1</v>
          </cell>
          <cell r="K1037">
            <v>130</v>
          </cell>
          <cell r="L1037">
            <v>-0.74029</v>
          </cell>
          <cell r="M1037">
            <v>135.75408999999999</v>
          </cell>
          <cell r="O1037" t="e">
            <v>#N/A</v>
          </cell>
        </row>
        <row r="1038">
          <cell r="F1038" t="str">
            <v>Yawerma</v>
          </cell>
          <cell r="G1038" t="str">
            <v>Penyangga</v>
          </cell>
          <cell r="J1038">
            <v>0.25</v>
          </cell>
          <cell r="K1038">
            <v>40</v>
          </cell>
          <cell r="L1038">
            <v>-0.83266879999999999</v>
          </cell>
          <cell r="M1038">
            <v>135.68315659999999</v>
          </cell>
          <cell r="O1038" t="e">
            <v>#N/A</v>
          </cell>
        </row>
        <row r="1039">
          <cell r="F1039" t="str">
            <v>Ambora</v>
          </cell>
          <cell r="G1039" t="str">
            <v>Penyangga</v>
          </cell>
          <cell r="J1039">
            <v>0.05</v>
          </cell>
          <cell r="K1039">
            <v>75</v>
          </cell>
          <cell r="L1039">
            <v>-2.3479100000000002</v>
          </cell>
          <cell r="M1039">
            <v>140.13582</v>
          </cell>
          <cell r="O1039" t="e">
            <v>#N/A</v>
          </cell>
        </row>
        <row r="1040">
          <cell r="F1040" t="str">
            <v>Kamdera</v>
          </cell>
          <cell r="G1040" t="str">
            <v>Penyangga</v>
          </cell>
          <cell r="J1040">
            <v>0.04</v>
          </cell>
          <cell r="K1040">
            <v>105</v>
          </cell>
          <cell r="L1040">
            <v>-2.3228800000000001</v>
          </cell>
          <cell r="M1040">
            <v>140.11552</v>
          </cell>
          <cell r="O1040" t="e">
            <v>#N/A</v>
          </cell>
        </row>
        <row r="1041">
          <cell r="F1041" t="str">
            <v>Muaif</v>
          </cell>
          <cell r="G1041" t="str">
            <v>Penyangga</v>
          </cell>
          <cell r="J1041">
            <v>0.5</v>
          </cell>
          <cell r="K1041">
            <v>33</v>
          </cell>
          <cell r="L1041">
            <v>-2.3636400000000002</v>
          </cell>
          <cell r="M1041">
            <v>140.03729999999999</v>
          </cell>
          <cell r="O1041" t="e">
            <v>#N/A</v>
          </cell>
        </row>
        <row r="1042">
          <cell r="F1042" t="str">
            <v>Muris Kecil</v>
          </cell>
          <cell r="G1042" t="str">
            <v>Penyangga</v>
          </cell>
          <cell r="J1042">
            <v>0.5</v>
          </cell>
          <cell r="K1042">
            <v>135</v>
          </cell>
          <cell r="L1042">
            <v>-2.3572299999999999</v>
          </cell>
          <cell r="M1042">
            <v>140.15043</v>
          </cell>
          <cell r="O1042" t="e">
            <v>#N/A</v>
          </cell>
        </row>
        <row r="1043">
          <cell r="F1043" t="str">
            <v>Yakore</v>
          </cell>
          <cell r="G1043" t="str">
            <v>Penyangga</v>
          </cell>
          <cell r="J1043">
            <v>1</v>
          </cell>
          <cell r="K1043">
            <v>46</v>
          </cell>
          <cell r="L1043">
            <v>-2.36788</v>
          </cell>
          <cell r="M1043">
            <v>140.15170000000001</v>
          </cell>
          <cell r="O1043" t="e">
            <v>#N/A</v>
          </cell>
        </row>
        <row r="1044">
          <cell r="F1044" t="str">
            <v>Yougapsa</v>
          </cell>
          <cell r="G1044" t="str">
            <v>Penyangga</v>
          </cell>
          <cell r="J1044">
            <v>0.05</v>
          </cell>
          <cell r="K1044">
            <v>50</v>
          </cell>
          <cell r="L1044">
            <v>-2.3429190000000002</v>
          </cell>
          <cell r="M1044">
            <v>140.14541600000001</v>
          </cell>
          <cell r="O1044" t="e">
            <v>#N/A</v>
          </cell>
        </row>
        <row r="1045">
          <cell r="F1045" t="str">
            <v>Entiyebo</v>
          </cell>
          <cell r="G1045" t="str">
            <v>Penyangga</v>
          </cell>
          <cell r="J1045">
            <v>5.0999999999999997E-2</v>
          </cell>
          <cell r="K1045">
            <v>54</v>
          </cell>
          <cell r="L1045">
            <v>-2.4628830000000002</v>
          </cell>
          <cell r="M1045">
            <v>140.34520000000001</v>
          </cell>
          <cell r="O1045" t="e">
            <v>#N/A</v>
          </cell>
        </row>
        <row r="1046">
          <cell r="F1046" t="str">
            <v>Kendate</v>
          </cell>
          <cell r="G1046" t="str">
            <v>Penyangga</v>
          </cell>
          <cell r="J1046">
            <v>0.28000000000000003</v>
          </cell>
          <cell r="K1046">
            <v>78</v>
          </cell>
          <cell r="L1046">
            <v>-2.4640300000000002</v>
          </cell>
          <cell r="M1046">
            <v>140.33578</v>
          </cell>
          <cell r="O1046" t="e">
            <v>#N/A</v>
          </cell>
        </row>
        <row r="1047">
          <cell r="F1047" t="str">
            <v>Endokisi</v>
          </cell>
          <cell r="G1047" t="str">
            <v>Penyangga</v>
          </cell>
          <cell r="J1047">
            <v>0.05</v>
          </cell>
          <cell r="K1047">
            <v>90</v>
          </cell>
          <cell r="L1047">
            <v>-2.4383509999999999</v>
          </cell>
          <cell r="M1047">
            <v>140.293792</v>
          </cell>
          <cell r="O1047" t="e">
            <v>#N/A</v>
          </cell>
        </row>
        <row r="1048">
          <cell r="F1048" t="str">
            <v>Maruwai</v>
          </cell>
          <cell r="G1048" t="str">
            <v>Penyangga</v>
          </cell>
          <cell r="J1048" t="str">
            <v>Tidak Ditemukan</v>
          </cell>
          <cell r="K1048">
            <v>0</v>
          </cell>
          <cell r="L1048">
            <v>-2.4116678999999999</v>
          </cell>
          <cell r="M1048">
            <v>140.22777500000001</v>
          </cell>
          <cell r="O1048" t="e">
            <v>#N/A</v>
          </cell>
        </row>
        <row r="1049">
          <cell r="F1049" t="str">
            <v>Meukisi</v>
          </cell>
          <cell r="G1049" t="str">
            <v>Hub</v>
          </cell>
          <cell r="J1049">
            <v>0.03</v>
          </cell>
          <cell r="K1049">
            <v>630</v>
          </cell>
          <cell r="L1049">
            <v>-2.4208799999999999</v>
          </cell>
          <cell r="M1049">
            <v>140.26858999999999</v>
          </cell>
          <cell r="O1049" t="e">
            <v>#N/A</v>
          </cell>
        </row>
        <row r="1050">
          <cell r="F1050" t="str">
            <v>Senamay</v>
          </cell>
          <cell r="G1050" t="str">
            <v>Penyangga</v>
          </cell>
          <cell r="J1050">
            <v>5.3999999999999999E-2</v>
          </cell>
          <cell r="K1050">
            <v>66</v>
          </cell>
          <cell r="L1050">
            <v>-2.4449209999999999</v>
          </cell>
          <cell r="M1050">
            <v>140.314864</v>
          </cell>
          <cell r="O1050" t="e">
            <v>#N/A</v>
          </cell>
        </row>
        <row r="1051">
          <cell r="F1051" t="str">
            <v>Korem</v>
          </cell>
          <cell r="G1051" t="str">
            <v>Penyangga</v>
          </cell>
          <cell r="J1051">
            <v>0.15</v>
          </cell>
          <cell r="K1051">
            <v>80</v>
          </cell>
          <cell r="L1051">
            <v>-0.89364699999999997</v>
          </cell>
          <cell r="M1051">
            <v>136.0359818</v>
          </cell>
          <cell r="O1051" t="e">
            <v>#N/A</v>
          </cell>
        </row>
        <row r="1052">
          <cell r="F1052" t="str">
            <v>Mnuswor</v>
          </cell>
          <cell r="G1052" t="str">
            <v>Hub</v>
          </cell>
          <cell r="J1052">
            <v>1</v>
          </cell>
          <cell r="K1052">
            <v>40</v>
          </cell>
          <cell r="L1052">
            <v>-0.90100000000000002</v>
          </cell>
          <cell r="M1052">
            <v>136.03757999999999</v>
          </cell>
          <cell r="O1052" t="e">
            <v>#N/A</v>
          </cell>
        </row>
        <row r="1053">
          <cell r="F1053" t="str">
            <v>Yobdi</v>
          </cell>
          <cell r="G1053" t="str">
            <v>Penyangga</v>
          </cell>
          <cell r="J1053">
            <v>0.18</v>
          </cell>
          <cell r="K1053">
            <v>40</v>
          </cell>
          <cell r="L1053">
            <v>-0.86948999999999999</v>
          </cell>
          <cell r="M1053">
            <v>136.04633999999999</v>
          </cell>
          <cell r="O1053" t="e">
            <v>#N/A</v>
          </cell>
        </row>
        <row r="1054">
          <cell r="F1054" t="str">
            <v>Biawer</v>
          </cell>
          <cell r="G1054" t="str">
            <v>Penyangga</v>
          </cell>
          <cell r="J1054">
            <v>0.17499999999999999</v>
          </cell>
          <cell r="K1054">
            <v>22</v>
          </cell>
          <cell r="L1054">
            <v>-0.79710999999999999</v>
          </cell>
          <cell r="M1054">
            <v>135.949557</v>
          </cell>
          <cell r="O1054" t="e">
            <v>#N/A</v>
          </cell>
        </row>
        <row r="1055">
          <cell r="F1055" t="str">
            <v>Komboi</v>
          </cell>
          <cell r="G1055" t="str">
            <v>Penyangga</v>
          </cell>
          <cell r="J1055">
            <v>7.1999999999999995E-2</v>
          </cell>
          <cell r="K1055">
            <v>15</v>
          </cell>
          <cell r="L1055">
            <v>-0.79161099999999995</v>
          </cell>
          <cell r="M1055">
            <v>135.943667</v>
          </cell>
          <cell r="O1055" t="e">
            <v>#N/A</v>
          </cell>
        </row>
        <row r="1056">
          <cell r="F1056" t="str">
            <v>Marur</v>
          </cell>
          <cell r="G1056" t="str">
            <v>Penyangga</v>
          </cell>
          <cell r="J1056">
            <v>6.25E-2</v>
          </cell>
          <cell r="K1056">
            <v>20</v>
          </cell>
          <cell r="L1056">
            <v>-0.80720800000000004</v>
          </cell>
          <cell r="M1056">
            <v>135.96571700000001</v>
          </cell>
          <cell r="O1056" t="e">
            <v>#N/A</v>
          </cell>
        </row>
        <row r="1057">
          <cell r="F1057" t="str">
            <v>Sawai</v>
          </cell>
          <cell r="G1057" t="str">
            <v>Penyangga</v>
          </cell>
          <cell r="J1057">
            <v>0.03</v>
          </cell>
          <cell r="K1057">
            <v>65</v>
          </cell>
          <cell r="L1057">
            <v>-0.80295000000000005</v>
          </cell>
          <cell r="M1057">
            <v>135.96146999999999</v>
          </cell>
          <cell r="O1057" t="e">
            <v>#N/A</v>
          </cell>
        </row>
        <row r="1058">
          <cell r="F1058" t="str">
            <v>Bosnabraidi</v>
          </cell>
          <cell r="G1058" t="str">
            <v>Penyangga</v>
          </cell>
          <cell r="J1058" t="str">
            <v>Tidak Ditemukan</v>
          </cell>
          <cell r="K1058">
            <v>28</v>
          </cell>
          <cell r="L1058">
            <v>-0.83399999999999996</v>
          </cell>
          <cell r="M1058">
            <v>136.01724999999999</v>
          </cell>
          <cell r="O1058" t="e">
            <v>#N/A</v>
          </cell>
        </row>
        <row r="1059">
          <cell r="F1059" t="str">
            <v>Soor</v>
          </cell>
          <cell r="G1059" t="str">
            <v>Penyangga</v>
          </cell>
          <cell r="J1059">
            <v>3.9E-2</v>
          </cell>
          <cell r="K1059">
            <v>30</v>
          </cell>
          <cell r="L1059">
            <v>-0.81930599999999998</v>
          </cell>
          <cell r="M1059">
            <v>135.99044000000001</v>
          </cell>
          <cell r="O1059" t="e">
            <v>#N/A</v>
          </cell>
        </row>
        <row r="1060">
          <cell r="F1060" t="str">
            <v>Amyas</v>
          </cell>
          <cell r="G1060" t="str">
            <v>Penyangga</v>
          </cell>
          <cell r="J1060">
            <v>0.11</v>
          </cell>
          <cell r="K1060">
            <v>60</v>
          </cell>
          <cell r="L1060">
            <v>-0.65743949999999995</v>
          </cell>
          <cell r="M1060">
            <v>135.49006800000001</v>
          </cell>
          <cell r="O1060" t="e">
            <v>#N/A</v>
          </cell>
        </row>
        <row r="1061">
          <cell r="F1061" t="str">
            <v>Koiryakam</v>
          </cell>
          <cell r="G1061" t="str">
            <v>Penyangga</v>
          </cell>
          <cell r="J1061">
            <v>1.64</v>
          </cell>
          <cell r="K1061">
            <v>100</v>
          </cell>
          <cell r="L1061">
            <v>-0.66249930000000001</v>
          </cell>
          <cell r="M1061">
            <v>135.56535640000001</v>
          </cell>
          <cell r="O1061" t="e">
            <v>#N/A</v>
          </cell>
        </row>
        <row r="1062">
          <cell r="F1062" t="str">
            <v>Waryei</v>
          </cell>
          <cell r="G1062" t="str">
            <v>Penyangga</v>
          </cell>
          <cell r="J1062">
            <v>0.64</v>
          </cell>
          <cell r="K1062">
            <v>100</v>
          </cell>
          <cell r="L1062">
            <v>-0.66574580000000005</v>
          </cell>
          <cell r="M1062">
            <v>135.5927906</v>
          </cell>
          <cell r="O1062" t="e">
            <v>#N/A</v>
          </cell>
        </row>
        <row r="1063">
          <cell r="F1063" t="str">
            <v>Wayori</v>
          </cell>
          <cell r="G1063" t="str">
            <v>Penyangga</v>
          </cell>
          <cell r="J1063">
            <v>0.26</v>
          </cell>
          <cell r="K1063">
            <v>30</v>
          </cell>
          <cell r="L1063">
            <v>-0.66516240000000004</v>
          </cell>
          <cell r="M1063">
            <v>135.54592160000001</v>
          </cell>
          <cell r="O1063" t="e">
            <v>#N/A</v>
          </cell>
        </row>
        <row r="1064">
          <cell r="F1064" t="str">
            <v>Kobari Jaya</v>
          </cell>
          <cell r="G1064" t="str">
            <v>Penyangga</v>
          </cell>
          <cell r="J1064">
            <v>0.12</v>
          </cell>
          <cell r="K1064">
            <v>60</v>
          </cell>
          <cell r="L1064">
            <v>-0.68058390000000002</v>
          </cell>
          <cell r="M1064">
            <v>135.66178619999999</v>
          </cell>
          <cell r="O1064" t="e">
            <v>#N/A</v>
          </cell>
        </row>
        <row r="1065">
          <cell r="F1065" t="str">
            <v>Puweri</v>
          </cell>
          <cell r="G1065" t="str">
            <v>Hub</v>
          </cell>
          <cell r="J1065">
            <v>0.14000000000000001</v>
          </cell>
          <cell r="K1065">
            <v>110</v>
          </cell>
          <cell r="L1065">
            <v>-0.67397430000000003</v>
          </cell>
          <cell r="M1065">
            <v>135.62906939999999</v>
          </cell>
          <cell r="O1065" t="e">
            <v>#N/A</v>
          </cell>
        </row>
        <row r="1066">
          <cell r="F1066" t="str">
            <v>Warbor</v>
          </cell>
          <cell r="G1066" t="str">
            <v>Penyangga</v>
          </cell>
          <cell r="J1066">
            <v>0.11</v>
          </cell>
          <cell r="K1066">
            <v>32</v>
          </cell>
          <cell r="L1066">
            <v>-0.66273190000000004</v>
          </cell>
          <cell r="M1066">
            <v>135.63986919999999</v>
          </cell>
          <cell r="O1066" t="e">
            <v>#N/A</v>
          </cell>
        </row>
        <row r="1067">
          <cell r="F1067" t="str">
            <v>Warsa</v>
          </cell>
          <cell r="G1067" t="str">
            <v>Penyangga</v>
          </cell>
          <cell r="J1067">
            <v>0.62</v>
          </cell>
          <cell r="K1067">
            <v>50</v>
          </cell>
          <cell r="L1067">
            <v>-0.67807229999999996</v>
          </cell>
          <cell r="M1067">
            <v>135.61501509999999</v>
          </cell>
          <cell r="O1067" t="e">
            <v>#N/A</v>
          </cell>
        </row>
        <row r="1068">
          <cell r="F1068" t="str">
            <v>Rufei</v>
          </cell>
          <cell r="G1068" t="str">
            <v>Hub</v>
          </cell>
          <cell r="J1068">
            <v>0.3</v>
          </cell>
          <cell r="K1068">
            <v>480</v>
          </cell>
          <cell r="L1068">
            <v>-0.86377000000000004</v>
          </cell>
          <cell r="M1068">
            <v>131.2465</v>
          </cell>
          <cell r="O1068" t="e">
            <v>#N/A</v>
          </cell>
        </row>
        <row r="1069">
          <cell r="F1069" t="str">
            <v>Insiri</v>
          </cell>
          <cell r="G1069" t="str">
            <v>Penyangga</v>
          </cell>
          <cell r="J1069">
            <v>6.2100000000000002E-2</v>
          </cell>
          <cell r="K1069">
            <v>30</v>
          </cell>
          <cell r="L1069">
            <v>-1.0292835</v>
          </cell>
          <cell r="M1069">
            <v>135.82930809999999</v>
          </cell>
          <cell r="O1069" t="e">
            <v>#N/A</v>
          </cell>
        </row>
        <row r="1070">
          <cell r="F1070" t="str">
            <v>Kanaan</v>
          </cell>
          <cell r="G1070" t="str">
            <v>Penyangga</v>
          </cell>
          <cell r="J1070">
            <v>5.6000000000000001E-2</v>
          </cell>
          <cell r="K1070">
            <v>50</v>
          </cell>
          <cell r="L1070">
            <v>-1.0337185</v>
          </cell>
          <cell r="M1070">
            <v>135.8262517</v>
          </cell>
          <cell r="O1070" t="e">
            <v>#N/A</v>
          </cell>
        </row>
        <row r="1071">
          <cell r="F1071" t="str">
            <v>Mamoribo</v>
          </cell>
          <cell r="G1071" t="str">
            <v>Penyangga</v>
          </cell>
          <cell r="J1071">
            <v>0.06</v>
          </cell>
          <cell r="K1071">
            <v>20</v>
          </cell>
          <cell r="L1071">
            <v>-1.0059015</v>
          </cell>
          <cell r="M1071">
            <v>135.81713500000001</v>
          </cell>
          <cell r="O1071" t="e">
            <v>#N/A</v>
          </cell>
        </row>
        <row r="1072">
          <cell r="F1072" t="str">
            <v>Rarsbari</v>
          </cell>
          <cell r="G1072" t="str">
            <v>Penyangga</v>
          </cell>
          <cell r="J1072">
            <v>0.09</v>
          </cell>
          <cell r="K1072">
            <v>20</v>
          </cell>
          <cell r="L1072">
            <v>-1.0028028</v>
          </cell>
          <cell r="M1072">
            <v>135.8065028</v>
          </cell>
          <cell r="O1072" t="e">
            <v>#N/A</v>
          </cell>
        </row>
        <row r="1073">
          <cell r="F1073" t="str">
            <v>Waroi</v>
          </cell>
          <cell r="G1073" t="str">
            <v>Penyangga</v>
          </cell>
          <cell r="J1073">
            <v>5.4199999999999998E-2</v>
          </cell>
          <cell r="K1073">
            <v>100</v>
          </cell>
          <cell r="L1073">
            <v>-1.173583</v>
          </cell>
          <cell r="M1073">
            <v>135.879403</v>
          </cell>
          <cell r="O1073" t="e">
            <v>#N/A</v>
          </cell>
        </row>
        <row r="1074">
          <cell r="F1074" t="str">
            <v>Domande</v>
          </cell>
          <cell r="G1074" t="str">
            <v>Penyangga</v>
          </cell>
          <cell r="J1074">
            <v>1</v>
          </cell>
          <cell r="K1074">
            <v>100</v>
          </cell>
          <cell r="L1074">
            <v>-8.1259099999999993</v>
          </cell>
          <cell r="M1074">
            <v>139.96011999999999</v>
          </cell>
          <cell r="O1074" t="e">
            <v>#N/A</v>
          </cell>
        </row>
        <row r="1075">
          <cell r="F1075" t="str">
            <v>Kumbe</v>
          </cell>
          <cell r="G1075" t="str">
            <v>Hub</v>
          </cell>
          <cell r="J1075">
            <v>1</v>
          </cell>
          <cell r="K1075">
            <v>179</v>
          </cell>
          <cell r="L1075">
            <v>-8.3469899999999999</v>
          </cell>
          <cell r="M1075">
            <v>140.27687</v>
          </cell>
          <cell r="O1075" t="e">
            <v>#N/A</v>
          </cell>
        </row>
        <row r="1076">
          <cell r="F1076" t="str">
            <v>Urumb</v>
          </cell>
          <cell r="G1076" t="str">
            <v>Penyangga</v>
          </cell>
          <cell r="J1076">
            <v>0.97</v>
          </cell>
          <cell r="K1076">
            <v>80</v>
          </cell>
          <cell r="L1076">
            <v>-8.4631699999999999</v>
          </cell>
          <cell r="M1076">
            <v>140.32785999999999</v>
          </cell>
          <cell r="O1076" t="e">
            <v>#N/A</v>
          </cell>
        </row>
        <row r="1077">
          <cell r="F1077" t="str">
            <v>Sau Uram</v>
          </cell>
          <cell r="G1077" t="str">
            <v>Hub</v>
          </cell>
          <cell r="J1077">
            <v>1</v>
          </cell>
          <cell r="K1077">
            <v>35</v>
          </cell>
          <cell r="L1077">
            <v>-0.63439999999999996</v>
          </cell>
          <cell r="M1077">
            <v>131.92389</v>
          </cell>
          <cell r="O1077" t="e">
            <v>#N/A</v>
          </cell>
        </row>
        <row r="1078">
          <cell r="F1078" t="str">
            <v>Somiangga</v>
          </cell>
          <cell r="G1078" t="str">
            <v>Penyangga</v>
          </cell>
          <cell r="J1078" t="str">
            <v>Tidak Ditemukan</v>
          </cell>
          <cell r="K1078">
            <v>32</v>
          </cell>
          <cell r="L1078">
            <v>-2.622969946</v>
          </cell>
          <cell r="M1078">
            <v>136.21444210000001</v>
          </cell>
          <cell r="O1078" t="e">
            <v>#N/A</v>
          </cell>
        </row>
        <row r="1079">
          <cell r="F1079" t="str">
            <v>Dokis</v>
          </cell>
          <cell r="G1079" t="str">
            <v>Penyangga</v>
          </cell>
          <cell r="J1079">
            <v>8.4037000000000001E-2</v>
          </cell>
          <cell r="K1079">
            <v>55</v>
          </cell>
          <cell r="L1079">
            <v>-2.7515808000000002</v>
          </cell>
          <cell r="M1079">
            <v>136.0579525</v>
          </cell>
          <cell r="O1079" t="e">
            <v>#N/A</v>
          </cell>
        </row>
        <row r="1080">
          <cell r="F1080" t="str">
            <v>Kamarisano</v>
          </cell>
          <cell r="G1080" t="str">
            <v>Penyangga</v>
          </cell>
          <cell r="J1080">
            <v>0.17499999999999999</v>
          </cell>
          <cell r="L1080">
            <v>-2.7150242000000002</v>
          </cell>
          <cell r="M1080">
            <v>136.01720700000001</v>
          </cell>
          <cell r="O1080" t="e">
            <v>#N/A</v>
          </cell>
        </row>
        <row r="1081">
          <cell r="F1081" t="str">
            <v>Wapoga</v>
          </cell>
          <cell r="G1081" t="str">
            <v>Penyangga</v>
          </cell>
          <cell r="J1081" t="str">
            <v>Tidak Ditemukan</v>
          </cell>
          <cell r="K1081">
            <v>28</v>
          </cell>
          <cell r="L1081">
            <v>-2.6913360389999998</v>
          </cell>
          <cell r="M1081">
            <v>136.0608862</v>
          </cell>
          <cell r="O1081" t="e">
            <v>#N/A</v>
          </cell>
        </row>
        <row r="1082">
          <cell r="F1082" t="str">
            <v>Siriwini</v>
          </cell>
          <cell r="G1082" t="str">
            <v>Hub</v>
          </cell>
          <cell r="J1082">
            <v>0.59</v>
          </cell>
          <cell r="K1082">
            <v>839</v>
          </cell>
          <cell r="L1082">
            <v>-3.3439700000000001</v>
          </cell>
          <cell r="M1082">
            <v>135.51233999999999</v>
          </cell>
          <cell r="O1082" t="e">
            <v>#N/A</v>
          </cell>
        </row>
        <row r="1083">
          <cell r="F1083" t="str">
            <v>Weinami</v>
          </cell>
          <cell r="G1083" t="str">
            <v>Penyangga</v>
          </cell>
          <cell r="J1083">
            <v>0.31</v>
          </cell>
          <cell r="K1083">
            <v>77</v>
          </cell>
          <cell r="L1083">
            <v>-3.0512600000000001</v>
          </cell>
          <cell r="M1083">
            <v>135.76281</v>
          </cell>
          <cell r="O1083" t="e">
            <v>#N/A</v>
          </cell>
        </row>
        <row r="1084">
          <cell r="F1084" t="str">
            <v>Kiriyou</v>
          </cell>
          <cell r="G1084" t="str">
            <v>Penyangga</v>
          </cell>
          <cell r="J1084" t="str">
            <v>Tidak Ditemukan</v>
          </cell>
          <cell r="K1084">
            <v>7</v>
          </cell>
          <cell r="L1084">
            <v>-1.670836</v>
          </cell>
          <cell r="M1084">
            <v>136.23717300000001</v>
          </cell>
          <cell r="O1084" t="e">
            <v>#N/A</v>
          </cell>
        </row>
        <row r="1085">
          <cell r="F1085" t="str">
            <v>Soromasen</v>
          </cell>
          <cell r="G1085" t="str">
            <v>Hub</v>
          </cell>
          <cell r="J1085">
            <v>1</v>
          </cell>
          <cell r="K1085">
            <v>90</v>
          </cell>
          <cell r="L1085">
            <v>-1.70475</v>
          </cell>
          <cell r="M1085">
            <v>136.46812</v>
          </cell>
          <cell r="O1085" t="e">
            <v>#N/A</v>
          </cell>
        </row>
        <row r="1086">
          <cell r="F1086" t="str">
            <v>Mur</v>
          </cell>
          <cell r="G1086" t="str">
            <v>Penyangga</v>
          </cell>
          <cell r="J1086">
            <v>1</v>
          </cell>
          <cell r="K1086">
            <v>304</v>
          </cell>
          <cell r="L1086">
            <v>-6.9089200000000002</v>
          </cell>
          <cell r="M1086">
            <v>139.23599999999999</v>
          </cell>
          <cell r="O1086" t="e">
            <v>#N/A</v>
          </cell>
        </row>
        <row r="1087">
          <cell r="F1087" t="str">
            <v>Wagin</v>
          </cell>
          <cell r="G1087" t="str">
            <v>Penyangga</v>
          </cell>
          <cell r="J1087">
            <v>1</v>
          </cell>
          <cell r="K1087">
            <v>490</v>
          </cell>
          <cell r="L1087">
            <v>-6.8460900000000002</v>
          </cell>
          <cell r="M1087">
            <v>138.87905000000001</v>
          </cell>
          <cell r="O1087" t="e">
            <v>#N/A</v>
          </cell>
        </row>
        <row r="1088">
          <cell r="F1088" t="str">
            <v>Sumuraman</v>
          </cell>
          <cell r="G1088" t="str">
            <v>Hub</v>
          </cell>
          <cell r="J1088">
            <v>3</v>
          </cell>
          <cell r="K1088">
            <v>371</v>
          </cell>
          <cell r="L1088">
            <v>-6.6284999999999998</v>
          </cell>
          <cell r="M1088">
            <v>138.78945999999999</v>
          </cell>
          <cell r="O1088" t="e">
            <v>#N/A</v>
          </cell>
        </row>
        <row r="1089">
          <cell r="F1089" t="str">
            <v>Anggaduber</v>
          </cell>
          <cell r="G1089" t="str">
            <v>Penyangga</v>
          </cell>
          <cell r="J1089" t="str">
            <v>Tidak Ditemukan</v>
          </cell>
          <cell r="K1089">
            <v>24</v>
          </cell>
          <cell r="L1089">
            <v>-1.133</v>
          </cell>
          <cell r="M1089">
            <v>136.326167</v>
          </cell>
          <cell r="O1089" t="e">
            <v>#N/A</v>
          </cell>
        </row>
        <row r="1090">
          <cell r="F1090" t="str">
            <v>Animi</v>
          </cell>
          <cell r="G1090" t="str">
            <v>Penyangga</v>
          </cell>
          <cell r="J1090">
            <v>0.06</v>
          </cell>
          <cell r="K1090">
            <v>21</v>
          </cell>
          <cell r="L1090">
            <v>-1.1306400000000001</v>
          </cell>
          <cell r="M1090">
            <v>136.32886999999999</v>
          </cell>
          <cell r="O1090" t="e">
            <v>#N/A</v>
          </cell>
        </row>
        <row r="1091">
          <cell r="F1091" t="str">
            <v>Opiaref</v>
          </cell>
          <cell r="G1091" t="str">
            <v>Penyangga</v>
          </cell>
          <cell r="J1091">
            <v>0.06</v>
          </cell>
          <cell r="K1091">
            <v>32</v>
          </cell>
          <cell r="L1091">
            <v>-1.161538</v>
          </cell>
          <cell r="M1091">
            <v>136.25919200000001</v>
          </cell>
          <cell r="O1091" t="e">
            <v>#N/A</v>
          </cell>
        </row>
        <row r="1092">
          <cell r="F1092" t="str">
            <v>Sawa</v>
          </cell>
          <cell r="G1092" t="str">
            <v>Penyangga</v>
          </cell>
          <cell r="J1092">
            <v>3.7499999999999999E-2</v>
          </cell>
          <cell r="K1092">
            <v>75</v>
          </cell>
          <cell r="L1092">
            <v>-1.1515</v>
          </cell>
          <cell r="M1092">
            <v>136.279797</v>
          </cell>
          <cell r="O1092" t="e">
            <v>#N/A</v>
          </cell>
        </row>
        <row r="1093">
          <cell r="F1093" t="str">
            <v>Tanjung Barari</v>
          </cell>
          <cell r="G1093" t="str">
            <v>Hub</v>
          </cell>
          <cell r="J1093">
            <v>0.2</v>
          </cell>
          <cell r="K1093">
            <v>62</v>
          </cell>
          <cell r="L1093">
            <v>-1.1088899999999999</v>
          </cell>
          <cell r="M1093">
            <v>136.35471999999999</v>
          </cell>
          <cell r="O1093" t="e">
            <v>#N/A</v>
          </cell>
        </row>
        <row r="1094">
          <cell r="F1094" t="str">
            <v>Isogo</v>
          </cell>
          <cell r="G1094" t="str">
            <v>Penyangga</v>
          </cell>
          <cell r="J1094">
            <v>0.25</v>
          </cell>
          <cell r="K1094">
            <v>156</v>
          </cell>
          <cell r="L1094">
            <v>-2.2256170000000002</v>
          </cell>
          <cell r="M1094">
            <v>132.265748</v>
          </cell>
          <cell r="O1094" t="e">
            <v>#N/A</v>
          </cell>
        </row>
        <row r="1095">
          <cell r="F1095" t="str">
            <v>Siri-siri</v>
          </cell>
          <cell r="G1095" t="str">
            <v>Penyangga</v>
          </cell>
          <cell r="J1095">
            <v>0.5</v>
          </cell>
          <cell r="K1095">
            <v>332</v>
          </cell>
          <cell r="L1095">
            <v>-2.1365820000000002</v>
          </cell>
          <cell r="M1095">
            <v>132.13233299999999</v>
          </cell>
          <cell r="O1095" t="e">
            <v>#N/A</v>
          </cell>
        </row>
        <row r="1096">
          <cell r="F1096" t="str">
            <v>Kasuweri</v>
          </cell>
          <cell r="G1096" t="str">
            <v>Penyangga</v>
          </cell>
          <cell r="J1096">
            <v>0.5</v>
          </cell>
          <cell r="K1096">
            <v>220</v>
          </cell>
          <cell r="L1096">
            <v>-2.2722530000000001</v>
          </cell>
          <cell r="M1096">
            <v>132.33302900000001</v>
          </cell>
          <cell r="O1096" t="e">
            <v>#N/A</v>
          </cell>
        </row>
        <row r="1097">
          <cell r="F1097" t="str">
            <v>Tambani</v>
          </cell>
          <cell r="G1097" t="str">
            <v>Penyangga</v>
          </cell>
          <cell r="J1097">
            <v>0.3</v>
          </cell>
          <cell r="K1097">
            <v>179</v>
          </cell>
          <cell r="L1097">
            <v>-2.1888920000000001</v>
          </cell>
          <cell r="M1097">
            <v>132.559046</v>
          </cell>
          <cell r="O1097" t="e">
            <v>#N/A</v>
          </cell>
        </row>
        <row r="1098">
          <cell r="F1098" t="str">
            <v>Tarof</v>
          </cell>
          <cell r="G1098" t="str">
            <v>Hub</v>
          </cell>
          <cell r="J1098">
            <v>1</v>
          </cell>
          <cell r="K1098">
            <v>256</v>
          </cell>
          <cell r="L1098">
            <v>-2.2257370000000001</v>
          </cell>
          <cell r="M1098">
            <v>132.45017899999999</v>
          </cell>
          <cell r="O1098" t="e">
            <v>#N/A</v>
          </cell>
        </row>
        <row r="1099">
          <cell r="F1099" t="str">
            <v>Ketu Api</v>
          </cell>
          <cell r="G1099" t="str">
            <v>Penyangga</v>
          </cell>
          <cell r="J1099">
            <v>0.1</v>
          </cell>
          <cell r="K1099">
            <v>60</v>
          </cell>
          <cell r="L1099">
            <v>-1.8763300000000001</v>
          </cell>
          <cell r="M1099">
            <v>136.21215000000001</v>
          </cell>
          <cell r="O1099" t="e">
            <v>#N/A</v>
          </cell>
        </row>
        <row r="1100">
          <cell r="F1100" t="str">
            <v>Maria Rotu</v>
          </cell>
          <cell r="G1100" t="str">
            <v>Penyangga</v>
          </cell>
          <cell r="K1100">
            <v>34</v>
          </cell>
          <cell r="L1100">
            <v>-1.8179829999999999</v>
          </cell>
          <cell r="M1100">
            <v>136.02375000000001</v>
          </cell>
          <cell r="O1100" t="e">
            <v>#N/A</v>
          </cell>
        </row>
        <row r="1101">
          <cell r="F1101" t="str">
            <v>Tatui</v>
          </cell>
          <cell r="G1101" t="str">
            <v>Penyangga</v>
          </cell>
          <cell r="J1101">
            <v>0.2</v>
          </cell>
          <cell r="K1101">
            <v>50</v>
          </cell>
          <cell r="L1101">
            <v>-1.8521000000000001</v>
          </cell>
          <cell r="M1101">
            <v>136.12925999999999</v>
          </cell>
          <cell r="O1101" t="e">
            <v>#N/A</v>
          </cell>
        </row>
        <row r="1102">
          <cell r="F1102" t="str">
            <v>Umani</v>
          </cell>
          <cell r="G1102" t="str">
            <v>Penyangga</v>
          </cell>
          <cell r="J1102">
            <v>0.06</v>
          </cell>
          <cell r="K1102">
            <v>85</v>
          </cell>
          <cell r="L1102">
            <v>-1.89655</v>
          </cell>
          <cell r="M1102">
            <v>136.28719000000001</v>
          </cell>
          <cell r="O1102" t="e">
            <v>#N/A</v>
          </cell>
        </row>
        <row r="1103">
          <cell r="F1103" t="str">
            <v>Turu</v>
          </cell>
          <cell r="G1103" t="str">
            <v>Hub</v>
          </cell>
          <cell r="J1103">
            <v>0.05</v>
          </cell>
          <cell r="K1103">
            <v>36</v>
          </cell>
          <cell r="L1103">
            <v>-1.8914500000000001</v>
          </cell>
          <cell r="M1103">
            <v>136.25393</v>
          </cell>
          <cell r="O1103" t="e">
            <v>#N/A</v>
          </cell>
        </row>
        <row r="1104">
          <cell r="F1104" t="str">
            <v>Rambai</v>
          </cell>
          <cell r="G1104" t="str">
            <v>Penyangga</v>
          </cell>
          <cell r="J1104">
            <v>0.08</v>
          </cell>
          <cell r="K1104">
            <v>30</v>
          </cell>
          <cell r="L1104">
            <v>-1.8742000000000001</v>
          </cell>
          <cell r="M1104">
            <v>136.29454000000001</v>
          </cell>
          <cell r="O1104" t="e">
            <v>#N/A</v>
          </cell>
        </row>
        <row r="1105">
          <cell r="F1105" t="str">
            <v>Wadapi</v>
          </cell>
          <cell r="G1105" t="str">
            <v>Penyangga</v>
          </cell>
          <cell r="J1105">
            <v>0.2</v>
          </cell>
          <cell r="K1105">
            <v>100</v>
          </cell>
          <cell r="L1105">
            <v>-1.87307</v>
          </cell>
          <cell r="M1105">
            <v>136.41418999999999</v>
          </cell>
          <cell r="O1105" t="e">
            <v>#N/A</v>
          </cell>
        </row>
        <row r="1106">
          <cell r="F1106" t="str">
            <v>Adiwipi</v>
          </cell>
          <cell r="G1106" t="str">
            <v>Penyangga</v>
          </cell>
          <cell r="J1106">
            <v>0.2</v>
          </cell>
          <cell r="K1106">
            <v>60</v>
          </cell>
          <cell r="L1106">
            <v>-1.9479200000000001</v>
          </cell>
          <cell r="M1106">
            <v>136.35626999999999</v>
          </cell>
          <cell r="O1106" t="e">
            <v>#N/A</v>
          </cell>
        </row>
        <row r="1107">
          <cell r="F1107" t="str">
            <v>Toroa</v>
          </cell>
          <cell r="G1107" t="str">
            <v>Penyangga</v>
          </cell>
          <cell r="J1107">
            <v>0.06</v>
          </cell>
          <cell r="K1107">
            <v>63</v>
          </cell>
          <cell r="L1107">
            <v>-1.9051400000000001</v>
          </cell>
          <cell r="M1107">
            <v>136.33019999999999</v>
          </cell>
          <cell r="O1107" t="e">
            <v>#N/A</v>
          </cell>
        </row>
        <row r="1108">
          <cell r="F1108" t="str">
            <v>Ampimoi</v>
          </cell>
          <cell r="G1108" t="str">
            <v>Penyangga</v>
          </cell>
          <cell r="J1108" t="str">
            <v>Tidak Ditemukan</v>
          </cell>
          <cell r="K1108">
            <v>71</v>
          </cell>
          <cell r="L1108">
            <v>-1.8654440000000001</v>
          </cell>
          <cell r="M1108">
            <v>136.51275000000001</v>
          </cell>
          <cell r="O1108" t="e">
            <v>#N/A</v>
          </cell>
        </row>
        <row r="1109">
          <cell r="F1109" t="str">
            <v>Bareraif</v>
          </cell>
          <cell r="G1109" t="str">
            <v>Penyangga</v>
          </cell>
          <cell r="J1109">
            <v>1.1000000000000001</v>
          </cell>
          <cell r="K1109">
            <v>36</v>
          </cell>
          <cell r="L1109">
            <v>-1.8793299999999999</v>
          </cell>
          <cell r="M1109">
            <v>136.49475000000001</v>
          </cell>
          <cell r="O1109" t="e">
            <v>#N/A</v>
          </cell>
        </row>
        <row r="1110">
          <cell r="F1110" t="str">
            <v>Korombobi</v>
          </cell>
          <cell r="G1110" t="str">
            <v>Penyangga</v>
          </cell>
          <cell r="J1110">
            <v>0.4</v>
          </cell>
          <cell r="K1110">
            <v>75</v>
          </cell>
          <cell r="L1110">
            <v>-1.86334</v>
          </cell>
          <cell r="M1110">
            <v>136.61328</v>
          </cell>
          <cell r="O1110" t="e">
            <v>#N/A</v>
          </cell>
        </row>
        <row r="1111">
          <cell r="F1111" t="str">
            <v>Wamargege</v>
          </cell>
          <cell r="G1111" t="str">
            <v>Hub</v>
          </cell>
          <cell r="J1111">
            <v>1</v>
          </cell>
          <cell r="K1111">
            <v>723</v>
          </cell>
          <cell r="L1111">
            <v>-1.5664400000000001</v>
          </cell>
          <cell r="M1111">
            <v>131.95248000000001</v>
          </cell>
          <cell r="O1111" t="e">
            <v>#N/A</v>
          </cell>
        </row>
        <row r="1112">
          <cell r="F1112" t="str">
            <v>Kamaro</v>
          </cell>
          <cell r="G1112" t="str">
            <v>Penyangga</v>
          </cell>
          <cell r="J1112">
            <v>0.5</v>
          </cell>
          <cell r="K1112">
            <v>108</v>
          </cell>
          <cell r="L1112">
            <v>-1.428534</v>
          </cell>
          <cell r="M1112">
            <v>131.98448400000001</v>
          </cell>
          <cell r="O1112" t="e">
            <v>#N/A</v>
          </cell>
        </row>
        <row r="1113">
          <cell r="F1113" t="str">
            <v>Klaogin</v>
          </cell>
          <cell r="G1113" t="str">
            <v>Penyangga</v>
          </cell>
          <cell r="J1113">
            <v>0.5</v>
          </cell>
          <cell r="K1113">
            <v>106</v>
          </cell>
          <cell r="L1113">
            <v>-1.346139</v>
          </cell>
          <cell r="M1113">
            <v>131.87697700000001</v>
          </cell>
          <cell r="O1113" t="e">
            <v>#N/A</v>
          </cell>
        </row>
        <row r="1114">
          <cell r="F1114" t="str">
            <v>Kaipuri</v>
          </cell>
          <cell r="G1114" t="str">
            <v>Penyangga</v>
          </cell>
          <cell r="J1114">
            <v>0.48</v>
          </cell>
          <cell r="K1114">
            <v>50</v>
          </cell>
          <cell r="L1114">
            <v>-1.8460000000000001</v>
          </cell>
          <cell r="M1114">
            <v>136.9923</v>
          </cell>
          <cell r="O1114" t="e">
            <v>#N/A</v>
          </cell>
        </row>
        <row r="1115">
          <cell r="F1115" t="str">
            <v>Mnukwar</v>
          </cell>
          <cell r="G1115" t="str">
            <v>Penyangga</v>
          </cell>
          <cell r="J1115">
            <v>0.1</v>
          </cell>
          <cell r="K1115">
            <v>40</v>
          </cell>
          <cell r="L1115">
            <v>-1.83725</v>
          </cell>
          <cell r="M1115">
            <v>137.03414000000001</v>
          </cell>
          <cell r="O1115" t="e">
            <v>#N/A</v>
          </cell>
        </row>
        <row r="1116">
          <cell r="F1116" t="str">
            <v>Barawai</v>
          </cell>
          <cell r="G1116" t="str">
            <v>Penyangga</v>
          </cell>
          <cell r="J1116">
            <v>0.8</v>
          </cell>
          <cell r="K1116">
            <v>195</v>
          </cell>
          <cell r="L1116">
            <v>-1.79802</v>
          </cell>
          <cell r="M1116">
            <v>136.87857</v>
          </cell>
          <cell r="O1116" t="e">
            <v>#N/A</v>
          </cell>
        </row>
        <row r="1117">
          <cell r="F1117" t="str">
            <v>Warembori</v>
          </cell>
          <cell r="G1117" t="str">
            <v>Hub</v>
          </cell>
          <cell r="J1117">
            <v>0.5</v>
          </cell>
          <cell r="K1117">
            <v>127</v>
          </cell>
          <cell r="L1117">
            <v>-1.48695</v>
          </cell>
          <cell r="M1117">
            <v>137.88739000000001</v>
          </cell>
          <cell r="O1117" t="e">
            <v>#N/A</v>
          </cell>
        </row>
        <row r="1118">
          <cell r="F1118" t="str">
            <v>Poiwai</v>
          </cell>
          <cell r="G1118" t="str">
            <v>Penyangga</v>
          </cell>
          <cell r="J1118">
            <v>1</v>
          </cell>
          <cell r="K1118">
            <v>96</v>
          </cell>
          <cell r="L1118">
            <v>-1.85829</v>
          </cell>
          <cell r="M1118">
            <v>137.09299999999999</v>
          </cell>
          <cell r="O1118" t="e">
            <v>#N/A</v>
          </cell>
        </row>
        <row r="1119">
          <cell r="F1119" t="str">
            <v>Tamakuri</v>
          </cell>
          <cell r="G1119" t="str">
            <v>Penyangga</v>
          </cell>
          <cell r="J1119" t="str">
            <v>Tidak Ditemukan</v>
          </cell>
          <cell r="K1119">
            <v>62</v>
          </cell>
          <cell r="L1119">
            <v>-1.5907089759999999</v>
          </cell>
          <cell r="M1119">
            <v>137.5938136</v>
          </cell>
          <cell r="O1119" t="e">
            <v>#N/A</v>
          </cell>
        </row>
        <row r="1120">
          <cell r="F1120" t="str">
            <v>Gag</v>
          </cell>
          <cell r="G1120" t="str">
            <v>Penyangga</v>
          </cell>
          <cell r="J1120">
            <v>0.15</v>
          </cell>
          <cell r="K1120">
            <v>35</v>
          </cell>
          <cell r="L1120">
            <v>-0.43806147299999998</v>
          </cell>
          <cell r="M1120">
            <v>129.90428309999999</v>
          </cell>
          <cell r="O1120" t="e">
            <v>#N/A</v>
          </cell>
        </row>
        <row r="1121">
          <cell r="F1121" t="str">
            <v>Wanam</v>
          </cell>
          <cell r="G1121" t="str">
            <v>Penyangga</v>
          </cell>
          <cell r="J1121">
            <v>1</v>
          </cell>
          <cell r="K1121">
            <v>182</v>
          </cell>
          <cell r="L1121">
            <v>-7.5143300000000002</v>
          </cell>
          <cell r="M1121">
            <v>139.03254000000001</v>
          </cell>
          <cell r="O1121" t="e">
            <v>#N/A</v>
          </cell>
        </row>
        <row r="1122">
          <cell r="F1122" t="str">
            <v>Wogekel</v>
          </cell>
          <cell r="G1122" t="str">
            <v>Hub</v>
          </cell>
          <cell r="J1122">
            <v>1</v>
          </cell>
          <cell r="K1122">
            <v>137</v>
          </cell>
          <cell r="L1122">
            <v>-7.5283600000000002</v>
          </cell>
          <cell r="M1122">
            <v>139.08949000000001</v>
          </cell>
          <cell r="O1122" t="e">
            <v>#N/A</v>
          </cell>
        </row>
        <row r="1123">
          <cell r="F1123" t="str">
            <v>Ausem</v>
          </cell>
          <cell r="G1123" t="str">
            <v>Penyangga</v>
          </cell>
          <cell r="J1123">
            <v>0.5</v>
          </cell>
          <cell r="K1123">
            <v>68</v>
          </cell>
          <cell r="L1123">
            <v>-1.4912300000000001</v>
          </cell>
          <cell r="M1123">
            <v>135.15455</v>
          </cell>
          <cell r="O1123" t="e">
            <v>#N/A</v>
          </cell>
        </row>
        <row r="1124">
          <cell r="F1124" t="str">
            <v>Miosnum</v>
          </cell>
          <cell r="G1124" t="str">
            <v>Penyangga</v>
          </cell>
          <cell r="J1124" t="str">
            <v>Tidak Ditemukan</v>
          </cell>
          <cell r="K1124">
            <v>11</v>
          </cell>
          <cell r="L1124">
            <v>-1.483417</v>
          </cell>
          <cell r="M1124">
            <v>135.33455799999999</v>
          </cell>
          <cell r="O1124" t="e">
            <v>#N/A</v>
          </cell>
        </row>
        <row r="1125">
          <cell r="F1125" t="str">
            <v>Woinap</v>
          </cell>
          <cell r="G1125" t="str">
            <v>Hub</v>
          </cell>
          <cell r="J1125">
            <v>0.97</v>
          </cell>
          <cell r="K1125">
            <v>80</v>
          </cell>
          <cell r="L1125">
            <v>-1.63286</v>
          </cell>
          <cell r="M1125">
            <v>135.46083999999999</v>
          </cell>
          <cell r="O1125" t="e">
            <v>#N/A</v>
          </cell>
        </row>
        <row r="1126">
          <cell r="F1126" t="str">
            <v>Mandori</v>
          </cell>
          <cell r="G1126" t="str">
            <v>Penyangga</v>
          </cell>
          <cell r="J1126">
            <v>7.0000000000000007E-2</v>
          </cell>
          <cell r="K1126">
            <v>50</v>
          </cell>
          <cell r="L1126">
            <v>-1.06124</v>
          </cell>
          <cell r="M1126">
            <v>134.97790000000001</v>
          </cell>
          <cell r="O1126" t="e">
            <v>#N/A</v>
          </cell>
        </row>
        <row r="1127">
          <cell r="F1127" t="str">
            <v>Manwor Indah</v>
          </cell>
          <cell r="G1127" t="str">
            <v>Penyangga</v>
          </cell>
          <cell r="J1127">
            <v>0.06</v>
          </cell>
          <cell r="K1127">
            <v>50</v>
          </cell>
          <cell r="L1127">
            <v>-1.13175</v>
          </cell>
          <cell r="M1127">
            <v>134.92140000000001</v>
          </cell>
          <cell r="O1127" t="e">
            <v>#N/A</v>
          </cell>
        </row>
        <row r="1128">
          <cell r="F1128" t="str">
            <v>Saribi</v>
          </cell>
          <cell r="G1128" t="str">
            <v>Penyangga</v>
          </cell>
          <cell r="J1128">
            <v>0.06</v>
          </cell>
          <cell r="K1128">
            <v>84</v>
          </cell>
          <cell r="L1128">
            <v>-1.129842</v>
          </cell>
          <cell r="M1128">
            <v>134.86440300000001</v>
          </cell>
          <cell r="O1128" t="e">
            <v>#N/A</v>
          </cell>
        </row>
        <row r="1129">
          <cell r="F1129" t="str">
            <v>Wansra</v>
          </cell>
          <cell r="G1129" t="str">
            <v>Penyangga</v>
          </cell>
          <cell r="J1129">
            <v>0.06</v>
          </cell>
          <cell r="K1129">
            <v>64</v>
          </cell>
          <cell r="L1129">
            <v>-1.1265400000000001</v>
          </cell>
          <cell r="M1129">
            <v>134.95195000000001</v>
          </cell>
          <cell r="O1129" t="e">
            <v>#N/A</v>
          </cell>
        </row>
        <row r="1130">
          <cell r="F1130" t="str">
            <v>Yenbepon</v>
          </cell>
          <cell r="G1130" t="str">
            <v>Hub</v>
          </cell>
          <cell r="J1130">
            <v>1</v>
          </cell>
          <cell r="K1130">
            <v>60</v>
          </cell>
          <cell r="L1130">
            <v>-1.119972</v>
          </cell>
          <cell r="M1130">
            <v>134.85602800000001</v>
          </cell>
          <cell r="O1130" t="e">
            <v>#N/A</v>
          </cell>
        </row>
      </sheetData>
      <sheetData sheetId="20">
        <row r="1">
          <cell r="E1" t="str">
            <v>KAMPUNG NELAYAN</v>
          </cell>
          <cell r="F1" t="str">
            <v>HASIL PLENO</v>
          </cell>
          <cell r="G1" t="str">
            <v>HPS</v>
          </cell>
          <cell r="H1" t="str">
            <v>PENYEDIA</v>
          </cell>
          <cell r="I1" t="str">
            <v>NOMOR PAKET</v>
          </cell>
          <cell r="J1" t="str">
            <v>NEGOSIASI</v>
          </cell>
          <cell r="K1" t="str">
            <v>PROGRES PAKET</v>
          </cell>
        </row>
        <row r="2">
          <cell r="E2" t="str">
            <v>Bonebone</v>
          </cell>
          <cell r="F2" t="str">
            <v>Hub</v>
          </cell>
          <cell r="G2">
            <v>7827365000</v>
          </cell>
          <cell r="H2" t="str">
            <v>SARJIS AGUNG INDRAJAYA</v>
          </cell>
          <cell r="I2">
            <v>1</v>
          </cell>
          <cell r="J2">
            <v>7528941696</v>
          </cell>
          <cell r="K2" t="str">
            <v>KONTRAK</v>
          </cell>
        </row>
        <row r="3">
          <cell r="E3" t="str">
            <v>Sulaa</v>
          </cell>
          <cell r="F3" t="str">
            <v>Penyangga</v>
          </cell>
          <cell r="G3">
            <v>4478245000</v>
          </cell>
          <cell r="H3" t="str">
            <v>SARJIS AGUNG INDRAJAYA</v>
          </cell>
          <cell r="I3">
            <v>1</v>
          </cell>
          <cell r="J3">
            <v>4449404274</v>
          </cell>
          <cell r="K3" t="str">
            <v>KONTRAK</v>
          </cell>
        </row>
        <row r="4">
          <cell r="E4" t="str">
            <v>Kaofe</v>
          </cell>
          <cell r="F4" t="str">
            <v>Penyangga</v>
          </cell>
          <cell r="G4">
            <v>3831151000</v>
          </cell>
          <cell r="H4" t="str">
            <v>SARJIS AGUNG INDRAJAYA</v>
          </cell>
          <cell r="I4">
            <v>1</v>
          </cell>
          <cell r="J4">
            <v>3632074332</v>
          </cell>
          <cell r="K4" t="str">
            <v>KONTRAK</v>
          </cell>
        </row>
        <row r="5">
          <cell r="E5" t="str">
            <v>Boddia</v>
          </cell>
          <cell r="F5" t="str">
            <v>Penyangga</v>
          </cell>
          <cell r="G5">
            <v>4354694000</v>
          </cell>
          <cell r="H5" t="str">
            <v>PT SINAR MOGILOLANG</v>
          </cell>
          <cell r="I5">
            <v>2</v>
          </cell>
          <cell r="J5">
            <v>4297853000</v>
          </cell>
          <cell r="K5" t="str">
            <v>KONTRAK</v>
          </cell>
        </row>
        <row r="6">
          <cell r="E6" t="str">
            <v>Sampulungan</v>
          </cell>
          <cell r="F6" t="str">
            <v>Penyangga</v>
          </cell>
          <cell r="G6">
            <v>4191083000</v>
          </cell>
          <cell r="H6" t="str">
            <v>PT SINAR MOGILOLANG</v>
          </cell>
          <cell r="I6">
            <v>2</v>
          </cell>
          <cell r="J6">
            <v>4091880000</v>
          </cell>
          <cell r="K6" t="str">
            <v>KONTRAK</v>
          </cell>
        </row>
        <row r="7">
          <cell r="E7" t="str">
            <v>Topejawa</v>
          </cell>
          <cell r="F7" t="str">
            <v>Penyangga</v>
          </cell>
          <cell r="G7">
            <v>5222018000</v>
          </cell>
          <cell r="H7" t="str">
            <v>PT SINAR MOGILOLANG</v>
          </cell>
          <cell r="I7">
            <v>2</v>
          </cell>
          <cell r="J7">
            <v>5118864000</v>
          </cell>
          <cell r="K7" t="str">
            <v>KONTRAK</v>
          </cell>
        </row>
        <row r="8">
          <cell r="E8" t="str">
            <v>Bonto Kanang</v>
          </cell>
          <cell r="F8" t="str">
            <v>Penyangga (+cs)</v>
          </cell>
          <cell r="G8">
            <v>4888213000</v>
          </cell>
          <cell r="H8" t="str">
            <v>PT SINAR MOGILOLANG</v>
          </cell>
          <cell r="I8">
            <v>2</v>
          </cell>
          <cell r="J8">
            <v>4841773000</v>
          </cell>
          <cell r="K8" t="str">
            <v>KONTRAK</v>
          </cell>
        </row>
        <row r="9">
          <cell r="E9" t="str">
            <v>Citemu</v>
          </cell>
          <cell r="F9" t="str">
            <v>Citemu</v>
          </cell>
          <cell r="G9">
            <v>4950042094.6899996</v>
          </cell>
          <cell r="H9" t="str">
            <v>PT. Citra Mutiara Bangun Persada</v>
          </cell>
          <cell r="I9">
            <v>3</v>
          </cell>
          <cell r="J9">
            <v>4651403489.6099997</v>
          </cell>
          <cell r="K9" t="str">
            <v>KONTRAK</v>
          </cell>
        </row>
        <row r="10">
          <cell r="E10" t="str">
            <v>Kesenden</v>
          </cell>
          <cell r="F10" t="str">
            <v>Kesenden</v>
          </cell>
          <cell r="G10">
            <v>3003821161.73</v>
          </cell>
          <cell r="H10" t="str">
            <v>PT. Citra Mutiara Bangun Persada</v>
          </cell>
          <cell r="I10">
            <v>3</v>
          </cell>
          <cell r="J10">
            <v>2819148883.8600001</v>
          </cell>
          <cell r="K10" t="str">
            <v>KONTRAK</v>
          </cell>
        </row>
        <row r="11">
          <cell r="E11" t="str">
            <v>Mundu Pesisir</v>
          </cell>
          <cell r="F11" t="str">
            <v>Mundu Pesisir</v>
          </cell>
          <cell r="G11">
            <v>2453159791.8200002</v>
          </cell>
          <cell r="H11" t="str">
            <v>PT. Citra Mutiara Bangun Persada</v>
          </cell>
          <cell r="I11">
            <v>3</v>
          </cell>
          <cell r="J11">
            <v>2201565507.8299999</v>
          </cell>
          <cell r="K11" t="str">
            <v>KONTRAK</v>
          </cell>
        </row>
        <row r="12">
          <cell r="E12" t="str">
            <v>Pabeanudik</v>
          </cell>
          <cell r="F12" t="str">
            <v>Pabeanudik</v>
          </cell>
          <cell r="G12">
            <v>5716039028.4499998</v>
          </cell>
          <cell r="H12" t="str">
            <v>PT. Citra Mutiara Bangun Persada</v>
          </cell>
          <cell r="I12">
            <v>3</v>
          </cell>
          <cell r="J12">
            <v>5441342966.8000002</v>
          </cell>
          <cell r="K12" t="str">
            <v>KONTRAK</v>
          </cell>
        </row>
        <row r="13">
          <cell r="E13" t="str">
            <v>Dadap</v>
          </cell>
          <cell r="F13" t="str">
            <v>Dadap</v>
          </cell>
          <cell r="G13">
            <v>2926880741.3499999</v>
          </cell>
          <cell r="H13" t="str">
            <v>PT. Citra Mutiara Bangun Persada</v>
          </cell>
          <cell r="I13">
            <v>3</v>
          </cell>
          <cell r="J13">
            <v>2628529772.5700002</v>
          </cell>
          <cell r="K13" t="str">
            <v>KONTRAK</v>
          </cell>
        </row>
        <row r="14">
          <cell r="E14" t="str">
            <v>Cemara kulon</v>
          </cell>
          <cell r="F14" t="str">
            <v>Cemara kulon</v>
          </cell>
          <cell r="G14">
            <v>2023672890.3699999</v>
          </cell>
          <cell r="H14" t="str">
            <v>PT. Citra Mutiara Bangun Persada</v>
          </cell>
          <cell r="I14">
            <v>3</v>
          </cell>
          <cell r="J14">
            <v>1748330958.71</v>
          </cell>
          <cell r="K14" t="str">
            <v>KONTRAK</v>
          </cell>
        </row>
        <row r="15">
          <cell r="E15" t="str">
            <v>Pareangirang</v>
          </cell>
          <cell r="F15" t="str">
            <v>Pareangirang</v>
          </cell>
          <cell r="G15">
            <v>2473804545.5300002</v>
          </cell>
          <cell r="H15" t="str">
            <v>PT. Citra Mutiara Bangun Persada</v>
          </cell>
          <cell r="I15">
            <v>3</v>
          </cell>
          <cell r="J15">
            <v>2200608552.5</v>
          </cell>
          <cell r="K15" t="str">
            <v>KONTRAK</v>
          </cell>
        </row>
        <row r="16">
          <cell r="E16" t="str">
            <v>Ciparagejaya</v>
          </cell>
          <cell r="F16" t="str">
            <v>Hub</v>
          </cell>
          <cell r="G16">
            <v>6204034652.5200005</v>
          </cell>
          <cell r="H16" t="str">
            <v>PT Medal Cipta Buana</v>
          </cell>
          <cell r="I16">
            <v>4</v>
          </cell>
          <cell r="J16">
            <v>6301046972.3400002</v>
          </cell>
          <cell r="K16" t="str">
            <v>KONTRAK</v>
          </cell>
        </row>
        <row r="17">
          <cell r="E17" t="str">
            <v>Sukakerta</v>
          </cell>
          <cell r="F17" t="str">
            <v>Penyangga</v>
          </cell>
          <cell r="G17">
            <v>4241877162.5999999</v>
          </cell>
          <cell r="H17" t="str">
            <v>PT Medal Cipta Buana</v>
          </cell>
          <cell r="I17">
            <v>4</v>
          </cell>
          <cell r="J17">
            <v>3693204172.2600002</v>
          </cell>
          <cell r="K17" t="str">
            <v>KONTRAK</v>
          </cell>
        </row>
        <row r="18">
          <cell r="E18" t="str">
            <v>Sungaibuntu</v>
          </cell>
          <cell r="F18" t="str">
            <v>Penyangga</v>
          </cell>
          <cell r="G18">
            <v>4298023433.1499996</v>
          </cell>
          <cell r="H18" t="str">
            <v>PT Medal Cipta Buana</v>
          </cell>
          <cell r="I18">
            <v>4</v>
          </cell>
          <cell r="J18">
            <v>4542684755.79</v>
          </cell>
          <cell r="K18" t="str">
            <v>KONTRAK</v>
          </cell>
        </row>
        <row r="19">
          <cell r="E19" t="str">
            <v>Anggasari</v>
          </cell>
          <cell r="F19" t="str">
            <v>Penyangga</v>
          </cell>
          <cell r="G19">
            <v>2052901703.3399999</v>
          </cell>
          <cell r="H19" t="str">
            <v>PT Medal Cipta Buana</v>
          </cell>
          <cell r="I19">
            <v>5</v>
          </cell>
          <cell r="J19">
            <v>1912565165.9100001</v>
          </cell>
          <cell r="K19" t="str">
            <v>KONTRAK</v>
          </cell>
        </row>
        <row r="20">
          <cell r="E20" t="str">
            <v>Rawameneng</v>
          </cell>
          <cell r="F20" t="str">
            <v>Penyangga</v>
          </cell>
          <cell r="G20">
            <v>2499956890.6500001</v>
          </cell>
          <cell r="H20" t="str">
            <v>PT Medal Cipta Buana</v>
          </cell>
          <cell r="I20">
            <v>5</v>
          </cell>
          <cell r="J20">
            <v>2397548541.5100002</v>
          </cell>
          <cell r="K20" t="str">
            <v>KONTRAK</v>
          </cell>
        </row>
        <row r="21">
          <cell r="E21" t="str">
            <v>Cikahuripan</v>
          </cell>
          <cell r="F21" t="str">
            <v>Hub</v>
          </cell>
          <cell r="G21">
            <v>4497118393.3900003</v>
          </cell>
          <cell r="H21" t="str">
            <v>PT AMBER HASYA</v>
          </cell>
          <cell r="I21">
            <v>6</v>
          </cell>
          <cell r="J21">
            <v>4686922473.6899996</v>
          </cell>
          <cell r="K21" t="str">
            <v>KONTRAK</v>
          </cell>
        </row>
        <row r="22">
          <cell r="E22" t="str">
            <v>Bayah Barat</v>
          </cell>
          <cell r="F22" t="str">
            <v>Penyangga</v>
          </cell>
          <cell r="G22">
            <v>2646089792.9000001</v>
          </cell>
          <cell r="H22" t="str">
            <v>PT AMBER HASYA</v>
          </cell>
          <cell r="I22">
            <v>6</v>
          </cell>
          <cell r="J22">
            <v>2215819319.3099999</v>
          </cell>
          <cell r="K22" t="str">
            <v>KONTRAK</v>
          </cell>
        </row>
        <row r="23">
          <cell r="E23" t="str">
            <v>Cireundeu</v>
          </cell>
          <cell r="F23" t="str">
            <v>Penyangga</v>
          </cell>
          <cell r="G23">
            <v>2153024062.77</v>
          </cell>
          <cell r="H23" t="str">
            <v>PT AMBER HASYA</v>
          </cell>
          <cell r="I23">
            <v>6</v>
          </cell>
          <cell r="J23">
            <v>2277232593.4499998</v>
          </cell>
          <cell r="K23" t="str">
            <v>KONTRAK</v>
          </cell>
        </row>
        <row r="24">
          <cell r="E24" t="str">
            <v>Darmasari</v>
          </cell>
          <cell r="F24" t="str">
            <v>Penyangga (+cs)</v>
          </cell>
          <cell r="G24">
            <v>3134469855.02</v>
          </cell>
          <cell r="H24" t="str">
            <v>PT AMBER HASYA</v>
          </cell>
          <cell r="I24">
            <v>6</v>
          </cell>
          <cell r="J24">
            <v>3123791540.4299998</v>
          </cell>
          <cell r="K24" t="str">
            <v>KONTRAK</v>
          </cell>
        </row>
        <row r="25">
          <cell r="E25" t="str">
            <v>Pasirbaru</v>
          </cell>
          <cell r="F25" t="str">
            <v>Penyangga (+cs)</v>
          </cell>
          <cell r="G25">
            <v>4545363295.6899996</v>
          </cell>
          <cell r="H25" t="str">
            <v>PT AMBER HASYA</v>
          </cell>
          <cell r="I25">
            <v>6</v>
          </cell>
          <cell r="J25">
            <v>4669078010.46</v>
          </cell>
          <cell r="K25" t="str">
            <v>KONTRAK</v>
          </cell>
        </row>
        <row r="26">
          <cell r="E26" t="str">
            <v>Panimbangjaya</v>
          </cell>
          <cell r="F26" t="str">
            <v>Penyangga (+cs)</v>
          </cell>
          <cell r="G26">
            <v>3407597719.3099999</v>
          </cell>
          <cell r="H26" t="str">
            <v>PT AMBER HASYA</v>
          </cell>
          <cell r="I26">
            <v>6</v>
          </cell>
          <cell r="J26">
            <v>2895283393.98</v>
          </cell>
          <cell r="K26" t="str">
            <v>KONTRAK</v>
          </cell>
        </row>
        <row r="27">
          <cell r="E27" t="str">
            <v>Kertamukti</v>
          </cell>
          <cell r="F27" t="str">
            <v>TADA</v>
          </cell>
          <cell r="G27">
            <v>2161504799.8699999</v>
          </cell>
          <cell r="H27" t="str">
            <v>PT AMBER HASYA</v>
          </cell>
          <cell r="I27">
            <v>6</v>
          </cell>
          <cell r="J27">
            <v>1903820019.8099999</v>
          </cell>
          <cell r="K27" t="str">
            <v>KONTRAK</v>
          </cell>
        </row>
        <row r="28">
          <cell r="E28" t="str">
            <v>Muara</v>
          </cell>
          <cell r="F28" t="str">
            <v>Penyangga</v>
          </cell>
          <cell r="G28">
            <v>2022076209.1500001</v>
          </cell>
          <cell r="H28" t="str">
            <v>PT AMBER HASYA</v>
          </cell>
          <cell r="I28">
            <v>6</v>
          </cell>
          <cell r="J28">
            <v>2040932480.0999999</v>
          </cell>
          <cell r="K28" t="str">
            <v>KONTRAK</v>
          </cell>
        </row>
        <row r="29">
          <cell r="E29" t="str">
            <v>Sumberjaya</v>
          </cell>
          <cell r="F29" t="str">
            <v>Penyangga</v>
          </cell>
          <cell r="G29">
            <v>2264676892.2800002</v>
          </cell>
          <cell r="H29" t="str">
            <v>PT AMBER HASYA</v>
          </cell>
          <cell r="I29">
            <v>6</v>
          </cell>
          <cell r="J29">
            <v>2280791467.6799998</v>
          </cell>
          <cell r="K29" t="str">
            <v>KONTRAK</v>
          </cell>
        </row>
        <row r="30">
          <cell r="E30" t="str">
            <v>Sawarna</v>
          </cell>
          <cell r="F30" t="str">
            <v>Penyangga</v>
          </cell>
          <cell r="G30">
            <v>2245292630.3699999</v>
          </cell>
          <cell r="H30" t="str">
            <v>PT AMBER HASYA</v>
          </cell>
          <cell r="I30">
            <v>6</v>
          </cell>
          <cell r="J30">
            <v>2162437522.3200002</v>
          </cell>
          <cell r="K30" t="str">
            <v>KONTRAK</v>
          </cell>
        </row>
        <row r="31">
          <cell r="E31" t="str">
            <v>Cikawungading</v>
          </cell>
          <cell r="F31" t="str">
            <v>Penyangga</v>
          </cell>
          <cell r="G31">
            <v>2285732896.1300001</v>
          </cell>
          <cell r="H31" t="str">
            <v>PT LEVIANA ABADI JAYA</v>
          </cell>
          <cell r="I31">
            <v>7</v>
          </cell>
          <cell r="J31">
            <v>2358287000</v>
          </cell>
          <cell r="K31" t="str">
            <v>KONTRAK</v>
          </cell>
        </row>
        <row r="32">
          <cell r="E32" t="str">
            <v>Legokjawa</v>
          </cell>
          <cell r="F32" t="str">
            <v>Penyangga</v>
          </cell>
          <cell r="G32">
            <v>2942145527.6799998</v>
          </cell>
          <cell r="H32" t="str">
            <v>PT LEVIANA ABADI JAYA</v>
          </cell>
          <cell r="I32">
            <v>7</v>
          </cell>
          <cell r="J32">
            <v>2809591000</v>
          </cell>
          <cell r="K32" t="str">
            <v>KONTRAK</v>
          </cell>
        </row>
        <row r="33">
          <cell r="E33" t="str">
            <v>Tondonggeu</v>
          </cell>
          <cell r="F33" t="str">
            <v>Penyangga</v>
          </cell>
          <cell r="G33">
            <v>4089708000</v>
          </cell>
          <cell r="H33" t="str">
            <v>UTAMA JAYA PERKASA</v>
          </cell>
          <cell r="I33">
            <v>9</v>
          </cell>
          <cell r="J33">
            <v>4032158146.77</v>
          </cell>
          <cell r="K33" t="str">
            <v>KONTRAK</v>
          </cell>
        </row>
        <row r="34">
          <cell r="E34" t="str">
            <v>Sambuli</v>
          </cell>
          <cell r="F34" t="str">
            <v>Penyangga</v>
          </cell>
          <cell r="G34">
            <v>4222986000</v>
          </cell>
          <cell r="H34" t="str">
            <v>UTAMA JAYA PERKASA</v>
          </cell>
          <cell r="I34">
            <v>9</v>
          </cell>
          <cell r="J34">
            <v>4184127596.3099999</v>
          </cell>
          <cell r="K34" t="str">
            <v>KONTRAK</v>
          </cell>
        </row>
        <row r="35">
          <cell r="E35" t="str">
            <v>Puday</v>
          </cell>
          <cell r="F35" t="str">
            <v>Penyangga</v>
          </cell>
          <cell r="G35">
            <v>3662803000</v>
          </cell>
          <cell r="H35" t="str">
            <v>UTAMA JAYA PERKASA</v>
          </cell>
          <cell r="I35">
            <v>9</v>
          </cell>
          <cell r="J35">
            <v>3594702259.4400001</v>
          </cell>
          <cell r="K35" t="str">
            <v>KONTRAK</v>
          </cell>
        </row>
        <row r="36">
          <cell r="E36" t="str">
            <v>Bone Pute</v>
          </cell>
          <cell r="F36" t="str">
            <v>Hub</v>
          </cell>
          <cell r="G36">
            <v>8512090000</v>
          </cell>
          <cell r="H36" t="str">
            <v>PT RELIS SAPINDO UTAMA</v>
          </cell>
          <cell r="I36">
            <v>10</v>
          </cell>
          <cell r="J36">
            <v>8084061180</v>
          </cell>
          <cell r="K36" t="str">
            <v>KONTRAK</v>
          </cell>
        </row>
        <row r="37">
          <cell r="E37" t="str">
            <v>Belopa</v>
          </cell>
          <cell r="F37" t="str">
            <v>Penyangga</v>
          </cell>
          <cell r="G37">
            <v>5223344000</v>
          </cell>
          <cell r="H37" t="str">
            <v>PT RELIS SAPINDO UTAMA</v>
          </cell>
          <cell r="I37">
            <v>10</v>
          </cell>
          <cell r="J37">
            <v>5010383490</v>
          </cell>
          <cell r="K37" t="str">
            <v>KONTRAK</v>
          </cell>
        </row>
        <row r="38">
          <cell r="E38" t="str">
            <v>Cimpu Utara</v>
          </cell>
          <cell r="F38" t="str">
            <v>Penyangga</v>
          </cell>
          <cell r="G38">
            <v>4967382000</v>
          </cell>
          <cell r="H38" t="str">
            <v>PT RELIS SAPINDO UTAMA</v>
          </cell>
          <cell r="I38">
            <v>10</v>
          </cell>
          <cell r="J38">
            <v>4653915870</v>
          </cell>
          <cell r="K38" t="str">
            <v>KONTRAK</v>
          </cell>
        </row>
        <row r="39">
          <cell r="E39" t="str">
            <v>Murante</v>
          </cell>
          <cell r="F39" t="str">
            <v>Penyangga</v>
          </cell>
          <cell r="G39">
            <v>4157122000</v>
          </cell>
          <cell r="H39" t="str">
            <v>PT RELIS SAPINDO UTAMA</v>
          </cell>
          <cell r="I39">
            <v>10</v>
          </cell>
          <cell r="J39">
            <v>3855230910</v>
          </cell>
          <cell r="K39" t="str">
            <v>KONTRAK</v>
          </cell>
        </row>
        <row r="40">
          <cell r="E40" t="str">
            <v>Rantebelu</v>
          </cell>
          <cell r="F40" t="str">
            <v>Penyangga</v>
          </cell>
          <cell r="G40">
            <v>5362014000</v>
          </cell>
          <cell r="H40" t="str">
            <v>PT RELIS SAPINDO UTAMA</v>
          </cell>
          <cell r="I40">
            <v>10</v>
          </cell>
          <cell r="J40">
            <v>4978858380</v>
          </cell>
          <cell r="K40" t="str">
            <v>KONTRAK</v>
          </cell>
        </row>
        <row r="41">
          <cell r="E41" t="str">
            <v>Bulete</v>
          </cell>
          <cell r="F41" t="str">
            <v>Penyangga</v>
          </cell>
          <cell r="G41">
            <v>3953109000</v>
          </cell>
          <cell r="H41" t="str">
            <v>PT RELIS SAPINDO UTAMA</v>
          </cell>
          <cell r="I41">
            <v>10</v>
          </cell>
          <cell r="J41">
            <v>3814502790</v>
          </cell>
          <cell r="K41" t="str">
            <v>KONTRAK</v>
          </cell>
        </row>
        <row r="42">
          <cell r="E42" t="str">
            <v>Tirowali</v>
          </cell>
          <cell r="F42" t="str">
            <v>Hub</v>
          </cell>
          <cell r="G42">
            <v>6483914000</v>
          </cell>
          <cell r="H42" t="str">
            <v>PT RELIS SAPINDO UTAMA</v>
          </cell>
          <cell r="I42">
            <v>10</v>
          </cell>
          <cell r="J42">
            <v>6245315100</v>
          </cell>
          <cell r="K42" t="str">
            <v>KONTRAK</v>
          </cell>
        </row>
        <row r="43">
          <cell r="E43" t="str">
            <v>Karang-Karangan</v>
          </cell>
          <cell r="F43" t="str">
            <v>Penyangga</v>
          </cell>
          <cell r="G43">
            <v>5945294000</v>
          </cell>
          <cell r="H43" t="str">
            <v>PT RELIS SAPINDO UTAMA</v>
          </cell>
          <cell r="I43">
            <v>10</v>
          </cell>
          <cell r="J43">
            <v>5769027420</v>
          </cell>
          <cell r="K43" t="str">
            <v>KONTRAK</v>
          </cell>
        </row>
        <row r="44">
          <cell r="E44" t="str">
            <v>Padang Kalua</v>
          </cell>
          <cell r="F44" t="str">
            <v>Penyangga</v>
          </cell>
          <cell r="G44">
            <v>4897334000</v>
          </cell>
          <cell r="H44" t="str">
            <v>PT RELIS SAPINDO UTAMA</v>
          </cell>
          <cell r="I44">
            <v>10</v>
          </cell>
          <cell r="J44">
            <v>4663307580</v>
          </cell>
          <cell r="K44" t="str">
            <v>KONTRAK</v>
          </cell>
        </row>
        <row r="45">
          <cell r="E45" t="str">
            <v>To'Bia</v>
          </cell>
          <cell r="F45" t="str">
            <v>Penyangga</v>
          </cell>
          <cell r="G45">
            <v>4719215000</v>
          </cell>
          <cell r="H45" t="str">
            <v>PT RELIS SAPINDO UTAMA</v>
          </cell>
          <cell r="I45">
            <v>10</v>
          </cell>
          <cell r="J45">
            <v>4627444590</v>
          </cell>
          <cell r="K45" t="str">
            <v>KONTRAK</v>
          </cell>
        </row>
        <row r="46">
          <cell r="E46" t="str">
            <v>Bassiang Timur</v>
          </cell>
          <cell r="F46" t="str">
            <v>Penyangga</v>
          </cell>
          <cell r="G46">
            <v>4550485000</v>
          </cell>
          <cell r="H46" t="str">
            <v>PT RELIS SAPINDO UTAMA</v>
          </cell>
          <cell r="I46">
            <v>10</v>
          </cell>
          <cell r="J46">
            <v>4486560060</v>
          </cell>
          <cell r="K46" t="str">
            <v>KONTRAK</v>
          </cell>
        </row>
        <row r="47">
          <cell r="E47" t="str">
            <v>Takkalala</v>
          </cell>
          <cell r="F47" t="str">
            <v>Penyangga</v>
          </cell>
          <cell r="G47">
            <v>5920958016.8100004</v>
          </cell>
          <cell r="H47" t="str">
            <v>PT RELIS SAPINDO UTAMA</v>
          </cell>
          <cell r="I47">
            <v>10</v>
          </cell>
          <cell r="J47">
            <v>5627208270</v>
          </cell>
          <cell r="K47" t="str">
            <v>KONTRAK</v>
          </cell>
        </row>
        <row r="48">
          <cell r="E48" t="str">
            <v>Mabonta</v>
          </cell>
          <cell r="F48" t="str">
            <v>Penyangga</v>
          </cell>
          <cell r="G48">
            <v>4029560000</v>
          </cell>
          <cell r="H48" t="str">
            <v>PT RELIS SAPINDO UTAMA</v>
          </cell>
          <cell r="I48">
            <v>10</v>
          </cell>
          <cell r="J48">
            <v>3927293220</v>
          </cell>
          <cell r="K48" t="str">
            <v>KONTRAK</v>
          </cell>
        </row>
        <row r="49">
          <cell r="E49" t="str">
            <v>Burau Pantai</v>
          </cell>
          <cell r="F49" t="str">
            <v>Penyangga</v>
          </cell>
          <cell r="G49">
            <v>2629368000</v>
          </cell>
          <cell r="H49" t="str">
            <v>PT RELIS SAPINDO UTAMA</v>
          </cell>
          <cell r="I49">
            <v>10</v>
          </cell>
          <cell r="J49">
            <v>2572628130</v>
          </cell>
          <cell r="K49" t="str">
            <v>KONTRAK</v>
          </cell>
        </row>
        <row r="50">
          <cell r="E50" t="str">
            <v>Lampenai</v>
          </cell>
          <cell r="F50" t="str">
            <v>Penyangga</v>
          </cell>
          <cell r="G50">
            <v>3332140000</v>
          </cell>
          <cell r="H50" t="str">
            <v>PT RELIS SAPINDO UTAMA</v>
          </cell>
          <cell r="I50">
            <v>10</v>
          </cell>
          <cell r="J50">
            <v>3236450310</v>
          </cell>
          <cell r="K50" t="str">
            <v>KONTRAK</v>
          </cell>
        </row>
        <row r="51">
          <cell r="E51" t="str">
            <v>Munte</v>
          </cell>
          <cell r="F51" t="str">
            <v>Hub</v>
          </cell>
          <cell r="G51">
            <v>8310710000</v>
          </cell>
          <cell r="H51" t="str">
            <v>PT RELIS SAPINDO UTAMA</v>
          </cell>
          <cell r="I51">
            <v>10</v>
          </cell>
          <cell r="J51">
            <v>8073147660</v>
          </cell>
          <cell r="K51" t="str">
            <v>KONTRAK</v>
          </cell>
        </row>
        <row r="52">
          <cell r="E52" t="str">
            <v>Bawalipu</v>
          </cell>
          <cell r="F52" t="str">
            <v>Penyangga</v>
          </cell>
          <cell r="G52">
            <v>2776456000</v>
          </cell>
          <cell r="H52" t="str">
            <v>PT RELIS SAPINDO UTAMA</v>
          </cell>
          <cell r="I52">
            <v>10</v>
          </cell>
          <cell r="J52">
            <v>2681128410</v>
          </cell>
          <cell r="K52" t="str">
            <v>KONTRAK</v>
          </cell>
        </row>
        <row r="53">
          <cell r="E53" t="str">
            <v>Balo-Balo</v>
          </cell>
          <cell r="F53" t="str">
            <v>Penyangga</v>
          </cell>
          <cell r="G53">
            <v>3864776000</v>
          </cell>
          <cell r="H53" t="str">
            <v>PT RELIS SAPINDO UTAMA</v>
          </cell>
          <cell r="I53">
            <v>10</v>
          </cell>
          <cell r="J53">
            <v>3666286710</v>
          </cell>
          <cell r="K53" t="str">
            <v>KONTRAK</v>
          </cell>
        </row>
        <row r="54">
          <cell r="E54" t="str">
            <v>Ponjalae</v>
          </cell>
          <cell r="F54" t="str">
            <v>Penyangga</v>
          </cell>
          <cell r="G54">
            <v>4597345000</v>
          </cell>
          <cell r="H54" t="str">
            <v>PT RELIS SAPINDO UTAMA</v>
          </cell>
          <cell r="I54">
            <v>10</v>
          </cell>
          <cell r="J54">
            <v>4381877070</v>
          </cell>
          <cell r="K54" t="str">
            <v>KONTRAK</v>
          </cell>
        </row>
        <row r="55">
          <cell r="E55" t="str">
            <v>Songka</v>
          </cell>
          <cell r="F55" t="str">
            <v>Penyangga</v>
          </cell>
          <cell r="G55">
            <v>4621897000</v>
          </cell>
          <cell r="H55" t="str">
            <v>PT RELIS SAPINDO UTAMA</v>
          </cell>
          <cell r="I55">
            <v>10</v>
          </cell>
          <cell r="J55">
            <v>4448367180</v>
          </cell>
          <cell r="K55" t="str">
            <v>KONTRAK</v>
          </cell>
        </row>
        <row r="56">
          <cell r="E56" t="str">
            <v>Lowu-Lowu</v>
          </cell>
          <cell r="F56" t="str">
            <v>Penyangga</v>
          </cell>
          <cell r="G56">
            <v>3956241000</v>
          </cell>
          <cell r="H56" t="str">
            <v>CV MUDABBIR</v>
          </cell>
          <cell r="I56">
            <v>11</v>
          </cell>
          <cell r="J56">
            <v>4003950000</v>
          </cell>
          <cell r="K56" t="str">
            <v>KONTRAK</v>
          </cell>
        </row>
        <row r="57">
          <cell r="E57" t="str">
            <v>Akkajeng</v>
          </cell>
          <cell r="F57" t="str">
            <v>Penyangga (+cs)</v>
          </cell>
          <cell r="G57">
            <v>4765458000</v>
          </cell>
          <cell r="H57" t="str">
            <v>PT MINA TRANSINDO TOTABUAN</v>
          </cell>
          <cell r="I57">
            <v>12</v>
          </cell>
          <cell r="J57">
            <v>4591437264.0500002</v>
          </cell>
          <cell r="K57" t="str">
            <v>KONTRAK</v>
          </cell>
        </row>
        <row r="58">
          <cell r="E58" t="str">
            <v>Pattangngae</v>
          </cell>
          <cell r="F58" t="str">
            <v>Penyangga</v>
          </cell>
          <cell r="G58">
            <v>3603529000</v>
          </cell>
          <cell r="H58" t="str">
            <v>PT MINA TRANSINDO TOTABUAN</v>
          </cell>
          <cell r="I58">
            <v>12</v>
          </cell>
          <cell r="J58">
            <v>3586878349.52</v>
          </cell>
          <cell r="K58" t="str">
            <v>KONTRAK</v>
          </cell>
        </row>
        <row r="59">
          <cell r="E59" t="str">
            <v>Bonto Jai</v>
          </cell>
          <cell r="F59" t="str">
            <v>Penyangga</v>
          </cell>
          <cell r="G59">
            <v>5123916000</v>
          </cell>
          <cell r="H59" t="str">
            <v>PT IFOS SATRIA MAHKOTA</v>
          </cell>
          <cell r="I59">
            <v>13</v>
          </cell>
          <cell r="J59">
            <v>5244348535.1999998</v>
          </cell>
          <cell r="K59" t="str">
            <v>KONTRAK</v>
          </cell>
        </row>
        <row r="60">
          <cell r="E60" t="str">
            <v>Pa'Jukukang</v>
          </cell>
          <cell r="F60" t="str">
            <v>Penyangga</v>
          </cell>
          <cell r="G60">
            <v>5460530000</v>
          </cell>
          <cell r="H60" t="str">
            <v>PT IFOS SATRIA MAHKOTA</v>
          </cell>
          <cell r="I60">
            <v>13</v>
          </cell>
          <cell r="J60">
            <v>5496754607.5799999</v>
          </cell>
          <cell r="K60" t="str">
            <v>KONTRAK</v>
          </cell>
        </row>
        <row r="61">
          <cell r="E61" t="str">
            <v>Lamalaka</v>
          </cell>
          <cell r="F61" t="str">
            <v>Penyangga (+cs)</v>
          </cell>
          <cell r="G61">
            <v>6733850000</v>
          </cell>
          <cell r="H61" t="str">
            <v>PT IFOS SATRIA MAHKOTA</v>
          </cell>
          <cell r="I61">
            <v>13</v>
          </cell>
          <cell r="J61">
            <v>6948056028.96</v>
          </cell>
          <cell r="K61" t="str">
            <v>KONTRAK</v>
          </cell>
        </row>
        <row r="62">
          <cell r="E62" t="str">
            <v>Bonto Lebang</v>
          </cell>
          <cell r="F62" t="str">
            <v>Penyangga (+cs)</v>
          </cell>
          <cell r="G62">
            <v>8363959000</v>
          </cell>
          <cell r="H62" t="str">
            <v>PT IFOS SATRIA MAHKOTA</v>
          </cell>
          <cell r="I62">
            <v>13</v>
          </cell>
          <cell r="J62">
            <v>7802068007.6700001</v>
          </cell>
          <cell r="K62" t="str">
            <v>KONTRAK</v>
          </cell>
        </row>
        <row r="63">
          <cell r="E63" t="str">
            <v>Mattiro Bombang</v>
          </cell>
          <cell r="F63" t="str">
            <v>Penyangga</v>
          </cell>
          <cell r="G63">
            <v>6443154000</v>
          </cell>
          <cell r="H63" t="str">
            <v>BUNAKEN INTI NUSANTARA</v>
          </cell>
          <cell r="I63">
            <v>14</v>
          </cell>
          <cell r="J63">
            <v>5456590000</v>
          </cell>
          <cell r="K63" t="str">
            <v>KONTRAK</v>
          </cell>
        </row>
        <row r="64">
          <cell r="E64" t="str">
            <v>Tamarupa</v>
          </cell>
          <cell r="F64" t="str">
            <v>Penyangga</v>
          </cell>
          <cell r="G64">
            <v>6732095000</v>
          </cell>
          <cell r="H64" t="str">
            <v>BUNAKEN INTI NUSANTARA</v>
          </cell>
          <cell r="I64">
            <v>14</v>
          </cell>
          <cell r="J64">
            <v>6381102000</v>
          </cell>
          <cell r="K64" t="str">
            <v>KONTRAK</v>
          </cell>
        </row>
        <row r="65">
          <cell r="E65" t="str">
            <v>Bababulo</v>
          </cell>
          <cell r="F65" t="str">
            <v>Penyangga</v>
          </cell>
          <cell r="G65">
            <v>3491932000</v>
          </cell>
          <cell r="H65" t="str">
            <v>CV. Lion Jaya Mandiri</v>
          </cell>
          <cell r="I65">
            <v>19</v>
          </cell>
          <cell r="J65">
            <v>3408954300</v>
          </cell>
          <cell r="K65" t="str">
            <v>KONTRAK</v>
          </cell>
        </row>
        <row r="66">
          <cell r="E66" t="str">
            <v>Limbua</v>
          </cell>
          <cell r="F66" t="str">
            <v>Penyangga</v>
          </cell>
          <cell r="G66">
            <v>2095591000</v>
          </cell>
          <cell r="H66" t="str">
            <v>CV. Lion Jaya Mandiri</v>
          </cell>
          <cell r="I66">
            <v>19</v>
          </cell>
          <cell r="J66">
            <v>2042509890</v>
          </cell>
          <cell r="K66" t="str">
            <v>KONTRAK</v>
          </cell>
        </row>
        <row r="67">
          <cell r="E67" t="str">
            <v>Bonde Utara</v>
          </cell>
          <cell r="F67" t="str">
            <v>Penyangga (+cs)</v>
          </cell>
          <cell r="G67">
            <v>4507851000</v>
          </cell>
          <cell r="H67" t="str">
            <v>CV. Lion Jaya Mandiri</v>
          </cell>
          <cell r="I67">
            <v>19</v>
          </cell>
          <cell r="J67">
            <v>4429988910</v>
          </cell>
          <cell r="K67" t="str">
            <v>KONTRAK</v>
          </cell>
        </row>
        <row r="68">
          <cell r="E68" t="str">
            <v>Mekkatta Selatan</v>
          </cell>
          <cell r="F68" t="str">
            <v>Penyangga</v>
          </cell>
          <cell r="G68">
            <v>4910372000</v>
          </cell>
          <cell r="H68" t="str">
            <v>CV. Lion Jaya Mandiri</v>
          </cell>
          <cell r="I68">
            <v>20</v>
          </cell>
          <cell r="J68">
            <v>4836126746.7299995</v>
          </cell>
          <cell r="K68" t="str">
            <v>KONTRAK</v>
          </cell>
        </row>
        <row r="69">
          <cell r="E69" t="str">
            <v>Tubo Poang</v>
          </cell>
          <cell r="F69" t="str">
            <v>Penyangga</v>
          </cell>
          <cell r="G69">
            <v>5269347000</v>
          </cell>
          <cell r="H69" t="str">
            <v>CV. Lion Jaya Mandiri</v>
          </cell>
          <cell r="I69">
            <v>20</v>
          </cell>
          <cell r="J69">
            <v>5180479653.5699997</v>
          </cell>
          <cell r="K69" t="str">
            <v>KONTRAK</v>
          </cell>
        </row>
        <row r="70">
          <cell r="E70" t="str">
            <v>Bontosunggu</v>
          </cell>
          <cell r="F70" t="str">
            <v>Hub</v>
          </cell>
          <cell r="G70">
            <v>4408443879.7399998</v>
          </cell>
          <cell r="H70" t="str">
            <v>PT. Murni Konstruksi Indonesia</v>
          </cell>
          <cell r="I70">
            <v>21</v>
          </cell>
          <cell r="J70">
            <v>4106056000</v>
          </cell>
          <cell r="K70" t="str">
            <v>KONTRAK</v>
          </cell>
        </row>
        <row r="71">
          <cell r="E71" t="str">
            <v>Bungaiya</v>
          </cell>
          <cell r="F71" t="str">
            <v>Penyangga</v>
          </cell>
          <cell r="G71">
            <v>5651729788.25</v>
          </cell>
          <cell r="H71" t="str">
            <v>PT. Murni Konstruksi Indonesia</v>
          </cell>
          <cell r="I71">
            <v>21</v>
          </cell>
          <cell r="J71">
            <v>5363267000</v>
          </cell>
          <cell r="K71" t="str">
            <v>KONTRAK</v>
          </cell>
        </row>
        <row r="72">
          <cell r="E72" t="str">
            <v>Lowa</v>
          </cell>
          <cell r="F72" t="str">
            <v>Penyangga</v>
          </cell>
          <cell r="G72">
            <v>6235651127.6000004</v>
          </cell>
          <cell r="H72" t="str">
            <v>PT. Murni Konstruksi Indonesia</v>
          </cell>
          <cell r="I72">
            <v>21</v>
          </cell>
          <cell r="J72">
            <v>6023781000</v>
          </cell>
          <cell r="K72" t="str">
            <v>KONTRAK</v>
          </cell>
        </row>
        <row r="73">
          <cell r="E73" t="str">
            <v>Buki</v>
          </cell>
          <cell r="F73" t="str">
            <v>Penyangga</v>
          </cell>
          <cell r="G73">
            <v>5380438149.0900002</v>
          </cell>
          <cell r="H73" t="str">
            <v>PT. Murni Konstruksi Indonesia</v>
          </cell>
          <cell r="I73">
            <v>21</v>
          </cell>
          <cell r="J73">
            <v>5076631000</v>
          </cell>
          <cell r="K73" t="str">
            <v>KONTRAK</v>
          </cell>
        </row>
        <row r="74">
          <cell r="E74" t="str">
            <v>Branta Tinggi</v>
          </cell>
          <cell r="F74" t="str">
            <v>Penyangga</v>
          </cell>
          <cell r="G74">
            <v>2454650000</v>
          </cell>
          <cell r="H74" t="str">
            <v>CV. Rizky Ilahi</v>
          </cell>
          <cell r="I74">
            <v>23</v>
          </cell>
          <cell r="J74">
            <v>2232784000</v>
          </cell>
          <cell r="K74" t="str">
            <v>KONTRAK</v>
          </cell>
        </row>
        <row r="75">
          <cell r="E75" t="str">
            <v>Dharma Camplong</v>
          </cell>
          <cell r="F75" t="str">
            <v>Penyangga</v>
          </cell>
          <cell r="G75">
            <v>3382248000</v>
          </cell>
          <cell r="H75" t="str">
            <v>CV. Ridho Karya</v>
          </cell>
          <cell r="I75">
            <v>24</v>
          </cell>
          <cell r="J75">
            <v>3179942000</v>
          </cell>
          <cell r="K75" t="str">
            <v>KONTRAK</v>
          </cell>
        </row>
        <row r="76">
          <cell r="E76" t="str">
            <v>Padelegan</v>
          </cell>
          <cell r="F76" t="str">
            <v>Penyangga</v>
          </cell>
          <cell r="G76">
            <v>2202575000</v>
          </cell>
          <cell r="H76" t="str">
            <v>PT. Ombulindo Multi Karya</v>
          </cell>
          <cell r="I76">
            <v>25</v>
          </cell>
          <cell r="J76">
            <v>2014943000</v>
          </cell>
          <cell r="K76" t="str">
            <v>KONTRAK</v>
          </cell>
        </row>
        <row r="77">
          <cell r="E77" t="str">
            <v>Wewangriu</v>
          </cell>
          <cell r="F77" t="str">
            <v>Hub</v>
          </cell>
          <cell r="G77">
            <v>7926298056.5799999</v>
          </cell>
          <cell r="H77" t="str">
            <v>CV. Putra Losa Konstruksi</v>
          </cell>
          <cell r="I77">
            <v>29</v>
          </cell>
          <cell r="J77">
            <v>7697089625.5799999</v>
          </cell>
          <cell r="K77" t="str">
            <v>KONTRAK</v>
          </cell>
        </row>
        <row r="78">
          <cell r="E78" t="str">
            <v>Harapan</v>
          </cell>
          <cell r="F78" t="str">
            <v>Penyangga</v>
          </cell>
          <cell r="G78">
            <v>4184582733.52</v>
          </cell>
          <cell r="H78" t="str">
            <v>CV. Putra Losa Konstruksi</v>
          </cell>
          <cell r="I78">
            <v>29</v>
          </cell>
          <cell r="J78">
            <v>3982120662.1199999</v>
          </cell>
          <cell r="K78" t="str">
            <v>KONTRAK</v>
          </cell>
        </row>
        <row r="79">
          <cell r="E79" t="str">
            <v>Pasi-Pasi</v>
          </cell>
          <cell r="F79" t="str">
            <v>Penyangga</v>
          </cell>
          <cell r="G79">
            <v>3587236421.6599998</v>
          </cell>
          <cell r="H79" t="str">
            <v>CV. Sendana Karya</v>
          </cell>
          <cell r="I79">
            <v>30</v>
          </cell>
          <cell r="J79">
            <v>3480317791.7399998</v>
          </cell>
          <cell r="K79" t="str">
            <v>KONTRAK</v>
          </cell>
        </row>
        <row r="80">
          <cell r="E80" t="str">
            <v>Lakawali Pantai</v>
          </cell>
          <cell r="F80" t="str">
            <v>Penyangga</v>
          </cell>
          <cell r="G80">
            <v>6778176606.3599997</v>
          </cell>
          <cell r="H80" t="str">
            <v>CV. Sendana Karya</v>
          </cell>
          <cell r="I80">
            <v>30</v>
          </cell>
          <cell r="J80">
            <v>6578962611.8400002</v>
          </cell>
          <cell r="K80" t="str">
            <v>KONTRAK</v>
          </cell>
        </row>
        <row r="81">
          <cell r="E81" t="str">
            <v>Sagara</v>
          </cell>
          <cell r="F81" t="str">
            <v>Penyangga (+cs)</v>
          </cell>
          <cell r="G81">
            <v>3259021874.48</v>
          </cell>
          <cell r="H81" t="str">
            <v>PT. Putra Ogan Cemerlang</v>
          </cell>
          <cell r="I81">
            <v>32</v>
          </cell>
          <cell r="J81">
            <v>3154127608.9000001</v>
          </cell>
          <cell r="K81" t="str">
            <v>KONTRAK</v>
          </cell>
        </row>
        <row r="82">
          <cell r="E82" t="str">
            <v>Indralayang</v>
          </cell>
          <cell r="F82" t="str">
            <v>Hub</v>
          </cell>
          <cell r="G82">
            <v>6497691973.8599997</v>
          </cell>
          <cell r="H82" t="str">
            <v>PT. Putra Ogan Cemerlang</v>
          </cell>
          <cell r="I82">
            <v>32</v>
          </cell>
          <cell r="J82">
            <v>6109673852.7700005</v>
          </cell>
          <cell r="K82" t="str">
            <v>KONTRAK</v>
          </cell>
        </row>
        <row r="83">
          <cell r="E83" t="str">
            <v>Cijayana</v>
          </cell>
          <cell r="F83" t="str">
            <v>Penyangga</v>
          </cell>
          <cell r="G83">
            <v>4003930800.5700002</v>
          </cell>
          <cell r="H83" t="str">
            <v>PT. Putra Ogan Cemerlang</v>
          </cell>
          <cell r="I83">
            <v>32</v>
          </cell>
          <cell r="J83">
            <v>3985858759.02</v>
          </cell>
          <cell r="K83" t="str">
            <v>KONTRAK</v>
          </cell>
        </row>
        <row r="84">
          <cell r="E84" t="str">
            <v>Argopeni</v>
          </cell>
          <cell r="F84" t="str">
            <v>Penyangga</v>
          </cell>
          <cell r="G84">
            <v>3985949000</v>
          </cell>
          <cell r="H84" t="str">
            <v>PT. Akusara Reksa Mulia</v>
          </cell>
          <cell r="I84">
            <v>33</v>
          </cell>
          <cell r="J84">
            <v>3762076000</v>
          </cell>
          <cell r="K84" t="str">
            <v>KONTRAK</v>
          </cell>
        </row>
        <row r="85">
          <cell r="E85" t="str">
            <v>Pesisir</v>
          </cell>
          <cell r="F85" t="str">
            <v>Pesisir</v>
          </cell>
          <cell r="G85">
            <v>4322097086.4799995</v>
          </cell>
          <cell r="H85" t="str">
            <v>CV. Tosan</v>
          </cell>
          <cell r="I85">
            <v>40</v>
          </cell>
          <cell r="J85">
            <v>4132828840.8600001</v>
          </cell>
          <cell r="K85" t="str">
            <v>KONTRAK</v>
          </cell>
        </row>
        <row r="86">
          <cell r="E86" t="str">
            <v>Wonorejo</v>
          </cell>
          <cell r="F86" t="str">
            <v>Wonorejo</v>
          </cell>
          <cell r="G86">
            <v>2483464420.9000001</v>
          </cell>
          <cell r="H86" t="str">
            <v>CV. Tosan</v>
          </cell>
          <cell r="I86">
            <v>40</v>
          </cell>
          <cell r="J86">
            <v>2372252311.9499998</v>
          </cell>
          <cell r="K86" t="str">
            <v>KONTRAK</v>
          </cell>
        </row>
        <row r="87">
          <cell r="E87" t="str">
            <v>Pasar Banggi</v>
          </cell>
          <cell r="F87" t="str">
            <v>Hub</v>
          </cell>
          <cell r="G87">
            <v>6658554505.75</v>
          </cell>
          <cell r="H87" t="str">
            <v>PT. Kurnia Alam Sentosa</v>
          </cell>
          <cell r="I87">
            <v>41</v>
          </cell>
          <cell r="J87">
            <v>6518300567.3000002</v>
          </cell>
          <cell r="K87" t="str">
            <v>KONTRAK</v>
          </cell>
        </row>
        <row r="88">
          <cell r="E88" t="str">
            <v>Karangmangu</v>
          </cell>
          <cell r="F88" t="str">
            <v>Penyangga</v>
          </cell>
          <cell r="G88">
            <v>4373766713.6099997</v>
          </cell>
          <cell r="H88" t="str">
            <v>PT. Kurnia Alam Sentosa</v>
          </cell>
          <cell r="I88">
            <v>41</v>
          </cell>
          <cell r="J88">
            <v>4257719141.3200002</v>
          </cell>
          <cell r="K88" t="str">
            <v>KONTRAK</v>
          </cell>
        </row>
        <row r="89">
          <cell r="E89" t="str">
            <v>Tambakagung</v>
          </cell>
          <cell r="F89" t="str">
            <v>Penyangga</v>
          </cell>
          <cell r="G89">
            <v>2613033872.3000002</v>
          </cell>
          <cell r="H89" t="str">
            <v>PT. Kurnia Alam Sentosa</v>
          </cell>
          <cell r="I89">
            <v>41</v>
          </cell>
          <cell r="J89">
            <v>2541084639.5100002</v>
          </cell>
          <cell r="K89" t="str">
            <v>KONTRAK</v>
          </cell>
        </row>
        <row r="90">
          <cell r="E90" t="str">
            <v>Songbanyu</v>
          </cell>
          <cell r="F90" t="str">
            <v>Hub</v>
          </cell>
          <cell r="G90">
            <v>6533162640.1499996</v>
          </cell>
          <cell r="H90" t="str">
            <v>PT. Kurnia Alam Sentosa</v>
          </cell>
          <cell r="I90">
            <v>41</v>
          </cell>
          <cell r="J90">
            <v>6411877642.3999996</v>
          </cell>
          <cell r="K90" t="str">
            <v>KONTRAK</v>
          </cell>
        </row>
        <row r="91">
          <cell r="E91" t="str">
            <v>Banjarejo</v>
          </cell>
          <cell r="F91" t="str">
            <v>Penyangga</v>
          </cell>
          <cell r="G91">
            <v>2762008360.6999998</v>
          </cell>
          <cell r="H91" t="str">
            <v>PT. Kurnia Alam Sentosa</v>
          </cell>
          <cell r="I91">
            <v>41</v>
          </cell>
          <cell r="J91">
            <v>2675594022.6300001</v>
          </cell>
          <cell r="K91" t="str">
            <v>KONTRAK</v>
          </cell>
        </row>
        <row r="92">
          <cell r="E92" t="str">
            <v>Kanigoro</v>
          </cell>
          <cell r="F92" t="str">
            <v>Penyangga</v>
          </cell>
          <cell r="G92">
            <v>2721692915.6300001</v>
          </cell>
          <cell r="H92" t="str">
            <v>PT. Kurnia Alam Sentosa</v>
          </cell>
          <cell r="I92">
            <v>41</v>
          </cell>
          <cell r="J92">
            <v>2643337649.3200002</v>
          </cell>
          <cell r="K92" t="str">
            <v>KONTRAK</v>
          </cell>
        </row>
        <row r="93">
          <cell r="E93" t="str">
            <v>Kemadang</v>
          </cell>
          <cell r="F93" t="str">
            <v>Penyangga</v>
          </cell>
          <cell r="G93">
            <v>4330546651.4200001</v>
          </cell>
          <cell r="H93" t="str">
            <v>PT. Kurnia Alam Sentosa</v>
          </cell>
          <cell r="I93">
            <v>41</v>
          </cell>
          <cell r="J93">
            <v>4246015437.2800002</v>
          </cell>
          <cell r="K93" t="str">
            <v>KONTRAK</v>
          </cell>
        </row>
        <row r="94">
          <cell r="E94" t="str">
            <v>Sidoharjo</v>
          </cell>
          <cell r="F94" t="str">
            <v>Penyangga</v>
          </cell>
          <cell r="G94">
            <v>2867945771.8499999</v>
          </cell>
          <cell r="H94" t="str">
            <v>PT. Kurnia Alam Sentosa</v>
          </cell>
          <cell r="I94">
            <v>41</v>
          </cell>
          <cell r="J94">
            <v>2776672422.1799998</v>
          </cell>
          <cell r="K94" t="str">
            <v>KONTRAK</v>
          </cell>
        </row>
        <row r="95">
          <cell r="E95" t="str">
            <v>Sugihwaras</v>
          </cell>
          <cell r="F95" t="str">
            <v>Hub</v>
          </cell>
          <cell r="G95">
            <v>6690194585.1000004</v>
          </cell>
          <cell r="H95" t="str">
            <v>PT. Kurnia Alam Sentosa</v>
          </cell>
          <cell r="I95">
            <v>41</v>
          </cell>
          <cell r="J95">
            <v>6539135191.5900002</v>
          </cell>
          <cell r="K95" t="str">
            <v>KONTRAK</v>
          </cell>
        </row>
        <row r="96">
          <cell r="E96" t="str">
            <v>Mojo</v>
          </cell>
          <cell r="F96" t="str">
            <v>Penyangga</v>
          </cell>
          <cell r="G96">
            <v>3211333000</v>
          </cell>
          <cell r="H96" t="str">
            <v>PT. Kurnia Alam Sentosa</v>
          </cell>
          <cell r="I96">
            <v>41</v>
          </cell>
          <cell r="J96">
            <v>3105942861.02</v>
          </cell>
          <cell r="K96" t="str">
            <v>KONTRAK</v>
          </cell>
        </row>
        <row r="97">
          <cell r="E97" t="str">
            <v>Nyamplungsari</v>
          </cell>
          <cell r="F97" t="str">
            <v>Penyangga</v>
          </cell>
          <cell r="G97">
            <v>2774065678.5599999</v>
          </cell>
          <cell r="H97" t="str">
            <v>PT. Kurnia Alam Sentosa</v>
          </cell>
          <cell r="I97">
            <v>41</v>
          </cell>
          <cell r="J97">
            <v>2643970726.8200002</v>
          </cell>
          <cell r="K97" t="str">
            <v>KONTRAK</v>
          </cell>
        </row>
        <row r="98">
          <cell r="E98" t="str">
            <v>Tanggulangin</v>
          </cell>
          <cell r="F98" t="str">
            <v>Penyangga</v>
          </cell>
          <cell r="G98">
            <v>2687822000</v>
          </cell>
          <cell r="H98" t="str">
            <v>CV Javanesia</v>
          </cell>
          <cell r="I98">
            <v>43</v>
          </cell>
          <cell r="J98">
            <v>2536149000</v>
          </cell>
          <cell r="K98" t="str">
            <v>KONTRAK</v>
          </cell>
        </row>
        <row r="99">
          <cell r="E99" t="str">
            <v>Tanjung Laimeo</v>
          </cell>
          <cell r="F99" t="str">
            <v>Hub</v>
          </cell>
          <cell r="G99">
            <v>6131914418.6400003</v>
          </cell>
          <cell r="H99" t="str">
            <v>CV. Sakti Mandiri</v>
          </cell>
          <cell r="I99">
            <v>45</v>
          </cell>
          <cell r="J99">
            <v>5868905000</v>
          </cell>
          <cell r="K99" t="str">
            <v>KONTRAK</v>
          </cell>
        </row>
        <row r="100">
          <cell r="E100" t="str">
            <v>Ulu Sawa</v>
          </cell>
          <cell r="F100" t="str">
            <v>Penyangga</v>
          </cell>
          <cell r="G100">
            <v>4085556418.8400002</v>
          </cell>
          <cell r="H100" t="str">
            <v>CV. Sakti Mandiri</v>
          </cell>
          <cell r="I100">
            <v>45</v>
          </cell>
          <cell r="J100">
            <v>3841516000</v>
          </cell>
          <cell r="K100" t="str">
            <v>KONTRAK</v>
          </cell>
        </row>
        <row r="101">
          <cell r="E101" t="str">
            <v>Latawe</v>
          </cell>
          <cell r="F101" t="str">
            <v>Penyangga</v>
          </cell>
          <cell r="G101">
            <v>3588529692.0500002</v>
          </cell>
          <cell r="H101" t="str">
            <v>CV. Lawa Raya</v>
          </cell>
          <cell r="I101">
            <v>49</v>
          </cell>
          <cell r="J101">
            <v>3417181358.71</v>
          </cell>
          <cell r="K101" t="str">
            <v>KONTRAK</v>
          </cell>
        </row>
        <row r="102">
          <cell r="E102" t="str">
            <v>Lasama</v>
          </cell>
          <cell r="F102" t="str">
            <v>Penyangga</v>
          </cell>
          <cell r="G102">
            <v>2917177000</v>
          </cell>
          <cell r="H102" t="str">
            <v>CV. Lawa Raya</v>
          </cell>
          <cell r="I102">
            <v>49</v>
          </cell>
          <cell r="J102">
            <v>2728068734.1399999</v>
          </cell>
          <cell r="K102" t="str">
            <v>KONTRAK</v>
          </cell>
        </row>
        <row r="103">
          <cell r="E103" t="str">
            <v>Tondasi</v>
          </cell>
          <cell r="F103" t="str">
            <v>Penyangga</v>
          </cell>
          <cell r="G103">
            <v>3637318352.21</v>
          </cell>
          <cell r="H103" t="str">
            <v>CV. Lawa Raya</v>
          </cell>
          <cell r="I103">
            <v>49</v>
          </cell>
          <cell r="J103">
            <v>3435715938.29</v>
          </cell>
          <cell r="K103" t="str">
            <v>KONTRAK</v>
          </cell>
        </row>
        <row r="104">
          <cell r="E104" t="str">
            <v>Lemahwungkuk</v>
          </cell>
          <cell r="F104" t="str">
            <v>Penyangga</v>
          </cell>
          <cell r="H104" t="str">
            <v>CV. Mekar Jaya</v>
          </cell>
          <cell r="I104">
            <v>50</v>
          </cell>
          <cell r="J104">
            <v>3664313000</v>
          </cell>
          <cell r="K104" t="str">
            <v>KONTRAK</v>
          </cell>
        </row>
        <row r="105">
          <cell r="E105" t="str">
            <v>Tamit</v>
          </cell>
          <cell r="F105" t="str">
            <v>Hub</v>
          </cell>
          <cell r="H105" t="str">
            <v>PT. Macini Raya Pratama</v>
          </cell>
          <cell r="I105">
            <v>51</v>
          </cell>
          <cell r="J105">
            <v>6260202420</v>
          </cell>
          <cell r="K105" t="str">
            <v>SPPBJ</v>
          </cell>
        </row>
        <row r="106">
          <cell r="E106" t="str">
            <v>Taat</v>
          </cell>
          <cell r="F106" t="str">
            <v>Penyangga</v>
          </cell>
          <cell r="H106" t="str">
            <v>PT. Macini Raya Pratama</v>
          </cell>
          <cell r="I106">
            <v>51</v>
          </cell>
          <cell r="J106">
            <v>4520885700</v>
          </cell>
          <cell r="K106" t="str">
            <v>SPPBJ</v>
          </cell>
        </row>
        <row r="107">
          <cell r="E107" t="str">
            <v>Kwalabesar</v>
          </cell>
          <cell r="F107" t="str">
            <v>Penyangga</v>
          </cell>
          <cell r="H107" t="str">
            <v>PT. Macini Raya Pratama</v>
          </cell>
          <cell r="I107">
            <v>51</v>
          </cell>
          <cell r="J107">
            <v>4796598600</v>
          </cell>
          <cell r="K107" t="str">
            <v>SPPBJ</v>
          </cell>
        </row>
        <row r="108">
          <cell r="E108" t="str">
            <v>Pelawa Baru</v>
          </cell>
          <cell r="F108" t="str">
            <v>Penyangga</v>
          </cell>
          <cell r="H108" t="str">
            <v>CV. Navigasi General Contractor</v>
          </cell>
          <cell r="I108">
            <v>53</v>
          </cell>
          <cell r="J108">
            <v>4239549434.8400002</v>
          </cell>
          <cell r="K108" t="str">
            <v>KONTRAK</v>
          </cell>
        </row>
        <row r="109">
          <cell r="E109" t="str">
            <v>Laemanta Utara</v>
          </cell>
          <cell r="F109" t="str">
            <v>Penyangga</v>
          </cell>
          <cell r="H109" t="str">
            <v>CV. Navigasi General Contractor</v>
          </cell>
          <cell r="I109">
            <v>53</v>
          </cell>
          <cell r="J109">
            <v>3981398212.1399999</v>
          </cell>
          <cell r="K109" t="str">
            <v>KONTRAK</v>
          </cell>
        </row>
        <row r="110">
          <cell r="E110" t="str">
            <v>Torokeku</v>
          </cell>
          <cell r="F110" t="str">
            <v>Hub</v>
          </cell>
          <cell r="H110" t="str">
            <v>CV. Sangkaropi Mandiri</v>
          </cell>
          <cell r="I110">
            <v>55</v>
          </cell>
          <cell r="J110">
            <v>7419963720</v>
          </cell>
          <cell r="K110" t="str">
            <v>SPPBJ</v>
          </cell>
        </row>
        <row r="111">
          <cell r="E111" t="str">
            <v>Lakara</v>
          </cell>
          <cell r="F111" t="str">
            <v>Penyangga</v>
          </cell>
          <cell r="H111" t="str">
            <v>CV. Sangkaropi Mandiri</v>
          </cell>
          <cell r="I111">
            <v>55</v>
          </cell>
          <cell r="J111">
            <v>5646881910</v>
          </cell>
          <cell r="K111" t="str">
            <v>SPPBJ</v>
          </cell>
        </row>
        <row r="112">
          <cell r="E112" t="str">
            <v>Jetak</v>
          </cell>
          <cell r="F112" t="str">
            <v>Penyangga</v>
          </cell>
          <cell r="H112" t="str">
            <v>PT. Gora Cipta Sarana</v>
          </cell>
          <cell r="I112">
            <v>56</v>
          </cell>
          <cell r="J112">
            <v>2467260000</v>
          </cell>
          <cell r="K112" t="str">
            <v>SPPBJ</v>
          </cell>
        </row>
        <row r="113">
          <cell r="E113" t="str">
            <v>Tubo Selatan</v>
          </cell>
          <cell r="F113" t="str">
            <v>Penyangga</v>
          </cell>
          <cell r="H113" t="str">
            <v>CV. Lion Jaya Mandiri</v>
          </cell>
          <cell r="I113">
            <v>57</v>
          </cell>
          <cell r="J113">
            <v>3680869000</v>
          </cell>
          <cell r="K113" t="str">
            <v>KONTRAK</v>
          </cell>
        </row>
        <row r="114">
          <cell r="E114" t="str">
            <v>Ujunggenteng</v>
          </cell>
          <cell r="F114" t="str">
            <v>Hub</v>
          </cell>
          <cell r="H114" t="str">
            <v>CV. Ardila</v>
          </cell>
          <cell r="I114">
            <v>58</v>
          </cell>
          <cell r="J114">
            <v>5888343000</v>
          </cell>
          <cell r="K114" t="str">
            <v>KONTRAK</v>
          </cell>
        </row>
        <row r="115">
          <cell r="E115" t="str">
            <v>Laulalang</v>
          </cell>
          <cell r="F115" t="str">
            <v>Penyangga (+cs)</v>
          </cell>
          <cell r="H115" t="str">
            <v>CV. Fajrin Pratama</v>
          </cell>
          <cell r="I115">
            <v>59</v>
          </cell>
          <cell r="J115">
            <v>5109514000</v>
          </cell>
          <cell r="K115" t="str">
            <v>KONTRAK</v>
          </cell>
        </row>
        <row r="116">
          <cell r="E116" t="str">
            <v>Boyantongo</v>
          </cell>
          <cell r="H116" t="str">
            <v>CV. Navigasi General Contractror</v>
          </cell>
          <cell r="J116">
            <v>6445202561</v>
          </cell>
          <cell r="K116" t="str">
            <v>KONTRAK</v>
          </cell>
        </row>
        <row r="117">
          <cell r="E117" t="str">
            <v>Sama Bahari</v>
          </cell>
          <cell r="H117" t="str">
            <v>CV. Navigasi General Contractror</v>
          </cell>
          <cell r="J117">
            <v>4288951227</v>
          </cell>
          <cell r="K117" t="str">
            <v>KONTRAK</v>
          </cell>
        </row>
        <row r="118">
          <cell r="E118" t="str">
            <v>Sausu Tambu</v>
          </cell>
          <cell r="H118" t="str">
            <v xml:space="preserve">CV. Triga Cipta Abadi </v>
          </cell>
          <cell r="J118">
            <v>4643799567</v>
          </cell>
          <cell r="K118" t="str">
            <v>KONTRAK</v>
          </cell>
        </row>
        <row r="119">
          <cell r="E119" t="str">
            <v xml:space="preserve">Tada </v>
          </cell>
          <cell r="H119" t="str">
            <v xml:space="preserve">CV. Triga Cipta Abadi </v>
          </cell>
          <cell r="J119">
            <v>4003390036</v>
          </cell>
          <cell r="K119" t="str">
            <v>KONTRAK</v>
          </cell>
        </row>
        <row r="120">
          <cell r="E120" t="str">
            <v>Lero</v>
          </cell>
          <cell r="H120" t="str">
            <v>CV. Buana Bahari</v>
          </cell>
          <cell r="J120">
            <v>7628422000</v>
          </cell>
          <cell r="K120" t="str">
            <v>KONTRAK</v>
          </cell>
        </row>
        <row r="121">
          <cell r="E121" t="str">
            <v>Binanga Karaeng</v>
          </cell>
          <cell r="H121" t="str">
            <v>CV. Buana Bahari</v>
          </cell>
          <cell r="J121">
            <v>5035186448</v>
          </cell>
          <cell r="K121" t="str">
            <v>KONTRAK</v>
          </cell>
        </row>
        <row r="122">
          <cell r="E122" t="str">
            <v xml:space="preserve">Kire </v>
          </cell>
          <cell r="H122" t="str">
            <v>CV. Danaztama</v>
          </cell>
          <cell r="J122">
            <v>3879085000</v>
          </cell>
          <cell r="K122" t="str">
            <v>KONTRAK</v>
          </cell>
        </row>
        <row r="123">
          <cell r="E123" t="str">
            <v xml:space="preserve">Kambunong </v>
          </cell>
          <cell r="H123" t="str">
            <v>CV. Danaztama</v>
          </cell>
          <cell r="J123">
            <v>4180959000</v>
          </cell>
          <cell r="K123" t="str">
            <v>KONTRAK</v>
          </cell>
        </row>
        <row r="124">
          <cell r="E124" t="str">
            <v>Rata</v>
          </cell>
          <cell r="H124" t="str">
            <v>PT. Wahana Cipta Barakallaah</v>
          </cell>
          <cell r="J124">
            <v>6739867000</v>
          </cell>
          <cell r="K124" t="str">
            <v>SPPBJ</v>
          </cell>
        </row>
        <row r="125">
          <cell r="E125" t="str">
            <v>Moilong</v>
          </cell>
          <cell r="H125" t="str">
            <v>PT. Wahana Cipta Barakallaah</v>
          </cell>
          <cell r="J125">
            <v>3198120000</v>
          </cell>
          <cell r="K125" t="str">
            <v>SPPBJ</v>
          </cell>
        </row>
        <row r="126">
          <cell r="E126" t="str">
            <v>Labone</v>
          </cell>
          <cell r="H126" t="str">
            <v xml:space="preserve">CV. Niscala Indo Raya </v>
          </cell>
          <cell r="J126">
            <v>4229783800</v>
          </cell>
          <cell r="K126" t="str">
            <v>SPPBJ</v>
          </cell>
        </row>
        <row r="127">
          <cell r="E127" t="str">
            <v>Kedungrejo</v>
          </cell>
          <cell r="F127" t="str">
            <v>Penyangga (+cs)</v>
          </cell>
          <cell r="H127" t="str">
            <v>CV. Megah Makmur Konstruksi</v>
          </cell>
          <cell r="I127">
            <v>60</v>
          </cell>
          <cell r="J127">
            <v>2781044000</v>
          </cell>
          <cell r="K127" t="str">
            <v>SPPBJ</v>
          </cell>
        </row>
        <row r="128">
          <cell r="E128" t="str">
            <v>Ketapang</v>
          </cell>
          <cell r="F128" t="str">
            <v>Penyangga</v>
          </cell>
          <cell r="H128" t="str">
            <v>CV. Putra Jaya Semesta</v>
          </cell>
          <cell r="I128">
            <v>62</v>
          </cell>
          <cell r="J128">
            <v>2336710000</v>
          </cell>
          <cell r="K128" t="str">
            <v>KONTRAK</v>
          </cell>
        </row>
        <row r="129">
          <cell r="E129" t="str">
            <v>Tihengo</v>
          </cell>
          <cell r="F129" t="str">
            <v>Penyangga</v>
          </cell>
          <cell r="H129" t="str">
            <v>PT. Nenci Citra Pratama</v>
          </cell>
          <cell r="I129">
            <v>65</v>
          </cell>
          <cell r="J129">
            <v>3796630765.4699998</v>
          </cell>
          <cell r="K129" t="str">
            <v>SPPBJ</v>
          </cell>
        </row>
        <row r="130">
          <cell r="E130" t="str">
            <v>Malambe</v>
          </cell>
          <cell r="F130" t="str">
            <v>Penyangga</v>
          </cell>
          <cell r="H130" t="str">
            <v>PT. Nenci Citra Pratama</v>
          </cell>
          <cell r="I130">
            <v>65</v>
          </cell>
          <cell r="J130">
            <v>3835468894.02</v>
          </cell>
          <cell r="K130" t="str">
            <v>SPPBJ</v>
          </cell>
        </row>
        <row r="131">
          <cell r="E131" t="str">
            <v>Bulalo</v>
          </cell>
          <cell r="F131" t="str">
            <v>Penyangga</v>
          </cell>
          <cell r="H131" t="str">
            <v>PT. Nenci Citra Pratama</v>
          </cell>
          <cell r="I131">
            <v>65</v>
          </cell>
          <cell r="J131">
            <v>4053844412.1300001</v>
          </cell>
          <cell r="K131" t="str">
            <v>SPPBJ</v>
          </cell>
        </row>
        <row r="132">
          <cell r="E132" t="str">
            <v>Ilodulunga</v>
          </cell>
          <cell r="F132" t="str">
            <v>Penyangga</v>
          </cell>
          <cell r="H132" t="str">
            <v>PT. Nenci Citra Pratama</v>
          </cell>
          <cell r="I132">
            <v>65</v>
          </cell>
          <cell r="J132">
            <v>2949510265.0500002</v>
          </cell>
          <cell r="K132" t="str">
            <v>SPPBJ</v>
          </cell>
        </row>
        <row r="133">
          <cell r="E133" t="str">
            <v>Podi</v>
          </cell>
          <cell r="F133" t="str">
            <v>Penyangga</v>
          </cell>
          <cell r="H133" t="str">
            <v>CV. Penggawa Raya</v>
          </cell>
          <cell r="I133">
            <v>72</v>
          </cell>
          <cell r="J133">
            <v>5780711912.5900002</v>
          </cell>
          <cell r="K133" t="str">
            <v>KONTRAK</v>
          </cell>
        </row>
        <row r="134">
          <cell r="E134" t="str">
            <v>Tete B</v>
          </cell>
          <cell r="F134" t="str">
            <v>Penyangga</v>
          </cell>
          <cell r="H134" t="str">
            <v>CV. Penggawa Raya</v>
          </cell>
          <cell r="I134">
            <v>72</v>
          </cell>
          <cell r="J134">
            <v>3982982064.3800001</v>
          </cell>
          <cell r="K134" t="str">
            <v>KONTRAK</v>
          </cell>
        </row>
        <row r="135">
          <cell r="E135" t="str">
            <v>Tonyaman</v>
          </cell>
          <cell r="H135" t="str">
            <v>CV. Roda</v>
          </cell>
          <cell r="J135">
            <v>4530275000</v>
          </cell>
          <cell r="K135" t="str">
            <v>SPPBJ</v>
          </cell>
        </row>
        <row r="136">
          <cell r="E136" t="str">
            <v>Tammangalle</v>
          </cell>
          <cell r="H136" t="str">
            <v>CV. Roda</v>
          </cell>
          <cell r="J136">
            <v>3958451000</v>
          </cell>
          <cell r="K136" t="str">
            <v>SPPBJ</v>
          </cell>
        </row>
        <row r="137">
          <cell r="E137" t="str">
            <v>Bungeng</v>
          </cell>
          <cell r="H137" t="str">
            <v>PT. Piranti Jagad Raya</v>
          </cell>
          <cell r="I137">
            <v>22</v>
          </cell>
          <cell r="J137">
            <v>4555684000</v>
          </cell>
          <cell r="K137" t="str">
            <v>SPPBJ</v>
          </cell>
        </row>
        <row r="138">
          <cell r="E138" t="str">
            <v>Arungkeke Pallantikang</v>
          </cell>
          <cell r="H138" t="str">
            <v>PT. Piranti Jagad Raya</v>
          </cell>
          <cell r="I138">
            <v>22</v>
          </cell>
          <cell r="J138">
            <v>4148332000</v>
          </cell>
          <cell r="K138" t="str">
            <v>SPPBJ</v>
          </cell>
        </row>
        <row r="139">
          <cell r="E139" t="str">
            <v>Pabiringa</v>
          </cell>
          <cell r="H139" t="str">
            <v>PT. Piranti Jagad Raya</v>
          </cell>
          <cell r="I139">
            <v>22</v>
          </cell>
          <cell r="J139">
            <v>7702268000</v>
          </cell>
          <cell r="K139" t="str">
            <v>SPPBJ</v>
          </cell>
        </row>
        <row r="140">
          <cell r="E140" t="str">
            <v>Punagaya</v>
          </cell>
          <cell r="H140" t="str">
            <v>PT. Piranti Jagad Raya</v>
          </cell>
          <cell r="I140">
            <v>22</v>
          </cell>
          <cell r="J140">
            <v>3570169000</v>
          </cell>
          <cell r="K140" t="str">
            <v>SPPBJ</v>
          </cell>
        </row>
        <row r="141">
          <cell r="E141" t="str">
            <v>Bontorannu</v>
          </cell>
          <cell r="H141" t="str">
            <v>PT. Piranti Jagad Raya</v>
          </cell>
          <cell r="I141">
            <v>22</v>
          </cell>
          <cell r="J141">
            <v>4913718000</v>
          </cell>
          <cell r="K141" t="str">
            <v>SPPBJ</v>
          </cell>
        </row>
        <row r="142">
          <cell r="E142" t="str">
            <v>Lumpue</v>
          </cell>
          <cell r="H142" t="str">
            <v>CV. Viqry Sanjaya Putra</v>
          </cell>
          <cell r="I142">
            <v>70</v>
          </cell>
          <cell r="J142">
            <v>4324242000</v>
          </cell>
          <cell r="K142" t="str">
            <v>KONTRAK</v>
          </cell>
        </row>
        <row r="143">
          <cell r="E143" t="str">
            <v>Watang Soreang</v>
          </cell>
          <cell r="H143" t="str">
            <v>CV. Viqry Sanjaya Putra</v>
          </cell>
          <cell r="I143">
            <v>70</v>
          </cell>
          <cell r="J143">
            <v>4265935000</v>
          </cell>
          <cell r="K143" t="str">
            <v>KONTRAK</v>
          </cell>
        </row>
        <row r="144">
          <cell r="E144" t="str">
            <v>Bacu</v>
          </cell>
          <cell r="H144" t="str">
            <v>PT. Karya Kamefada Wijaya Indonesia</v>
          </cell>
          <cell r="J144">
            <v>4659492000</v>
          </cell>
          <cell r="K144" t="str">
            <v>SPPBJ</v>
          </cell>
        </row>
        <row r="145">
          <cell r="E145" t="str">
            <v>Sanjai</v>
          </cell>
          <cell r="H145" t="str">
            <v>PT. Karya Kamefada Wijaya Indonesia</v>
          </cell>
          <cell r="J145">
            <v>5864784000</v>
          </cell>
          <cell r="K145" t="str">
            <v>SPPBJ</v>
          </cell>
        </row>
        <row r="146">
          <cell r="E146" t="str">
            <v>Bulu-bulu</v>
          </cell>
          <cell r="H146" t="str">
            <v>PT. Karya Kamefada Wijaya Indonesia</v>
          </cell>
          <cell r="J146">
            <v>4700690000</v>
          </cell>
          <cell r="K146" t="str">
            <v>SPPBJ</v>
          </cell>
        </row>
        <row r="147">
          <cell r="E147" t="str">
            <v>Ujung Salangketo</v>
          </cell>
          <cell r="H147" t="str">
            <v>PT. Karya Kamefada Wijaya Indonesia</v>
          </cell>
          <cell r="J147">
            <v>5846610000</v>
          </cell>
          <cell r="K147" t="str">
            <v>SPPBJ</v>
          </cell>
        </row>
        <row r="148">
          <cell r="E148" t="str">
            <v>Lanosangia</v>
          </cell>
          <cell r="H148" t="str">
            <v xml:space="preserve">PT. VTB Jaya Makmur </v>
          </cell>
          <cell r="J148">
            <v>6601919000</v>
          </cell>
          <cell r="K148" t="str">
            <v>SPPBJ</v>
          </cell>
        </row>
        <row r="149">
          <cell r="E149" t="str">
            <v>Tadang Palie</v>
          </cell>
          <cell r="H149" t="str">
            <v>CV. Buana Bahari</v>
          </cell>
          <cell r="J149">
            <v>4189550480</v>
          </cell>
          <cell r="K149" t="str">
            <v>KONTRAK</v>
          </cell>
        </row>
        <row r="150">
          <cell r="E150" t="str">
            <v>Pallameang</v>
          </cell>
          <cell r="H150" t="str">
            <v>CV. Buana Bahari</v>
          </cell>
          <cell r="J150">
            <v>4080194292</v>
          </cell>
          <cell r="K150" t="str">
            <v>KONTRAK</v>
          </cell>
        </row>
      </sheetData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3CAD46-1AE5-FF47-877E-3D9A2881256B}" name="Table4" displayName="Table4" ref="A1:AP1272" totalsRowShown="0" headerRowDxfId="44" dataDxfId="43" tableBorderDxfId="42">
  <autoFilter ref="A1:AP1272" xr:uid="{B6D016FD-CE7D-1343-97A5-8029930FB4C9}"/>
  <tableColumns count="42">
    <tableColumn id="1" xr3:uid="{D3C35BD8-1C96-5041-BC22-4D2E4191131C}" name="SUMBER" dataDxfId="41"/>
    <tableColumn id="2" xr3:uid="{A4FCB819-94F3-A240-A787-75BDD95BF9FE}" name="STATUS" dataDxfId="40"/>
    <tableColumn id="3" xr3:uid="{C1E11CB2-D6C3-1D44-A326-ED7F9C8AC421}" name="NO" dataDxfId="39"/>
    <tableColumn id="4" xr3:uid="{0B381832-E3F0-1449-BD96-7001526C5615}" name="WILAYAH" dataDxfId="38"/>
    <tableColumn id="5" xr3:uid="{3EC3E8D2-311F-E944-919F-931C03437B46}" name="NO2" dataDxfId="37"/>
    <tableColumn id="6" xr3:uid="{FDB7B9E2-70F7-484C-992F-627FDD84DD7D}" name="KLASTER" dataDxfId="36"/>
    <tableColumn id="7" xr3:uid="{13D797EF-E429-8645-8774-94E9F20AFF09}" name="PROVINSI" dataDxfId="35"/>
    <tableColumn id="8" xr3:uid="{90B5D411-07D9-064A-85E8-E69C5B1EFD90}" name="TIM PERENCANAAN" dataDxfId="34"/>
    <tableColumn id="9" xr3:uid="{5558F910-620E-4E4B-BE2D-1CFC15B5B6BC}" name="KABUPATEN/KOTA" dataDxfId="33"/>
    <tableColumn id="10" xr3:uid="{1767257E-58F1-A449-AE9D-F9BA1C456F77}" name="KECAMATAN" dataDxfId="32"/>
    <tableColumn id="11" xr3:uid="{254E0499-DFA4-EC42-8E8C-F6DF4BA6C3AB}" name="DESA/KELURAHAN" dataDxfId="31"/>
    <tableColumn id="12" xr3:uid="{4309493E-971F-F847-960C-92D263F9A310}" name="KAMPUNG NELAYAN" dataDxfId="30"/>
    <tableColumn id="13" xr3:uid="{2EC6EBFB-EE3F-7746-8820-47344AE0042D}" name="HASIL PLENO" dataDxfId="29"/>
    <tableColumn id="14" xr3:uid="{80736182-1DAA-434C-A5A5-4A8DA3EB038F}" name="NELAYAN" dataDxfId="28"/>
    <tableColumn id="15" xr3:uid="{3C3C0703-2813-1947-A1D9-BADE62789B5A}" name="KAPAL TANPA MESIN (UNIT)" dataDxfId="27"/>
    <tableColumn id="16" xr3:uid="{750E0188-7B2D-3145-9F76-7024D32BCC8C}" name="KAPAL DENGAN MESIN (UNIT)" dataDxfId="26"/>
    <tableColumn id="17" xr3:uid="{FC0531B0-005F-8346-8673-F6379E578163}" name="TOTAL KAPAL (UNIT)" dataDxfId="25"/>
    <tableColumn id="18" xr3:uid="{AE14A748-E968-234F-86C6-F51178D9744F}" name="LUAS LAHAN (Ha)" dataDxfId="24"/>
    <tableColumn id="19" xr3:uid="{13223063-9067-9E42-A0E5-062B4AF0615D}" name="LATITUDE" dataDxfId="23"/>
    <tableColumn id="20" xr3:uid="{AA5DD2FA-5313-EA48-86F3-86164FE08203}" name="LONGITUDE" dataDxfId="22"/>
    <tableColumn id="21" xr3:uid="{E8174BC0-3E81-1C44-B1E8-C42981C8F8A5}" name="CEK DED" dataDxfId="21"/>
    <tableColumn id="22" xr3:uid="{0E116262-4B57-2A41-827E-6A784ED5401D}" name="CALON PENYEDIA" dataDxfId="20"/>
    <tableColumn id="23" xr3:uid="{65429592-F9CD-FC44-BAB2-06C1E17E6D73}" name="NILAI EE" dataDxfId="19"/>
    <tableColumn id="24" xr3:uid="{70A15F3E-55F7-7346-9E7C-8357DC6D618A}" name="HPS" dataDxfId="18"/>
    <tableColumn id="25" xr3:uid="{E668697E-1269-7843-AA3F-0CE7AC445BFD}" name="KEDUDUKAN PERUSAHAAN" dataDxfId="17">
      <calculatedColumnFormula>VLOOKUP(L2,'[1]singkron data'!D:H,5,FALSE)</calculatedColumnFormula>
    </tableColumn>
    <tableColumn id="26" xr3:uid="{057AB6EF-7174-DD4F-9FCE-76224BC7E019}" name="SURVEY MARKET" dataDxfId="16">
      <calculatedColumnFormula>VLOOKUP(L2,'[1]singkron data'!D:I,6,FALSE)</calculatedColumnFormula>
    </tableColumn>
    <tableColumn id="27" xr3:uid="{F3835FF1-23AA-3E4A-A62F-4C3ADF8F01C9}" name="KONTAK PERSON" dataDxfId="15"/>
    <tableColumn id="28" xr3:uid="{2E2D9682-1E74-5A4D-95DC-AF8936CCB468}" name="PELAKSANA PEKERJAAN" dataDxfId="14"/>
    <tableColumn id="29" xr3:uid="{1F7773B9-8496-2043-AEFF-C639A021CE03}" name="CAT" dataDxfId="13"/>
    <tableColumn id="30" xr3:uid="{2E7AECC0-52AD-474D-BFA1-315DB45A9D10}" name="TAHAP" dataDxfId="12"/>
    <tableColumn id="31" xr3:uid="{15903B80-2316-E642-BB1A-5B7DC5D3B5B7}" name="PROSES POKJA" dataDxfId="11">
      <calculatedColumnFormula>VLOOKUP(L2,'[1]singkron data'!D:P,13,FALSE)</calculatedColumnFormula>
    </tableColumn>
    <tableColumn id="32" xr3:uid="{F4CCA392-8CB1-824B-9066-6CBF706D315C}" name="DED" dataDxfId="10"/>
    <tableColumn id="33" xr3:uid="{6718642E-7E69-274E-8D6A-94ADA504AED0}" name="NILAI KONTRAK" dataDxfId="9">
      <calculatedColumnFormula>VLOOKUP(L2,'[1]update kontrak'!E:K,6,FALSE)</calculatedColumnFormula>
    </tableColumn>
    <tableColumn id="34" xr3:uid="{80B1EFC9-3F2E-1C4D-9BCC-DB01FF8F712E}" name="STATUS KONTRAK" dataDxfId="8">
      <calculatedColumnFormula>VLOOKUP(L2,'[1]update kontrak'!E:K,7,FALSE)</calculatedColumnFormula>
    </tableColumn>
    <tableColumn id="35" xr3:uid="{D4FDCA7D-629F-EE44-8F36-8F8C0644C2C2}" name="STATUS SPPBJ" dataDxfId="7"/>
    <tableColumn id="36" xr3:uid="{8D8BE6E4-6BC9-E143-90AF-29B26A9B3F1E}" name="CEK" dataDxfId="6">
      <calculatedColumnFormula>VLOOKUP(L2,[1]rekap!D:M,1,FALSE)</calculatedColumnFormula>
    </tableColumn>
    <tableColumn id="37" xr3:uid="{A8A1FE5A-D756-D74D-B3F9-91A9AF3D2794}" name="CEK PENYEDIA" dataDxfId="5">
      <calculatedColumnFormula>VLOOKUP(L2,'[1]singkron data'!D:E,2,FALSE)</calculatedColumnFormula>
    </tableColumn>
    <tableColumn id="38" xr3:uid="{381DD10F-F689-504F-BFA7-8534DB4C00FC}" name=" " dataDxfId="4">
      <calculatedColumnFormula>VLOOKUP(L2,'[1]update 521'!D:D,1,FALSE)</calculatedColumnFormula>
    </tableColumn>
    <tableColumn id="39" xr3:uid="{FACDF1F9-8ED8-5345-9CDD-32BC977A0D3C}" name="STATUS DED" dataDxfId="3"/>
    <tableColumn id="40" xr3:uid="{DA6A6477-019E-A247-94DC-1C7351E2FB45}" name="NILAI KONTRAK3" dataDxfId="2"/>
    <tableColumn id="41" xr3:uid="{A1CE2AF3-EE89-984F-BA46-06E8D4BCB61B}" name="PROSES KONTRAK" dataDxfId="1"/>
    <tableColumn id="42" xr3:uid="{FE87A975-1DB7-D14B-A749-55C1605A2F02}" name="KONTRAK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2BAE8-6226-2D48-A0BB-0AD4349B6C60}">
  <sheetPr>
    <outlinePr summaryBelow="0" summaryRight="0"/>
  </sheetPr>
  <dimension ref="A1:AP1272"/>
  <sheetViews>
    <sheetView tabSelected="1" zoomScale="90" zoomScaleNormal="90" workbookViewId="0">
      <pane ySplit="1" topLeftCell="A1187" activePane="bottomLeft" state="frozen"/>
      <selection pane="bottomLeft" activeCell="A1207" sqref="A1207"/>
    </sheetView>
  </sheetViews>
  <sheetFormatPr baseColWidth="10" defaultColWidth="12.6640625" defaultRowHeight="15.75" customHeight="1" x14ac:dyDescent="0.15"/>
  <cols>
    <col min="1" max="1" width="18.6640625" customWidth="1"/>
    <col min="2" max="2" width="14.6640625" customWidth="1"/>
    <col min="3" max="3" width="6.1640625" customWidth="1"/>
    <col min="4" max="4" width="22.1640625" customWidth="1"/>
    <col min="5" max="5" width="7" customWidth="1"/>
    <col min="6" max="6" width="23.6640625" customWidth="1"/>
    <col min="7" max="7" width="27" customWidth="1"/>
    <col min="8" max="8" width="20" customWidth="1"/>
    <col min="9" max="9" width="26.5" customWidth="1"/>
    <col min="10" max="10" width="23" customWidth="1"/>
    <col min="11" max="12" width="29.6640625" customWidth="1"/>
    <col min="13" max="13" width="15.5" customWidth="1"/>
    <col min="14" max="14" width="11.5" customWidth="1"/>
    <col min="15" max="15" width="26.83203125" customWidth="1"/>
    <col min="16" max="16" width="28.33203125" customWidth="1"/>
    <col min="17" max="17" width="20.5" customWidth="1"/>
    <col min="18" max="18" width="18.33203125" customWidth="1"/>
    <col min="19" max="19" width="12.6640625" customWidth="1"/>
    <col min="20" max="20" width="13" customWidth="1"/>
    <col min="21" max="21" width="13.83203125" customWidth="1"/>
    <col min="22" max="22" width="46.33203125" customWidth="1"/>
    <col min="23" max="23" width="14.1640625" customWidth="1"/>
    <col min="24" max="24" width="6.83203125" customWidth="1"/>
    <col min="25" max="25" width="26.5" customWidth="1"/>
    <col min="26" max="26" width="17.83203125" customWidth="1"/>
    <col min="27" max="27" width="56.83203125" customWidth="1"/>
    <col min="28" max="28" width="24.6640625" customWidth="1"/>
    <col min="29" max="29" width="42.6640625" customWidth="1"/>
    <col min="30" max="30" width="10.83203125" customWidth="1"/>
    <col min="31" max="31" width="19.6640625" customWidth="1"/>
    <col min="32" max="32" width="7" customWidth="1"/>
    <col min="33" max="33" width="16.6640625" customWidth="1"/>
    <col min="34" max="35" width="18.33203125" customWidth="1"/>
    <col min="36" max="36" width="30.33203125" customWidth="1"/>
    <col min="37" max="37" width="36.1640625" customWidth="1"/>
    <col min="38" max="38" width="26.5" customWidth="1"/>
    <col min="39" max="39" width="13.83203125" customWidth="1"/>
    <col min="40" max="40" width="28" customWidth="1"/>
    <col min="41" max="41" width="19.1640625" customWidth="1"/>
    <col min="42" max="42" width="13.83203125" customWidth="1"/>
  </cols>
  <sheetData>
    <row r="1" spans="1:42" ht="1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4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6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7" t="s">
        <v>41</v>
      </c>
    </row>
    <row r="2" spans="1:42" ht="15" x14ac:dyDescent="0.2">
      <c r="A2" s="8" t="s">
        <v>42</v>
      </c>
      <c r="B2" s="9" t="s">
        <v>43</v>
      </c>
      <c r="C2" s="9">
        <v>730</v>
      </c>
      <c r="D2" s="9" t="s">
        <v>44</v>
      </c>
      <c r="E2" s="9">
        <v>27</v>
      </c>
      <c r="F2" s="9" t="s">
        <v>45</v>
      </c>
      <c r="G2" s="9" t="s">
        <v>46</v>
      </c>
      <c r="H2" s="9" t="s">
        <v>47</v>
      </c>
      <c r="I2" s="9" t="s">
        <v>48</v>
      </c>
      <c r="J2" s="9" t="s">
        <v>49</v>
      </c>
      <c r="K2" s="9" t="s">
        <v>50</v>
      </c>
      <c r="L2" s="10" t="s">
        <v>50</v>
      </c>
      <c r="M2" s="9" t="s">
        <v>51</v>
      </c>
      <c r="N2" s="9">
        <v>484</v>
      </c>
      <c r="O2" s="9">
        <v>44</v>
      </c>
      <c r="P2" s="9">
        <v>140</v>
      </c>
      <c r="Q2" s="9">
        <v>184</v>
      </c>
      <c r="R2" s="9">
        <v>0.6</v>
      </c>
      <c r="S2" s="9">
        <v>-8.5755745000000001</v>
      </c>
      <c r="T2" s="9">
        <v>119.0354641</v>
      </c>
      <c r="U2" s="9" t="s">
        <v>52</v>
      </c>
      <c r="V2" s="11" t="str">
        <f>VLOOKUP(L2,'[1]singkron data'!D:E,2,FALSE)</f>
        <v>CV. Kalembo Ade Nautama</v>
      </c>
      <c r="W2" s="11"/>
      <c r="X2" s="11"/>
      <c r="Y2" s="11">
        <f>VLOOKUP(L2,'[1]singkron data'!D:H,5,FALSE)</f>
        <v>0</v>
      </c>
      <c r="Z2" s="11">
        <f>VLOOKUP(L2,'[1]singkron data'!D:I,6,FALSE)</f>
        <v>0</v>
      </c>
      <c r="AA2" s="11" t="s">
        <v>53</v>
      </c>
      <c r="AB2" s="11" t="s">
        <v>54</v>
      </c>
      <c r="AC2" s="11" t="str">
        <f>VLOOKUP(L2,'[1]singkron data'!D:M,10,FALSE)</f>
        <v>ongen</v>
      </c>
      <c r="AD2" s="11" t="str">
        <f>VLOOKUP(L2,'[1]data 1129'!F:O,10,FALSE)</f>
        <v>Tahap II 146</v>
      </c>
      <c r="AE2" s="11">
        <f>VLOOKUP(L2,'[1]singkron data'!D:P,13,FALSE)</f>
        <v>0</v>
      </c>
      <c r="AF2" s="11" t="s">
        <v>55</v>
      </c>
      <c r="AG2" s="11" t="e">
        <f>VLOOKUP(L2,'[1]update kontrak'!E:K,6,FALSE)</f>
        <v>#N/A</v>
      </c>
      <c r="AH2" s="11" t="e">
        <f>VLOOKUP(L2,'[1]update kontrak'!E:K,7,FALSE)</f>
        <v>#N/A</v>
      </c>
      <c r="AI2" s="11"/>
      <c r="AJ2" s="11" t="str">
        <f>VLOOKUP(L2,[1]rekap!D:M,1,FALSE)</f>
        <v>Bajo Pulau</v>
      </c>
      <c r="AK2" s="11" t="str">
        <f>VLOOKUP(L2,'[1]singkron data'!D:E,2,FALSE)</f>
        <v>CV. Kalembo Ade Nautama</v>
      </c>
      <c r="AL2" s="11" t="str">
        <f>VLOOKUP(L2,'[1]update 521'!D:D,1,FALSE)</f>
        <v>Bajo Pulau</v>
      </c>
      <c r="AM2" s="11" t="e">
        <v>#N/A</v>
      </c>
      <c r="AN2" s="11" t="e">
        <f>VLOOKUP(L2,[1]Sheet19!E:L,8,FALSE)</f>
        <v>#N/A</v>
      </c>
      <c r="AO2" s="11" t="e">
        <f>VLOOKUP(L2,[1]Sheet19!E:K,7,FALSE)</f>
        <v>#N/A</v>
      </c>
      <c r="AP2" s="12"/>
    </row>
    <row r="3" spans="1:42" ht="15" x14ac:dyDescent="0.2">
      <c r="A3" s="8" t="s">
        <v>42</v>
      </c>
      <c r="B3" s="9" t="s">
        <v>43</v>
      </c>
      <c r="C3" s="9">
        <v>728</v>
      </c>
      <c r="D3" s="9" t="s">
        <v>44</v>
      </c>
      <c r="E3" s="9">
        <v>25</v>
      </c>
      <c r="F3" s="9" t="s">
        <v>56</v>
      </c>
      <c r="G3" s="9" t="s">
        <v>46</v>
      </c>
      <c r="H3" s="9" t="s">
        <v>47</v>
      </c>
      <c r="I3" s="9" t="s">
        <v>48</v>
      </c>
      <c r="J3" s="9" t="s">
        <v>49</v>
      </c>
      <c r="K3" s="9" t="s">
        <v>56</v>
      </c>
      <c r="L3" s="10" t="s">
        <v>56</v>
      </c>
      <c r="M3" s="9" t="s">
        <v>51</v>
      </c>
      <c r="N3" s="9">
        <v>260</v>
      </c>
      <c r="O3" s="9">
        <v>7</v>
      </c>
      <c r="P3" s="9">
        <v>90</v>
      </c>
      <c r="Q3" s="9">
        <v>97</v>
      </c>
      <c r="R3" s="9">
        <v>0.45</v>
      </c>
      <c r="S3" s="9">
        <v>-8.5307618999999999</v>
      </c>
      <c r="T3" s="9">
        <v>119.0151486</v>
      </c>
      <c r="U3" s="9" t="s">
        <v>52</v>
      </c>
      <c r="V3" s="11" t="str">
        <f>VLOOKUP(L3,'[1]singkron data'!D:E,2,FALSE)</f>
        <v>CV. Kalembo Ade Nautama</v>
      </c>
      <c r="W3" s="13">
        <f>VLOOKUP(L3,'[1]update tim 2'!D:F,3,FALSE)</f>
        <v>2838404000</v>
      </c>
      <c r="X3" s="11" t="s">
        <v>55</v>
      </c>
      <c r="Y3" s="11">
        <f>VLOOKUP(L3,'[1]singkron data'!D:H,5,FALSE)</f>
        <v>0</v>
      </c>
      <c r="Z3" s="11">
        <f>VLOOKUP(L3,'[1]singkron data'!D:I,6,FALSE)</f>
        <v>0</v>
      </c>
      <c r="AA3" s="11" t="s">
        <v>53</v>
      </c>
      <c r="AB3" s="11" t="s">
        <v>54</v>
      </c>
      <c r="AC3" s="11" t="str">
        <f>VLOOKUP(L3,'[1]singkron data'!D:M,10,FALSE)</f>
        <v>ongen</v>
      </c>
      <c r="AD3" s="11" t="str">
        <f>VLOOKUP(L3,'[1]data 1129'!F:O,10,FALSE)</f>
        <v>Tahap II 146</v>
      </c>
      <c r="AE3" s="11">
        <f>VLOOKUP(L3,'[1]singkron data'!D:P,13,FALSE)</f>
        <v>0</v>
      </c>
      <c r="AF3" s="11" t="s">
        <v>55</v>
      </c>
      <c r="AG3" s="11" t="e">
        <f>VLOOKUP(L3,'[1]update kontrak'!E:K,6,FALSE)</f>
        <v>#N/A</v>
      </c>
      <c r="AH3" s="11" t="e">
        <f>VLOOKUP(L3,'[1]update kontrak'!E:K,7,FALSE)</f>
        <v>#N/A</v>
      </c>
      <c r="AI3" s="11"/>
      <c r="AJ3" s="11" t="str">
        <f>VLOOKUP(L3,[1]rekap!D:M,1,FALSE)</f>
        <v>Buncu</v>
      </c>
      <c r="AK3" s="11" t="str">
        <f>VLOOKUP(L3,'[1]singkron data'!D:E,2,FALSE)</f>
        <v>CV. Kalembo Ade Nautama</v>
      </c>
      <c r="AL3" s="11" t="str">
        <f>VLOOKUP(L3,'[1]update 521'!D:D,1,FALSE)</f>
        <v>Buncu</v>
      </c>
      <c r="AM3" s="11" t="s">
        <v>57</v>
      </c>
      <c r="AN3" s="11" t="e">
        <f>VLOOKUP(L3,[1]Sheet19!E:L,8,FALSE)</f>
        <v>#N/A</v>
      </c>
      <c r="AO3" s="11" t="s">
        <v>58</v>
      </c>
      <c r="AP3" s="12"/>
    </row>
    <row r="4" spans="1:42" ht="15" x14ac:dyDescent="0.2">
      <c r="A4" s="8" t="s">
        <v>42</v>
      </c>
      <c r="B4" s="9" t="s">
        <v>43</v>
      </c>
      <c r="C4" s="9">
        <v>729</v>
      </c>
      <c r="D4" s="9" t="s">
        <v>44</v>
      </c>
      <c r="E4" s="9">
        <v>26</v>
      </c>
      <c r="F4" s="9" t="s">
        <v>56</v>
      </c>
      <c r="G4" s="9" t="s">
        <v>46</v>
      </c>
      <c r="H4" s="9" t="s">
        <v>47</v>
      </c>
      <c r="I4" s="9" t="s">
        <v>48</v>
      </c>
      <c r="J4" s="9" t="s">
        <v>49</v>
      </c>
      <c r="K4" s="9" t="s">
        <v>59</v>
      </c>
      <c r="L4" s="10" t="s">
        <v>59</v>
      </c>
      <c r="M4" s="9" t="s">
        <v>51</v>
      </c>
      <c r="N4" s="9">
        <v>480</v>
      </c>
      <c r="O4" s="9">
        <v>50</v>
      </c>
      <c r="P4" s="9">
        <v>65</v>
      </c>
      <c r="Q4" s="9">
        <v>115</v>
      </c>
      <c r="R4" s="9">
        <v>0.3</v>
      </c>
      <c r="S4" s="9">
        <v>-8.5254435999999991</v>
      </c>
      <c r="T4" s="9">
        <v>119.0266819</v>
      </c>
      <c r="U4" s="9" t="s">
        <v>52</v>
      </c>
      <c r="V4" s="11" t="str">
        <f>VLOOKUP(L4,'[1]singkron data'!D:E,2,FALSE)</f>
        <v>CV. Kalembo Ade Nautama</v>
      </c>
      <c r="W4" s="13">
        <f>VLOOKUP(L4,'[1]update tim 2'!D:F,3,FALSE)</f>
        <v>4129699000</v>
      </c>
      <c r="X4" s="11" t="s">
        <v>55</v>
      </c>
      <c r="Y4" s="11">
        <f>VLOOKUP(L4,'[1]singkron data'!D:H,5,FALSE)</f>
        <v>0</v>
      </c>
      <c r="Z4" s="11">
        <f>VLOOKUP(L4,'[1]singkron data'!D:I,6,FALSE)</f>
        <v>0</v>
      </c>
      <c r="AA4" s="11" t="s">
        <v>53</v>
      </c>
      <c r="AB4" s="11" t="s">
        <v>54</v>
      </c>
      <c r="AC4" s="11" t="str">
        <f>VLOOKUP(L4,'[1]singkron data'!D:M,10,FALSE)</f>
        <v>ongen</v>
      </c>
      <c r="AD4" s="11" t="str">
        <f>VLOOKUP(L4,'[1]data 1129'!F:O,10,FALSE)</f>
        <v>Tahap II 146</v>
      </c>
      <c r="AE4" s="11">
        <f>VLOOKUP(L4,'[1]singkron data'!D:P,13,FALSE)</f>
        <v>0</v>
      </c>
      <c r="AF4" s="11" t="s">
        <v>55</v>
      </c>
      <c r="AG4" s="11" t="e">
        <f>VLOOKUP(L4,'[1]update kontrak'!E:K,6,FALSE)</f>
        <v>#N/A</v>
      </c>
      <c r="AH4" s="11" t="e">
        <f>VLOOKUP(L4,'[1]update kontrak'!E:K,7,FALSE)</f>
        <v>#N/A</v>
      </c>
      <c r="AI4" s="11"/>
      <c r="AJ4" s="11" t="str">
        <f>VLOOKUP(L4,[1]rekap!D:M,1,FALSE)</f>
        <v>Lamere</v>
      </c>
      <c r="AK4" s="11" t="str">
        <f>VLOOKUP(L4,'[1]singkron data'!D:E,2,FALSE)</f>
        <v>CV. Kalembo Ade Nautama</v>
      </c>
      <c r="AL4" s="11" t="str">
        <f>VLOOKUP(L4,'[1]update 521'!D:D,1,FALSE)</f>
        <v>Lamere</v>
      </c>
      <c r="AM4" s="11" t="s">
        <v>57</v>
      </c>
      <c r="AN4" s="11" t="e">
        <f>VLOOKUP(L4,[1]Sheet19!E:L,8,FALSE)</f>
        <v>#N/A</v>
      </c>
      <c r="AO4" s="11" t="s">
        <v>58</v>
      </c>
      <c r="AP4" s="12"/>
    </row>
    <row r="5" spans="1:42" ht="15" x14ac:dyDescent="0.2">
      <c r="A5" s="8" t="s">
        <v>42</v>
      </c>
      <c r="B5" s="9" t="s">
        <v>60</v>
      </c>
      <c r="C5" s="9">
        <v>708</v>
      </c>
      <c r="D5" s="9" t="s">
        <v>44</v>
      </c>
      <c r="E5" s="9">
        <v>5</v>
      </c>
      <c r="F5" s="9" t="s">
        <v>61</v>
      </c>
      <c r="G5" s="9" t="s">
        <v>46</v>
      </c>
      <c r="H5" s="9" t="s">
        <v>47</v>
      </c>
      <c r="I5" s="9" t="s">
        <v>62</v>
      </c>
      <c r="J5" s="9" t="s">
        <v>63</v>
      </c>
      <c r="K5" s="9" t="s">
        <v>64</v>
      </c>
      <c r="L5" s="10" t="s">
        <v>64</v>
      </c>
      <c r="M5" s="9" t="s">
        <v>65</v>
      </c>
      <c r="N5" s="9">
        <v>490</v>
      </c>
      <c r="O5" s="9">
        <v>9</v>
      </c>
      <c r="P5" s="9">
        <v>241</v>
      </c>
      <c r="Q5" s="9">
        <v>250</v>
      </c>
      <c r="R5" s="9">
        <v>0.3</v>
      </c>
      <c r="S5" s="9">
        <v>-8.8505140000000004</v>
      </c>
      <c r="T5" s="9">
        <v>116.05314</v>
      </c>
      <c r="U5" s="9" t="s">
        <v>52</v>
      </c>
      <c r="V5" s="11" t="str">
        <f>VLOOKUP(L5,'[1]singkron data'!D:E,2,FALSE)</f>
        <v>PT. Asuka Engineering Indonesia</v>
      </c>
      <c r="W5" s="13">
        <f>VLOOKUP(L5,'[1]update tim 2'!D:F,3,FALSE)</f>
        <v>2626954000</v>
      </c>
      <c r="X5" s="11" t="s">
        <v>55</v>
      </c>
      <c r="Y5" s="11" t="str">
        <f>VLOOKUP(L5,'[1]singkron data'!D:H,5,FALSE)</f>
        <v>Gresik</v>
      </c>
      <c r="Z5" s="11">
        <f>VLOOKUP(L5,'[1]singkron data'!D:I,6,FALSE)</f>
        <v>0</v>
      </c>
      <c r="AA5" s="11" t="str">
        <f>VLOOKUP(L5,'[1]singkron data'!D:L,9,FALSE)</f>
        <v>081358005070/efendi</v>
      </c>
      <c r="AB5" s="11" t="s">
        <v>54</v>
      </c>
      <c r="AC5" s="11" t="str">
        <f>VLOOKUP(L5,'[1]singkron data'!D:M,10,FALSE)</f>
        <v>g</v>
      </c>
      <c r="AD5" s="11" t="str">
        <f>VLOOKUP(L5,'[1]data 1129'!F:O,10,FALSE)</f>
        <v>Tahap II 146</v>
      </c>
      <c r="AE5" s="11">
        <f>VLOOKUP(L5,'[1]singkron data'!D:P,13,FALSE)</f>
        <v>0</v>
      </c>
      <c r="AF5" s="11" t="s">
        <v>55</v>
      </c>
      <c r="AG5" s="11" t="e">
        <f>VLOOKUP(L5,'[1]update kontrak'!E:K,6,FALSE)</f>
        <v>#N/A</v>
      </c>
      <c r="AH5" s="11" t="e">
        <f>VLOOKUP(L5,'[1]update kontrak'!E:K,7,FALSE)</f>
        <v>#N/A</v>
      </c>
      <c r="AI5" s="11" t="s">
        <v>58</v>
      </c>
      <c r="AJ5" s="11" t="str">
        <f>VLOOKUP(L5,[1]rekap!D:M,1,FALSE)</f>
        <v>Buwun Mas</v>
      </c>
      <c r="AK5" s="11" t="str">
        <f>VLOOKUP(L5,'[1]singkron data'!D:E,2,FALSE)</f>
        <v>PT. Asuka Engineering Indonesia</v>
      </c>
      <c r="AL5" s="11" t="str">
        <f>VLOOKUP(L5,'[1]update 521'!D:D,1,FALSE)</f>
        <v>Buwun Mas</v>
      </c>
      <c r="AM5" s="11" t="s">
        <v>57</v>
      </c>
      <c r="AN5" s="11" t="e">
        <f>VLOOKUP(L5,[1]Sheet19!E:L,8,FALSE)</f>
        <v>#N/A</v>
      </c>
      <c r="AO5" s="11" t="s">
        <v>58</v>
      </c>
      <c r="AP5" s="12"/>
    </row>
    <row r="6" spans="1:42" ht="15" x14ac:dyDescent="0.2">
      <c r="A6" s="8" t="s">
        <v>42</v>
      </c>
      <c r="B6" s="9" t="s">
        <v>60</v>
      </c>
      <c r="C6" s="9">
        <v>709</v>
      </c>
      <c r="D6" s="9" t="s">
        <v>44</v>
      </c>
      <c r="E6" s="9">
        <v>6</v>
      </c>
      <c r="F6" s="9" t="s">
        <v>61</v>
      </c>
      <c r="G6" s="9" t="s">
        <v>46</v>
      </c>
      <c r="H6" s="9" t="s">
        <v>47</v>
      </c>
      <c r="I6" s="9" t="s">
        <v>62</v>
      </c>
      <c r="J6" s="9" t="s">
        <v>66</v>
      </c>
      <c r="K6" s="9" t="s">
        <v>67</v>
      </c>
      <c r="L6" s="10" t="s">
        <v>67</v>
      </c>
      <c r="M6" s="9" t="s">
        <v>51</v>
      </c>
      <c r="N6" s="9">
        <v>145</v>
      </c>
      <c r="O6" s="9">
        <v>31</v>
      </c>
      <c r="P6" s="9">
        <v>107</v>
      </c>
      <c r="Q6" s="9">
        <v>138</v>
      </c>
      <c r="R6" s="9">
        <v>0.6</v>
      </c>
      <c r="S6" s="9">
        <v>-8.6343499000000001</v>
      </c>
      <c r="T6" s="9">
        <v>116.0734884</v>
      </c>
      <c r="U6" s="9" t="s">
        <v>52</v>
      </c>
      <c r="V6" s="11" t="str">
        <f>VLOOKUP(L6,'[1]singkron data'!D:E,2,FALSE)</f>
        <v>PT. Asuka Engineering Indonesia</v>
      </c>
      <c r="W6" s="13">
        <f>VLOOKUP(L6,'[1]update tim 2'!D:F,3,FALSE)</f>
        <v>7120566000</v>
      </c>
      <c r="X6" s="11" t="s">
        <v>55</v>
      </c>
      <c r="Y6" s="11" t="str">
        <f>VLOOKUP(L6,'[1]singkron data'!D:H,5,FALSE)</f>
        <v>Gresik</v>
      </c>
      <c r="Z6" s="11">
        <f>VLOOKUP(L6,'[1]singkron data'!D:I,6,FALSE)</f>
        <v>0</v>
      </c>
      <c r="AA6" s="11" t="str">
        <f>VLOOKUP(L6,'[1]singkron data'!D:L,9,FALSE)</f>
        <v>081358005070/efendi</v>
      </c>
      <c r="AB6" s="11" t="s">
        <v>54</v>
      </c>
      <c r="AC6" s="11" t="str">
        <f>VLOOKUP(L6,'[1]singkron data'!D:M,10,FALSE)</f>
        <v>g</v>
      </c>
      <c r="AD6" s="11" t="str">
        <f>VLOOKUP(L6,'[1]data 1129'!F:O,10,FALSE)</f>
        <v>Tahap II 146</v>
      </c>
      <c r="AE6" s="11">
        <f>VLOOKUP(L6,'[1]singkron data'!D:P,13,FALSE)</f>
        <v>0</v>
      </c>
      <c r="AF6" s="11" t="s">
        <v>55</v>
      </c>
      <c r="AG6" s="11" t="e">
        <f>VLOOKUP(L6,'[1]update kontrak'!E:K,6,FALSE)</f>
        <v>#N/A</v>
      </c>
      <c r="AH6" s="11" t="e">
        <f>VLOOKUP(L6,'[1]update kontrak'!E:K,7,FALSE)</f>
        <v>#N/A</v>
      </c>
      <c r="AI6" s="11" t="s">
        <v>58</v>
      </c>
      <c r="AJ6" s="11" t="str">
        <f>VLOOKUP(L6,[1]rekap!D:M,1,FALSE)</f>
        <v>Kuranji Dalang</v>
      </c>
      <c r="AK6" s="11" t="str">
        <f>VLOOKUP(L6,'[1]singkron data'!D:E,2,FALSE)</f>
        <v>PT. Asuka Engineering Indonesia</v>
      </c>
      <c r="AL6" s="11" t="str">
        <f>VLOOKUP(L6,'[1]update 521'!D:D,1,FALSE)</f>
        <v>Kuranji Dalang</v>
      </c>
      <c r="AM6" s="11" t="s">
        <v>57</v>
      </c>
      <c r="AN6" s="11" t="e">
        <f>VLOOKUP(L6,[1]Sheet19!E:L,8,FALSE)</f>
        <v>#N/A</v>
      </c>
      <c r="AO6" s="11" t="s">
        <v>58</v>
      </c>
      <c r="AP6" s="12"/>
    </row>
    <row r="7" spans="1:42" ht="15" x14ac:dyDescent="0.2">
      <c r="A7" s="8" t="s">
        <v>42</v>
      </c>
      <c r="B7" s="9" t="s">
        <v>60</v>
      </c>
      <c r="C7" s="9">
        <v>710</v>
      </c>
      <c r="D7" s="9" t="s">
        <v>44</v>
      </c>
      <c r="E7" s="9">
        <v>7</v>
      </c>
      <c r="F7" s="9" t="s">
        <v>61</v>
      </c>
      <c r="G7" s="9" t="s">
        <v>46</v>
      </c>
      <c r="H7" s="9" t="s">
        <v>47</v>
      </c>
      <c r="I7" s="9" t="s">
        <v>62</v>
      </c>
      <c r="J7" s="9" t="s">
        <v>63</v>
      </c>
      <c r="K7" s="9" t="s">
        <v>68</v>
      </c>
      <c r="L7" s="10" t="s">
        <v>68</v>
      </c>
      <c r="M7" s="9" t="s">
        <v>51</v>
      </c>
      <c r="N7" s="9">
        <v>363</v>
      </c>
      <c r="O7" s="9">
        <v>8</v>
      </c>
      <c r="P7" s="9">
        <v>172</v>
      </c>
      <c r="Q7" s="9">
        <v>180</v>
      </c>
      <c r="R7" s="9">
        <v>0.19</v>
      </c>
      <c r="S7" s="9">
        <v>-8.7592420999999998</v>
      </c>
      <c r="T7" s="9">
        <v>115.88182550000001</v>
      </c>
      <c r="U7" s="9" t="s">
        <v>52</v>
      </c>
      <c r="V7" s="11" t="str">
        <f>VLOOKUP(L7,'[1]singkron data'!D:E,2,FALSE)</f>
        <v>PT. Asuka Engineering Indonesia</v>
      </c>
      <c r="W7" s="13">
        <f>VLOOKUP(L7,'[1]update tim 2'!D:F,3,FALSE)</f>
        <v>2387990000</v>
      </c>
      <c r="X7" s="11" t="s">
        <v>55</v>
      </c>
      <c r="Y7" s="11" t="str">
        <f>VLOOKUP(L7,'[1]singkron data'!D:H,5,FALSE)</f>
        <v>Gresik</v>
      </c>
      <c r="Z7" s="11">
        <f>VLOOKUP(L7,'[1]singkron data'!D:I,6,FALSE)</f>
        <v>0</v>
      </c>
      <c r="AA7" s="11" t="str">
        <f>VLOOKUP(L7,'[1]singkron data'!D:L,9,FALSE)</f>
        <v>081358005070/efendi</v>
      </c>
      <c r="AB7" s="11" t="s">
        <v>54</v>
      </c>
      <c r="AC7" s="11" t="str">
        <f>VLOOKUP(L7,'[1]singkron data'!D:M,10,FALSE)</f>
        <v>g</v>
      </c>
      <c r="AD7" s="11" t="str">
        <f>VLOOKUP(L7,'[1]data 1129'!F:O,10,FALSE)</f>
        <v>Tahap II 146</v>
      </c>
      <c r="AE7" s="11">
        <f>VLOOKUP(L7,'[1]singkron data'!D:P,13,FALSE)</f>
        <v>0</v>
      </c>
      <c r="AF7" s="11" t="s">
        <v>55</v>
      </c>
      <c r="AG7" s="11" t="e">
        <f>VLOOKUP(L7,'[1]update kontrak'!E:K,6,FALSE)</f>
        <v>#N/A</v>
      </c>
      <c r="AH7" s="11" t="e">
        <f>VLOOKUP(L7,'[1]update kontrak'!E:K,7,FALSE)</f>
        <v>#N/A</v>
      </c>
      <c r="AI7" s="11" t="s">
        <v>58</v>
      </c>
      <c r="AJ7" s="11" t="str">
        <f>VLOOKUP(L7,[1]rekap!D:M,1,FALSE)</f>
        <v>Batu Putih</v>
      </c>
      <c r="AK7" s="11" t="str">
        <f>VLOOKUP(L7,'[1]singkron data'!D:E,2,FALSE)</f>
        <v>PT. Asuka Engineering Indonesia</v>
      </c>
      <c r="AL7" s="11" t="str">
        <f>VLOOKUP(L7,'[1]update 521'!D:D,1,FALSE)</f>
        <v>Batu Putih</v>
      </c>
      <c r="AM7" s="11" t="s">
        <v>57</v>
      </c>
      <c r="AN7" s="11" t="e">
        <f>VLOOKUP(L7,[1]Sheet19!E:L,8,FALSE)</f>
        <v>#N/A</v>
      </c>
      <c r="AO7" s="11" t="s">
        <v>58</v>
      </c>
      <c r="AP7" s="12"/>
    </row>
    <row r="8" spans="1:42" ht="15" x14ac:dyDescent="0.2">
      <c r="A8" s="8" t="s">
        <v>42</v>
      </c>
      <c r="B8" s="9" t="s">
        <v>60</v>
      </c>
      <c r="C8" s="9">
        <v>712</v>
      </c>
      <c r="D8" s="9" t="s">
        <v>44</v>
      </c>
      <c r="E8" s="9">
        <v>9</v>
      </c>
      <c r="F8" s="9" t="s">
        <v>61</v>
      </c>
      <c r="G8" s="9" t="s">
        <v>46</v>
      </c>
      <c r="H8" s="9" t="s">
        <v>47</v>
      </c>
      <c r="I8" s="9" t="s">
        <v>69</v>
      </c>
      <c r="J8" s="9" t="s">
        <v>70</v>
      </c>
      <c r="K8" s="9" t="s">
        <v>71</v>
      </c>
      <c r="L8" s="10" t="s">
        <v>71</v>
      </c>
      <c r="M8" s="9" t="s">
        <v>51</v>
      </c>
      <c r="N8" s="9">
        <v>125</v>
      </c>
      <c r="O8" s="9" t="s">
        <v>72</v>
      </c>
      <c r="P8" s="9">
        <v>75</v>
      </c>
      <c r="Q8" s="9">
        <v>75</v>
      </c>
      <c r="R8" s="9">
        <v>0.06</v>
      </c>
      <c r="S8" s="9">
        <v>-8.5751872999999996</v>
      </c>
      <c r="T8" s="9">
        <v>116.0714596</v>
      </c>
      <c r="U8" s="9" t="s">
        <v>52</v>
      </c>
      <c r="V8" s="11" t="str">
        <f>VLOOKUP(L8,'[1]singkron data'!D:E,2,FALSE)</f>
        <v>PT. Asuka Engineering Indonesia</v>
      </c>
      <c r="W8" s="13">
        <f>VLOOKUP(L8,'[1]update tim 2'!D:F,3,FALSE)</f>
        <v>2593842000</v>
      </c>
      <c r="X8" s="11" t="s">
        <v>55</v>
      </c>
      <c r="Y8" s="11" t="str">
        <f>VLOOKUP(L8,'[1]singkron data'!D:H,5,FALSE)</f>
        <v>Gresik</v>
      </c>
      <c r="Z8" s="11">
        <f>VLOOKUP(L8,'[1]singkron data'!D:I,6,FALSE)</f>
        <v>0</v>
      </c>
      <c r="AA8" s="11" t="str">
        <f>VLOOKUP(L8,'[1]singkron data'!D:L,9,FALSE)</f>
        <v>081358005070/efendi</v>
      </c>
      <c r="AB8" s="11" t="s">
        <v>54</v>
      </c>
      <c r="AC8" s="11" t="str">
        <f>VLOOKUP(L8,'[1]singkron data'!D:M,10,FALSE)</f>
        <v>g</v>
      </c>
      <c r="AD8" s="11" t="str">
        <f>VLOOKUP(L8,'[1]data 1129'!F:O,10,FALSE)</f>
        <v>Tahap II 146</v>
      </c>
      <c r="AE8" s="11">
        <f>VLOOKUP(L8,'[1]singkron data'!D:P,13,FALSE)</f>
        <v>0</v>
      </c>
      <c r="AF8" s="11" t="s">
        <v>55</v>
      </c>
      <c r="AG8" s="11" t="e">
        <f>VLOOKUP(L8,'[1]update kontrak'!E:K,6,FALSE)</f>
        <v>#N/A</v>
      </c>
      <c r="AH8" s="11" t="e">
        <f>VLOOKUP(L8,'[1]update kontrak'!E:K,7,FALSE)</f>
        <v>#N/A</v>
      </c>
      <c r="AI8" s="11" t="s">
        <v>58</v>
      </c>
      <c r="AJ8" s="11" t="str">
        <f>VLOOKUP(L8,[1]rekap!D:M,1,FALSE)</f>
        <v>Banjar</v>
      </c>
      <c r="AK8" s="11" t="str">
        <f>VLOOKUP(L8,'[1]singkron data'!D:E,2,FALSE)</f>
        <v>PT. Asuka Engineering Indonesia</v>
      </c>
      <c r="AL8" s="11" t="str">
        <f>VLOOKUP(L8,'[1]update 521'!D:D,1,FALSE)</f>
        <v>Banjar</v>
      </c>
      <c r="AM8" s="11" t="s">
        <v>57</v>
      </c>
      <c r="AN8" s="11" t="e">
        <f>VLOOKUP(L8,[1]Sheet19!E:L,8,FALSE)</f>
        <v>#N/A</v>
      </c>
      <c r="AO8" s="11" t="s">
        <v>58</v>
      </c>
      <c r="AP8" s="12"/>
    </row>
    <row r="9" spans="1:42" ht="15" x14ac:dyDescent="0.2">
      <c r="A9" s="8" t="s">
        <v>42</v>
      </c>
      <c r="B9" s="9" t="s">
        <v>43</v>
      </c>
      <c r="C9" s="9">
        <v>784</v>
      </c>
      <c r="D9" s="9" t="s">
        <v>44</v>
      </c>
      <c r="E9" s="9">
        <v>81</v>
      </c>
      <c r="F9" s="9" t="s">
        <v>73</v>
      </c>
      <c r="G9" s="9" t="s">
        <v>74</v>
      </c>
      <c r="H9" s="9" t="s">
        <v>47</v>
      </c>
      <c r="I9" s="9" t="s">
        <v>75</v>
      </c>
      <c r="J9" s="9" t="s">
        <v>76</v>
      </c>
      <c r="K9" s="9" t="s">
        <v>73</v>
      </c>
      <c r="L9" s="10" t="s">
        <v>73</v>
      </c>
      <c r="M9" s="9" t="s">
        <v>65</v>
      </c>
      <c r="N9" s="9">
        <v>427</v>
      </c>
      <c r="O9" s="9">
        <v>47</v>
      </c>
      <c r="P9" s="9">
        <v>362</v>
      </c>
      <c r="Q9" s="9">
        <v>409</v>
      </c>
      <c r="R9" s="9">
        <v>0.74</v>
      </c>
      <c r="S9" s="9">
        <v>-9.0192929999999993</v>
      </c>
      <c r="T9" s="9">
        <v>124.841748</v>
      </c>
      <c r="U9" s="9" t="s">
        <v>52</v>
      </c>
      <c r="V9" s="11" t="str">
        <f>VLOOKUP(L9,'[1]singkron data'!D:E,2,FALSE)</f>
        <v>CV. Jasa Mandiri Bersama</v>
      </c>
      <c r="W9" s="13">
        <f>VLOOKUP(L9,'[1]update tim 2'!D:F,3,FALSE)</f>
        <v>8273757000</v>
      </c>
      <c r="X9" s="11" t="s">
        <v>55</v>
      </c>
      <c r="Y9" s="11" t="str">
        <f>VLOOKUP(L9,'[1]singkron data'!D:H,5,FALSE)</f>
        <v>Banyuwangi</v>
      </c>
      <c r="Z9" s="11" t="str">
        <f>VLOOKUP(L9,'[1]singkron data'!D:I,6,FALSE)</f>
        <v>Online</v>
      </c>
      <c r="AA9" s="11" t="str">
        <f>VLOOKUP(L9,'[1]singkron data'!D:L,9,FALSE)</f>
        <v>083836843683/zulham/cvjasamandiribersama32@gmail.com</v>
      </c>
      <c r="AB9" s="11" t="s">
        <v>54</v>
      </c>
      <c r="AC9" s="11" t="str">
        <f>VLOOKUP(L9,'[1]singkron data'!D:M,10,FALSE)</f>
        <v>Dedd</v>
      </c>
      <c r="AD9" s="11" t="str">
        <f>VLOOKUP(L9,'[1]data 1129'!F:O,10,FALSE)</f>
        <v>Tahap III 166</v>
      </c>
      <c r="AE9" s="11">
        <f>VLOOKUP(L9,'[1]singkron data'!D:P,13,FALSE)</f>
        <v>0</v>
      </c>
      <c r="AF9" s="11" t="s">
        <v>55</v>
      </c>
      <c r="AG9" s="11" t="e">
        <f>VLOOKUP(L9,'[1]update kontrak'!E:K,6,FALSE)</f>
        <v>#N/A</v>
      </c>
      <c r="AH9" s="11" t="e">
        <f>VLOOKUP(L9,'[1]update kontrak'!E:K,7,FALSE)</f>
        <v>#N/A</v>
      </c>
      <c r="AI9" s="11"/>
      <c r="AJ9" s="11" t="str">
        <f>VLOOKUP(L9,[1]rekap!D:M,1,FALSE)</f>
        <v>Dualaus</v>
      </c>
      <c r="AK9" s="11" t="str">
        <f>VLOOKUP(L9,'[1]singkron data'!D:E,2,FALSE)</f>
        <v>CV. Jasa Mandiri Bersama</v>
      </c>
      <c r="AL9" s="11" t="str">
        <f>VLOOKUP(L9,'[1]update 521'!D:D,1,FALSE)</f>
        <v>Dualaus</v>
      </c>
      <c r="AM9" s="11" t="s">
        <v>57</v>
      </c>
      <c r="AN9" s="11" t="e">
        <f>VLOOKUP(L9,[1]Sheet19!E:L,8,FALSE)</f>
        <v>#N/A</v>
      </c>
      <c r="AO9" s="11" t="s">
        <v>58</v>
      </c>
      <c r="AP9" s="12"/>
    </row>
    <row r="10" spans="1:42" ht="15" x14ac:dyDescent="0.2">
      <c r="A10" s="8" t="s">
        <v>42</v>
      </c>
      <c r="B10" s="9" t="s">
        <v>43</v>
      </c>
      <c r="C10" s="9">
        <v>713</v>
      </c>
      <c r="D10" s="9" t="s">
        <v>44</v>
      </c>
      <c r="E10" s="9">
        <v>10</v>
      </c>
      <c r="F10" s="9" t="s">
        <v>77</v>
      </c>
      <c r="G10" s="9" t="s">
        <v>46</v>
      </c>
      <c r="H10" s="9" t="s">
        <v>47</v>
      </c>
      <c r="I10" s="9" t="s">
        <v>78</v>
      </c>
      <c r="J10" s="9" t="s">
        <v>79</v>
      </c>
      <c r="K10" s="9" t="s">
        <v>80</v>
      </c>
      <c r="L10" s="10" t="s">
        <v>80</v>
      </c>
      <c r="M10" s="9" t="s">
        <v>81</v>
      </c>
      <c r="N10" s="9">
        <v>4571</v>
      </c>
      <c r="O10" s="9" t="s">
        <v>72</v>
      </c>
      <c r="P10" s="14">
        <v>1100</v>
      </c>
      <c r="Q10" s="14">
        <v>1100</v>
      </c>
      <c r="R10" s="9">
        <v>5.6</v>
      </c>
      <c r="S10" s="9">
        <v>-8.7792083000000005</v>
      </c>
      <c r="T10" s="9">
        <v>116.5106806</v>
      </c>
      <c r="U10" s="9" t="s">
        <v>52</v>
      </c>
      <c r="V10" s="11" t="str">
        <f>VLOOKUP(L10,'[1]singkron data'!D:E,2,FALSE)</f>
        <v>PT. Asuka Engineering Indonesia</v>
      </c>
      <c r="W10" s="13">
        <f>VLOOKUP(L10,'[1]update tim 2'!D:F,3,FALSE)</f>
        <v>2885189000</v>
      </c>
      <c r="X10" s="11" t="s">
        <v>55</v>
      </c>
      <c r="Y10" s="11" t="str">
        <f>VLOOKUP(L10,'[1]singkron data'!D:H,5,FALSE)</f>
        <v>Lombok Timur</v>
      </c>
      <c r="Z10" s="11" t="str">
        <f>VLOOKUP(L10,'[1]singkron data'!D:I,6,FALSE)</f>
        <v>Online</v>
      </c>
      <c r="AA10" s="11" t="str">
        <f>VLOOKUP(L10,'[1]singkron data'!D:L,9,FALSE)</f>
        <v>081358005070/efendi</v>
      </c>
      <c r="AB10" s="11" t="s">
        <v>54</v>
      </c>
      <c r="AC10" s="11" t="str">
        <f>VLOOKUP(L10,'[1]singkron data'!D:M,10,FALSE)</f>
        <v>g</v>
      </c>
      <c r="AD10" s="11" t="str">
        <f>VLOOKUP(L10,'[1]data 1129'!F:O,10,FALSE)</f>
        <v>Tahap II 146</v>
      </c>
      <c r="AE10" s="11">
        <f>VLOOKUP(L10,'[1]singkron data'!D:P,13,FALSE)</f>
        <v>0</v>
      </c>
      <c r="AF10" s="11" t="s">
        <v>55</v>
      </c>
      <c r="AG10" s="11" t="e">
        <f>VLOOKUP(L10,'[1]update kontrak'!E:K,6,FALSE)</f>
        <v>#N/A</v>
      </c>
      <c r="AH10" s="11" t="e">
        <f>VLOOKUP(L10,'[1]update kontrak'!E:K,7,FALSE)</f>
        <v>#N/A</v>
      </c>
      <c r="AI10" s="11" t="s">
        <v>58</v>
      </c>
      <c r="AJ10" s="11" t="str">
        <f>VLOOKUP(L10,[1]rekap!D:M,1,FALSE)</f>
        <v>Tanjung Luar</v>
      </c>
      <c r="AK10" s="11" t="str">
        <f>VLOOKUP(L10,'[1]singkron data'!D:E,2,FALSE)</f>
        <v>PT. Asuka Engineering Indonesia</v>
      </c>
      <c r="AL10" s="11" t="str">
        <f>VLOOKUP(L10,'[1]update 521'!D:D,1,FALSE)</f>
        <v>Tanjung Luar</v>
      </c>
      <c r="AM10" s="11" t="s">
        <v>57</v>
      </c>
      <c r="AN10" s="11" t="e">
        <f>VLOOKUP(L10,[1]Sheet19!E:L,8,FALSE)</f>
        <v>#N/A</v>
      </c>
      <c r="AO10" s="11" t="s">
        <v>58</v>
      </c>
      <c r="AP10" s="12"/>
    </row>
    <row r="11" spans="1:42" ht="15" x14ac:dyDescent="0.2">
      <c r="A11" s="8" t="s">
        <v>42</v>
      </c>
      <c r="B11" s="9" t="s">
        <v>43</v>
      </c>
      <c r="C11" s="9">
        <v>714</v>
      </c>
      <c r="D11" s="9" t="s">
        <v>44</v>
      </c>
      <c r="E11" s="9">
        <v>11</v>
      </c>
      <c r="F11" s="9" t="s">
        <v>77</v>
      </c>
      <c r="G11" s="9" t="s">
        <v>46</v>
      </c>
      <c r="H11" s="9" t="s">
        <v>47</v>
      </c>
      <c r="I11" s="9" t="s">
        <v>78</v>
      </c>
      <c r="J11" s="9" t="s">
        <v>82</v>
      </c>
      <c r="K11" s="9" t="s">
        <v>83</v>
      </c>
      <c r="L11" s="10" t="s">
        <v>83</v>
      </c>
      <c r="M11" s="9" t="s">
        <v>51</v>
      </c>
      <c r="N11" s="9">
        <v>265</v>
      </c>
      <c r="O11" s="9" t="s">
        <v>72</v>
      </c>
      <c r="P11" s="9">
        <v>265</v>
      </c>
      <c r="Q11" s="9">
        <v>265</v>
      </c>
      <c r="R11" s="9">
        <v>0.2</v>
      </c>
      <c r="S11" s="9">
        <v>-8.8346666999999997</v>
      </c>
      <c r="T11" s="9">
        <v>116.4697778</v>
      </c>
      <c r="U11" s="9" t="s">
        <v>52</v>
      </c>
      <c r="V11" s="11" t="str">
        <f>VLOOKUP(L11,'[1]singkron data'!D:E,2,FALSE)</f>
        <v>PT. Asuka Engineering Indonesia</v>
      </c>
      <c r="W11" s="13">
        <f>VLOOKUP(L11,'[1]update tim 2'!D:F,3,FALSE)</f>
        <v>2765499000</v>
      </c>
      <c r="X11" s="11" t="s">
        <v>55</v>
      </c>
      <c r="Y11" s="11">
        <f>VLOOKUP(L11,'[1]singkron data'!D:H,5,FALSE)</f>
        <v>0</v>
      </c>
      <c r="Z11" s="11">
        <f>VLOOKUP(L11,'[1]singkron data'!D:I,6,FALSE)</f>
        <v>0</v>
      </c>
      <c r="AA11" s="11" t="str">
        <f>VLOOKUP(L11,'[1]singkron data'!D:L,9,FALSE)</f>
        <v>081358005070/efendi</v>
      </c>
      <c r="AB11" s="11" t="s">
        <v>54</v>
      </c>
      <c r="AC11" s="11" t="str">
        <f>VLOOKUP(L11,'[1]singkron data'!D:M,10,FALSE)</f>
        <v>g</v>
      </c>
      <c r="AD11" s="11" t="str">
        <f>VLOOKUP(L11,'[1]data 1129'!F:O,10,FALSE)</f>
        <v>Tahap II 146</v>
      </c>
      <c r="AE11" s="11">
        <f>VLOOKUP(L11,'[1]singkron data'!D:P,13,FALSE)</f>
        <v>0</v>
      </c>
      <c r="AF11" s="11" t="s">
        <v>55</v>
      </c>
      <c r="AG11" s="11" t="e">
        <f>VLOOKUP(L11,'[1]update kontrak'!E:K,6,FALSE)</f>
        <v>#N/A</v>
      </c>
      <c r="AH11" s="11" t="e">
        <f>VLOOKUP(L11,'[1]update kontrak'!E:K,7,FALSE)</f>
        <v>#N/A</v>
      </c>
      <c r="AI11" s="11" t="s">
        <v>58</v>
      </c>
      <c r="AJ11" s="11" t="str">
        <f>VLOOKUP(L11,[1]rekap!D:M,1,FALSE)</f>
        <v>Pemongkong</v>
      </c>
      <c r="AK11" s="11" t="str">
        <f>VLOOKUP(L11,'[1]singkron data'!D:E,2,FALSE)</f>
        <v>PT. Asuka Engineering Indonesia</v>
      </c>
      <c r="AL11" s="11" t="str">
        <f>VLOOKUP(L11,'[1]update 521'!D:D,1,FALSE)</f>
        <v>Pemongkong</v>
      </c>
      <c r="AM11" s="11" t="s">
        <v>57</v>
      </c>
      <c r="AN11" s="11" t="e">
        <f>VLOOKUP(L11,[1]Sheet19!E:L,8,FALSE)</f>
        <v>#N/A</v>
      </c>
      <c r="AO11" s="11" t="s">
        <v>58</v>
      </c>
      <c r="AP11" s="12"/>
    </row>
    <row r="12" spans="1:42" ht="15" x14ac:dyDescent="0.2">
      <c r="A12" s="8" t="s">
        <v>42</v>
      </c>
      <c r="B12" s="9" t="s">
        <v>43</v>
      </c>
      <c r="C12" s="9">
        <v>745</v>
      </c>
      <c r="D12" s="9" t="s">
        <v>44</v>
      </c>
      <c r="E12" s="9">
        <v>42</v>
      </c>
      <c r="F12" s="9" t="s">
        <v>84</v>
      </c>
      <c r="G12" s="9" t="s">
        <v>46</v>
      </c>
      <c r="H12" s="9" t="s">
        <v>47</v>
      </c>
      <c r="I12" s="9" t="s">
        <v>85</v>
      </c>
      <c r="J12" s="9" t="s">
        <v>84</v>
      </c>
      <c r="K12" s="9" t="s">
        <v>84</v>
      </c>
      <c r="L12" s="10" t="s">
        <v>84</v>
      </c>
      <c r="M12" s="9" t="s">
        <v>51</v>
      </c>
      <c r="N12" s="9">
        <v>516</v>
      </c>
      <c r="O12" s="9" t="s">
        <v>72</v>
      </c>
      <c r="P12" s="9">
        <v>85</v>
      </c>
      <c r="Q12" s="9">
        <v>85</v>
      </c>
      <c r="R12" s="9">
        <v>0.8</v>
      </c>
      <c r="S12" s="9">
        <v>-8.7640440000000002</v>
      </c>
      <c r="T12" s="9">
        <v>118.38835280000001</v>
      </c>
      <c r="U12" s="9" t="s">
        <v>52</v>
      </c>
      <c r="V12" s="11" t="str">
        <f>VLOOKUP(L12,'[1]singkron data'!D:E,2,FALSE)</f>
        <v>PT. Daffa Buana Sakti (Menengah)</v>
      </c>
      <c r="W12" s="13">
        <f>VLOOKUP(L12,'[1]update tim 2'!D:F,3,FALSE)</f>
        <v>2893285000</v>
      </c>
      <c r="X12" s="11" t="s">
        <v>55</v>
      </c>
      <c r="Y12" s="11">
        <f>VLOOKUP(L12,'[1]singkron data'!D:H,5,FALSE)</f>
        <v>0</v>
      </c>
      <c r="Z12" s="11" t="str">
        <f>VLOOKUP(L12,'[1]singkron data'!D:I,6,FALSE)</f>
        <v>Online</v>
      </c>
      <c r="AA12" s="11" t="str">
        <f>VLOOKUP(L12,'[1]singkron data'!D:L,9,FALSE)</f>
        <v>081370515855/azi</v>
      </c>
      <c r="AB12" s="11" t="s">
        <v>54</v>
      </c>
      <c r="AC12" s="11" t="str">
        <f>VLOOKUP(L12,'[1]singkron data'!D:M,10,FALSE)</f>
        <v>Dedd</v>
      </c>
      <c r="AD12" s="11" t="str">
        <f>VLOOKUP(L12,'[1]data 1129'!F:O,10,FALSE)</f>
        <v>Tahap II 146</v>
      </c>
      <c r="AE12" s="11">
        <f>VLOOKUP(L12,'[1]singkron data'!D:P,13,FALSE)</f>
        <v>0</v>
      </c>
      <c r="AF12" s="11" t="s">
        <v>55</v>
      </c>
      <c r="AG12" s="11" t="e">
        <f>VLOOKUP(L12,'[1]update kontrak'!E:K,6,FALSE)</f>
        <v>#N/A</v>
      </c>
      <c r="AH12" s="11" t="e">
        <f>VLOOKUP(L12,'[1]update kontrak'!E:K,7,FALSE)</f>
        <v>#N/A</v>
      </c>
      <c r="AI12" s="11" t="s">
        <v>58</v>
      </c>
      <c r="AJ12" s="11" t="str">
        <f>VLOOKUP(L12,[1]rekap!D:M,1,FALSE)</f>
        <v>Hu'U</v>
      </c>
      <c r="AK12" s="11" t="str">
        <f>VLOOKUP(L12,'[1]singkron data'!D:E,2,FALSE)</f>
        <v>PT. Daffa Buana Sakti (Menengah)</v>
      </c>
      <c r="AL12" s="11" t="str">
        <f>VLOOKUP(L12,'[1]update 521'!D:D,1,FALSE)</f>
        <v>Hu'U</v>
      </c>
      <c r="AM12" s="11" t="s">
        <v>57</v>
      </c>
      <c r="AN12" s="11" t="e">
        <f>VLOOKUP(L12,[1]Sheet19!E:L,8,FALSE)</f>
        <v>#N/A</v>
      </c>
      <c r="AO12" s="11" t="s">
        <v>58</v>
      </c>
      <c r="AP12" s="12"/>
    </row>
    <row r="13" spans="1:42" ht="15" x14ac:dyDescent="0.2">
      <c r="A13" s="8" t="s">
        <v>42</v>
      </c>
      <c r="B13" s="9" t="s">
        <v>43</v>
      </c>
      <c r="C13" s="9">
        <v>756</v>
      </c>
      <c r="D13" s="9" t="s">
        <v>44</v>
      </c>
      <c r="E13" s="9">
        <v>53</v>
      </c>
      <c r="F13" s="9" t="s">
        <v>73</v>
      </c>
      <c r="G13" s="9" t="s">
        <v>74</v>
      </c>
      <c r="H13" s="9" t="s">
        <v>47</v>
      </c>
      <c r="I13" s="9" t="s">
        <v>86</v>
      </c>
      <c r="J13" s="9" t="s">
        <v>87</v>
      </c>
      <c r="K13" s="9" t="s">
        <v>88</v>
      </c>
      <c r="L13" s="10" t="s">
        <v>88</v>
      </c>
      <c r="M13" s="9" t="s">
        <v>51</v>
      </c>
      <c r="N13" s="9">
        <v>328</v>
      </c>
      <c r="O13" s="9">
        <v>41</v>
      </c>
      <c r="P13" s="9">
        <v>64</v>
      </c>
      <c r="Q13" s="9">
        <v>105</v>
      </c>
      <c r="R13" s="9">
        <v>3</v>
      </c>
      <c r="S13" s="9">
        <v>-9.1821439999999992</v>
      </c>
      <c r="T13" s="9">
        <v>124.517993</v>
      </c>
      <c r="U13" s="9" t="s">
        <v>52</v>
      </c>
      <c r="V13" s="11" t="str">
        <f>VLOOKUP(L13,'[1]singkron data'!D:E,2,FALSE)</f>
        <v>PT. Mega Karya Sentralindo (Kecil/Menengah)</v>
      </c>
      <c r="W13" s="13">
        <f>VLOOKUP(L13,'[1]update tim 2'!D:F,3,FALSE)</f>
        <v>8299942000</v>
      </c>
      <c r="X13" s="11" t="s">
        <v>55</v>
      </c>
      <c r="Y13" s="11" t="str">
        <f>VLOOKUP(L13,'[1]singkron data'!D:H,5,FALSE)</f>
        <v>Jakarta</v>
      </c>
      <c r="Z13" s="11" t="str">
        <f>VLOOKUP(L13,'[1]singkron data'!D:I,6,FALSE)</f>
        <v>Online</v>
      </c>
      <c r="AA13" s="11" t="str">
        <f>VLOOKUP(L13,'[1]singkron data'!D:L,9,FALSE)</f>
        <v>0811417877/gerard</v>
      </c>
      <c r="AB13" s="11" t="s">
        <v>54</v>
      </c>
      <c r="AC13" s="11" t="str">
        <f>VLOOKUP(L13,'[1]singkron data'!D:M,10,FALSE)</f>
        <v>aboe bakar - ganti perusahaan skala kecil</v>
      </c>
      <c r="AD13" s="11" t="str">
        <f>VLOOKUP(L13,'[1]data 1129'!F:O,10,FALSE)</f>
        <v>Tahap III 166</v>
      </c>
      <c r="AE13" s="11">
        <f>VLOOKUP(L13,'[1]singkron data'!D:P,13,FALSE)</f>
        <v>0</v>
      </c>
      <c r="AF13" s="11" t="s">
        <v>55</v>
      </c>
      <c r="AG13" s="11" t="e">
        <f>VLOOKUP(L13,'[1]update kontrak'!E:K,6,FALSE)</f>
        <v>#N/A</v>
      </c>
      <c r="AH13" s="11" t="e">
        <f>VLOOKUP(L13,'[1]update kontrak'!E:K,7,FALSE)</f>
        <v>#N/A</v>
      </c>
      <c r="AI13" s="11"/>
      <c r="AJ13" s="11" t="str">
        <f>VLOOKUP(L13,[1]rekap!D:M,1,FALSE)</f>
        <v>Humusu Wini</v>
      </c>
      <c r="AK13" s="11" t="str">
        <f>VLOOKUP(L13,'[1]singkron data'!D:E,2,FALSE)</f>
        <v>PT. Mega Karya Sentralindo (Kecil/Menengah)</v>
      </c>
      <c r="AL13" s="11" t="str">
        <f>VLOOKUP(L13,'[1]update 521'!D:D,1,FALSE)</f>
        <v>Humusu Wini</v>
      </c>
      <c r="AM13" s="11" t="s">
        <v>57</v>
      </c>
      <c r="AN13" s="11" t="e">
        <f>VLOOKUP(L13,[1]Sheet19!E:L,8,FALSE)</f>
        <v>#N/A</v>
      </c>
      <c r="AO13" s="11" t="s">
        <v>58</v>
      </c>
      <c r="AP13" s="12"/>
    </row>
    <row r="14" spans="1:42" ht="15" x14ac:dyDescent="0.2">
      <c r="A14" s="8" t="s">
        <v>42</v>
      </c>
      <c r="B14" s="9" t="s">
        <v>43</v>
      </c>
      <c r="C14" s="9">
        <v>748</v>
      </c>
      <c r="D14" s="9" t="s">
        <v>44</v>
      </c>
      <c r="E14" s="9">
        <v>45</v>
      </c>
      <c r="F14" s="9" t="s">
        <v>89</v>
      </c>
      <c r="G14" s="9" t="s">
        <v>46</v>
      </c>
      <c r="H14" s="9" t="s">
        <v>47</v>
      </c>
      <c r="I14" s="9" t="s">
        <v>85</v>
      </c>
      <c r="J14" s="9" t="s">
        <v>90</v>
      </c>
      <c r="K14" s="9" t="s">
        <v>89</v>
      </c>
      <c r="L14" s="10" t="s">
        <v>89</v>
      </c>
      <c r="M14" s="9" t="s">
        <v>51</v>
      </c>
      <c r="N14" s="9">
        <v>273</v>
      </c>
      <c r="O14" s="9" t="s">
        <v>72</v>
      </c>
      <c r="P14" s="9">
        <v>91</v>
      </c>
      <c r="Q14" s="9">
        <v>91</v>
      </c>
      <c r="R14" s="9">
        <v>0.9</v>
      </c>
      <c r="S14" s="9">
        <v>-8.6813330000000004</v>
      </c>
      <c r="T14" s="9">
        <v>118.431139</v>
      </c>
      <c r="U14" s="9" t="s">
        <v>52</v>
      </c>
      <c r="V14" s="11" t="str">
        <f>VLOOKUP(L14,'[1]singkron data'!D:E,2,FALSE)</f>
        <v>PT. Daffa Buana Sakti (Menengah)</v>
      </c>
      <c r="W14" s="13">
        <f>VLOOKUP(L14,'[1]update tim 2'!D:F,3,FALSE)</f>
        <v>2824844000</v>
      </c>
      <c r="X14" s="11" t="s">
        <v>55</v>
      </c>
      <c r="Y14" s="11">
        <f>VLOOKUP(L14,'[1]singkron data'!D:H,5,FALSE)</f>
        <v>0</v>
      </c>
      <c r="Z14" s="11" t="str">
        <f>VLOOKUP(L14,'[1]singkron data'!D:I,6,FALSE)</f>
        <v>Online</v>
      </c>
      <c r="AA14" s="11" t="str">
        <f>VLOOKUP(L14,'[1]singkron data'!D:L,9,FALSE)</f>
        <v>081370515855/azi</v>
      </c>
      <c r="AB14" s="11" t="s">
        <v>54</v>
      </c>
      <c r="AC14" s="11" t="str">
        <f>VLOOKUP(L14,'[1]singkron data'!D:M,10,FALSE)</f>
        <v>Dedd</v>
      </c>
      <c r="AD14" s="11" t="str">
        <f>VLOOKUP(L14,'[1]data 1129'!F:O,10,FALSE)</f>
        <v>Tahap II 146</v>
      </c>
      <c r="AE14" s="11">
        <f>VLOOKUP(L14,'[1]singkron data'!D:P,13,FALSE)</f>
        <v>0</v>
      </c>
      <c r="AF14" s="11" t="s">
        <v>55</v>
      </c>
      <c r="AG14" s="11" t="e">
        <f>VLOOKUP(L14,'[1]update kontrak'!E:K,6,FALSE)</f>
        <v>#N/A</v>
      </c>
      <c r="AH14" s="11" t="e">
        <f>VLOOKUP(L14,'[1]update kontrak'!E:K,7,FALSE)</f>
        <v>#N/A</v>
      </c>
      <c r="AI14" s="11" t="s">
        <v>58</v>
      </c>
      <c r="AJ14" s="11" t="str">
        <f>VLOOKUP(L14,[1]rekap!D:M,1,FALSE)</f>
        <v>Jambu</v>
      </c>
      <c r="AK14" s="11" t="str">
        <f>VLOOKUP(L14,'[1]singkron data'!D:E,2,FALSE)</f>
        <v>PT. Daffa Buana Sakti (Menengah)</v>
      </c>
      <c r="AL14" s="11" t="str">
        <f>VLOOKUP(L14,'[1]update 521'!D:D,1,FALSE)</f>
        <v>Jambu</v>
      </c>
      <c r="AM14" s="11" t="s">
        <v>57</v>
      </c>
      <c r="AN14" s="11" t="e">
        <f>VLOOKUP(L14,[1]Sheet19!E:L,8,FALSE)</f>
        <v>#N/A</v>
      </c>
      <c r="AO14" s="11" t="s">
        <v>58</v>
      </c>
      <c r="AP14" s="12"/>
    </row>
    <row r="15" spans="1:42" ht="15" x14ac:dyDescent="0.2">
      <c r="A15" s="8" t="s">
        <v>42</v>
      </c>
      <c r="B15" s="9" t="s">
        <v>43</v>
      </c>
      <c r="C15" s="9">
        <v>782</v>
      </c>
      <c r="D15" s="9" t="s">
        <v>44</v>
      </c>
      <c r="E15" s="9">
        <v>79</v>
      </c>
      <c r="F15" s="9" t="s">
        <v>91</v>
      </c>
      <c r="G15" s="9" t="s">
        <v>74</v>
      </c>
      <c r="H15" s="9" t="s">
        <v>47</v>
      </c>
      <c r="I15" s="9" t="s">
        <v>92</v>
      </c>
      <c r="J15" s="9" t="s">
        <v>93</v>
      </c>
      <c r="K15" s="9" t="s">
        <v>91</v>
      </c>
      <c r="L15" s="10" t="s">
        <v>91</v>
      </c>
      <c r="M15" s="9" t="s">
        <v>65</v>
      </c>
      <c r="N15" s="9">
        <v>260</v>
      </c>
      <c r="O15" s="9">
        <v>10</v>
      </c>
      <c r="P15" s="9">
        <v>250</v>
      </c>
      <c r="Q15" s="9">
        <v>260</v>
      </c>
      <c r="R15" s="9">
        <v>1.7</v>
      </c>
      <c r="S15" s="9">
        <v>-8.2490938000000007</v>
      </c>
      <c r="T15" s="9">
        <v>124.2205268</v>
      </c>
      <c r="U15" s="9" t="s">
        <v>52</v>
      </c>
      <c r="V15" s="11" t="str">
        <f>VLOOKUP(L15,'[1]singkron data'!D:E,2,FALSE)</f>
        <v>PT. Rute Lintas Indonesia</v>
      </c>
      <c r="W15" s="11"/>
      <c r="X15" s="11"/>
      <c r="Y15" s="11">
        <f>VLOOKUP(L15,'[1]singkron data'!D:H,5,FALSE)</f>
        <v>0</v>
      </c>
      <c r="Z15" s="11">
        <f>VLOOKUP(L15,'[1]singkron data'!D:I,6,FALSE)</f>
        <v>0</v>
      </c>
      <c r="AA15" s="11" t="s">
        <v>94</v>
      </c>
      <c r="AB15" s="11" t="s">
        <v>54</v>
      </c>
      <c r="AC15" s="11" t="s">
        <v>95</v>
      </c>
      <c r="AD15" s="11" t="str">
        <f>VLOOKUP(L15,'[1]data 1129'!F:O,10,FALSE)</f>
        <v>Tahap III 166</v>
      </c>
      <c r="AE15" s="11">
        <f>VLOOKUP(L15,'[1]singkron data'!D:P,13,FALSE)</f>
        <v>0</v>
      </c>
      <c r="AF15" s="11" t="s">
        <v>55</v>
      </c>
      <c r="AG15" s="11" t="e">
        <f>VLOOKUP(L15,'[1]update kontrak'!E:K,6,FALSE)</f>
        <v>#N/A</v>
      </c>
      <c r="AH15" s="11" t="e">
        <f>VLOOKUP(L15,'[1]update kontrak'!E:K,7,FALSE)</f>
        <v>#N/A</v>
      </c>
      <c r="AI15" s="11"/>
      <c r="AJ15" s="11" t="str">
        <f>VLOOKUP(L15,[1]rekap!D:M,1,FALSE)</f>
        <v>Kabir</v>
      </c>
      <c r="AK15" s="11" t="str">
        <f>VLOOKUP(L15,'[1]singkron data'!D:E,2,FALSE)</f>
        <v>PT. Rute Lintas Indonesia</v>
      </c>
      <c r="AL15" s="11" t="str">
        <f>VLOOKUP(L15,'[1]update 521'!D:D,1,FALSE)</f>
        <v>Kabir</v>
      </c>
      <c r="AM15" s="11" t="s">
        <v>96</v>
      </c>
      <c r="AN15" s="11" t="e">
        <f>VLOOKUP(L15,[1]Sheet19!E:L,8,FALSE)</f>
        <v>#N/A</v>
      </c>
      <c r="AO15" s="11" t="e">
        <f>VLOOKUP(L15,[1]Sheet19!E:K,7,FALSE)</f>
        <v>#N/A</v>
      </c>
      <c r="AP15" s="12"/>
    </row>
    <row r="16" spans="1:42" ht="15" x14ac:dyDescent="0.2">
      <c r="A16" s="8" t="s">
        <v>42</v>
      </c>
      <c r="B16" s="9" t="s">
        <v>60</v>
      </c>
      <c r="C16" s="9">
        <v>799</v>
      </c>
      <c r="D16" s="9" t="s">
        <v>44</v>
      </c>
      <c r="E16" s="9">
        <v>96</v>
      </c>
      <c r="F16" s="9" t="s">
        <v>97</v>
      </c>
      <c r="G16" s="9" t="s">
        <v>74</v>
      </c>
      <c r="H16" s="9" t="s">
        <v>47</v>
      </c>
      <c r="I16" s="9" t="s">
        <v>92</v>
      </c>
      <c r="J16" s="9" t="s">
        <v>97</v>
      </c>
      <c r="K16" s="9" t="s">
        <v>97</v>
      </c>
      <c r="L16" s="10" t="s">
        <v>97</v>
      </c>
      <c r="M16" s="9" t="s">
        <v>51</v>
      </c>
      <c r="N16" s="9">
        <v>217</v>
      </c>
      <c r="O16" s="9">
        <v>29</v>
      </c>
      <c r="P16" s="9">
        <v>118</v>
      </c>
      <c r="Q16" s="9">
        <v>147</v>
      </c>
      <c r="R16" s="9">
        <v>0.09</v>
      </c>
      <c r="S16" s="9">
        <v>-8.1908089999999998</v>
      </c>
      <c r="T16" s="9">
        <v>124.59396</v>
      </c>
      <c r="U16" s="9" t="s">
        <v>52</v>
      </c>
      <c r="V16" s="11" t="s">
        <v>98</v>
      </c>
      <c r="W16" s="11"/>
      <c r="X16" s="11"/>
      <c r="Y16" s="11">
        <f>VLOOKUP(L16,'[1]singkron data'!D:H,5,FALSE)</f>
        <v>0</v>
      </c>
      <c r="Z16" s="11">
        <f>VLOOKUP(L16,'[1]singkron data'!D:I,6,FALSE)</f>
        <v>0</v>
      </c>
      <c r="AA16" s="11" t="s">
        <v>99</v>
      </c>
      <c r="AB16" s="11" t="s">
        <v>54</v>
      </c>
      <c r="AC16" s="11" t="s">
        <v>100</v>
      </c>
      <c r="AD16" s="11" t="str">
        <f>VLOOKUP(L16,'[1]data 1129'!F:O,10,FALSE)</f>
        <v>Tahap III 166</v>
      </c>
      <c r="AE16" s="11">
        <f>VLOOKUP(L16,'[1]singkron data'!D:P,13,FALSE)</f>
        <v>0</v>
      </c>
      <c r="AF16" s="11" t="s">
        <v>55</v>
      </c>
      <c r="AG16" s="11" t="e">
        <f>VLOOKUP(L16,'[1]update kontrak'!E:K,6,FALSE)</f>
        <v>#N/A</v>
      </c>
      <c r="AH16" s="11" t="e">
        <f>VLOOKUP(L16,'[1]update kontrak'!E:K,7,FALSE)</f>
        <v>#N/A</v>
      </c>
      <c r="AI16" s="11"/>
      <c r="AJ16" s="11" t="str">
        <f>VLOOKUP(L16,[1]rekap!D:M,1,FALSE)</f>
        <v>Kabola</v>
      </c>
      <c r="AK16" s="11" t="str">
        <f>VLOOKUP(L16,'[1]singkron data'!D:E,2,FALSE)</f>
        <v>PT. Rute Lintas Indonesia</v>
      </c>
      <c r="AL16" s="11" t="str">
        <f>VLOOKUP(L16,'[1]update 521'!D:D,1,FALSE)</f>
        <v>Kabola</v>
      </c>
      <c r="AM16" s="11" t="s">
        <v>96</v>
      </c>
      <c r="AN16" s="11" t="e">
        <f>VLOOKUP(L16,[1]Sheet19!E:L,8,FALSE)</f>
        <v>#N/A</v>
      </c>
      <c r="AO16" s="11" t="e">
        <f>VLOOKUP(L16,[1]Sheet19!E:K,7,FALSE)</f>
        <v>#N/A</v>
      </c>
      <c r="AP16" s="12"/>
    </row>
    <row r="17" spans="1:42" ht="15" x14ac:dyDescent="0.2">
      <c r="A17" s="8" t="s">
        <v>42</v>
      </c>
      <c r="B17" s="9" t="s">
        <v>43</v>
      </c>
      <c r="C17" s="9">
        <v>747</v>
      </c>
      <c r="D17" s="9" t="s">
        <v>44</v>
      </c>
      <c r="E17" s="9">
        <v>44</v>
      </c>
      <c r="F17" s="9" t="s">
        <v>101</v>
      </c>
      <c r="G17" s="9" t="s">
        <v>46</v>
      </c>
      <c r="H17" s="9" t="s">
        <v>47</v>
      </c>
      <c r="I17" s="9" t="s">
        <v>85</v>
      </c>
      <c r="J17" s="9" t="s">
        <v>102</v>
      </c>
      <c r="K17" s="9" t="s">
        <v>101</v>
      </c>
      <c r="L17" s="10" t="s">
        <v>101</v>
      </c>
      <c r="M17" s="9" t="s">
        <v>51</v>
      </c>
      <c r="N17" s="9">
        <v>132</v>
      </c>
      <c r="O17" s="9" t="s">
        <v>72</v>
      </c>
      <c r="P17" s="9">
        <v>106</v>
      </c>
      <c r="Q17" s="9">
        <v>106</v>
      </c>
      <c r="R17" s="9">
        <v>1.3</v>
      </c>
      <c r="S17" s="9">
        <v>-8.3287440000000004</v>
      </c>
      <c r="T17" s="9">
        <v>118.389392</v>
      </c>
      <c r="U17" s="9" t="s">
        <v>52</v>
      </c>
      <c r="V17" s="11" t="str">
        <f>VLOOKUP(L17,'[1]singkron data'!D:E,2,FALSE)</f>
        <v>PT. Daffa Buana Sakti (Menengah)</v>
      </c>
      <c r="W17" s="13">
        <f>VLOOKUP(L17,'[1]update tim 2'!D:F,3,FALSE)</f>
        <v>2361237000</v>
      </c>
      <c r="X17" s="11" t="s">
        <v>55</v>
      </c>
      <c r="Y17" s="11">
        <f>VLOOKUP(L17,'[1]singkron data'!D:H,5,FALSE)</f>
        <v>0</v>
      </c>
      <c r="Z17" s="11" t="str">
        <f>VLOOKUP(L17,'[1]singkron data'!D:I,6,FALSE)</f>
        <v>Online</v>
      </c>
      <c r="AA17" s="11" t="str">
        <f>VLOOKUP(L17,'[1]singkron data'!D:L,9,FALSE)</f>
        <v>081370515855/azi</v>
      </c>
      <c r="AB17" s="11" t="s">
        <v>54</v>
      </c>
      <c r="AC17" s="11" t="str">
        <f>VLOOKUP(L17,'[1]singkron data'!D:M,10,FALSE)</f>
        <v>Dedd</v>
      </c>
      <c r="AD17" s="11" t="str">
        <f>VLOOKUP(L17,'[1]data 1129'!F:O,10,FALSE)</f>
        <v>Tahap II 146</v>
      </c>
      <c r="AE17" s="11">
        <f>VLOOKUP(L17,'[1]singkron data'!D:P,13,FALSE)</f>
        <v>0</v>
      </c>
      <c r="AF17" s="11" t="s">
        <v>55</v>
      </c>
      <c r="AG17" s="11" t="e">
        <f>VLOOKUP(L17,'[1]update kontrak'!E:K,6,FALSE)</f>
        <v>#N/A</v>
      </c>
      <c r="AH17" s="11" t="e">
        <f>VLOOKUP(L17,'[1]update kontrak'!E:K,7,FALSE)</f>
        <v>#N/A</v>
      </c>
      <c r="AI17" s="11" t="s">
        <v>58</v>
      </c>
      <c r="AJ17" s="11" t="str">
        <f>VLOOKUP(L17,[1]rekap!D:M,1,FALSE)</f>
        <v>Karama</v>
      </c>
      <c r="AK17" s="11" t="str">
        <f>VLOOKUP(L17,'[1]singkron data'!D:E,2,FALSE)</f>
        <v>PT. Daffa Buana Sakti (Menengah)</v>
      </c>
      <c r="AL17" s="11" t="str">
        <f>VLOOKUP(L17,'[1]update 521'!D:D,1,FALSE)</f>
        <v>Karama</v>
      </c>
      <c r="AM17" s="11" t="s">
        <v>57</v>
      </c>
      <c r="AN17" s="11" t="e">
        <f>VLOOKUP(L17,[1]Sheet19!E:L,8,FALSE)</f>
        <v>#N/A</v>
      </c>
      <c r="AO17" s="11" t="s">
        <v>58</v>
      </c>
      <c r="AP17" s="12"/>
    </row>
    <row r="18" spans="1:42" ht="15" x14ac:dyDescent="0.2">
      <c r="A18" s="8" t="s">
        <v>42</v>
      </c>
      <c r="B18" s="9" t="s">
        <v>43</v>
      </c>
      <c r="C18" s="9">
        <v>775</v>
      </c>
      <c r="D18" s="9" t="s">
        <v>44</v>
      </c>
      <c r="E18" s="9">
        <v>72</v>
      </c>
      <c r="F18" s="9" t="s">
        <v>103</v>
      </c>
      <c r="G18" s="9" t="s">
        <v>74</v>
      </c>
      <c r="H18" s="9" t="s">
        <v>47</v>
      </c>
      <c r="I18" s="9" t="s">
        <v>104</v>
      </c>
      <c r="J18" s="9" t="s">
        <v>105</v>
      </c>
      <c r="K18" s="9" t="s">
        <v>106</v>
      </c>
      <c r="L18" s="10" t="s">
        <v>106</v>
      </c>
      <c r="M18" s="9" t="s">
        <v>51</v>
      </c>
      <c r="N18" s="9">
        <v>213</v>
      </c>
      <c r="O18" s="9" t="s">
        <v>72</v>
      </c>
      <c r="P18" s="9">
        <v>45</v>
      </c>
      <c r="Q18" s="9">
        <v>45</v>
      </c>
      <c r="R18" s="9">
        <v>1</v>
      </c>
      <c r="S18" s="9">
        <v>-9.6752871999999996</v>
      </c>
      <c r="T18" s="9">
        <v>124.93277740000001</v>
      </c>
      <c r="U18" s="9" t="s">
        <v>52</v>
      </c>
      <c r="V18" s="11" t="str">
        <f>VLOOKUP(L18,'[1]singkron data'!D:E,2,FALSE)</f>
        <v>PT. AMI Kamena Jaya</v>
      </c>
      <c r="W18" s="13">
        <f>VLOOKUP(L18,'[1]update tim 2'!D:F,3,FALSE)</f>
        <v>3664722000</v>
      </c>
      <c r="X18" s="11" t="s">
        <v>55</v>
      </c>
      <c r="Y18" s="11">
        <f>VLOOKUP(L18,'[1]singkron data'!D:H,5,FALSE)</f>
        <v>0</v>
      </c>
      <c r="Z18" s="11">
        <f>VLOOKUP(L18,'[1]singkron data'!D:I,6,FALSE)</f>
        <v>0</v>
      </c>
      <c r="AA18" s="11" t="str">
        <f>VLOOKUP(L18,'[1]singkron data'!D:L,9,FALSE)</f>
        <v>081210805888/agus tobing</v>
      </c>
      <c r="AB18" s="11" t="s">
        <v>54</v>
      </c>
      <c r="AC18" s="11" t="str">
        <f>VLOOKUP(L18,'[1]singkron data'!D:M,10,FALSE)</f>
        <v>TK</v>
      </c>
      <c r="AD18" s="11" t="str">
        <f>VLOOKUP(L18,'[1]data 1129'!F:O,10,FALSE)</f>
        <v>Tahap IV 200</v>
      </c>
      <c r="AE18" s="11">
        <f>VLOOKUP(L18,'[1]singkron data'!D:P,13,FALSE)</f>
        <v>0</v>
      </c>
      <c r="AF18" s="11" t="s">
        <v>55</v>
      </c>
      <c r="AG18" s="11" t="e">
        <f>VLOOKUP(L18,'[1]update kontrak'!E:K,6,FALSE)</f>
        <v>#N/A</v>
      </c>
      <c r="AH18" s="11" t="e">
        <f>VLOOKUP(L18,'[1]update kontrak'!E:K,7,FALSE)</f>
        <v>#N/A</v>
      </c>
      <c r="AI18" s="11"/>
      <c r="AJ18" s="11" t="str">
        <f>VLOOKUP(L18,[1]rekap!D:M,1,FALSE)</f>
        <v>Umatoos</v>
      </c>
      <c r="AK18" s="11" t="str">
        <f>VLOOKUP(L18,'[1]singkron data'!D:E,2,FALSE)</f>
        <v>PT. AMI Kamena Jaya</v>
      </c>
      <c r="AL18" s="11" t="str">
        <f>VLOOKUP(L18,'[1]update 521'!D:D,1,FALSE)</f>
        <v>Umatoos</v>
      </c>
      <c r="AM18" s="11" t="s">
        <v>57</v>
      </c>
      <c r="AN18" s="11" t="e">
        <f>VLOOKUP(L18,[1]Sheet19!E:L,8,FALSE)</f>
        <v>#N/A</v>
      </c>
      <c r="AO18" s="11" t="s">
        <v>58</v>
      </c>
      <c r="AP18" s="12"/>
    </row>
    <row r="19" spans="1:42" ht="15" x14ac:dyDescent="0.2">
      <c r="A19" s="8" t="s">
        <v>42</v>
      </c>
      <c r="B19" s="9" t="s">
        <v>43</v>
      </c>
      <c r="C19" s="9">
        <v>776</v>
      </c>
      <c r="D19" s="9" t="s">
        <v>44</v>
      </c>
      <c r="E19" s="9">
        <v>73</v>
      </c>
      <c r="F19" s="9" t="s">
        <v>103</v>
      </c>
      <c r="G19" s="9" t="s">
        <v>74</v>
      </c>
      <c r="H19" s="9" t="s">
        <v>47</v>
      </c>
      <c r="I19" s="9" t="s">
        <v>104</v>
      </c>
      <c r="J19" s="9" t="s">
        <v>107</v>
      </c>
      <c r="K19" s="9" t="s">
        <v>103</v>
      </c>
      <c r="L19" s="10" t="s">
        <v>103</v>
      </c>
      <c r="M19" s="9" t="s">
        <v>51</v>
      </c>
      <c r="N19" s="9">
        <v>135</v>
      </c>
      <c r="O19" s="9">
        <v>1</v>
      </c>
      <c r="P19" s="9">
        <v>63</v>
      </c>
      <c r="Q19" s="9">
        <v>64</v>
      </c>
      <c r="R19" s="9">
        <v>6</v>
      </c>
      <c r="S19" s="9">
        <v>-9.5767500000000005</v>
      </c>
      <c r="T19" s="9">
        <v>124.94729</v>
      </c>
      <c r="U19" s="9" t="s">
        <v>52</v>
      </c>
      <c r="V19" s="11" t="str">
        <f>VLOOKUP(L19,'[1]singkron data'!D:E,2,FALSE)</f>
        <v>PT. AMI Kamena Jaya</v>
      </c>
      <c r="W19" s="11"/>
      <c r="X19" s="11"/>
      <c r="Y19" s="11">
        <f>VLOOKUP(L19,'[1]singkron data'!D:H,5,FALSE)</f>
        <v>0</v>
      </c>
      <c r="Z19" s="11">
        <f>VLOOKUP(L19,'[1]singkron data'!D:I,6,FALSE)</f>
        <v>0</v>
      </c>
      <c r="AA19" s="11" t="str">
        <f>VLOOKUP(L19,'[1]singkron data'!D:L,9,FALSE)</f>
        <v>081210805888/agus tobing</v>
      </c>
      <c r="AB19" s="11" t="s">
        <v>54</v>
      </c>
      <c r="AC19" s="11" t="str">
        <f>VLOOKUP(L19,'[1]singkron data'!D:M,10,FALSE)</f>
        <v>TK</v>
      </c>
      <c r="AD19" s="11" t="str">
        <f>VLOOKUP(L19,'[1]data 1129'!F:O,10,FALSE)</f>
        <v>Tahap II 146</v>
      </c>
      <c r="AE19" s="11">
        <f>VLOOKUP(L19,'[1]singkron data'!D:P,13,FALSE)</f>
        <v>0</v>
      </c>
      <c r="AF19" s="11" t="s">
        <v>55</v>
      </c>
      <c r="AG19" s="11" t="e">
        <f>VLOOKUP(L19,'[1]update kontrak'!E:K,6,FALSE)</f>
        <v>#N/A</v>
      </c>
      <c r="AH19" s="11" t="e">
        <f>VLOOKUP(L19,'[1]update kontrak'!E:K,7,FALSE)</f>
        <v>#N/A</v>
      </c>
      <c r="AI19" s="11"/>
      <c r="AJ19" s="11" t="str">
        <f>VLOOKUP(L19,[1]rekap!D:M,1,FALSE)</f>
        <v>Kletek</v>
      </c>
      <c r="AK19" s="11" t="str">
        <f>VLOOKUP(L19,'[1]singkron data'!D:E,2,FALSE)</f>
        <v>PT. AMI Kamena Jaya</v>
      </c>
      <c r="AL19" s="11" t="str">
        <f>VLOOKUP(L19,'[1]update 521'!D:D,1,FALSE)</f>
        <v>Kletek</v>
      </c>
      <c r="AM19" s="11" t="s">
        <v>96</v>
      </c>
      <c r="AN19" s="11" t="e">
        <f>VLOOKUP(L19,[1]Sheet19!E:L,8,FALSE)</f>
        <v>#N/A</v>
      </c>
      <c r="AO19" s="11" t="e">
        <f>VLOOKUP(L19,[1]Sheet19!E:K,7,FALSE)</f>
        <v>#N/A</v>
      </c>
      <c r="AP19" s="12"/>
    </row>
    <row r="20" spans="1:42" ht="15" x14ac:dyDescent="0.2">
      <c r="A20" s="8" t="s">
        <v>42</v>
      </c>
      <c r="B20" s="9" t="s">
        <v>43</v>
      </c>
      <c r="C20" s="9">
        <v>777</v>
      </c>
      <c r="D20" s="9" t="s">
        <v>44</v>
      </c>
      <c r="E20" s="9">
        <v>74</v>
      </c>
      <c r="F20" s="9" t="s">
        <v>103</v>
      </c>
      <c r="G20" s="9" t="s">
        <v>74</v>
      </c>
      <c r="H20" s="9" t="s">
        <v>47</v>
      </c>
      <c r="I20" s="9" t="s">
        <v>104</v>
      </c>
      <c r="J20" s="9" t="s">
        <v>108</v>
      </c>
      <c r="K20" s="9" t="s">
        <v>109</v>
      </c>
      <c r="L20" s="10" t="s">
        <v>109</v>
      </c>
      <c r="M20" s="9" t="s">
        <v>51</v>
      </c>
      <c r="N20" s="9">
        <v>30</v>
      </c>
      <c r="O20" s="9">
        <v>10</v>
      </c>
      <c r="P20" s="9">
        <v>15</v>
      </c>
      <c r="Q20" s="9">
        <v>25</v>
      </c>
      <c r="R20" s="9">
        <v>2</v>
      </c>
      <c r="S20" s="9">
        <v>-9.7121393999999999</v>
      </c>
      <c r="T20" s="9">
        <v>124.8540589</v>
      </c>
      <c r="U20" s="9" t="s">
        <v>52</v>
      </c>
      <c r="V20" s="11" t="str">
        <f>VLOOKUP(L20,'[1]singkron data'!D:E,2,FALSE)</f>
        <v>PT. AMI Kamena Jaya</v>
      </c>
      <c r="W20" s="11"/>
      <c r="X20" s="11"/>
      <c r="Y20" s="11">
        <f>VLOOKUP(L20,'[1]singkron data'!D:H,5,FALSE)</f>
        <v>0</v>
      </c>
      <c r="Z20" s="11">
        <f>VLOOKUP(L20,'[1]singkron data'!D:I,6,FALSE)</f>
        <v>0</v>
      </c>
      <c r="AA20" s="11" t="str">
        <f>VLOOKUP(L20,'[1]singkron data'!D:L,9,FALSE)</f>
        <v>081210805888/agus tobing</v>
      </c>
      <c r="AB20" s="11" t="s">
        <v>54</v>
      </c>
      <c r="AC20" s="11" t="str">
        <f>VLOOKUP(L20,'[1]singkron data'!D:M,10,FALSE)</f>
        <v>TK</v>
      </c>
      <c r="AD20" s="11" t="str">
        <f>VLOOKUP(L20,'[1]data 1129'!F:O,10,FALSE)</f>
        <v>Tahap II 146</v>
      </c>
      <c r="AE20" s="11">
        <f>VLOOKUP(L20,'[1]singkron data'!D:P,13,FALSE)</f>
        <v>0</v>
      </c>
      <c r="AF20" s="11" t="s">
        <v>55</v>
      </c>
      <c r="AG20" s="11" t="e">
        <f>VLOOKUP(L20,'[1]update kontrak'!E:K,6,FALSE)</f>
        <v>#N/A</v>
      </c>
      <c r="AH20" s="11" t="e">
        <f>VLOOKUP(L20,'[1]update kontrak'!E:K,7,FALSE)</f>
        <v>#N/A</v>
      </c>
      <c r="AI20" s="11"/>
      <c r="AJ20" s="11" t="str">
        <f>VLOOKUP(L20,[1]rekap!D:M,1,FALSE)</f>
        <v>Weoe</v>
      </c>
      <c r="AK20" s="11" t="str">
        <f>VLOOKUP(L20,'[1]singkron data'!D:E,2,FALSE)</f>
        <v>PT. AMI Kamena Jaya</v>
      </c>
      <c r="AL20" s="11" t="str">
        <f>VLOOKUP(L20,'[1]update 521'!D:D,1,FALSE)</f>
        <v>Weoe</v>
      </c>
      <c r="AM20" s="11" t="s">
        <v>96</v>
      </c>
      <c r="AN20" s="11" t="e">
        <f>VLOOKUP(L20,[1]Sheet19!E:L,8,FALSE)</f>
        <v>#N/A</v>
      </c>
      <c r="AO20" s="11" t="e">
        <f>VLOOKUP(L20,[1]Sheet19!E:K,7,FALSE)</f>
        <v>#N/A</v>
      </c>
      <c r="AP20" s="12"/>
    </row>
    <row r="21" spans="1:42" ht="15" x14ac:dyDescent="0.2">
      <c r="A21" s="8" t="s">
        <v>42</v>
      </c>
      <c r="B21" s="9" t="s">
        <v>43</v>
      </c>
      <c r="C21" s="9">
        <v>763</v>
      </c>
      <c r="D21" s="9" t="s">
        <v>44</v>
      </c>
      <c r="E21" s="9">
        <v>60</v>
      </c>
      <c r="F21" s="9" t="s">
        <v>110</v>
      </c>
      <c r="G21" s="9" t="s">
        <v>74</v>
      </c>
      <c r="H21" s="9" t="s">
        <v>47</v>
      </c>
      <c r="I21" s="9" t="s">
        <v>111</v>
      </c>
      <c r="J21" s="9" t="s">
        <v>112</v>
      </c>
      <c r="K21" s="9" t="s">
        <v>110</v>
      </c>
      <c r="L21" s="10" t="s">
        <v>110</v>
      </c>
      <c r="M21" s="9" t="s">
        <v>65</v>
      </c>
      <c r="N21" s="9">
        <v>280</v>
      </c>
      <c r="O21" s="9">
        <v>242</v>
      </c>
      <c r="P21" s="9">
        <v>335</v>
      </c>
      <c r="Q21" s="9">
        <v>577</v>
      </c>
      <c r="R21" s="9">
        <v>0.25</v>
      </c>
      <c r="S21" s="9">
        <v>-8.4298990000000007</v>
      </c>
      <c r="T21" s="9">
        <v>122.37738400000001</v>
      </c>
      <c r="U21" s="9" t="s">
        <v>52</v>
      </c>
      <c r="V21" s="11" t="str">
        <f>VLOOKUP(L21,'[1]singkron data'!D:E,2,FALSE)</f>
        <v>PT. Arum Daya Sentausa</v>
      </c>
      <c r="W21" s="11"/>
      <c r="X21" s="11"/>
      <c r="Y21" s="11">
        <f>VLOOKUP(L21,'[1]singkron data'!D:H,5,FALSE)</f>
        <v>0</v>
      </c>
      <c r="Z21" s="11">
        <f>VLOOKUP(L21,'[1]singkron data'!D:I,6,FALSE)</f>
        <v>0</v>
      </c>
      <c r="AA21" s="11">
        <f>VLOOKUP(L21,'[1]singkron data'!D:L,9,FALSE)</f>
        <v>81287843669</v>
      </c>
      <c r="AB21" s="11" t="s">
        <v>54</v>
      </c>
      <c r="AC21" s="11" t="str">
        <f>VLOOKUP(L21,'[1]singkron data'!D:M,10,FALSE)</f>
        <v>Galuh-B</v>
      </c>
      <c r="AD21" s="11" t="str">
        <f>VLOOKUP(L21,'[1]data 1129'!F:O,10,FALSE)</f>
        <v>Tahap III 166</v>
      </c>
      <c r="AE21" s="11">
        <f>VLOOKUP(L21,'[1]singkron data'!D:P,13,FALSE)</f>
        <v>0</v>
      </c>
      <c r="AF21" s="11" t="s">
        <v>55</v>
      </c>
      <c r="AG21" s="11" t="e">
        <f>VLOOKUP(L21,'[1]update kontrak'!E:K,6,FALSE)</f>
        <v>#N/A</v>
      </c>
      <c r="AH21" s="11" t="e">
        <f>VLOOKUP(L21,'[1]update kontrak'!E:K,7,FALSE)</f>
        <v>#N/A</v>
      </c>
      <c r="AI21" s="11"/>
      <c r="AJ21" s="11" t="str">
        <f>VLOOKUP(L21,[1]rekap!D:M,1,FALSE)</f>
        <v>Kojagete</v>
      </c>
      <c r="AK21" s="11" t="str">
        <f>VLOOKUP(L21,'[1]singkron data'!D:E,2,FALSE)</f>
        <v>PT. Arum Daya Sentausa</v>
      </c>
      <c r="AL21" s="11" t="str">
        <f>VLOOKUP(L21,'[1]update 521'!D:D,1,FALSE)</f>
        <v>Kojagete</v>
      </c>
      <c r="AM21" s="11" t="s">
        <v>96</v>
      </c>
      <c r="AN21" s="11" t="e">
        <f>VLOOKUP(L21,[1]Sheet19!E:L,8,FALSE)</f>
        <v>#N/A</v>
      </c>
      <c r="AO21" s="11" t="e">
        <f>VLOOKUP(L21,[1]Sheet19!E:K,7,FALSE)</f>
        <v>#N/A</v>
      </c>
      <c r="AP21" s="12"/>
    </row>
    <row r="22" spans="1:42" ht="15" x14ac:dyDescent="0.2">
      <c r="A22" s="8" t="s">
        <v>42</v>
      </c>
      <c r="B22" s="9" t="s">
        <v>43</v>
      </c>
      <c r="C22" s="9">
        <v>764</v>
      </c>
      <c r="D22" s="9" t="s">
        <v>44</v>
      </c>
      <c r="E22" s="9">
        <v>61</v>
      </c>
      <c r="F22" s="9" t="s">
        <v>110</v>
      </c>
      <c r="G22" s="9" t="s">
        <v>74</v>
      </c>
      <c r="H22" s="9" t="s">
        <v>47</v>
      </c>
      <c r="I22" s="9" t="s">
        <v>111</v>
      </c>
      <c r="J22" s="9" t="s">
        <v>112</v>
      </c>
      <c r="K22" s="9" t="s">
        <v>113</v>
      </c>
      <c r="L22" s="10" t="s">
        <v>113</v>
      </c>
      <c r="M22" s="9" t="s">
        <v>81</v>
      </c>
      <c r="N22" s="9">
        <v>915</v>
      </c>
      <c r="O22" s="9">
        <v>230</v>
      </c>
      <c r="P22" s="9">
        <v>288</v>
      </c>
      <c r="Q22" s="9">
        <v>518</v>
      </c>
      <c r="R22" s="9">
        <v>0.05</v>
      </c>
      <c r="S22" s="9">
        <v>-8.4545670000000008</v>
      </c>
      <c r="T22" s="9">
        <v>122.44139199999999</v>
      </c>
      <c r="U22" s="9" t="s">
        <v>52</v>
      </c>
      <c r="V22" s="11" t="str">
        <f>VLOOKUP(L22,'[1]singkron data'!D:E,2,FALSE)</f>
        <v>PT. Arum Daya Sentausa</v>
      </c>
      <c r="W22" s="11"/>
      <c r="X22" s="11"/>
      <c r="Y22" s="11">
        <f>VLOOKUP(L22,'[1]singkron data'!D:H,5,FALSE)</f>
        <v>0</v>
      </c>
      <c r="Z22" s="11">
        <f>VLOOKUP(L22,'[1]singkron data'!D:I,6,FALSE)</f>
        <v>0</v>
      </c>
      <c r="AA22" s="11">
        <f>VLOOKUP(L22,'[1]singkron data'!D:L,9,FALSE)</f>
        <v>81287843669</v>
      </c>
      <c r="AB22" s="11" t="s">
        <v>54</v>
      </c>
      <c r="AC22" s="11" t="str">
        <f>VLOOKUP(L22,'[1]singkron data'!D:M,10,FALSE)</f>
        <v>Galuh-B</v>
      </c>
      <c r="AD22" s="11" t="str">
        <f>VLOOKUP(L22,'[1]data 1129'!F:O,10,FALSE)</f>
        <v>Tahap IV 200</v>
      </c>
      <c r="AE22" s="11">
        <f>VLOOKUP(L22,'[1]singkron data'!D:P,13,FALSE)</f>
        <v>0</v>
      </c>
      <c r="AF22" s="11" t="s">
        <v>55</v>
      </c>
      <c r="AG22" s="11" t="e">
        <f>VLOOKUP(L22,'[1]update kontrak'!E:K,6,FALSE)</f>
        <v>#N/A</v>
      </c>
      <c r="AH22" s="11" t="e">
        <f>VLOOKUP(L22,'[1]update kontrak'!E:K,7,FALSE)</f>
        <v>#N/A</v>
      </c>
      <c r="AI22" s="11"/>
      <c r="AJ22" s="11" t="str">
        <f>VLOOKUP(L22,[1]rekap!D:M,1,FALSE)</f>
        <v>Perumaan</v>
      </c>
      <c r="AK22" s="11" t="str">
        <f>VLOOKUP(L22,'[1]singkron data'!D:E,2,FALSE)</f>
        <v>PT. Arum Daya Sentausa</v>
      </c>
      <c r="AL22" s="11" t="str">
        <f>VLOOKUP(L22,'[1]update 521'!D:D,1,FALSE)</f>
        <v>Perumaan</v>
      </c>
      <c r="AM22" s="11" t="s">
        <v>96</v>
      </c>
      <c r="AN22" s="11" t="e">
        <f>VLOOKUP(L22,[1]Sheet19!E:L,8,FALSE)</f>
        <v>#N/A</v>
      </c>
      <c r="AO22" s="11" t="e">
        <f>VLOOKUP(L22,[1]Sheet19!E:K,7,FALSE)</f>
        <v>#N/A</v>
      </c>
      <c r="AP22" s="12"/>
    </row>
    <row r="23" spans="1:42" ht="15" x14ac:dyDescent="0.2">
      <c r="A23" s="8" t="s">
        <v>42</v>
      </c>
      <c r="B23" s="9" t="s">
        <v>43</v>
      </c>
      <c r="C23" s="9">
        <v>765</v>
      </c>
      <c r="D23" s="9" t="s">
        <v>44</v>
      </c>
      <c r="E23" s="9">
        <v>62</v>
      </c>
      <c r="F23" s="9" t="s">
        <v>110</v>
      </c>
      <c r="G23" s="9" t="s">
        <v>74</v>
      </c>
      <c r="H23" s="9" t="s">
        <v>47</v>
      </c>
      <c r="I23" s="9" t="s">
        <v>111</v>
      </c>
      <c r="J23" s="9" t="s">
        <v>114</v>
      </c>
      <c r="K23" s="9" t="s">
        <v>115</v>
      </c>
      <c r="L23" s="10" t="s">
        <v>115</v>
      </c>
      <c r="M23" s="9" t="s">
        <v>51</v>
      </c>
      <c r="N23" s="9">
        <v>1345</v>
      </c>
      <c r="O23" s="9">
        <v>20</v>
      </c>
      <c r="P23" s="9">
        <v>120</v>
      </c>
      <c r="Q23" s="9">
        <v>140</v>
      </c>
      <c r="R23" s="9">
        <v>0.7</v>
      </c>
      <c r="S23" s="9">
        <v>-8.5573949999999996</v>
      </c>
      <c r="T23" s="9">
        <v>122.16022599999999</v>
      </c>
      <c r="U23" s="9" t="s">
        <v>52</v>
      </c>
      <c r="V23" s="11" t="str">
        <f>VLOOKUP(L23,'[1]singkron data'!D:E,2,FALSE)</f>
        <v>PT. Arum Daya Sentausa</v>
      </c>
      <c r="W23" s="11"/>
      <c r="X23" s="11"/>
      <c r="Y23" s="11">
        <f>VLOOKUP(L23,'[1]singkron data'!D:H,5,FALSE)</f>
        <v>0</v>
      </c>
      <c r="Z23" s="11">
        <f>VLOOKUP(L23,'[1]singkron data'!D:I,6,FALSE)</f>
        <v>0</v>
      </c>
      <c r="AA23" s="11">
        <f>VLOOKUP(L23,'[1]singkron data'!D:L,9,FALSE)</f>
        <v>81287843669</v>
      </c>
      <c r="AB23" s="11" t="s">
        <v>54</v>
      </c>
      <c r="AC23" s="11" t="str">
        <f>VLOOKUP(L23,'[1]singkron data'!D:M,10,FALSE)</f>
        <v>Galuh-B</v>
      </c>
      <c r="AD23" s="11" t="str">
        <f>VLOOKUP(L23,'[1]data 1129'!F:O,10,FALSE)</f>
        <v>Tahap III 166</v>
      </c>
      <c r="AE23" s="11">
        <f>VLOOKUP(L23,'[1]singkron data'!D:P,13,FALSE)</f>
        <v>0</v>
      </c>
      <c r="AF23" s="11" t="s">
        <v>55</v>
      </c>
      <c r="AG23" s="11" t="e">
        <f>VLOOKUP(L23,'[1]update kontrak'!E:K,6,FALSE)</f>
        <v>#N/A</v>
      </c>
      <c r="AH23" s="11" t="e">
        <f>VLOOKUP(L23,'[1]update kontrak'!E:K,7,FALSE)</f>
        <v>#N/A</v>
      </c>
      <c r="AI23" s="11"/>
      <c r="AJ23" s="11" t="str">
        <f>VLOOKUP(L23,[1]rekap!D:M,1,FALSE)</f>
        <v>Wuring</v>
      </c>
      <c r="AK23" s="11" t="str">
        <f>VLOOKUP(L23,'[1]singkron data'!D:E,2,FALSE)</f>
        <v>PT. Arum Daya Sentausa</v>
      </c>
      <c r="AL23" s="11" t="str">
        <f>VLOOKUP(L23,'[1]update 521'!D:D,1,FALSE)</f>
        <v>Wuring</v>
      </c>
      <c r="AM23" s="11" t="s">
        <v>96</v>
      </c>
      <c r="AN23" s="11" t="e">
        <f>VLOOKUP(L23,[1]Sheet19!E:L,8,FALSE)</f>
        <v>#N/A</v>
      </c>
      <c r="AO23" s="11" t="e">
        <f>VLOOKUP(L23,[1]Sheet19!E:K,7,FALSE)</f>
        <v>#N/A</v>
      </c>
      <c r="AP23" s="12"/>
    </row>
    <row r="24" spans="1:42" ht="15" x14ac:dyDescent="0.2">
      <c r="A24" s="8" t="s">
        <v>42</v>
      </c>
      <c r="B24" s="9" t="s">
        <v>43</v>
      </c>
      <c r="C24" s="9">
        <v>796</v>
      </c>
      <c r="D24" s="9" t="s">
        <v>44</v>
      </c>
      <c r="E24" s="9">
        <v>93</v>
      </c>
      <c r="F24" s="9" t="s">
        <v>110</v>
      </c>
      <c r="G24" s="9" t="s">
        <v>74</v>
      </c>
      <c r="H24" s="9" t="s">
        <v>47</v>
      </c>
      <c r="I24" s="9" t="s">
        <v>111</v>
      </c>
      <c r="J24" s="9" t="s">
        <v>116</v>
      </c>
      <c r="K24" s="9" t="s">
        <v>117</v>
      </c>
      <c r="L24" s="10" t="s">
        <v>117</v>
      </c>
      <c r="M24" s="9" t="s">
        <v>51</v>
      </c>
      <c r="N24" s="9">
        <v>52</v>
      </c>
      <c r="O24" s="9">
        <v>4</v>
      </c>
      <c r="P24" s="9">
        <v>40</v>
      </c>
      <c r="Q24" s="9">
        <v>44</v>
      </c>
      <c r="R24" s="9">
        <v>0.06</v>
      </c>
      <c r="S24" s="9">
        <v>-8.6373201999999996</v>
      </c>
      <c r="T24" s="9">
        <v>122.2809747</v>
      </c>
      <c r="U24" s="9" t="s">
        <v>52</v>
      </c>
      <c r="V24" s="11" t="str">
        <f>VLOOKUP(L24,'[1]singkron data'!D:E,2,FALSE)</f>
        <v>PT. Arum Daya Sentausa</v>
      </c>
      <c r="W24" s="11"/>
      <c r="X24" s="11"/>
      <c r="Y24" s="11">
        <f>VLOOKUP(L24,'[1]singkron data'!D:H,5,FALSE)</f>
        <v>0</v>
      </c>
      <c r="Z24" s="11">
        <f>VLOOKUP(L24,'[1]singkron data'!D:I,6,FALSE)</f>
        <v>0</v>
      </c>
      <c r="AA24" s="11">
        <f>VLOOKUP(L24,'[1]singkron data'!D:L,9,FALSE)</f>
        <v>81287843669</v>
      </c>
      <c r="AB24" s="11" t="s">
        <v>54</v>
      </c>
      <c r="AC24" s="11" t="str">
        <f>VLOOKUP(L24,'[1]singkron data'!D:M,10,FALSE)</f>
        <v>Galuh-B</v>
      </c>
      <c r="AD24" s="11" t="str">
        <f>VLOOKUP(L24,'[1]data 1129'!F:O,10,FALSE)</f>
        <v>Tahap III 166</v>
      </c>
      <c r="AE24" s="11">
        <f>VLOOKUP(L24,'[1]singkron data'!D:P,13,FALSE)</f>
        <v>0</v>
      </c>
      <c r="AF24" s="11" t="s">
        <v>55</v>
      </c>
      <c r="AG24" s="11" t="e">
        <f>VLOOKUP(L24,'[1]update kontrak'!E:K,6,FALSE)</f>
        <v>#N/A</v>
      </c>
      <c r="AH24" s="11" t="e">
        <f>VLOOKUP(L24,'[1]update kontrak'!E:K,7,FALSE)</f>
        <v>#N/A</v>
      </c>
      <c r="AI24" s="11"/>
      <c r="AJ24" s="11" t="str">
        <f>VLOOKUP(L24,[1]rekap!D:M,1,FALSE)</f>
        <v>Watumilok</v>
      </c>
      <c r="AK24" s="11" t="str">
        <f>VLOOKUP(L24,'[1]singkron data'!D:E,2,FALSE)</f>
        <v>PT. Arum Daya Sentausa</v>
      </c>
      <c r="AL24" s="11" t="str">
        <f>VLOOKUP(L24,'[1]update 521'!D:D,1,FALSE)</f>
        <v>Watumilok</v>
      </c>
      <c r="AM24" s="11" t="s">
        <v>96</v>
      </c>
      <c r="AN24" s="11" t="e">
        <f>VLOOKUP(L24,[1]Sheet19!E:L,8,FALSE)</f>
        <v>#N/A</v>
      </c>
      <c r="AO24" s="11" t="e">
        <f>VLOOKUP(L24,[1]Sheet19!E:K,7,FALSE)</f>
        <v>#N/A</v>
      </c>
      <c r="AP24" s="12"/>
    </row>
    <row r="25" spans="1:42" ht="15" x14ac:dyDescent="0.2">
      <c r="A25" s="8" t="s">
        <v>42</v>
      </c>
      <c r="B25" s="9" t="s">
        <v>43</v>
      </c>
      <c r="C25" s="9">
        <v>797</v>
      </c>
      <c r="D25" s="9" t="s">
        <v>44</v>
      </c>
      <c r="E25" s="9">
        <v>94</v>
      </c>
      <c r="F25" s="9" t="s">
        <v>110</v>
      </c>
      <c r="G25" s="9" t="s">
        <v>74</v>
      </c>
      <c r="H25" s="9" t="s">
        <v>47</v>
      </c>
      <c r="I25" s="9" t="s">
        <v>111</v>
      </c>
      <c r="J25" s="9" t="s">
        <v>118</v>
      </c>
      <c r="K25" s="9" t="s">
        <v>119</v>
      </c>
      <c r="L25" s="10" t="s">
        <v>119</v>
      </c>
      <c r="M25" s="9" t="s">
        <v>51</v>
      </c>
      <c r="N25" s="9">
        <v>17</v>
      </c>
      <c r="O25" s="9" t="s">
        <v>72</v>
      </c>
      <c r="P25" s="9">
        <v>15</v>
      </c>
      <c r="Q25" s="9">
        <v>15</v>
      </c>
      <c r="R25" s="9">
        <v>7.0000000000000007E-2</v>
      </c>
      <c r="S25" s="9">
        <v>-8.6420413000000007</v>
      </c>
      <c r="T25" s="9">
        <v>122.2903884</v>
      </c>
      <c r="U25" s="9" t="s">
        <v>52</v>
      </c>
      <c r="V25" s="11" t="str">
        <f>VLOOKUP(L25,'[1]singkron data'!D:E,2,FALSE)</f>
        <v>PT. Arum Daya Sentausa</v>
      </c>
      <c r="W25" s="11"/>
      <c r="X25" s="11"/>
      <c r="Y25" s="11">
        <f>VLOOKUP(L25,'[1]singkron data'!D:H,5,FALSE)</f>
        <v>0</v>
      </c>
      <c r="Z25" s="11">
        <f>VLOOKUP(L25,'[1]singkron data'!D:I,6,FALSE)</f>
        <v>0</v>
      </c>
      <c r="AA25" s="11">
        <f>VLOOKUP(L25,'[1]singkron data'!D:L,9,FALSE)</f>
        <v>81287843669</v>
      </c>
      <c r="AB25" s="11" t="s">
        <v>54</v>
      </c>
      <c r="AC25" s="11" t="str">
        <f>VLOOKUP(L25,'[1]singkron data'!D:M,10,FALSE)</f>
        <v>Galuh-B</v>
      </c>
      <c r="AD25" s="11" t="str">
        <f>VLOOKUP(L25,'[1]data 1129'!F:O,10,FALSE)</f>
        <v>Tahap III 166</v>
      </c>
      <c r="AE25" s="11">
        <f>VLOOKUP(L25,'[1]singkron data'!D:P,13,FALSE)</f>
        <v>0</v>
      </c>
      <c r="AF25" s="11" t="s">
        <v>55</v>
      </c>
      <c r="AG25" s="11" t="e">
        <f>VLOOKUP(L25,'[1]update kontrak'!E:K,6,FALSE)</f>
        <v>#N/A</v>
      </c>
      <c r="AH25" s="11" t="e">
        <f>VLOOKUP(L25,'[1]update kontrak'!E:K,7,FALSE)</f>
        <v>#N/A</v>
      </c>
      <c r="AI25" s="11"/>
      <c r="AJ25" s="11" t="str">
        <f>VLOOKUP(L25,[1]rekap!D:M,1,FALSE)</f>
        <v>Geliting</v>
      </c>
      <c r="AK25" s="11" t="str">
        <f>VLOOKUP(L25,'[1]singkron data'!D:E,2,FALSE)</f>
        <v>PT. Arum Daya Sentausa</v>
      </c>
      <c r="AL25" s="11" t="str">
        <f>VLOOKUP(L25,'[1]update 521'!D:D,1,FALSE)</f>
        <v>Geliting</v>
      </c>
      <c r="AM25" s="11" t="s">
        <v>96</v>
      </c>
      <c r="AN25" s="11" t="e">
        <f>VLOOKUP(L25,[1]Sheet19!E:L,8,FALSE)</f>
        <v>#N/A</v>
      </c>
      <c r="AO25" s="11" t="e">
        <f>VLOOKUP(L25,[1]Sheet19!E:K,7,FALSE)</f>
        <v>#N/A</v>
      </c>
      <c r="AP25" s="12"/>
    </row>
    <row r="26" spans="1:42" ht="15" x14ac:dyDescent="0.2">
      <c r="A26" s="8" t="s">
        <v>42</v>
      </c>
      <c r="B26" s="9" t="s">
        <v>43</v>
      </c>
      <c r="C26" s="9">
        <v>798</v>
      </c>
      <c r="D26" s="9" t="s">
        <v>44</v>
      </c>
      <c r="E26" s="9">
        <v>95</v>
      </c>
      <c r="F26" s="9" t="s">
        <v>110</v>
      </c>
      <c r="G26" s="9" t="s">
        <v>74</v>
      </c>
      <c r="H26" s="9" t="s">
        <v>47</v>
      </c>
      <c r="I26" s="9" t="s">
        <v>111</v>
      </c>
      <c r="J26" s="9" t="s">
        <v>120</v>
      </c>
      <c r="K26" s="9" t="s">
        <v>121</v>
      </c>
      <c r="L26" s="10" t="s">
        <v>121</v>
      </c>
      <c r="M26" s="9" t="s">
        <v>51</v>
      </c>
      <c r="N26" s="9">
        <v>20</v>
      </c>
      <c r="O26" s="9">
        <v>2</v>
      </c>
      <c r="P26" s="9">
        <v>14</v>
      </c>
      <c r="Q26" s="9">
        <v>16</v>
      </c>
      <c r="R26" s="9">
        <v>0.2</v>
      </c>
      <c r="S26" s="9">
        <v>-8.7650500999999998</v>
      </c>
      <c r="T26" s="9">
        <v>122.0568806</v>
      </c>
      <c r="U26" s="9" t="s">
        <v>52</v>
      </c>
      <c r="V26" s="11" t="str">
        <f>VLOOKUP(L26,'[1]singkron data'!D:E,2,FALSE)</f>
        <v>PT. Arum Daya Sentausa</v>
      </c>
      <c r="W26" s="11"/>
      <c r="X26" s="11"/>
      <c r="Y26" s="11">
        <f>VLOOKUP(L26,'[1]singkron data'!D:H,5,FALSE)</f>
        <v>0</v>
      </c>
      <c r="Z26" s="11">
        <f>VLOOKUP(L26,'[1]singkron data'!D:I,6,FALSE)</f>
        <v>0</v>
      </c>
      <c r="AA26" s="11">
        <f>VLOOKUP(L26,'[1]singkron data'!D:L,9,FALSE)</f>
        <v>81287843669</v>
      </c>
      <c r="AB26" s="11" t="s">
        <v>54</v>
      </c>
      <c r="AC26" s="11" t="str">
        <f>VLOOKUP(L26,'[1]singkron data'!D:M,10,FALSE)</f>
        <v>Galuh-B</v>
      </c>
      <c r="AD26" s="11" t="str">
        <f>VLOOKUP(L26,'[1]data 1129'!F:O,10,FALSE)</f>
        <v>Tahap IV 200</v>
      </c>
      <c r="AE26" s="11">
        <f>VLOOKUP(L26,'[1]singkron data'!D:P,13,FALSE)</f>
        <v>0</v>
      </c>
      <c r="AF26" s="11" t="s">
        <v>55</v>
      </c>
      <c r="AG26" s="11" t="e">
        <f>VLOOKUP(L26,'[1]update kontrak'!E:K,6,FALSE)</f>
        <v>#N/A</v>
      </c>
      <c r="AH26" s="11" t="e">
        <f>VLOOKUP(L26,'[1]update kontrak'!E:K,7,FALSE)</f>
        <v>#N/A</v>
      </c>
      <c r="AI26" s="11"/>
      <c r="AJ26" s="11" t="str">
        <f>VLOOKUP(L26,[1]rekap!D:M,1,FALSE)</f>
        <v>Lowolabo</v>
      </c>
      <c r="AK26" s="11" t="str">
        <f>VLOOKUP(L26,'[1]singkron data'!D:E,2,FALSE)</f>
        <v>PT. Arum Daya Sentausa</v>
      </c>
      <c r="AL26" s="11" t="str">
        <f>VLOOKUP(L26,'[1]update 521'!D:D,1,FALSE)</f>
        <v>Lowolabo</v>
      </c>
      <c r="AM26" s="11" t="s">
        <v>96</v>
      </c>
      <c r="AN26" s="11" t="e">
        <f>VLOOKUP(L26,[1]Sheet19!E:L,8,FALSE)</f>
        <v>#N/A</v>
      </c>
      <c r="AO26" s="11" t="e">
        <f>VLOOKUP(L26,[1]Sheet19!E:K,7,FALSE)</f>
        <v>#N/A</v>
      </c>
      <c r="AP26" s="12"/>
    </row>
    <row r="27" spans="1:42" ht="15" x14ac:dyDescent="0.2">
      <c r="A27" s="8" t="s">
        <v>42</v>
      </c>
      <c r="B27" s="9" t="s">
        <v>43</v>
      </c>
      <c r="C27" s="9">
        <v>801</v>
      </c>
      <c r="D27" s="9" t="s">
        <v>44</v>
      </c>
      <c r="E27" s="9">
        <v>98</v>
      </c>
      <c r="F27" s="9" t="s">
        <v>122</v>
      </c>
      <c r="G27" s="9" t="s">
        <v>74</v>
      </c>
      <c r="H27" s="9" t="s">
        <v>47</v>
      </c>
      <c r="I27" s="9" t="s">
        <v>123</v>
      </c>
      <c r="J27" s="9" t="s">
        <v>122</v>
      </c>
      <c r="K27" s="9" t="s">
        <v>124</v>
      </c>
      <c r="L27" s="10" t="s">
        <v>124</v>
      </c>
      <c r="M27" s="9" t="s">
        <v>51</v>
      </c>
      <c r="N27" s="9">
        <v>137</v>
      </c>
      <c r="O27" s="9">
        <v>2</v>
      </c>
      <c r="P27" s="9">
        <v>45</v>
      </c>
      <c r="Q27" s="9">
        <v>47</v>
      </c>
      <c r="R27" s="9">
        <v>2.25</v>
      </c>
      <c r="S27" s="9">
        <v>-8.6714971999999992</v>
      </c>
      <c r="T27" s="9">
        <v>119.8312778</v>
      </c>
      <c r="U27" s="9" t="s">
        <v>52</v>
      </c>
      <c r="V27" s="11" t="s">
        <v>125</v>
      </c>
      <c r="W27" s="11"/>
      <c r="X27" s="11"/>
      <c r="Y27" s="11" t="str">
        <f>VLOOKUP(L27,'[1]singkron data'!D:H,5,FALSE)</f>
        <v>Kota Sorong</v>
      </c>
      <c r="Z27" s="11" t="str">
        <f>VLOOKUP(L27,'[1]singkron data'!D:I,6,FALSE)</f>
        <v>Online</v>
      </c>
      <c r="AA27" s="11" t="str">
        <f>VLOOKUP(L27,'[1]singkron data'!D:L,9,FALSE)</f>
        <v>081293305027/iqbal</v>
      </c>
      <c r="AB27" s="11" t="s">
        <v>54</v>
      </c>
      <c r="AC27" s="11" t="str">
        <f>VLOOKUP(L27,'[1]singkron data'!D:M,10,FALSE)</f>
        <v>Iqbal/AM</v>
      </c>
      <c r="AD27" s="11" t="str">
        <f>VLOOKUP(L27,'[1]data 1129'!F:O,10,FALSE)</f>
        <v>Tahap IV 200</v>
      </c>
      <c r="AE27" s="11">
        <f>VLOOKUP(L27,'[1]singkron data'!D:P,13,FALSE)</f>
        <v>0</v>
      </c>
      <c r="AF27" s="11" t="s">
        <v>55</v>
      </c>
      <c r="AG27" s="11" t="e">
        <f>VLOOKUP(L27,'[1]update kontrak'!E:K,6,FALSE)</f>
        <v>#N/A</v>
      </c>
      <c r="AH27" s="11" t="e">
        <f>VLOOKUP(L27,'[1]update kontrak'!E:K,7,FALSE)</f>
        <v>#N/A</v>
      </c>
      <c r="AI27" s="11"/>
      <c r="AJ27" s="11" t="str">
        <f>VLOOKUP(L27,[1]rekap!D:M,1,FALSE)</f>
        <v>Golo Mori</v>
      </c>
      <c r="AK27" s="11" t="str">
        <f>VLOOKUP(L27,'[1]singkron data'!D:E,2,FALSE)</f>
        <v>CV. Putra Sabar Utama Perkasa</v>
      </c>
      <c r="AL27" s="11" t="str">
        <f>VLOOKUP(L27,'[1]update 521'!D:D,1,FALSE)</f>
        <v>Golo Mori</v>
      </c>
      <c r="AM27" s="11" t="s">
        <v>96</v>
      </c>
      <c r="AN27" s="11" t="e">
        <f>VLOOKUP(L27,[1]Sheet19!E:L,8,FALSE)</f>
        <v>#N/A</v>
      </c>
      <c r="AO27" s="11" t="e">
        <f>VLOOKUP(L27,[1]Sheet19!E:K,7,FALSE)</f>
        <v>#N/A</v>
      </c>
      <c r="AP27" s="12"/>
    </row>
    <row r="28" spans="1:42" ht="15" x14ac:dyDescent="0.2">
      <c r="A28" s="8" t="s">
        <v>42</v>
      </c>
      <c r="B28" s="9" t="s">
        <v>43</v>
      </c>
      <c r="C28" s="9">
        <v>802</v>
      </c>
      <c r="D28" s="9" t="s">
        <v>44</v>
      </c>
      <c r="E28" s="9">
        <v>99</v>
      </c>
      <c r="F28" s="9" t="s">
        <v>122</v>
      </c>
      <c r="G28" s="9" t="s">
        <v>74</v>
      </c>
      <c r="H28" s="9" t="s">
        <v>47</v>
      </c>
      <c r="I28" s="9" t="s">
        <v>123</v>
      </c>
      <c r="J28" s="9" t="s">
        <v>126</v>
      </c>
      <c r="K28" s="9" t="s">
        <v>127</v>
      </c>
      <c r="L28" s="10" t="s">
        <v>127</v>
      </c>
      <c r="M28" s="9" t="s">
        <v>51</v>
      </c>
      <c r="N28" s="9">
        <v>91</v>
      </c>
      <c r="O28" s="9">
        <v>4</v>
      </c>
      <c r="P28" s="9">
        <v>72</v>
      </c>
      <c r="Q28" s="9">
        <v>76</v>
      </c>
      <c r="R28" s="9">
        <v>1.56</v>
      </c>
      <c r="S28" s="9">
        <v>-8.7804806000000006</v>
      </c>
      <c r="T28" s="9">
        <v>120.1315056</v>
      </c>
      <c r="U28" s="9" t="s">
        <v>52</v>
      </c>
      <c r="V28" s="11" t="s">
        <v>125</v>
      </c>
      <c r="W28" s="11"/>
      <c r="X28" s="11"/>
      <c r="Y28" s="11" t="str">
        <f>VLOOKUP(L28,'[1]singkron data'!D:H,5,FALSE)</f>
        <v>Kota Sorong</v>
      </c>
      <c r="Z28" s="11" t="str">
        <f>VLOOKUP(L28,'[1]singkron data'!D:I,6,FALSE)</f>
        <v>Online</v>
      </c>
      <c r="AA28" s="11" t="str">
        <f>VLOOKUP(L28,'[1]singkron data'!D:L,9,FALSE)</f>
        <v>081293305027/iqbal</v>
      </c>
      <c r="AB28" s="11" t="s">
        <v>54</v>
      </c>
      <c r="AC28" s="11" t="str">
        <f>VLOOKUP(L28,'[1]singkron data'!D:M,10,FALSE)</f>
        <v>Iqbal/AM</v>
      </c>
      <c r="AD28" s="11" t="str">
        <f>VLOOKUP(L28,'[1]data 1129'!F:O,10,FALSE)</f>
        <v>Tahap IV 200</v>
      </c>
      <c r="AE28" s="11">
        <f>VLOOKUP(L28,'[1]singkron data'!D:P,13,FALSE)</f>
        <v>0</v>
      </c>
      <c r="AF28" s="11" t="s">
        <v>55</v>
      </c>
      <c r="AG28" s="11" t="e">
        <f>VLOOKUP(L28,'[1]update kontrak'!E:K,6,FALSE)</f>
        <v>#N/A</v>
      </c>
      <c r="AH28" s="11" t="e">
        <f>VLOOKUP(L28,'[1]update kontrak'!E:K,7,FALSE)</f>
        <v>#N/A</v>
      </c>
      <c r="AI28" s="11"/>
      <c r="AJ28" s="11" t="str">
        <f>VLOOKUP(L28,[1]rekap!D:M,1,FALSE)</f>
        <v>Nanga Lili</v>
      </c>
      <c r="AK28" s="11" t="str">
        <f>VLOOKUP(L28,'[1]singkron data'!D:E,2,FALSE)</f>
        <v>CV. Putra Sabar Utama Perkasa</v>
      </c>
      <c r="AL28" s="11" t="str">
        <f>VLOOKUP(L28,'[1]update 521'!D:D,1,FALSE)</f>
        <v>Nanga Lili</v>
      </c>
      <c r="AM28" s="11" t="s">
        <v>96</v>
      </c>
      <c r="AN28" s="11" t="e">
        <f>VLOOKUP(L28,[1]Sheet19!E:L,8,FALSE)</f>
        <v>#N/A</v>
      </c>
      <c r="AO28" s="11" t="e">
        <f>VLOOKUP(L28,[1]Sheet19!E:K,7,FALSE)</f>
        <v>#N/A</v>
      </c>
      <c r="AP28" s="12"/>
    </row>
    <row r="29" spans="1:42" ht="15" x14ac:dyDescent="0.2">
      <c r="A29" s="8" t="s">
        <v>42</v>
      </c>
      <c r="B29" s="9" t="s">
        <v>43</v>
      </c>
      <c r="C29" s="9">
        <v>727</v>
      </c>
      <c r="D29" s="9" t="s">
        <v>44</v>
      </c>
      <c r="E29" s="9">
        <v>24</v>
      </c>
      <c r="F29" s="9" t="s">
        <v>128</v>
      </c>
      <c r="G29" s="9" t="s">
        <v>46</v>
      </c>
      <c r="H29" s="9" t="s">
        <v>47</v>
      </c>
      <c r="I29" s="9" t="s">
        <v>48</v>
      </c>
      <c r="J29" s="9" t="s">
        <v>129</v>
      </c>
      <c r="K29" s="9" t="s">
        <v>128</v>
      </c>
      <c r="L29" s="10" t="s">
        <v>128</v>
      </c>
      <c r="M29" s="9" t="s">
        <v>51</v>
      </c>
      <c r="N29" s="9">
        <v>627</v>
      </c>
      <c r="O29" s="9">
        <v>40</v>
      </c>
      <c r="P29" s="9">
        <v>255</v>
      </c>
      <c r="Q29" s="9">
        <v>295</v>
      </c>
      <c r="R29" s="9">
        <v>2</v>
      </c>
      <c r="S29" s="9">
        <v>-8.3678530000000002</v>
      </c>
      <c r="T29" s="9">
        <v>118.293947</v>
      </c>
      <c r="U29" s="9" t="s">
        <v>52</v>
      </c>
      <c r="V29" s="11" t="str">
        <f>VLOOKUP(L29,'[1]singkron data'!D:E,2,FALSE)</f>
        <v>CV. Kalembo Ade Nautama</v>
      </c>
      <c r="W29" s="13">
        <f>VLOOKUP(L29,'[1]update tim 2'!D:F,3,FALSE)</f>
        <v>2510201000</v>
      </c>
      <c r="X29" s="11" t="s">
        <v>55</v>
      </c>
      <c r="Y29" s="11">
        <f>VLOOKUP(L29,'[1]singkron data'!D:H,5,FALSE)</f>
        <v>0</v>
      </c>
      <c r="Z29" s="11">
        <f>VLOOKUP(L29,'[1]singkron data'!D:I,6,FALSE)</f>
        <v>0</v>
      </c>
      <c r="AA29" s="11" t="s">
        <v>53</v>
      </c>
      <c r="AB29" s="11" t="s">
        <v>54</v>
      </c>
      <c r="AC29" s="11" t="str">
        <f>VLOOKUP(L29,'[1]singkron data'!D:M,10,FALSE)</f>
        <v>ongen</v>
      </c>
      <c r="AD29" s="11" t="str">
        <f>VLOOKUP(L29,'[1]data 1129'!F:O,10,FALSE)</f>
        <v>Tahap II 146</v>
      </c>
      <c r="AE29" s="11">
        <f>VLOOKUP(L29,'[1]singkron data'!D:P,13,FALSE)</f>
        <v>0</v>
      </c>
      <c r="AF29" s="11" t="s">
        <v>55</v>
      </c>
      <c r="AG29" s="11" t="e">
        <f>VLOOKUP(L29,'[1]update kontrak'!E:K,6,FALSE)</f>
        <v>#N/A</v>
      </c>
      <c r="AH29" s="11" t="e">
        <f>VLOOKUP(L29,'[1]update kontrak'!E:K,7,FALSE)</f>
        <v>#N/A</v>
      </c>
      <c r="AI29" s="11"/>
      <c r="AJ29" s="11" t="str">
        <f>VLOOKUP(L29,[1]rekap!D:M,1,FALSE)</f>
        <v>Kore</v>
      </c>
      <c r="AK29" s="11" t="str">
        <f>VLOOKUP(L29,'[1]singkron data'!D:E,2,FALSE)</f>
        <v>CV. Kalembo Ade Nautama</v>
      </c>
      <c r="AL29" s="11" t="str">
        <f>VLOOKUP(L29,'[1]update 521'!D:D,1,FALSE)</f>
        <v>Kore</v>
      </c>
      <c r="AM29" s="11" t="s">
        <v>57</v>
      </c>
      <c r="AN29" s="11" t="e">
        <f>VLOOKUP(L29,[1]Sheet19!E:L,8,FALSE)</f>
        <v>#N/A</v>
      </c>
      <c r="AO29" s="11" t="s">
        <v>58</v>
      </c>
      <c r="AP29" s="12"/>
    </row>
    <row r="30" spans="1:42" ht="15" x14ac:dyDescent="0.2">
      <c r="A30" s="8" t="s">
        <v>42</v>
      </c>
      <c r="B30" s="9" t="s">
        <v>43</v>
      </c>
      <c r="C30" s="9">
        <v>788</v>
      </c>
      <c r="D30" s="9" t="s">
        <v>44</v>
      </c>
      <c r="E30" s="9">
        <v>85</v>
      </c>
      <c r="F30" s="9" t="s">
        <v>130</v>
      </c>
      <c r="G30" s="9" t="s">
        <v>74</v>
      </c>
      <c r="H30" s="9" t="s">
        <v>47</v>
      </c>
      <c r="I30" s="9" t="s">
        <v>131</v>
      </c>
      <c r="J30" s="9" t="s">
        <v>132</v>
      </c>
      <c r="K30" s="9" t="s">
        <v>133</v>
      </c>
      <c r="L30" s="10" t="s">
        <v>133</v>
      </c>
      <c r="M30" s="9" t="s">
        <v>65</v>
      </c>
      <c r="N30" s="9">
        <v>223</v>
      </c>
      <c r="O30" s="9">
        <v>27</v>
      </c>
      <c r="P30" s="9">
        <v>169</v>
      </c>
      <c r="Q30" s="9">
        <v>196</v>
      </c>
      <c r="R30" s="9">
        <v>0.5</v>
      </c>
      <c r="S30" s="9">
        <v>-8.8264859999999992</v>
      </c>
      <c r="T30" s="9">
        <v>120.611806</v>
      </c>
      <c r="U30" s="9" t="s">
        <v>52</v>
      </c>
      <c r="V30" s="11" t="str">
        <f>VLOOKUP(L30,'[1]singkron data'!D:E,2,FALSE)</f>
        <v>PT. Garsi Jembar Niaga</v>
      </c>
      <c r="W30" s="11"/>
      <c r="X30" s="11"/>
      <c r="Y30" s="11">
        <f>VLOOKUP(L30,'[1]singkron data'!D:H,5,FALSE)</f>
        <v>0</v>
      </c>
      <c r="Z30" s="11" t="str">
        <f>VLOOKUP(L30,'[1]singkron data'!D:I,6,FALSE)</f>
        <v>Offline</v>
      </c>
      <c r="AA30" s="11">
        <f>VLOOKUP(L30,'[1]singkron data'!D:L,9,FALSE)</f>
        <v>0</v>
      </c>
      <c r="AB30" s="11" t="s">
        <v>54</v>
      </c>
      <c r="AC30" s="11" t="str">
        <f>VLOOKUP(L30,'[1]singkron data'!D:M,10,FALSE)</f>
        <v>fraksi roem</v>
      </c>
      <c r="AD30" s="11" t="str">
        <f>VLOOKUP(L30,'[1]data 1129'!F:O,10,FALSE)</f>
        <v>Tahap III 166</v>
      </c>
      <c r="AE30" s="11">
        <f>VLOOKUP(L30,'[1]singkron data'!D:P,13,FALSE)</f>
        <v>0</v>
      </c>
      <c r="AF30" s="11" t="s">
        <v>55</v>
      </c>
      <c r="AG30" s="11" t="e">
        <f>VLOOKUP(L30,'[1]update kontrak'!E:K,6,FALSE)</f>
        <v>#N/A</v>
      </c>
      <c r="AH30" s="11" t="e">
        <f>VLOOKUP(L30,'[1]update kontrak'!E:K,7,FALSE)</f>
        <v>#N/A</v>
      </c>
      <c r="AI30" s="11" t="s">
        <v>58</v>
      </c>
      <c r="AJ30" s="11" t="str">
        <f>VLOOKUP(L30,[1]rekap!D:M,1,FALSE)</f>
        <v>Kota Ndora</v>
      </c>
      <c r="AK30" s="11" t="str">
        <f>VLOOKUP(L30,'[1]singkron data'!D:E,2,FALSE)</f>
        <v>PT. Garsi Jembar Niaga</v>
      </c>
      <c r="AL30" s="11" t="str">
        <f>VLOOKUP(L30,'[1]update 521'!D:D,1,FALSE)</f>
        <v>Kota Ndora</v>
      </c>
      <c r="AM30" s="11" t="s">
        <v>96</v>
      </c>
      <c r="AN30" s="11" t="e">
        <f>VLOOKUP(L30,[1]Sheet19!E:L,8,FALSE)</f>
        <v>#N/A</v>
      </c>
      <c r="AO30" s="11" t="e">
        <f>VLOOKUP(L30,[1]Sheet19!E:K,7,FALSE)</f>
        <v>#N/A</v>
      </c>
      <c r="AP30" s="12"/>
    </row>
    <row r="31" spans="1:42" ht="15" x14ac:dyDescent="0.2">
      <c r="A31" s="8" t="s">
        <v>42</v>
      </c>
      <c r="B31" s="9" t="s">
        <v>43</v>
      </c>
      <c r="C31" s="9">
        <v>789</v>
      </c>
      <c r="D31" s="9" t="s">
        <v>44</v>
      </c>
      <c r="E31" s="9">
        <v>86</v>
      </c>
      <c r="F31" s="9" t="s">
        <v>130</v>
      </c>
      <c r="G31" s="9" t="s">
        <v>74</v>
      </c>
      <c r="H31" s="9" t="s">
        <v>47</v>
      </c>
      <c r="I31" s="9" t="s">
        <v>134</v>
      </c>
      <c r="J31" s="9" t="s">
        <v>135</v>
      </c>
      <c r="K31" s="9" t="s">
        <v>136</v>
      </c>
      <c r="L31" s="10" t="s">
        <v>136</v>
      </c>
      <c r="M31" s="9" t="s">
        <v>51</v>
      </c>
      <c r="N31" s="9">
        <v>27</v>
      </c>
      <c r="O31" s="9">
        <v>1</v>
      </c>
      <c r="P31" s="9">
        <v>26</v>
      </c>
      <c r="Q31" s="9">
        <v>27</v>
      </c>
      <c r="R31" s="9">
        <v>2.1</v>
      </c>
      <c r="S31" s="9">
        <v>-8.8308996999999998</v>
      </c>
      <c r="T31" s="9">
        <v>120.855317</v>
      </c>
      <c r="U31" s="9" t="s">
        <v>52</v>
      </c>
      <c r="V31" s="11" t="str">
        <f>VLOOKUP(L31,'[1]singkron data'!D:E,2,FALSE)</f>
        <v>PT. Garsi Jembar Niaga</v>
      </c>
      <c r="W31" s="11"/>
      <c r="X31" s="11"/>
      <c r="Y31" s="11">
        <f>VLOOKUP(L31,'[1]singkron data'!D:H,5,FALSE)</f>
        <v>0</v>
      </c>
      <c r="Z31" s="11" t="str">
        <f>VLOOKUP(L31,'[1]singkron data'!D:I,6,FALSE)</f>
        <v>Offline</v>
      </c>
      <c r="AA31" s="11">
        <f>VLOOKUP(L31,'[1]singkron data'!D:L,9,FALSE)</f>
        <v>0</v>
      </c>
      <c r="AB31" s="11" t="s">
        <v>54</v>
      </c>
      <c r="AC31" s="11" t="str">
        <f>VLOOKUP(L31,'[1]singkron data'!D:M,10,FALSE)</f>
        <v>fraksi roem</v>
      </c>
      <c r="AD31" s="11" t="str">
        <f>VLOOKUP(L31,'[1]data 1129'!F:O,10,FALSE)</f>
        <v>Tahap III 166</v>
      </c>
      <c r="AE31" s="11">
        <f>VLOOKUP(L31,'[1]singkron data'!D:P,13,FALSE)</f>
        <v>0</v>
      </c>
      <c r="AF31" s="11" t="s">
        <v>55</v>
      </c>
      <c r="AG31" s="11" t="e">
        <f>VLOOKUP(L31,'[1]update kontrak'!E:K,6,FALSE)</f>
        <v>#N/A</v>
      </c>
      <c r="AH31" s="11" t="e">
        <f>VLOOKUP(L31,'[1]update kontrak'!E:K,7,FALSE)</f>
        <v>#N/A</v>
      </c>
      <c r="AI31" s="11" t="s">
        <v>58</v>
      </c>
      <c r="AJ31" s="11" t="str">
        <f>VLOOKUP(L31,[1]rekap!D:M,1,FALSE)</f>
        <v>Waesae</v>
      </c>
      <c r="AK31" s="11" t="str">
        <f>VLOOKUP(L31,'[1]singkron data'!D:E,2,FALSE)</f>
        <v>PT. Garsi Jembar Niaga</v>
      </c>
      <c r="AL31" s="11" t="str">
        <f>VLOOKUP(L31,'[1]update 521'!D:D,1,FALSE)</f>
        <v>Waesae</v>
      </c>
      <c r="AM31" s="11" t="s">
        <v>96</v>
      </c>
      <c r="AN31" s="11" t="e">
        <f>VLOOKUP(L31,[1]Sheet19!E:L,8,FALSE)</f>
        <v>#N/A</v>
      </c>
      <c r="AO31" s="11" t="e">
        <f>VLOOKUP(L31,[1]Sheet19!E:K,7,FALSE)</f>
        <v>#N/A</v>
      </c>
      <c r="AP31" s="12"/>
    </row>
    <row r="32" spans="1:42" ht="15" x14ac:dyDescent="0.2">
      <c r="A32" s="8" t="s">
        <v>42</v>
      </c>
      <c r="B32" s="9" t="s">
        <v>43</v>
      </c>
      <c r="C32" s="9">
        <v>790</v>
      </c>
      <c r="D32" s="9" t="s">
        <v>44</v>
      </c>
      <c r="E32" s="9">
        <v>87</v>
      </c>
      <c r="F32" s="9" t="s">
        <v>137</v>
      </c>
      <c r="G32" s="9" t="s">
        <v>74</v>
      </c>
      <c r="H32" s="9" t="s">
        <v>47</v>
      </c>
      <c r="I32" s="9" t="s">
        <v>138</v>
      </c>
      <c r="J32" s="9" t="s">
        <v>139</v>
      </c>
      <c r="K32" s="9" t="s">
        <v>140</v>
      </c>
      <c r="L32" s="10" t="s">
        <v>140</v>
      </c>
      <c r="M32" s="9" t="s">
        <v>51</v>
      </c>
      <c r="N32" s="9">
        <v>18</v>
      </c>
      <c r="O32" s="9">
        <v>16</v>
      </c>
      <c r="P32" s="9" t="s">
        <v>72</v>
      </c>
      <c r="Q32" s="9">
        <v>16</v>
      </c>
      <c r="R32" s="9">
        <v>1</v>
      </c>
      <c r="S32" s="9">
        <v>-9.9921000000000006</v>
      </c>
      <c r="T32" s="9">
        <v>124.55788</v>
      </c>
      <c r="U32" s="9" t="s">
        <v>52</v>
      </c>
      <c r="V32" s="11" t="str">
        <f>VLOOKUP(L32,'[1]singkron data'!D:E,2,FALSE)</f>
        <v>PT. Mega Karya Sentralindo (Kecil/Menengah)</v>
      </c>
      <c r="W32" s="13">
        <f>VLOOKUP(L32,'[1]update tim 2'!D:F,3,FALSE)</f>
        <v>8397985000</v>
      </c>
      <c r="X32" s="11" t="s">
        <v>55</v>
      </c>
      <c r="Y32" s="11" t="str">
        <f>VLOOKUP(L32,'[1]singkron data'!D:H,5,FALSE)</f>
        <v>Jakarta</v>
      </c>
      <c r="Z32" s="11" t="str">
        <f>VLOOKUP(L32,'[1]singkron data'!D:I,6,FALSE)</f>
        <v>Online</v>
      </c>
      <c r="AA32" s="11" t="str">
        <f>VLOOKUP(L32,'[1]singkron data'!D:L,9,FALSE)</f>
        <v>0811417877/gerard</v>
      </c>
      <c r="AB32" s="11" t="s">
        <v>54</v>
      </c>
      <c r="AC32" s="11" t="str">
        <f>VLOOKUP(L32,'[1]singkron data'!D:M,10,FALSE)</f>
        <v>aboe bakar - ganti perusahaan skala kecil</v>
      </c>
      <c r="AD32" s="11" t="str">
        <f>VLOOKUP(L32,'[1]data 1129'!F:O,10,FALSE)</f>
        <v>Tahap II 146</v>
      </c>
      <c r="AE32" s="11">
        <f>VLOOKUP(L32,'[1]singkron data'!D:P,13,FALSE)</f>
        <v>0</v>
      </c>
      <c r="AF32" s="11" t="s">
        <v>55</v>
      </c>
      <c r="AG32" s="11" t="e">
        <f>VLOOKUP(L32,'[1]update kontrak'!E:K,6,FALSE)</f>
        <v>#N/A</v>
      </c>
      <c r="AH32" s="11" t="e">
        <f>VLOOKUP(L32,'[1]update kontrak'!E:K,7,FALSE)</f>
        <v>#N/A</v>
      </c>
      <c r="AI32" s="11"/>
      <c r="AJ32" s="11" t="str">
        <f>VLOOKUP(L32,[1]rekap!D:M,1,FALSE)</f>
        <v>Oetuke</v>
      </c>
      <c r="AK32" s="11" t="str">
        <f>VLOOKUP(L32,'[1]singkron data'!D:E,2,FALSE)</f>
        <v>PT. Mega Karya Sentralindo (Kecil/Menengah)</v>
      </c>
      <c r="AL32" s="11" t="str">
        <f>VLOOKUP(L32,'[1]update 521'!D:D,1,FALSE)</f>
        <v>Oetuke</v>
      </c>
      <c r="AM32" s="11" t="s">
        <v>57</v>
      </c>
      <c r="AN32" s="11" t="e">
        <f>VLOOKUP(L32,[1]Sheet19!E:L,8,FALSE)</f>
        <v>#N/A</v>
      </c>
      <c r="AO32" s="11" t="s">
        <v>58</v>
      </c>
      <c r="AP32" s="12"/>
    </row>
    <row r="33" spans="1:42" ht="15" x14ac:dyDescent="0.2">
      <c r="A33" s="8" t="s">
        <v>42</v>
      </c>
      <c r="B33" s="9" t="s">
        <v>43</v>
      </c>
      <c r="C33" s="9">
        <v>791</v>
      </c>
      <c r="D33" s="9" t="s">
        <v>44</v>
      </c>
      <c r="E33" s="9">
        <v>88</v>
      </c>
      <c r="F33" s="9" t="s">
        <v>137</v>
      </c>
      <c r="G33" s="9" t="s">
        <v>74</v>
      </c>
      <c r="H33" s="9" t="s">
        <v>47</v>
      </c>
      <c r="I33" s="9" t="s">
        <v>138</v>
      </c>
      <c r="J33" s="9" t="s">
        <v>137</v>
      </c>
      <c r="K33" s="9" t="s">
        <v>137</v>
      </c>
      <c r="L33" s="10" t="s">
        <v>137</v>
      </c>
      <c r="M33" s="9" t="s">
        <v>65</v>
      </c>
      <c r="N33" s="9">
        <v>200</v>
      </c>
      <c r="O33" s="9">
        <v>200</v>
      </c>
      <c r="P33" s="9">
        <v>6</v>
      </c>
      <c r="Q33" s="9">
        <v>206</v>
      </c>
      <c r="R33" s="9">
        <v>0.5</v>
      </c>
      <c r="S33" s="9">
        <v>-10.128192</v>
      </c>
      <c r="T33" s="9">
        <v>124.462081</v>
      </c>
      <c r="U33" s="9" t="s">
        <v>52</v>
      </c>
      <c r="V33" s="11" t="str">
        <f>VLOOKUP(L33,'[1]singkron data'!D:E,2,FALSE)</f>
        <v>PT. Mega Karya Sentralindo (Kecil/Menengah)</v>
      </c>
      <c r="W33" s="13">
        <f>VLOOKUP(L33,'[1]update tim 2'!D:F,3,FALSE)</f>
        <v>7821174000</v>
      </c>
      <c r="X33" s="11" t="s">
        <v>55</v>
      </c>
      <c r="Y33" s="11" t="str">
        <f>VLOOKUP(L33,'[1]singkron data'!D:H,5,FALSE)</f>
        <v>Jakarta</v>
      </c>
      <c r="Z33" s="11" t="str">
        <f>VLOOKUP(L33,'[1]singkron data'!D:I,6,FALSE)</f>
        <v>Online</v>
      </c>
      <c r="AA33" s="11" t="str">
        <f>VLOOKUP(L33,'[1]singkron data'!D:L,9,FALSE)</f>
        <v>0811417877/gerard</v>
      </c>
      <c r="AB33" s="11" t="s">
        <v>54</v>
      </c>
      <c r="AC33" s="11" t="str">
        <f>VLOOKUP(L33,'[1]singkron data'!D:M,10,FALSE)</f>
        <v>aboe bakar - ganti perusahaan skala kecil</v>
      </c>
      <c r="AD33" s="11" t="str">
        <f>VLOOKUP(L33,'[1]data 1129'!F:O,10,FALSE)</f>
        <v>Tahap II 146</v>
      </c>
      <c r="AE33" s="11">
        <f>VLOOKUP(L33,'[1]singkron data'!D:P,13,FALSE)</f>
        <v>0</v>
      </c>
      <c r="AF33" s="11" t="s">
        <v>55</v>
      </c>
      <c r="AG33" s="11" t="e">
        <f>VLOOKUP(L33,'[1]update kontrak'!E:K,6,FALSE)</f>
        <v>#N/A</v>
      </c>
      <c r="AH33" s="11" t="e">
        <f>VLOOKUP(L33,'[1]update kontrak'!E:K,7,FALSE)</f>
        <v>#N/A</v>
      </c>
      <c r="AI33" s="11"/>
      <c r="AJ33" s="11" t="str">
        <f>VLOOKUP(L33,[1]rekap!D:M,1,FALSE)</f>
        <v>Kualin</v>
      </c>
      <c r="AK33" s="11" t="str">
        <f>VLOOKUP(L33,'[1]singkron data'!D:E,2,FALSE)</f>
        <v>PT. Mega Karya Sentralindo (Kecil/Menengah)</v>
      </c>
      <c r="AL33" s="11" t="str">
        <f>VLOOKUP(L33,'[1]update 521'!D:D,1,FALSE)</f>
        <v>Kualin</v>
      </c>
      <c r="AM33" s="11" t="s">
        <v>57</v>
      </c>
      <c r="AN33" s="11" t="e">
        <f>VLOOKUP(L33,[1]Sheet19!E:L,8,FALSE)</f>
        <v>#N/A</v>
      </c>
      <c r="AO33" s="11" t="s">
        <v>58</v>
      </c>
      <c r="AP33" s="12"/>
    </row>
    <row r="34" spans="1:42" ht="15" x14ac:dyDescent="0.2">
      <c r="A34" s="8" t="s">
        <v>42</v>
      </c>
      <c r="B34" s="9" t="s">
        <v>43</v>
      </c>
      <c r="C34" s="9">
        <v>749</v>
      </c>
      <c r="D34" s="9" t="s">
        <v>44</v>
      </c>
      <c r="E34" s="9">
        <v>46</v>
      </c>
      <c r="F34" s="9" t="s">
        <v>141</v>
      </c>
      <c r="G34" s="9" t="s">
        <v>46</v>
      </c>
      <c r="H34" s="9" t="s">
        <v>47</v>
      </c>
      <c r="I34" s="9" t="s">
        <v>85</v>
      </c>
      <c r="J34" s="9" t="s">
        <v>142</v>
      </c>
      <c r="K34" s="9" t="s">
        <v>141</v>
      </c>
      <c r="L34" s="10" t="s">
        <v>141</v>
      </c>
      <c r="M34" s="9" t="s">
        <v>51</v>
      </c>
      <c r="N34" s="9">
        <v>350</v>
      </c>
      <c r="O34" s="9" t="s">
        <v>72</v>
      </c>
      <c r="P34" s="9">
        <v>350</v>
      </c>
      <c r="Q34" s="9">
        <v>350</v>
      </c>
      <c r="R34" s="9">
        <v>0.5</v>
      </c>
      <c r="S34" s="9">
        <v>-8.6658109999999997</v>
      </c>
      <c r="T34" s="9">
        <v>118.249942</v>
      </c>
      <c r="U34" s="9" t="s">
        <v>52</v>
      </c>
      <c r="V34" s="11" t="str">
        <f>VLOOKUP(L34,'[1]singkron data'!D:E,2,FALSE)</f>
        <v>PT. Daffa Buana Sakti (Menengah)</v>
      </c>
      <c r="W34" s="13">
        <f>VLOOKUP(L34,'[1]update tim 2'!D:F,3,FALSE)</f>
        <v>2694522000</v>
      </c>
      <c r="X34" s="11" t="s">
        <v>55</v>
      </c>
      <c r="Y34" s="11">
        <f>VLOOKUP(L34,'[1]singkron data'!D:H,5,FALSE)</f>
        <v>0</v>
      </c>
      <c r="Z34" s="11" t="str">
        <f>VLOOKUP(L34,'[1]singkron data'!D:I,6,FALSE)</f>
        <v>Online</v>
      </c>
      <c r="AA34" s="11" t="str">
        <f>VLOOKUP(L34,'[1]singkron data'!D:L,9,FALSE)</f>
        <v>081370515855/azi</v>
      </c>
      <c r="AB34" s="11" t="s">
        <v>54</v>
      </c>
      <c r="AC34" s="11" t="str">
        <f>VLOOKUP(L34,'[1]singkron data'!D:M,10,FALSE)</f>
        <v>Dedd</v>
      </c>
      <c r="AD34" s="11" t="str">
        <f>VLOOKUP(L34,'[1]data 1129'!F:O,10,FALSE)</f>
        <v>Tahap II 146</v>
      </c>
      <c r="AE34" s="11">
        <f>VLOOKUP(L34,'[1]singkron data'!D:P,13,FALSE)</f>
        <v>0</v>
      </c>
      <c r="AF34" s="11" t="s">
        <v>55</v>
      </c>
      <c r="AG34" s="11" t="e">
        <f>VLOOKUP(L34,'[1]update kontrak'!E:K,6,FALSE)</f>
        <v>#N/A</v>
      </c>
      <c r="AH34" s="11" t="e">
        <f>VLOOKUP(L34,'[1]update kontrak'!E:K,7,FALSE)</f>
        <v>#N/A</v>
      </c>
      <c r="AI34" s="11" t="s">
        <v>58</v>
      </c>
      <c r="AJ34" s="11" t="str">
        <f>VLOOKUP(L34,[1]rekap!D:M,1,FALSE)</f>
        <v>Kwangko</v>
      </c>
      <c r="AK34" s="11" t="str">
        <f>VLOOKUP(L34,'[1]singkron data'!D:E,2,FALSE)</f>
        <v>PT. Daffa Buana Sakti (Menengah)</v>
      </c>
      <c r="AL34" s="11" t="str">
        <f>VLOOKUP(L34,'[1]update 521'!D:D,1,FALSE)</f>
        <v>Kwangko</v>
      </c>
      <c r="AM34" s="11" t="s">
        <v>57</v>
      </c>
      <c r="AN34" s="11" t="e">
        <f>VLOOKUP(L34,[1]Sheet19!E:L,8,FALSE)</f>
        <v>#N/A</v>
      </c>
      <c r="AO34" s="11" t="s">
        <v>58</v>
      </c>
      <c r="AP34" s="12"/>
    </row>
    <row r="35" spans="1:42" ht="15" x14ac:dyDescent="0.2">
      <c r="A35" s="8" t="s">
        <v>42</v>
      </c>
      <c r="B35" s="9" t="s">
        <v>43</v>
      </c>
      <c r="C35" s="9">
        <v>792</v>
      </c>
      <c r="D35" s="9" t="s">
        <v>44</v>
      </c>
      <c r="E35" s="9">
        <v>89</v>
      </c>
      <c r="F35" s="9" t="s">
        <v>143</v>
      </c>
      <c r="G35" s="9" t="s">
        <v>74</v>
      </c>
      <c r="H35" s="9" t="s">
        <v>47</v>
      </c>
      <c r="I35" s="9" t="s">
        <v>144</v>
      </c>
      <c r="J35" s="9" t="s">
        <v>145</v>
      </c>
      <c r="K35" s="9" t="s">
        <v>143</v>
      </c>
      <c r="L35" s="10" t="s">
        <v>143</v>
      </c>
      <c r="M35" s="9" t="s">
        <v>65</v>
      </c>
      <c r="N35" s="9">
        <v>183</v>
      </c>
      <c r="O35" s="9">
        <v>6</v>
      </c>
      <c r="P35" s="9">
        <v>34</v>
      </c>
      <c r="Q35" s="9">
        <v>40</v>
      </c>
      <c r="R35" s="9">
        <v>2</v>
      </c>
      <c r="S35" s="9">
        <v>-8.4280650000000001</v>
      </c>
      <c r="T35" s="9">
        <v>123.13207199999999</v>
      </c>
      <c r="U35" s="9" t="s">
        <v>52</v>
      </c>
      <c r="V35" s="11" t="str">
        <f>VLOOKUP(L35,'[1]singkron data'!D:E,2,FALSE)</f>
        <v>CV. Jasa Mandiri Bersama</v>
      </c>
      <c r="W35" s="11"/>
      <c r="X35" s="11"/>
      <c r="Y35" s="11">
        <f>VLOOKUP(L35,'[1]singkron data'!D:H,5,FALSE)</f>
        <v>0</v>
      </c>
      <c r="Z35" s="11">
        <f>VLOOKUP(L35,'[1]singkron data'!D:I,6,FALSE)</f>
        <v>0</v>
      </c>
      <c r="AA35" s="11" t="str">
        <f>VLOOKUP(L35,'[1]singkron data'!D:L,9,FALSE)</f>
        <v>083836843683/zulham/cvjasamandiribersama32@gmail.com</v>
      </c>
      <c r="AB35" s="11" t="s">
        <v>54</v>
      </c>
      <c r="AC35" s="11" t="str">
        <f>VLOOKUP(L35,'[1]singkron data'!D:M,10,FALSE)</f>
        <v>Dedd</v>
      </c>
      <c r="AD35" s="11" t="str">
        <f>VLOOKUP(L35,'[1]data 1129'!F:O,10,FALSE)</f>
        <v>Tahap III 166</v>
      </c>
      <c r="AE35" s="11">
        <f>VLOOKUP(L35,'[1]singkron data'!D:P,13,FALSE)</f>
        <v>0</v>
      </c>
      <c r="AF35" s="11" t="s">
        <v>55</v>
      </c>
      <c r="AG35" s="11" t="e">
        <f>VLOOKUP(L35,'[1]update kontrak'!E:K,6,FALSE)</f>
        <v>#N/A</v>
      </c>
      <c r="AH35" s="11" t="e">
        <f>VLOOKUP(L35,'[1]update kontrak'!E:K,7,FALSE)</f>
        <v>#N/A</v>
      </c>
      <c r="AI35" s="11"/>
      <c r="AJ35" s="11" t="str">
        <f>VLOOKUP(L35,[1]rekap!D:M,1,FALSE)</f>
        <v>Labelen</v>
      </c>
      <c r="AK35" s="11" t="str">
        <f>VLOOKUP(L35,'[1]singkron data'!D:E,2,FALSE)</f>
        <v>CV. Jasa Mandiri Bersama</v>
      </c>
      <c r="AL35" s="11" t="str">
        <f>VLOOKUP(L35,'[1]update 521'!D:D,1,FALSE)</f>
        <v>Labelen</v>
      </c>
      <c r="AM35" s="11" t="e">
        <v>#N/A</v>
      </c>
      <c r="AN35" s="11" t="e">
        <f>VLOOKUP(L35,[1]Sheet19!E:L,8,FALSE)</f>
        <v>#N/A</v>
      </c>
      <c r="AO35" s="11" t="e">
        <f>VLOOKUP(L35,[1]Sheet19!E:K,7,FALSE)</f>
        <v>#N/A</v>
      </c>
      <c r="AP35" s="12"/>
    </row>
    <row r="36" spans="1:42" ht="15" x14ac:dyDescent="0.2">
      <c r="A36" s="8" t="s">
        <v>42</v>
      </c>
      <c r="B36" s="9" t="s">
        <v>43</v>
      </c>
      <c r="C36" s="9">
        <v>718</v>
      </c>
      <c r="D36" s="9" t="s">
        <v>44</v>
      </c>
      <c r="E36" s="9">
        <v>15</v>
      </c>
      <c r="F36" s="9" t="s">
        <v>146</v>
      </c>
      <c r="G36" s="9" t="s">
        <v>46</v>
      </c>
      <c r="H36" s="9" t="s">
        <v>47</v>
      </c>
      <c r="I36" s="9" t="s">
        <v>147</v>
      </c>
      <c r="J36" s="9" t="s">
        <v>148</v>
      </c>
      <c r="K36" s="9" t="s">
        <v>149</v>
      </c>
      <c r="L36" s="10" t="s">
        <v>149</v>
      </c>
      <c r="M36" s="9" t="s">
        <v>81</v>
      </c>
      <c r="N36" s="9">
        <v>1613</v>
      </c>
      <c r="O36" s="9">
        <v>80</v>
      </c>
      <c r="P36" s="9">
        <v>270</v>
      </c>
      <c r="Q36" s="9">
        <v>350</v>
      </c>
      <c r="R36" s="9">
        <v>0.5</v>
      </c>
      <c r="S36" s="9">
        <v>-8.7082569999999997</v>
      </c>
      <c r="T36" s="9">
        <v>117.85654</v>
      </c>
      <c r="U36" s="9" t="s">
        <v>52</v>
      </c>
      <c r="V36" s="11" t="str">
        <f>VLOOKUP(L36,'[1]singkron data'!D:E,2,FALSE)</f>
        <v>PT. Asuka Engineering Indonesia</v>
      </c>
      <c r="W36" s="13">
        <f>VLOOKUP(L36,'[1]update tim 2'!D:F,3,FALSE)</f>
        <v>2637144000</v>
      </c>
      <c r="X36" s="11" t="s">
        <v>55</v>
      </c>
      <c r="Y36" s="11" t="str">
        <f>VLOOKUP(L36,'[1]singkron data'!D:H,5,FALSE)</f>
        <v>Gresik</v>
      </c>
      <c r="Z36" s="11">
        <f>VLOOKUP(L36,'[1]singkron data'!D:I,6,FALSE)</f>
        <v>0</v>
      </c>
      <c r="AA36" s="11" t="str">
        <f>VLOOKUP(L36,'[1]singkron data'!D:L,9,FALSE)</f>
        <v>081358005070/efendi</v>
      </c>
      <c r="AB36" s="11" t="s">
        <v>54</v>
      </c>
      <c r="AC36" s="11" t="str">
        <f>VLOOKUP(L36,'[1]singkron data'!D:M,10,FALSE)</f>
        <v>g</v>
      </c>
      <c r="AD36" s="11" t="str">
        <f>VLOOKUP(L36,'[1]data 1129'!F:O,10,FALSE)</f>
        <v>Tahap II 146</v>
      </c>
      <c r="AE36" s="11">
        <f>VLOOKUP(L36,'[1]singkron data'!D:P,13,FALSE)</f>
        <v>0</v>
      </c>
      <c r="AF36" s="11" t="s">
        <v>55</v>
      </c>
      <c r="AG36" s="11" t="e">
        <f>VLOOKUP(L36,'[1]update kontrak'!E:K,6,FALSE)</f>
        <v>#N/A</v>
      </c>
      <c r="AH36" s="11" t="e">
        <f>VLOOKUP(L36,'[1]update kontrak'!E:K,7,FALSE)</f>
        <v>#N/A</v>
      </c>
      <c r="AI36" s="11" t="s">
        <v>58</v>
      </c>
      <c r="AJ36" s="11" t="str">
        <f>VLOOKUP(L36,[1]rekap!D:M,1,FALSE)</f>
        <v>Teluk Santong</v>
      </c>
      <c r="AK36" s="11" t="str">
        <f>VLOOKUP(L36,'[1]singkron data'!D:E,2,FALSE)</f>
        <v>PT. Asuka Engineering Indonesia</v>
      </c>
      <c r="AL36" s="11" t="str">
        <f>VLOOKUP(L36,'[1]update 521'!D:D,1,FALSE)</f>
        <v>Teluk Santong</v>
      </c>
      <c r="AM36" s="11" t="s">
        <v>57</v>
      </c>
      <c r="AN36" s="11" t="e">
        <f>VLOOKUP(L36,[1]Sheet19!E:L,8,FALSE)</f>
        <v>#N/A</v>
      </c>
      <c r="AO36" s="11" t="s">
        <v>58</v>
      </c>
      <c r="AP36" s="12"/>
    </row>
    <row r="37" spans="1:42" ht="15" x14ac:dyDescent="0.2">
      <c r="A37" s="8" t="s">
        <v>42</v>
      </c>
      <c r="B37" s="9" t="s">
        <v>43</v>
      </c>
      <c r="C37" s="9">
        <v>719</v>
      </c>
      <c r="D37" s="9" t="s">
        <v>44</v>
      </c>
      <c r="E37" s="9">
        <v>16</v>
      </c>
      <c r="F37" s="9" t="s">
        <v>146</v>
      </c>
      <c r="G37" s="9" t="s">
        <v>46</v>
      </c>
      <c r="H37" s="9" t="s">
        <v>47</v>
      </c>
      <c r="I37" s="9" t="s">
        <v>147</v>
      </c>
      <c r="J37" s="9" t="s">
        <v>150</v>
      </c>
      <c r="K37" s="9" t="s">
        <v>151</v>
      </c>
      <c r="L37" s="10" t="s">
        <v>151</v>
      </c>
      <c r="M37" s="9" t="s">
        <v>81</v>
      </c>
      <c r="N37" s="9">
        <v>476</v>
      </c>
      <c r="O37" s="9" t="s">
        <v>72</v>
      </c>
      <c r="P37" s="9">
        <v>537</v>
      </c>
      <c r="Q37" s="9">
        <v>537</v>
      </c>
      <c r="R37" s="9">
        <v>1.63</v>
      </c>
      <c r="S37" s="9">
        <v>-8.7016823999999993</v>
      </c>
      <c r="T37" s="9">
        <v>118.01617570000001</v>
      </c>
      <c r="U37" s="9" t="s">
        <v>52</v>
      </c>
      <c r="V37" s="11" t="str">
        <f>VLOOKUP(L37,'[1]singkron data'!D:E,2,FALSE)</f>
        <v>PT. Asuka Engineering Indonesia</v>
      </c>
      <c r="W37" s="13">
        <f>VLOOKUP(L37,'[1]update tim 2'!D:F,3,FALSE)</f>
        <v>4596281000</v>
      </c>
      <c r="X37" s="11" t="s">
        <v>55</v>
      </c>
      <c r="Y37" s="11" t="str">
        <f>VLOOKUP(L37,'[1]singkron data'!D:H,5,FALSE)</f>
        <v>Gresik</v>
      </c>
      <c r="Z37" s="11">
        <f>VLOOKUP(L37,'[1]singkron data'!D:I,6,FALSE)</f>
        <v>0</v>
      </c>
      <c r="AA37" s="11" t="str">
        <f>VLOOKUP(L37,'[1]singkron data'!D:L,9,FALSE)</f>
        <v>081358005070/efendi</v>
      </c>
      <c r="AB37" s="11" t="s">
        <v>54</v>
      </c>
      <c r="AC37" s="11" t="str">
        <f>VLOOKUP(L37,'[1]singkron data'!D:M,10,FALSE)</f>
        <v>g</v>
      </c>
      <c r="AD37" s="11" t="str">
        <f>VLOOKUP(L37,'[1]data 1129'!F:O,10,FALSE)</f>
        <v>Tahap II 146</v>
      </c>
      <c r="AE37" s="11">
        <f>VLOOKUP(L37,'[1]singkron data'!D:P,13,FALSE)</f>
        <v>0</v>
      </c>
      <c r="AF37" s="11" t="s">
        <v>55</v>
      </c>
      <c r="AG37" s="11" t="e">
        <f>VLOOKUP(L37,'[1]update kontrak'!E:K,6,FALSE)</f>
        <v>#N/A</v>
      </c>
      <c r="AH37" s="11" t="e">
        <f>VLOOKUP(L37,'[1]update kontrak'!E:K,7,FALSE)</f>
        <v>#N/A</v>
      </c>
      <c r="AI37" s="11" t="s">
        <v>58</v>
      </c>
      <c r="AJ37" s="11" t="str">
        <f>VLOOKUP(L37,[1]rekap!D:M,1,FALSE)</f>
        <v>Labuhan Jambu</v>
      </c>
      <c r="AK37" s="11" t="str">
        <f>VLOOKUP(L37,'[1]singkron data'!D:E,2,FALSE)</f>
        <v>PT. Asuka Engineering Indonesia</v>
      </c>
      <c r="AL37" s="11" t="str">
        <f>VLOOKUP(L37,'[1]update 521'!D:D,1,FALSE)</f>
        <v>Labuhan Jambu</v>
      </c>
      <c r="AM37" s="11" t="s">
        <v>57</v>
      </c>
      <c r="AN37" s="11" t="e">
        <f>VLOOKUP(L37,[1]Sheet19!E:L,8,FALSE)</f>
        <v>#N/A</v>
      </c>
      <c r="AO37" s="11" t="s">
        <v>58</v>
      </c>
      <c r="AP37" s="12"/>
    </row>
    <row r="38" spans="1:42" ht="15" x14ac:dyDescent="0.2">
      <c r="A38" s="8" t="s">
        <v>42</v>
      </c>
      <c r="B38" s="9" t="s">
        <v>43</v>
      </c>
      <c r="C38" s="9">
        <v>722</v>
      </c>
      <c r="D38" s="9" t="s">
        <v>44</v>
      </c>
      <c r="E38" s="9">
        <v>19</v>
      </c>
      <c r="F38" s="9" t="s">
        <v>152</v>
      </c>
      <c r="G38" s="9" t="s">
        <v>46</v>
      </c>
      <c r="H38" s="9" t="s">
        <v>47</v>
      </c>
      <c r="I38" s="9" t="s">
        <v>147</v>
      </c>
      <c r="J38" s="9" t="s">
        <v>153</v>
      </c>
      <c r="K38" s="9" t="s">
        <v>154</v>
      </c>
      <c r="L38" s="10" t="s">
        <v>154</v>
      </c>
      <c r="M38" s="9" t="s">
        <v>51</v>
      </c>
      <c r="N38" s="9">
        <v>97</v>
      </c>
      <c r="O38" s="9" t="s">
        <v>72</v>
      </c>
      <c r="P38" s="9">
        <v>180</v>
      </c>
      <c r="Q38" s="9">
        <v>180</v>
      </c>
      <c r="R38" s="9">
        <v>0.05</v>
      </c>
      <c r="S38" s="9">
        <v>-8.5027100000000004</v>
      </c>
      <c r="T38" s="9">
        <v>117.000097</v>
      </c>
      <c r="U38" s="9" t="s">
        <v>52</v>
      </c>
      <c r="V38" s="11" t="str">
        <f>VLOOKUP(L38,'[1]singkron data'!D:E,2,FALSE)</f>
        <v>PT. Asuka Engineering Indonesia</v>
      </c>
      <c r="W38" s="11"/>
      <c r="X38" s="11"/>
      <c r="Y38" s="11" t="str">
        <f>VLOOKUP(L38,'[1]singkron data'!D:H,5,FALSE)</f>
        <v>Gresik</v>
      </c>
      <c r="Z38" s="11">
        <f>VLOOKUP(L38,'[1]singkron data'!D:I,6,FALSE)</f>
        <v>0</v>
      </c>
      <c r="AA38" s="11" t="str">
        <f>VLOOKUP(L38,'[1]singkron data'!D:L,9,FALSE)</f>
        <v>081358005070/efendi</v>
      </c>
      <c r="AB38" s="11" t="s">
        <v>54</v>
      </c>
      <c r="AC38" s="11" t="str">
        <f>VLOOKUP(L38,'[1]singkron data'!D:M,10,FALSE)</f>
        <v>g</v>
      </c>
      <c r="AD38" s="11" t="str">
        <f>VLOOKUP(L38,'[1]data 1129'!F:O,10,FALSE)</f>
        <v>Tahap II 146</v>
      </c>
      <c r="AE38" s="11">
        <f>VLOOKUP(L38,'[1]singkron data'!D:P,13,FALSE)</f>
        <v>0</v>
      </c>
      <c r="AF38" s="11" t="s">
        <v>55</v>
      </c>
      <c r="AG38" s="11" t="e">
        <f>VLOOKUP(L38,'[1]update kontrak'!E:K,6,FALSE)</f>
        <v>#N/A</v>
      </c>
      <c r="AH38" s="11" t="e">
        <f>VLOOKUP(L38,'[1]update kontrak'!E:K,7,FALSE)</f>
        <v>#N/A</v>
      </c>
      <c r="AI38" s="11" t="s">
        <v>58</v>
      </c>
      <c r="AJ38" s="11" t="str">
        <f>VLOOKUP(L38,[1]rekap!D:M,1,FALSE)</f>
        <v>Labuhan Alas</v>
      </c>
      <c r="AK38" s="11" t="str">
        <f>VLOOKUP(L38,'[1]singkron data'!D:E,2,FALSE)</f>
        <v>PT. Asuka Engineering Indonesia</v>
      </c>
      <c r="AL38" s="11" t="str">
        <f>VLOOKUP(L38,'[1]update 521'!D:D,1,FALSE)</f>
        <v>Labuhan Alas</v>
      </c>
      <c r="AM38" s="11" t="s">
        <v>57</v>
      </c>
      <c r="AN38" s="11" t="e">
        <f>VLOOKUP(L38,[1]Sheet19!E:L,8,FALSE)</f>
        <v>#N/A</v>
      </c>
      <c r="AO38" s="11" t="s">
        <v>58</v>
      </c>
      <c r="AP38" s="12"/>
    </row>
    <row r="39" spans="1:42" ht="15" x14ac:dyDescent="0.2">
      <c r="A39" s="8" t="s">
        <v>42</v>
      </c>
      <c r="B39" s="9" t="s">
        <v>43</v>
      </c>
      <c r="C39" s="9">
        <v>723</v>
      </c>
      <c r="D39" s="9" t="s">
        <v>44</v>
      </c>
      <c r="E39" s="9">
        <v>20</v>
      </c>
      <c r="F39" s="9" t="s">
        <v>152</v>
      </c>
      <c r="G39" s="9" t="s">
        <v>46</v>
      </c>
      <c r="H39" s="9" t="s">
        <v>47</v>
      </c>
      <c r="I39" s="9" t="s">
        <v>147</v>
      </c>
      <c r="J39" s="9" t="s">
        <v>155</v>
      </c>
      <c r="K39" s="9" t="s">
        <v>156</v>
      </c>
      <c r="L39" s="10" t="s">
        <v>156</v>
      </c>
      <c r="M39" s="9" t="s">
        <v>51</v>
      </c>
      <c r="N39" s="9">
        <v>672</v>
      </c>
      <c r="O39" s="9">
        <v>287</v>
      </c>
      <c r="P39" s="9" t="s">
        <v>72</v>
      </c>
      <c r="Q39" s="9">
        <v>287</v>
      </c>
      <c r="R39" s="9">
        <v>0.05</v>
      </c>
      <c r="S39" s="9">
        <v>-8.5240519999999993</v>
      </c>
      <c r="T39" s="9">
        <v>116.922498</v>
      </c>
      <c r="U39" s="9" t="s">
        <v>52</v>
      </c>
      <c r="V39" s="11" t="str">
        <f>VLOOKUP(L39,'[1]singkron data'!D:E,2,FALSE)</f>
        <v>PT. Asuka Engineering Indonesia</v>
      </c>
      <c r="W39" s="13">
        <f>VLOOKUP(L39,'[1]update tim 2'!D:F,3,FALSE)</f>
        <v>2394449000</v>
      </c>
      <c r="X39" s="11" t="s">
        <v>55</v>
      </c>
      <c r="Y39" s="11" t="str">
        <f>VLOOKUP(L39,'[1]singkron data'!D:H,5,FALSE)</f>
        <v>Gresik</v>
      </c>
      <c r="Z39" s="11">
        <f>VLOOKUP(L39,'[1]singkron data'!D:I,6,FALSE)</f>
        <v>0</v>
      </c>
      <c r="AA39" s="11" t="str">
        <f>VLOOKUP(L39,'[1]singkron data'!D:L,9,FALSE)</f>
        <v>081358005070/efendi</v>
      </c>
      <c r="AB39" s="11" t="s">
        <v>54</v>
      </c>
      <c r="AC39" s="11" t="str">
        <f>VLOOKUP(L39,'[1]singkron data'!D:M,10,FALSE)</f>
        <v>g</v>
      </c>
      <c r="AD39" s="11" t="str">
        <f>VLOOKUP(L39,'[1]data 1129'!F:O,10,FALSE)</f>
        <v>Tahap II 146</v>
      </c>
      <c r="AE39" s="11">
        <f>VLOOKUP(L39,'[1]singkron data'!D:P,13,FALSE)</f>
        <v>0</v>
      </c>
      <c r="AF39" s="11" t="s">
        <v>55</v>
      </c>
      <c r="AG39" s="11" t="e">
        <f>VLOOKUP(L39,'[1]update kontrak'!E:K,6,FALSE)</f>
        <v>#N/A</v>
      </c>
      <c r="AH39" s="11" t="e">
        <f>VLOOKUP(L39,'[1]update kontrak'!E:K,7,FALSE)</f>
        <v>#N/A</v>
      </c>
      <c r="AI39" s="11" t="s">
        <v>58</v>
      </c>
      <c r="AJ39" s="11" t="str">
        <f>VLOOKUP(L39,[1]rekap!D:M,1,FALSE)</f>
        <v>Labuhan Mapin</v>
      </c>
      <c r="AK39" s="11" t="str">
        <f>VLOOKUP(L39,'[1]singkron data'!D:E,2,FALSE)</f>
        <v>PT. Asuka Engineering Indonesia</v>
      </c>
      <c r="AL39" s="11" t="str">
        <f>VLOOKUP(L39,'[1]update 521'!D:D,1,FALSE)</f>
        <v>Labuhan Mapin</v>
      </c>
      <c r="AM39" s="11" t="s">
        <v>57</v>
      </c>
      <c r="AN39" s="11" t="e">
        <f>VLOOKUP(L39,[1]Sheet19!E:L,8,FALSE)</f>
        <v>#N/A</v>
      </c>
      <c r="AO39" s="11" t="s">
        <v>58</v>
      </c>
      <c r="AP39" s="12"/>
    </row>
    <row r="40" spans="1:42" ht="15" x14ac:dyDescent="0.2">
      <c r="A40" s="8" t="s">
        <v>42</v>
      </c>
      <c r="B40" s="9" t="s">
        <v>43</v>
      </c>
      <c r="C40" s="9">
        <v>724</v>
      </c>
      <c r="D40" s="9" t="s">
        <v>44</v>
      </c>
      <c r="E40" s="9">
        <v>21</v>
      </c>
      <c r="F40" s="9" t="s">
        <v>152</v>
      </c>
      <c r="G40" s="9" t="s">
        <v>46</v>
      </c>
      <c r="H40" s="9" t="s">
        <v>47</v>
      </c>
      <c r="I40" s="9" t="s">
        <v>147</v>
      </c>
      <c r="J40" s="9" t="s">
        <v>157</v>
      </c>
      <c r="K40" s="9" t="s">
        <v>158</v>
      </c>
      <c r="L40" s="10" t="s">
        <v>158</v>
      </c>
      <c r="M40" s="9" t="s">
        <v>51</v>
      </c>
      <c r="N40" s="9">
        <v>371</v>
      </c>
      <c r="O40" s="9" t="s">
        <v>72</v>
      </c>
      <c r="P40" s="9">
        <v>371</v>
      </c>
      <c r="Q40" s="9">
        <v>371</v>
      </c>
      <c r="R40" s="9">
        <v>0.05</v>
      </c>
      <c r="S40" s="9">
        <v>-8.4621139999999997</v>
      </c>
      <c r="T40" s="9">
        <v>117.010232</v>
      </c>
      <c r="U40" s="9" t="s">
        <v>52</v>
      </c>
      <c r="V40" s="11" t="str">
        <f>VLOOKUP(L40,'[1]singkron data'!D:E,2,FALSE)</f>
        <v>PT. Asuka Engineering Indonesia</v>
      </c>
      <c r="W40" s="13">
        <f>VLOOKUP(L40,'[1]update tim 2'!D:F,3,FALSE)</f>
        <v>2848846000</v>
      </c>
      <c r="X40" s="11" t="s">
        <v>55</v>
      </c>
      <c r="Y40" s="11" t="str">
        <f>VLOOKUP(L40,'[1]singkron data'!D:H,5,FALSE)</f>
        <v>Gresik</v>
      </c>
      <c r="Z40" s="11">
        <f>VLOOKUP(L40,'[1]singkron data'!D:I,6,FALSE)</f>
        <v>0</v>
      </c>
      <c r="AA40" s="11" t="str">
        <f>VLOOKUP(L40,'[1]singkron data'!D:L,9,FALSE)</f>
        <v>081358005070/efendi</v>
      </c>
      <c r="AB40" s="11" t="s">
        <v>54</v>
      </c>
      <c r="AC40" s="11" t="str">
        <f>VLOOKUP(L40,'[1]singkron data'!D:M,10,FALSE)</f>
        <v>g</v>
      </c>
      <c r="AD40" s="11" t="str">
        <f>VLOOKUP(L40,'[1]data 1129'!F:O,10,FALSE)</f>
        <v>Tahap II 146</v>
      </c>
      <c r="AE40" s="11">
        <f>VLOOKUP(L40,'[1]singkron data'!D:P,13,FALSE)</f>
        <v>0</v>
      </c>
      <c r="AF40" s="11" t="s">
        <v>55</v>
      </c>
      <c r="AG40" s="11" t="e">
        <f>VLOOKUP(L40,'[1]update kontrak'!E:K,6,FALSE)</f>
        <v>#N/A</v>
      </c>
      <c r="AH40" s="11" t="e">
        <f>VLOOKUP(L40,'[1]update kontrak'!E:K,7,FALSE)</f>
        <v>#N/A</v>
      </c>
      <c r="AI40" s="11" t="s">
        <v>58</v>
      </c>
      <c r="AJ40" s="11" t="str">
        <f>VLOOKUP(L40,[1]rekap!D:M,1,FALSE)</f>
        <v>Pulau Kaung</v>
      </c>
      <c r="AK40" s="11" t="str">
        <f>VLOOKUP(L40,'[1]singkron data'!D:E,2,FALSE)</f>
        <v>PT. Asuka Engineering Indonesia</v>
      </c>
      <c r="AL40" s="11" t="str">
        <f>VLOOKUP(L40,'[1]update 521'!D:D,1,FALSE)</f>
        <v>Pulau Kaung</v>
      </c>
      <c r="AM40" s="11" t="s">
        <v>57</v>
      </c>
      <c r="AN40" s="11" t="e">
        <f>VLOOKUP(L40,[1]Sheet19!E:L,8,FALSE)</f>
        <v>#N/A</v>
      </c>
      <c r="AO40" s="11" t="s">
        <v>58</v>
      </c>
      <c r="AP40" s="12"/>
    </row>
    <row r="41" spans="1:42" ht="15" x14ac:dyDescent="0.2">
      <c r="A41" s="8" t="s">
        <v>42</v>
      </c>
      <c r="B41" s="9" t="s">
        <v>43</v>
      </c>
      <c r="C41" s="9">
        <v>725</v>
      </c>
      <c r="D41" s="9" t="s">
        <v>44</v>
      </c>
      <c r="E41" s="9">
        <v>22</v>
      </c>
      <c r="F41" s="9" t="s">
        <v>152</v>
      </c>
      <c r="G41" s="9" t="s">
        <v>46</v>
      </c>
      <c r="H41" s="9" t="s">
        <v>47</v>
      </c>
      <c r="I41" s="9" t="s">
        <v>147</v>
      </c>
      <c r="J41" s="9" t="s">
        <v>157</v>
      </c>
      <c r="K41" s="9" t="s">
        <v>159</v>
      </c>
      <c r="L41" s="10" t="s">
        <v>159</v>
      </c>
      <c r="M41" s="9" t="s">
        <v>51</v>
      </c>
      <c r="N41" s="9">
        <v>494</v>
      </c>
      <c r="O41" s="9" t="s">
        <v>72</v>
      </c>
      <c r="P41" s="9">
        <v>242</v>
      </c>
      <c r="Q41" s="9">
        <v>242</v>
      </c>
      <c r="R41" s="9">
        <v>0.1</v>
      </c>
      <c r="S41" s="9">
        <v>-8.4519079999999995</v>
      </c>
      <c r="T41" s="9">
        <v>117.033984</v>
      </c>
      <c r="U41" s="9" t="s">
        <v>52</v>
      </c>
      <c r="V41" s="11" t="str">
        <f>VLOOKUP(L41,'[1]singkron data'!D:E,2,FALSE)</f>
        <v>PT. Berkah Mitra Engineering</v>
      </c>
      <c r="W41" s="13">
        <f>VLOOKUP(L41,'[1]update tim 2'!D:F,3,FALSE)</f>
        <v>3226815000</v>
      </c>
      <c r="X41" s="11" t="s">
        <v>55</v>
      </c>
      <c r="Y41" s="11" t="str">
        <f>VLOOKUP(L41,'[1]singkron data'!D:H,5,FALSE)</f>
        <v>Gresik</v>
      </c>
      <c r="Z41" s="11">
        <f>VLOOKUP(L41,'[1]singkron data'!D:I,6,FALSE)</f>
        <v>0</v>
      </c>
      <c r="AA41" s="11" t="s">
        <v>160</v>
      </c>
      <c r="AB41" s="11" t="s">
        <v>54</v>
      </c>
      <c r="AC41" s="11" t="str">
        <f>VLOOKUP(L41,'[1]singkron data'!D:M,10,FALSE)</f>
        <v>g</v>
      </c>
      <c r="AD41" s="11" t="str">
        <f>VLOOKUP(L41,'[1]data 1129'!F:O,10,FALSE)</f>
        <v>Tahap II 146</v>
      </c>
      <c r="AE41" s="11">
        <f>VLOOKUP(L41,'[1]singkron data'!D:P,13,FALSE)</f>
        <v>0</v>
      </c>
      <c r="AF41" s="11" t="s">
        <v>55</v>
      </c>
      <c r="AG41" s="11" t="e">
        <f>VLOOKUP(L41,'[1]update kontrak'!E:K,6,FALSE)</f>
        <v>#N/A</v>
      </c>
      <c r="AH41" s="11" t="e">
        <f>VLOOKUP(L41,'[1]update kontrak'!E:K,7,FALSE)</f>
        <v>#N/A</v>
      </c>
      <c r="AI41" s="11" t="s">
        <v>58</v>
      </c>
      <c r="AJ41" s="11" t="str">
        <f>VLOOKUP(L41,[1]rekap!D:M,1,FALSE)</f>
        <v>Labuhan Burung</v>
      </c>
      <c r="AK41" s="11" t="str">
        <f>VLOOKUP(L41,'[1]singkron data'!D:E,2,FALSE)</f>
        <v>PT. Berkah Mitra Engineering</v>
      </c>
      <c r="AL41" s="11" t="str">
        <f>VLOOKUP(L41,'[1]update 521'!D:D,1,FALSE)</f>
        <v>Labuhan Burung</v>
      </c>
      <c r="AM41" s="11" t="s">
        <v>57</v>
      </c>
      <c r="AN41" s="11" t="e">
        <f>VLOOKUP(L41,[1]Sheet19!E:L,8,FALSE)</f>
        <v>#N/A</v>
      </c>
      <c r="AO41" s="11" t="s">
        <v>58</v>
      </c>
      <c r="AP41" s="12"/>
    </row>
    <row r="42" spans="1:42" ht="15" x14ac:dyDescent="0.2">
      <c r="A42" s="8" t="s">
        <v>42</v>
      </c>
      <c r="B42" s="9" t="s">
        <v>43</v>
      </c>
      <c r="C42" s="9">
        <v>783</v>
      </c>
      <c r="D42" s="9" t="s">
        <v>44</v>
      </c>
      <c r="E42" s="9">
        <v>80</v>
      </c>
      <c r="F42" s="9" t="s">
        <v>143</v>
      </c>
      <c r="G42" s="9" t="s">
        <v>74</v>
      </c>
      <c r="H42" s="9" t="s">
        <v>47</v>
      </c>
      <c r="I42" s="9" t="s">
        <v>144</v>
      </c>
      <c r="J42" s="9" t="s">
        <v>161</v>
      </c>
      <c r="K42" s="9" t="s">
        <v>162</v>
      </c>
      <c r="L42" s="10" t="s">
        <v>162</v>
      </c>
      <c r="M42" s="9" t="s">
        <v>51</v>
      </c>
      <c r="N42" s="9">
        <v>700</v>
      </c>
      <c r="O42" s="9" t="s">
        <v>72</v>
      </c>
      <c r="P42" s="9">
        <v>70</v>
      </c>
      <c r="Q42" s="9">
        <v>70</v>
      </c>
      <c r="R42" s="9">
        <v>1.59</v>
      </c>
      <c r="S42" s="9">
        <v>-8.3880999999999997</v>
      </c>
      <c r="T42" s="9">
        <v>123.14919999999999</v>
      </c>
      <c r="U42" s="9" t="s">
        <v>52</v>
      </c>
      <c r="V42" s="11" t="str">
        <f>VLOOKUP(L42,'[1]singkron data'!D:E,2,FALSE)</f>
        <v>CV. Jasa Mandiri Bersama</v>
      </c>
      <c r="W42" s="11"/>
      <c r="X42" s="11"/>
      <c r="Y42" s="11">
        <f>VLOOKUP(L42,'[1]singkron data'!D:H,5,FALSE)</f>
        <v>0</v>
      </c>
      <c r="Z42" s="11">
        <f>VLOOKUP(L42,'[1]singkron data'!D:I,6,FALSE)</f>
        <v>0</v>
      </c>
      <c r="AA42" s="11" t="str">
        <f>VLOOKUP(L42,'[1]singkron data'!D:L,9,FALSE)</f>
        <v>083836843683/zulham/cvjasamandiribersama32@gmail.com</v>
      </c>
      <c r="AB42" s="11" t="s">
        <v>54</v>
      </c>
      <c r="AC42" s="11" t="str">
        <f>VLOOKUP(L42,'[1]singkron data'!D:M,10,FALSE)</f>
        <v>Dedd</v>
      </c>
      <c r="AD42" s="11" t="str">
        <f>VLOOKUP(L42,'[1]data 1129'!F:O,10,FALSE)</f>
        <v>Tahap III 166</v>
      </c>
      <c r="AE42" s="11">
        <f>VLOOKUP(L42,'[1]singkron data'!D:P,13,FALSE)</f>
        <v>0</v>
      </c>
      <c r="AF42" s="11" t="s">
        <v>55</v>
      </c>
      <c r="AG42" s="11" t="e">
        <f>VLOOKUP(L42,'[1]update kontrak'!E:K,6,FALSE)</f>
        <v>#N/A</v>
      </c>
      <c r="AH42" s="11" t="e">
        <f>VLOOKUP(L42,'[1]update kontrak'!E:K,7,FALSE)</f>
        <v>#N/A</v>
      </c>
      <c r="AI42" s="11"/>
      <c r="AJ42" s="11" t="str">
        <f>VLOOKUP(L42,[1]rekap!D:M,1,FALSE)</f>
        <v>Lamahala Jaya</v>
      </c>
      <c r="AK42" s="11" t="str">
        <f>VLOOKUP(L42,'[1]singkron data'!D:E,2,FALSE)</f>
        <v>CV. Jasa Mandiri Bersama</v>
      </c>
      <c r="AL42" s="11" t="str">
        <f>VLOOKUP(L42,'[1]update 521'!D:D,1,FALSE)</f>
        <v>Lamahala Jaya</v>
      </c>
      <c r="AM42" s="11" t="e">
        <v>#N/A</v>
      </c>
      <c r="AN42" s="11" t="e">
        <f>VLOOKUP(L42,[1]Sheet19!E:L,8,FALSE)</f>
        <v>#N/A</v>
      </c>
      <c r="AO42" s="11" t="e">
        <f>VLOOKUP(L42,[1]Sheet19!E:K,7,FALSE)</f>
        <v>#N/A</v>
      </c>
      <c r="AP42" s="12"/>
    </row>
    <row r="43" spans="1:42" ht="15" x14ac:dyDescent="0.2">
      <c r="A43" s="8" t="s">
        <v>42</v>
      </c>
      <c r="B43" s="9" t="s">
        <v>43</v>
      </c>
      <c r="C43" s="9">
        <v>732</v>
      </c>
      <c r="D43" s="9" t="s">
        <v>44</v>
      </c>
      <c r="E43" s="9">
        <v>29</v>
      </c>
      <c r="F43" s="9" t="s">
        <v>163</v>
      </c>
      <c r="G43" s="9" t="s">
        <v>46</v>
      </c>
      <c r="H43" s="9" t="s">
        <v>47</v>
      </c>
      <c r="I43" s="9" t="s">
        <v>48</v>
      </c>
      <c r="J43" s="9" t="s">
        <v>163</v>
      </c>
      <c r="K43" s="9" t="s">
        <v>163</v>
      </c>
      <c r="L43" s="10" t="s">
        <v>163</v>
      </c>
      <c r="M43" s="9" t="s">
        <v>51</v>
      </c>
      <c r="N43" s="9">
        <v>400</v>
      </c>
      <c r="O43" s="9">
        <v>42</v>
      </c>
      <c r="P43" s="9">
        <v>358</v>
      </c>
      <c r="Q43" s="9">
        <v>400</v>
      </c>
      <c r="R43" s="9">
        <v>0.05</v>
      </c>
      <c r="S43" s="9">
        <v>-8.6514810000000004</v>
      </c>
      <c r="T43" s="9">
        <v>119.07742589999999</v>
      </c>
      <c r="U43" s="9" t="s">
        <v>52</v>
      </c>
      <c r="V43" s="11" t="str">
        <f>VLOOKUP(L43,'[1]singkron data'!D:E,2,FALSE)</f>
        <v>CV. Terang Globalindo</v>
      </c>
      <c r="W43" s="13">
        <f>VLOOKUP(L43,'[1]update tim 2'!D:F,3,FALSE)</f>
        <v>2624918000</v>
      </c>
      <c r="X43" s="11" t="s">
        <v>55</v>
      </c>
      <c r="Y43" s="11" t="str">
        <f>VLOOKUP(L43,'[1]singkron data'!D:H,5,FALSE)</f>
        <v>Jakarta</v>
      </c>
      <c r="Z43" s="11" t="str">
        <f>VLOOKUP(L43,'[1]singkron data'!D:I,6,FALSE)</f>
        <v>Online</v>
      </c>
      <c r="AA43" s="11" t="str">
        <f>VLOOKUP(L43,'[1]singkron data'!D:L,9,FALSE)</f>
        <v>081236590774/ jeffry</v>
      </c>
      <c r="AB43" s="11" t="s">
        <v>54</v>
      </c>
      <c r="AC43" s="11" t="str">
        <f>VLOOKUP(L43,'[1]singkron data'!D:M,10,FALSE)</f>
        <v>Gal-Angga</v>
      </c>
      <c r="AD43" s="11" t="str">
        <f>VLOOKUP(L43,'[1]data 1129'!F:O,10,FALSE)</f>
        <v>Tahap II 146</v>
      </c>
      <c r="AE43" s="11">
        <f>VLOOKUP(L43,'[1]singkron data'!D:P,13,FALSE)</f>
        <v>0</v>
      </c>
      <c r="AF43" s="11" t="s">
        <v>55</v>
      </c>
      <c r="AG43" s="11" t="e">
        <f>VLOOKUP(L43,'[1]update kontrak'!E:K,6,FALSE)</f>
        <v>#N/A</v>
      </c>
      <c r="AH43" s="11" t="e">
        <f>VLOOKUP(L43,'[1]update kontrak'!E:K,7,FALSE)</f>
        <v>#N/A</v>
      </c>
      <c r="AI43" s="11" t="s">
        <v>58</v>
      </c>
      <c r="AJ43" s="11" t="str">
        <f>VLOOKUP(L43,[1]rekap!D:M,1,FALSE)</f>
        <v>Lambu</v>
      </c>
      <c r="AK43" s="11" t="str">
        <f>VLOOKUP(L43,'[1]singkron data'!D:E,2,FALSE)</f>
        <v>CV. Terang Globalindo</v>
      </c>
      <c r="AL43" s="11" t="str">
        <f>VLOOKUP(L43,'[1]update 521'!D:D,1,FALSE)</f>
        <v>Lambu</v>
      </c>
      <c r="AM43" s="11" t="s">
        <v>57</v>
      </c>
      <c r="AN43" s="11" t="e">
        <f>VLOOKUP(L43,[1]Sheet19!E:L,8,FALSE)</f>
        <v>#N/A</v>
      </c>
      <c r="AO43" s="11" t="s">
        <v>58</v>
      </c>
      <c r="AP43" s="12"/>
    </row>
    <row r="44" spans="1:42" ht="15" x14ac:dyDescent="0.2">
      <c r="A44" s="8" t="s">
        <v>42</v>
      </c>
      <c r="B44" s="9" t="s">
        <v>43</v>
      </c>
      <c r="C44" s="9">
        <v>751</v>
      </c>
      <c r="D44" s="9" t="s">
        <v>44</v>
      </c>
      <c r="E44" s="9">
        <v>48</v>
      </c>
      <c r="F44" s="9" t="s">
        <v>164</v>
      </c>
      <c r="G44" s="9" t="s">
        <v>74</v>
      </c>
      <c r="H44" s="9" t="s">
        <v>47</v>
      </c>
      <c r="I44" s="9" t="s">
        <v>165</v>
      </c>
      <c r="J44" s="9" t="s">
        <v>166</v>
      </c>
      <c r="K44" s="9" t="s">
        <v>164</v>
      </c>
      <c r="L44" s="10" t="s">
        <v>164</v>
      </c>
      <c r="M44" s="9" t="s">
        <v>65</v>
      </c>
      <c r="N44" s="9">
        <v>1000</v>
      </c>
      <c r="O44" s="9">
        <v>25</v>
      </c>
      <c r="P44" s="9">
        <v>650</v>
      </c>
      <c r="Q44" s="9">
        <v>675</v>
      </c>
      <c r="R44" s="9">
        <v>0.19</v>
      </c>
      <c r="S44" s="9">
        <v>-10.1371</v>
      </c>
      <c r="T44" s="9">
        <v>123.669</v>
      </c>
      <c r="U44" s="9" t="s">
        <v>52</v>
      </c>
      <c r="V44" s="11" t="str">
        <f>VLOOKUP(L44,'[1]singkron data'!D:E,2,FALSE)</f>
        <v>PT. Pandan Arum</v>
      </c>
      <c r="W44" s="11"/>
      <c r="X44" s="11"/>
      <c r="Y44" s="11">
        <f>VLOOKUP(L44,'[1]singkron data'!D:H,5,FALSE)</f>
        <v>0</v>
      </c>
      <c r="Z44" s="11">
        <f>VLOOKUP(L44,'[1]singkron data'!D:I,6,FALSE)</f>
        <v>0</v>
      </c>
      <c r="AA44" s="11">
        <f>VLOOKUP(L44,'[1]singkron data'!D:L,9,FALSE)</f>
        <v>81297992918</v>
      </c>
      <c r="AB44" s="11" t="s">
        <v>54</v>
      </c>
      <c r="AC44" s="11" t="s">
        <v>167</v>
      </c>
      <c r="AD44" s="11" t="str">
        <f>VLOOKUP(L44,'[1]data 1129'!F:O,10,FALSE)</f>
        <v>Tahap II 146</v>
      </c>
      <c r="AE44" s="11">
        <f>VLOOKUP(L44,'[1]singkron data'!D:P,13,FALSE)</f>
        <v>0</v>
      </c>
      <c r="AF44" s="11" t="s">
        <v>55</v>
      </c>
      <c r="AG44" s="11" t="e">
        <f>VLOOKUP(L44,'[1]update kontrak'!E:K,6,FALSE)</f>
        <v>#N/A</v>
      </c>
      <c r="AH44" s="11" t="e">
        <f>VLOOKUP(L44,'[1]update kontrak'!E:K,7,FALSE)</f>
        <v>#N/A</v>
      </c>
      <c r="AI44" s="11" t="s">
        <v>58</v>
      </c>
      <c r="AJ44" s="11" t="str">
        <f>VLOOKUP(L44,[1]rekap!D:M,1,FALSE)</f>
        <v>Lasiana</v>
      </c>
      <c r="AK44" s="11" t="str">
        <f>VLOOKUP(L44,'[1]singkron data'!D:E,2,FALSE)</f>
        <v>PT. Pandan Arum</v>
      </c>
      <c r="AL44" s="11" t="str">
        <f>VLOOKUP(L44,'[1]update 521'!D:D,1,FALSE)</f>
        <v>Lasiana</v>
      </c>
      <c r="AM44" s="11" t="s">
        <v>96</v>
      </c>
      <c r="AN44" s="11" t="e">
        <f>VLOOKUP(L44,[1]Sheet19!E:L,8,FALSE)</f>
        <v>#N/A</v>
      </c>
      <c r="AO44" s="11" t="e">
        <f>VLOOKUP(L44,[1]Sheet19!E:K,7,FALSE)</f>
        <v>#N/A</v>
      </c>
      <c r="AP44" s="12"/>
    </row>
    <row r="45" spans="1:42" ht="15" x14ac:dyDescent="0.2">
      <c r="A45" s="8" t="s">
        <v>42</v>
      </c>
      <c r="B45" s="9" t="s">
        <v>43</v>
      </c>
      <c r="C45" s="9">
        <v>752</v>
      </c>
      <c r="D45" s="9" t="s">
        <v>44</v>
      </c>
      <c r="E45" s="9">
        <v>49</v>
      </c>
      <c r="F45" s="9" t="s">
        <v>164</v>
      </c>
      <c r="G45" s="9" t="s">
        <v>74</v>
      </c>
      <c r="H45" s="9" t="s">
        <v>47</v>
      </c>
      <c r="I45" s="9" t="s">
        <v>165</v>
      </c>
      <c r="J45" s="9" t="s">
        <v>168</v>
      </c>
      <c r="K45" s="9" t="s">
        <v>169</v>
      </c>
      <c r="L45" s="10" t="s">
        <v>169</v>
      </c>
      <c r="M45" s="9" t="s">
        <v>81</v>
      </c>
      <c r="N45" s="9">
        <v>2000</v>
      </c>
      <c r="O45" s="9">
        <v>10</v>
      </c>
      <c r="P45" s="9">
        <v>450</v>
      </c>
      <c r="Q45" s="9">
        <v>460</v>
      </c>
      <c r="R45" s="9">
        <v>4</v>
      </c>
      <c r="S45" s="9">
        <v>-10.17266</v>
      </c>
      <c r="T45" s="9">
        <v>123.560823</v>
      </c>
      <c r="U45" s="9" t="s">
        <v>52</v>
      </c>
      <c r="V45" s="11" t="s">
        <v>170</v>
      </c>
      <c r="W45" s="11"/>
      <c r="X45" s="11"/>
      <c r="Y45" s="11" t="str">
        <f>VLOOKUP(L45,'[1]singkron data'!D:H,5,FALSE)</f>
        <v>Kupang</v>
      </c>
      <c r="Z45" s="11" t="str">
        <f>VLOOKUP(L45,'[1]singkron data'!D:I,6,FALSE)</f>
        <v>Online</v>
      </c>
      <c r="AA45" s="11" t="s">
        <v>171</v>
      </c>
      <c r="AB45" s="11" t="s">
        <v>54</v>
      </c>
      <c r="AC45" s="11" t="s">
        <v>172</v>
      </c>
      <c r="AD45" s="11" t="str">
        <f>VLOOKUP(L45,'[1]data 1129'!F:O,10,FALSE)</f>
        <v>Tahap II 146</v>
      </c>
      <c r="AE45" s="11">
        <f>VLOOKUP(L45,'[1]singkron data'!D:P,13,FALSE)</f>
        <v>0</v>
      </c>
      <c r="AF45" s="11"/>
      <c r="AG45" s="11" t="e">
        <f>VLOOKUP(L45,'[1]update kontrak'!E:K,6,FALSE)</f>
        <v>#N/A</v>
      </c>
      <c r="AH45" s="11" t="e">
        <f>VLOOKUP(L45,'[1]update kontrak'!E:K,7,FALSE)</f>
        <v>#N/A</v>
      </c>
      <c r="AI45" s="11"/>
      <c r="AJ45" s="11" t="str">
        <f>VLOOKUP(L45,[1]rekap!D:M,1,FALSE)</f>
        <v>Namosain</v>
      </c>
      <c r="AK45" s="11" t="str">
        <f>VLOOKUP(L45,'[1]singkron data'!D:E,2,FALSE)</f>
        <v>PT. Citra Timor Mandiri (Menengah)</v>
      </c>
      <c r="AL45" s="11" t="str">
        <f>VLOOKUP(L45,'[1]update 521'!D:D,1,FALSE)</f>
        <v>Namosain</v>
      </c>
      <c r="AM45" s="11" t="s">
        <v>96</v>
      </c>
      <c r="AN45" s="11" t="e">
        <f>VLOOKUP(L45,[1]Sheet19!E:L,8,FALSE)</f>
        <v>#N/A</v>
      </c>
      <c r="AO45" s="11" t="e">
        <f>VLOOKUP(L45,[1]Sheet19!E:K,7,FALSE)</f>
        <v>#N/A</v>
      </c>
      <c r="AP45" s="12"/>
    </row>
    <row r="46" spans="1:42" ht="15" x14ac:dyDescent="0.2">
      <c r="A46" s="8" t="s">
        <v>42</v>
      </c>
      <c r="B46" s="9" t="s">
        <v>43</v>
      </c>
      <c r="C46" s="9">
        <v>753</v>
      </c>
      <c r="D46" s="9" t="s">
        <v>44</v>
      </c>
      <c r="E46" s="9">
        <v>50</v>
      </c>
      <c r="F46" s="9" t="s">
        <v>164</v>
      </c>
      <c r="G46" s="9" t="s">
        <v>74</v>
      </c>
      <c r="H46" s="9" t="s">
        <v>47</v>
      </c>
      <c r="I46" s="9" t="s">
        <v>165</v>
      </c>
      <c r="J46" s="9" t="s">
        <v>166</v>
      </c>
      <c r="K46" s="9" t="s">
        <v>173</v>
      </c>
      <c r="L46" s="10" t="s">
        <v>173</v>
      </c>
      <c r="M46" s="9" t="s">
        <v>51</v>
      </c>
      <c r="N46" s="9">
        <v>651</v>
      </c>
      <c r="O46" s="9">
        <v>36</v>
      </c>
      <c r="P46" s="9">
        <v>481</v>
      </c>
      <c r="Q46" s="9">
        <v>517</v>
      </c>
      <c r="R46" s="9">
        <v>0.49</v>
      </c>
      <c r="S46" s="9">
        <v>-10.144997999999999</v>
      </c>
      <c r="T46" s="9">
        <v>123.65078</v>
      </c>
      <c r="U46" s="9" t="s">
        <v>52</v>
      </c>
      <c r="V46" s="11" t="str">
        <f>VLOOKUP(L46,'[1]singkron data'!D:E,2,FALSE)</f>
        <v>PT. Pandan Arum</v>
      </c>
      <c r="W46" s="11"/>
      <c r="X46" s="11"/>
      <c r="Y46" s="11">
        <f>VLOOKUP(L46,'[1]singkron data'!D:H,5,FALSE)</f>
        <v>0</v>
      </c>
      <c r="Z46" s="11">
        <f>VLOOKUP(L46,'[1]singkron data'!D:I,6,FALSE)</f>
        <v>0</v>
      </c>
      <c r="AA46" s="11">
        <f>VLOOKUP(L46,'[1]singkron data'!D:L,9,FALSE)</f>
        <v>81297992918</v>
      </c>
      <c r="AB46" s="11" t="s">
        <v>54</v>
      </c>
      <c r="AC46" s="11" t="s">
        <v>167</v>
      </c>
      <c r="AD46" s="11" t="str">
        <f>VLOOKUP(L46,'[1]data 1129'!F:O,10,FALSE)</f>
        <v>Tahap II 146</v>
      </c>
      <c r="AE46" s="11">
        <f>VLOOKUP(L46,'[1]singkron data'!D:P,13,FALSE)</f>
        <v>0</v>
      </c>
      <c r="AF46" s="11"/>
      <c r="AG46" s="11" t="e">
        <f>VLOOKUP(L46,'[1]update kontrak'!E:K,6,FALSE)</f>
        <v>#N/A</v>
      </c>
      <c r="AH46" s="11" t="e">
        <f>VLOOKUP(L46,'[1]update kontrak'!E:K,7,FALSE)</f>
        <v>#N/A</v>
      </c>
      <c r="AI46" s="11" t="s">
        <v>58</v>
      </c>
      <c r="AJ46" s="11" t="str">
        <f>VLOOKUP(L46,[1]rekap!D:M,1,FALSE)</f>
        <v>Oesapa</v>
      </c>
      <c r="AK46" s="11" t="str">
        <f>VLOOKUP(L46,'[1]singkron data'!D:E,2,FALSE)</f>
        <v>PT. Pandan Arum</v>
      </c>
      <c r="AL46" s="11" t="str">
        <f>VLOOKUP(L46,'[1]update 521'!D:D,1,FALSE)</f>
        <v>Oesapa</v>
      </c>
      <c r="AM46" s="11" t="s">
        <v>96</v>
      </c>
      <c r="AN46" s="11" t="e">
        <f>VLOOKUP(L46,[1]Sheet19!E:L,8,FALSE)</f>
        <v>#N/A</v>
      </c>
      <c r="AO46" s="11" t="e">
        <f>VLOOKUP(L46,[1]Sheet19!E:K,7,FALSE)</f>
        <v>#N/A</v>
      </c>
      <c r="AP46" s="12"/>
    </row>
    <row r="47" spans="1:42" ht="15" x14ac:dyDescent="0.2">
      <c r="A47" s="8" t="s">
        <v>42</v>
      </c>
      <c r="B47" s="9" t="s">
        <v>43</v>
      </c>
      <c r="C47" s="9">
        <v>754</v>
      </c>
      <c r="D47" s="9" t="s">
        <v>44</v>
      </c>
      <c r="E47" s="9">
        <v>51</v>
      </c>
      <c r="F47" s="9" t="s">
        <v>164</v>
      </c>
      <c r="G47" s="9" t="s">
        <v>74</v>
      </c>
      <c r="H47" s="9" t="s">
        <v>47</v>
      </c>
      <c r="I47" s="9" t="s">
        <v>174</v>
      </c>
      <c r="J47" s="9" t="s">
        <v>175</v>
      </c>
      <c r="K47" s="9" t="s">
        <v>176</v>
      </c>
      <c r="L47" s="10" t="s">
        <v>176</v>
      </c>
      <c r="M47" s="9" t="s">
        <v>51</v>
      </c>
      <c r="N47" s="9">
        <v>900</v>
      </c>
      <c r="O47" s="9">
        <v>50</v>
      </c>
      <c r="P47" s="9" t="s">
        <v>72</v>
      </c>
      <c r="Q47" s="9">
        <v>50</v>
      </c>
      <c r="R47" s="9">
        <v>5</v>
      </c>
      <c r="S47" s="9">
        <v>-10.183017</v>
      </c>
      <c r="T47" s="9">
        <v>123.49185</v>
      </c>
      <c r="U47" s="9" t="s">
        <v>52</v>
      </c>
      <c r="V47" s="11" t="str">
        <f>VLOOKUP(L47,'[1]singkron data'!D:E,2,FALSE)</f>
        <v>PT. AMI Kamena Jaya</v>
      </c>
      <c r="W47" s="13">
        <f>VLOOKUP(L47,'[1]update tim 2'!D:F,3,FALSE)</f>
        <v>5402188000</v>
      </c>
      <c r="X47" s="11" t="s">
        <v>55</v>
      </c>
      <c r="Y47" s="11">
        <f>VLOOKUP(L47,'[1]singkron data'!D:H,5,FALSE)</f>
        <v>0</v>
      </c>
      <c r="Z47" s="11">
        <f>VLOOKUP(L47,'[1]singkron data'!D:I,6,FALSE)</f>
        <v>0</v>
      </c>
      <c r="AA47" s="11" t="str">
        <f>VLOOKUP(L47,'[1]singkron data'!D:L,9,FALSE)</f>
        <v>081210805888/agus tobing</v>
      </c>
      <c r="AB47" s="11" t="s">
        <v>54</v>
      </c>
      <c r="AC47" s="11" t="str">
        <f>VLOOKUP(L47,'[1]singkron data'!D:M,10,FALSE)</f>
        <v>TK</v>
      </c>
      <c r="AD47" s="11" t="str">
        <f>VLOOKUP(L47,'[1]data 1129'!F:O,10,FALSE)</f>
        <v>Tahap II 146</v>
      </c>
      <c r="AE47" s="11">
        <f>VLOOKUP(L47,'[1]singkron data'!D:P,13,FALSE)</f>
        <v>0</v>
      </c>
      <c r="AF47" s="11" t="s">
        <v>55</v>
      </c>
      <c r="AG47" s="11" t="e">
        <f>VLOOKUP(L47,'[1]update kontrak'!E:K,6,FALSE)</f>
        <v>#N/A</v>
      </c>
      <c r="AH47" s="11" t="e">
        <f>VLOOKUP(L47,'[1]update kontrak'!E:K,7,FALSE)</f>
        <v>#N/A</v>
      </c>
      <c r="AI47" s="11"/>
      <c r="AJ47" s="11" t="str">
        <f>VLOOKUP(L47,[1]rekap!D:M,1,FALSE)</f>
        <v>Hansisi</v>
      </c>
      <c r="AK47" s="11" t="str">
        <f>VLOOKUP(L47,'[1]singkron data'!D:E,2,FALSE)</f>
        <v>PT. AMI Kamena Jaya</v>
      </c>
      <c r="AL47" s="11" t="str">
        <f>VLOOKUP(L47,'[1]update 521'!D:D,1,FALSE)</f>
        <v>Hansisi</v>
      </c>
      <c r="AM47" s="11" t="s">
        <v>57</v>
      </c>
      <c r="AN47" s="11" t="e">
        <f>VLOOKUP(L47,[1]Sheet19!E:L,8,FALSE)</f>
        <v>#N/A</v>
      </c>
      <c r="AO47" s="11" t="s">
        <v>58</v>
      </c>
      <c r="AP47" s="12"/>
    </row>
    <row r="48" spans="1:42" ht="15" x14ac:dyDescent="0.2">
      <c r="A48" s="8" t="s">
        <v>42</v>
      </c>
      <c r="B48" s="9" t="s">
        <v>43</v>
      </c>
      <c r="C48" s="9">
        <v>755</v>
      </c>
      <c r="D48" s="9" t="s">
        <v>44</v>
      </c>
      <c r="E48" s="9">
        <v>52</v>
      </c>
      <c r="F48" s="9" t="s">
        <v>164</v>
      </c>
      <c r="G48" s="9" t="s">
        <v>74</v>
      </c>
      <c r="H48" s="9" t="s">
        <v>47</v>
      </c>
      <c r="I48" s="9" t="s">
        <v>174</v>
      </c>
      <c r="J48" s="9" t="s">
        <v>175</v>
      </c>
      <c r="K48" s="9" t="s">
        <v>177</v>
      </c>
      <c r="L48" s="10" t="s">
        <v>177</v>
      </c>
      <c r="M48" s="9" t="s">
        <v>51</v>
      </c>
      <c r="N48" s="9">
        <v>227</v>
      </c>
      <c r="O48" s="9">
        <v>30</v>
      </c>
      <c r="P48" s="9">
        <v>15</v>
      </c>
      <c r="Q48" s="9">
        <v>45</v>
      </c>
      <c r="R48" s="9">
        <v>5</v>
      </c>
      <c r="S48" s="9">
        <v>-10.147694</v>
      </c>
      <c r="T48" s="9">
        <v>123.465069</v>
      </c>
      <c r="U48" s="9" t="s">
        <v>52</v>
      </c>
      <c r="V48" s="11" t="str">
        <f>VLOOKUP(L48,'[1]singkron data'!D:E,2,FALSE)</f>
        <v>PT. AMI Kamena Jaya</v>
      </c>
      <c r="W48" s="13">
        <f>VLOOKUP(L48,'[1]update tim 2'!D:F,3,FALSE)</f>
        <v>4143207000</v>
      </c>
      <c r="X48" s="11" t="s">
        <v>55</v>
      </c>
      <c r="Y48" s="11">
        <f>VLOOKUP(L48,'[1]singkron data'!D:H,5,FALSE)</f>
        <v>0</v>
      </c>
      <c r="Z48" s="11">
        <f>VLOOKUP(L48,'[1]singkron data'!D:I,6,FALSE)</f>
        <v>0</v>
      </c>
      <c r="AA48" s="11" t="str">
        <f>VLOOKUP(L48,'[1]singkron data'!D:L,9,FALSE)</f>
        <v>081210805888/agus tobing</v>
      </c>
      <c r="AB48" s="11" t="s">
        <v>54</v>
      </c>
      <c r="AC48" s="11" t="str">
        <f>VLOOKUP(L48,'[1]singkron data'!D:M,10,FALSE)</f>
        <v>TK</v>
      </c>
      <c r="AD48" s="11" t="str">
        <f>VLOOKUP(L48,'[1]data 1129'!F:O,10,FALSE)</f>
        <v>Tahap II 146</v>
      </c>
      <c r="AE48" s="11">
        <f>VLOOKUP(L48,'[1]singkron data'!D:P,13,FALSE)</f>
        <v>0</v>
      </c>
      <c r="AF48" s="11" t="s">
        <v>55</v>
      </c>
      <c r="AG48" s="11" t="e">
        <f>VLOOKUP(L48,'[1]update kontrak'!E:K,6,FALSE)</f>
        <v>#N/A</v>
      </c>
      <c r="AH48" s="11" t="e">
        <f>VLOOKUP(L48,'[1]update kontrak'!E:K,7,FALSE)</f>
        <v>#N/A</v>
      </c>
      <c r="AI48" s="11"/>
      <c r="AJ48" s="11" t="str">
        <f>VLOOKUP(L48,[1]rekap!D:M,1,FALSE)</f>
        <v>Uiasa</v>
      </c>
      <c r="AK48" s="11" t="str">
        <f>VLOOKUP(L48,'[1]singkron data'!D:E,2,FALSE)</f>
        <v>PT. AMI Kamena Jaya</v>
      </c>
      <c r="AL48" s="11" t="str">
        <f>VLOOKUP(L48,'[1]update 521'!D:D,1,FALSE)</f>
        <v>Uiasa</v>
      </c>
      <c r="AM48" s="11" t="s">
        <v>57</v>
      </c>
      <c r="AN48" s="11" t="e">
        <f>VLOOKUP(L48,[1]Sheet19!E:L,8,FALSE)</f>
        <v>#N/A</v>
      </c>
      <c r="AO48" s="11" t="s">
        <v>58</v>
      </c>
      <c r="AP48" s="12"/>
    </row>
    <row r="49" spans="1:42" ht="15" x14ac:dyDescent="0.2">
      <c r="A49" s="8" t="s">
        <v>42</v>
      </c>
      <c r="B49" s="9" t="s">
        <v>43</v>
      </c>
      <c r="C49" s="9">
        <v>744</v>
      </c>
      <c r="D49" s="9" t="s">
        <v>44</v>
      </c>
      <c r="E49" s="9">
        <v>41</v>
      </c>
      <c r="F49" s="9" t="s">
        <v>178</v>
      </c>
      <c r="G49" s="9" t="s">
        <v>46</v>
      </c>
      <c r="H49" s="9" t="s">
        <v>47</v>
      </c>
      <c r="I49" s="9" t="s">
        <v>85</v>
      </c>
      <c r="J49" s="9" t="s">
        <v>102</v>
      </c>
      <c r="K49" s="9" t="s">
        <v>178</v>
      </c>
      <c r="L49" s="10" t="s">
        <v>178</v>
      </c>
      <c r="M49" s="9" t="s">
        <v>65</v>
      </c>
      <c r="N49" s="9">
        <v>837</v>
      </c>
      <c r="O49" s="9" t="s">
        <v>72</v>
      </c>
      <c r="P49" s="9">
        <v>557</v>
      </c>
      <c r="Q49" s="9">
        <v>557</v>
      </c>
      <c r="R49" s="9">
        <v>0.7</v>
      </c>
      <c r="S49" s="9">
        <v>-8.3066329999999997</v>
      </c>
      <c r="T49" s="9">
        <v>118.387986</v>
      </c>
      <c r="U49" s="9" t="s">
        <v>52</v>
      </c>
      <c r="V49" s="11" t="str">
        <f>VLOOKUP(L49,'[1]singkron data'!D:E,2,FALSE)</f>
        <v>PT. Masco Energi</v>
      </c>
      <c r="W49" s="13">
        <f>VLOOKUP(L49,'[1]update tim 2'!D:F,3,FALSE)</f>
        <v>8100491000</v>
      </c>
      <c r="X49" s="11" t="s">
        <v>55</v>
      </c>
      <c r="Y49" s="11" t="str">
        <f>VLOOKUP(L49,'[1]singkron data'!D:H,5,FALSE)</f>
        <v>Sumbawa</v>
      </c>
      <c r="Z49" s="11" t="str">
        <f>VLOOKUP(L49,'[1]singkron data'!D:I,6,FALSE)</f>
        <v>Online</v>
      </c>
      <c r="AA49" s="11" t="str">
        <f>VLOOKUP(L49,'[1]singkron data'!D:L,9,FALSE)</f>
        <v>081112300889/edi</v>
      </c>
      <c r="AB49" s="11" t="s">
        <v>54</v>
      </c>
      <c r="AC49" s="11" t="str">
        <f>VLOOKUP(L49,'[1]singkron data'!D:M,10,FALSE)</f>
        <v>TK</v>
      </c>
      <c r="AD49" s="11" t="str">
        <f>VLOOKUP(L49,'[1]data 1129'!F:O,10,FALSE)</f>
        <v>Tahap II 146</v>
      </c>
      <c r="AE49" s="11">
        <f>VLOOKUP(L49,'[1]singkron data'!D:P,13,FALSE)</f>
        <v>0</v>
      </c>
      <c r="AF49" s="11" t="s">
        <v>55</v>
      </c>
      <c r="AG49" s="11" t="e">
        <f>VLOOKUP(L49,'[1]update kontrak'!E:K,6,FALSE)</f>
        <v>#N/A</v>
      </c>
      <c r="AH49" s="11" t="e">
        <f>VLOOKUP(L49,'[1]update kontrak'!E:K,7,FALSE)</f>
        <v>#N/A</v>
      </c>
      <c r="AI49" s="11" t="s">
        <v>58</v>
      </c>
      <c r="AJ49" s="11" t="str">
        <f>VLOOKUP(L49,[1]rekap!D:M,1,FALSE)</f>
        <v>Malaju</v>
      </c>
      <c r="AK49" s="11" t="str">
        <f>VLOOKUP(L49,'[1]singkron data'!D:E,2,FALSE)</f>
        <v>PT. Masco Energi</v>
      </c>
      <c r="AL49" s="11" t="str">
        <f>VLOOKUP(L49,'[1]update 521'!D:D,1,FALSE)</f>
        <v>Malaju</v>
      </c>
      <c r="AM49" s="11" t="s">
        <v>57</v>
      </c>
      <c r="AN49" s="11" t="e">
        <f>VLOOKUP(L49,[1]Sheet19!E:L,8,FALSE)</f>
        <v>#N/A</v>
      </c>
      <c r="AO49" s="11" t="s">
        <v>58</v>
      </c>
      <c r="AP49" s="12"/>
    </row>
    <row r="50" spans="1:42" ht="15" x14ac:dyDescent="0.2">
      <c r="A50" s="8" t="s">
        <v>42</v>
      </c>
      <c r="B50" s="9" t="s">
        <v>43</v>
      </c>
      <c r="C50" s="9">
        <v>762</v>
      </c>
      <c r="D50" s="9" t="s">
        <v>44</v>
      </c>
      <c r="E50" s="9">
        <v>59</v>
      </c>
      <c r="F50" s="9" t="s">
        <v>179</v>
      </c>
      <c r="G50" s="9" t="s">
        <v>74</v>
      </c>
      <c r="H50" s="9" t="s">
        <v>47</v>
      </c>
      <c r="I50" s="9" t="s">
        <v>180</v>
      </c>
      <c r="J50" s="9" t="s">
        <v>181</v>
      </c>
      <c r="K50" s="9" t="s">
        <v>179</v>
      </c>
      <c r="L50" s="10" t="s">
        <v>179</v>
      </c>
      <c r="M50" s="9" t="s">
        <v>51</v>
      </c>
      <c r="N50" s="9">
        <v>224</v>
      </c>
      <c r="O50" s="9" t="s">
        <v>72</v>
      </c>
      <c r="P50" s="9">
        <v>76</v>
      </c>
      <c r="Q50" s="9">
        <v>76</v>
      </c>
      <c r="R50" s="9">
        <v>0.5</v>
      </c>
      <c r="S50" s="9">
        <v>-8.8288890000000002</v>
      </c>
      <c r="T50" s="9">
        <v>121.880306</v>
      </c>
      <c r="U50" s="9" t="s">
        <v>52</v>
      </c>
      <c r="V50" s="11" t="str">
        <f>VLOOKUP(L50,'[1]singkron data'!D:E,2,FALSE)</f>
        <v>CV. Jawa Mai</v>
      </c>
      <c r="W50" s="11"/>
      <c r="X50" s="11"/>
      <c r="Y50" s="11" t="str">
        <f>VLOOKUP(L50,'[1]singkron data'!D:H,5,FALSE)</f>
        <v>Ende</v>
      </c>
      <c r="Z50" s="11" t="str">
        <f>VLOOKUP(L50,'[1]singkron data'!D:I,6,FALSE)</f>
        <v>Online</v>
      </c>
      <c r="AA50" s="11">
        <f>VLOOKUP(L50,'[1]singkron data'!D:L,9,FALSE)</f>
        <v>81237969666</v>
      </c>
      <c r="AB50" s="11" t="s">
        <v>54</v>
      </c>
      <c r="AC50" s="11" t="str">
        <f>VLOOKUP(L50,'[1]singkron data'!D:M,10,FALSE)</f>
        <v>Galuh-B</v>
      </c>
      <c r="AD50" s="11" t="str">
        <f>VLOOKUP(L50,'[1]data 1129'!F:O,10,FALSE)</f>
        <v>Tahap III 166</v>
      </c>
      <c r="AE50" s="11">
        <f>VLOOKUP(L50,'[1]singkron data'!D:P,13,FALSE)</f>
        <v>0</v>
      </c>
      <c r="AF50" s="11"/>
      <c r="AG50" s="11" t="e">
        <f>VLOOKUP(L50,'[1]update kontrak'!E:K,6,FALSE)</f>
        <v>#N/A</v>
      </c>
      <c r="AH50" s="11" t="e">
        <f>VLOOKUP(L50,'[1]update kontrak'!E:K,7,FALSE)</f>
        <v>#N/A</v>
      </c>
      <c r="AI50" s="11"/>
      <c r="AJ50" s="11" t="str">
        <f>VLOOKUP(L50,[1]rekap!D:M,1,FALSE)</f>
        <v>Mbuliwaralau</v>
      </c>
      <c r="AK50" s="11" t="str">
        <f>VLOOKUP(L50,'[1]singkron data'!D:E,2,FALSE)</f>
        <v>CV. Jawa Mai</v>
      </c>
      <c r="AL50" s="11" t="str">
        <f>VLOOKUP(L50,'[1]update 521'!D:D,1,FALSE)</f>
        <v>Mbuliwaralau</v>
      </c>
      <c r="AM50" s="11" t="e">
        <v>#N/A</v>
      </c>
      <c r="AN50" s="11" t="e">
        <f>VLOOKUP(L50,[1]Sheet19!E:L,8,FALSE)</f>
        <v>#N/A</v>
      </c>
      <c r="AO50" s="11" t="e">
        <f>VLOOKUP(L50,[1]Sheet19!E:K,7,FALSE)</f>
        <v>#N/A</v>
      </c>
      <c r="AP50" s="12"/>
    </row>
    <row r="51" spans="1:42" ht="15" x14ac:dyDescent="0.2">
      <c r="A51" s="8" t="s">
        <v>42</v>
      </c>
      <c r="B51" s="9" t="s">
        <v>43</v>
      </c>
      <c r="C51" s="9">
        <v>715</v>
      </c>
      <c r="D51" s="9" t="s">
        <v>44</v>
      </c>
      <c r="E51" s="9">
        <v>12</v>
      </c>
      <c r="F51" s="9" t="s">
        <v>182</v>
      </c>
      <c r="G51" s="9" t="s">
        <v>46</v>
      </c>
      <c r="H51" s="9" t="s">
        <v>47</v>
      </c>
      <c r="I51" s="9" t="s">
        <v>183</v>
      </c>
      <c r="J51" s="9" t="s">
        <v>184</v>
      </c>
      <c r="K51" s="9" t="s">
        <v>185</v>
      </c>
      <c r="L51" s="10" t="s">
        <v>185</v>
      </c>
      <c r="M51" s="9" t="s">
        <v>81</v>
      </c>
      <c r="N51" s="9">
        <v>678</v>
      </c>
      <c r="O51" s="9">
        <v>20</v>
      </c>
      <c r="P51" s="9">
        <v>316</v>
      </c>
      <c r="Q51" s="9">
        <v>336</v>
      </c>
      <c r="R51" s="9">
        <v>0.99</v>
      </c>
      <c r="S51" s="9">
        <v>-8.8805209999999999</v>
      </c>
      <c r="T51" s="9">
        <v>116.394673</v>
      </c>
      <c r="U51" s="9" t="s">
        <v>52</v>
      </c>
      <c r="V51" s="11" t="str">
        <f>VLOOKUP(L51,'[1]singkron data'!D:E,2,FALSE)</f>
        <v>PT. Asuka Engineering Indonesia</v>
      </c>
      <c r="W51" s="13">
        <f>VLOOKUP(L51,'[1]update tim 2'!D:F,3,FALSE)</f>
        <v>2751681000</v>
      </c>
      <c r="X51" s="11" t="s">
        <v>55</v>
      </c>
      <c r="Y51" s="11" t="str">
        <f>VLOOKUP(L51,'[1]singkron data'!D:H,5,FALSE)</f>
        <v>Gresik</v>
      </c>
      <c r="Z51" s="11">
        <f>VLOOKUP(L51,'[1]singkron data'!D:I,6,FALSE)</f>
        <v>0</v>
      </c>
      <c r="AA51" s="11" t="str">
        <f>VLOOKUP(L51,'[1]singkron data'!D:L,9,FALSE)</f>
        <v>081358005070/efendi</v>
      </c>
      <c r="AB51" s="11" t="s">
        <v>54</v>
      </c>
      <c r="AC51" s="11" t="str">
        <f>VLOOKUP(L51,'[1]singkron data'!D:M,10,FALSE)</f>
        <v>g</v>
      </c>
      <c r="AD51" s="11" t="str">
        <f>VLOOKUP(L51,'[1]data 1129'!F:O,10,FALSE)</f>
        <v>Tahap II 146</v>
      </c>
      <c r="AE51" s="11">
        <f>VLOOKUP(L51,'[1]singkron data'!D:P,13,FALSE)</f>
        <v>0</v>
      </c>
      <c r="AF51" s="11" t="s">
        <v>55</v>
      </c>
      <c r="AG51" s="11" t="e">
        <f>VLOOKUP(L51,'[1]update kontrak'!E:K,6,FALSE)</f>
        <v>#N/A</v>
      </c>
      <c r="AH51" s="11" t="e">
        <f>VLOOKUP(L51,'[1]update kontrak'!E:K,7,FALSE)</f>
        <v>#N/A</v>
      </c>
      <c r="AI51" s="11" t="s">
        <v>58</v>
      </c>
      <c r="AJ51" s="11" t="str">
        <f>VLOOKUP(L51,[1]rekap!D:M,1,FALSE)</f>
        <v>Mertak</v>
      </c>
      <c r="AK51" s="11" t="str">
        <f>VLOOKUP(L51,'[1]singkron data'!D:E,2,FALSE)</f>
        <v>PT. Asuka Engineering Indonesia</v>
      </c>
      <c r="AL51" s="11" t="str">
        <f>VLOOKUP(L51,'[1]update 521'!D:D,1,FALSE)</f>
        <v>Mertak</v>
      </c>
      <c r="AM51" s="11" t="s">
        <v>57</v>
      </c>
      <c r="AN51" s="11" t="e">
        <f>VLOOKUP(L51,[1]Sheet19!E:L,8,FALSE)</f>
        <v>#N/A</v>
      </c>
      <c r="AO51" s="11" t="s">
        <v>58</v>
      </c>
      <c r="AP51" s="12"/>
    </row>
    <row r="52" spans="1:42" ht="15" x14ac:dyDescent="0.2">
      <c r="A52" s="8" t="s">
        <v>42</v>
      </c>
      <c r="B52" s="9" t="s">
        <v>43</v>
      </c>
      <c r="C52" s="9">
        <v>716</v>
      </c>
      <c r="D52" s="9" t="s">
        <v>44</v>
      </c>
      <c r="E52" s="9">
        <v>13</v>
      </c>
      <c r="F52" s="9" t="s">
        <v>182</v>
      </c>
      <c r="G52" s="9" t="s">
        <v>46</v>
      </c>
      <c r="H52" s="9" t="s">
        <v>47</v>
      </c>
      <c r="I52" s="9" t="s">
        <v>183</v>
      </c>
      <c r="J52" s="9" t="s">
        <v>184</v>
      </c>
      <c r="K52" s="9" t="s">
        <v>186</v>
      </c>
      <c r="L52" s="10" t="s">
        <v>186</v>
      </c>
      <c r="M52" s="9" t="s">
        <v>81</v>
      </c>
      <c r="N52" s="9">
        <v>621</v>
      </c>
      <c r="O52" s="9">
        <v>11</v>
      </c>
      <c r="P52" s="9">
        <v>310</v>
      </c>
      <c r="Q52" s="9">
        <v>321</v>
      </c>
      <c r="R52" s="9">
        <v>0.03</v>
      </c>
      <c r="S52" s="9">
        <v>-8.8933900000000001</v>
      </c>
      <c r="T52" s="9">
        <v>116.276021</v>
      </c>
      <c r="U52" s="9" t="s">
        <v>52</v>
      </c>
      <c r="V52" s="11" t="str">
        <f>VLOOKUP(L52,'[1]singkron data'!D:E,2,FALSE)</f>
        <v>PT. Asuka Engineering Indonesia</v>
      </c>
      <c r="W52" s="13">
        <f>VLOOKUP(L52,'[1]update tim 2'!D:F,3,FALSE)</f>
        <v>3099881000</v>
      </c>
      <c r="X52" s="11" t="s">
        <v>55</v>
      </c>
      <c r="Y52" s="11" t="str">
        <f>VLOOKUP(L52,'[1]singkron data'!D:H,5,FALSE)</f>
        <v>Gresik</v>
      </c>
      <c r="Z52" s="11">
        <f>VLOOKUP(L52,'[1]singkron data'!D:I,6,FALSE)</f>
        <v>0</v>
      </c>
      <c r="AA52" s="11" t="str">
        <f>VLOOKUP(L52,'[1]singkron data'!D:L,9,FALSE)</f>
        <v>081358005070/efendi</v>
      </c>
      <c r="AB52" s="11" t="s">
        <v>54</v>
      </c>
      <c r="AC52" s="11" t="str">
        <f>VLOOKUP(L52,'[1]singkron data'!D:M,10,FALSE)</f>
        <v>g</v>
      </c>
      <c r="AD52" s="11" t="str">
        <f>VLOOKUP(L52,'[1]data 1129'!F:O,10,FALSE)</f>
        <v>Tahap II 146</v>
      </c>
      <c r="AE52" s="11">
        <f>VLOOKUP(L52,'[1]singkron data'!D:P,13,FALSE)</f>
        <v>0</v>
      </c>
      <c r="AF52" s="11" t="s">
        <v>55</v>
      </c>
      <c r="AG52" s="11" t="e">
        <f>VLOOKUP(L52,'[1]update kontrak'!E:K,6,FALSE)</f>
        <v>#N/A</v>
      </c>
      <c r="AH52" s="11" t="e">
        <f>VLOOKUP(L52,'[1]update kontrak'!E:K,7,FALSE)</f>
        <v>#N/A</v>
      </c>
      <c r="AI52" s="11" t="s">
        <v>58</v>
      </c>
      <c r="AJ52" s="11" t="str">
        <f>VLOOKUP(L52,[1]rekap!D:M,1,FALSE)</f>
        <v>Kuta</v>
      </c>
      <c r="AK52" s="11" t="str">
        <f>VLOOKUP(L52,'[1]singkron data'!D:E,2,FALSE)</f>
        <v>PT. Asuka Engineering Indonesia</v>
      </c>
      <c r="AL52" s="11" t="str">
        <f>VLOOKUP(L52,'[1]update 521'!D:D,1,FALSE)</f>
        <v>Kuta</v>
      </c>
      <c r="AM52" s="11" t="s">
        <v>57</v>
      </c>
      <c r="AN52" s="11" t="e">
        <f>VLOOKUP(L52,[1]Sheet19!E:L,8,FALSE)</f>
        <v>#N/A</v>
      </c>
      <c r="AO52" s="11" t="s">
        <v>58</v>
      </c>
      <c r="AP52" s="12"/>
    </row>
    <row r="53" spans="1:42" ht="15" x14ac:dyDescent="0.2">
      <c r="A53" s="8" t="s">
        <v>42</v>
      </c>
      <c r="B53" s="9" t="s">
        <v>43</v>
      </c>
      <c r="C53" s="9">
        <v>793</v>
      </c>
      <c r="D53" s="9" t="s">
        <v>44</v>
      </c>
      <c r="E53" s="9">
        <v>90</v>
      </c>
      <c r="F53" s="9" t="s">
        <v>187</v>
      </c>
      <c r="G53" s="9" t="s">
        <v>74</v>
      </c>
      <c r="H53" s="9" t="s">
        <v>47</v>
      </c>
      <c r="I53" s="9" t="s">
        <v>111</v>
      </c>
      <c r="J53" s="9" t="s">
        <v>188</v>
      </c>
      <c r="K53" s="9" t="s">
        <v>189</v>
      </c>
      <c r="L53" s="10" t="s">
        <v>189</v>
      </c>
      <c r="M53" s="9" t="s">
        <v>51</v>
      </c>
      <c r="N53" s="9">
        <v>153</v>
      </c>
      <c r="O53" s="9">
        <v>2</v>
      </c>
      <c r="P53" s="9">
        <v>38</v>
      </c>
      <c r="Q53" s="9">
        <v>40</v>
      </c>
      <c r="R53" s="9">
        <v>0.56000000000000005</v>
      </c>
      <c r="S53" s="9">
        <v>-8.3638429999999993</v>
      </c>
      <c r="T53" s="9">
        <v>122.29228000000001</v>
      </c>
      <c r="U53" s="9" t="s">
        <v>52</v>
      </c>
      <c r="V53" s="11" t="str">
        <f>VLOOKUP(L53,'[1]singkron data'!D:E,2,FALSE)</f>
        <v>PT. Arum Daya Sentausa</v>
      </c>
      <c r="W53" s="11"/>
      <c r="X53" s="11"/>
      <c r="Y53" s="11" t="str">
        <f>VLOOKUP(L53,'[1]singkron data'!D:H,5,FALSE)</f>
        <v>Ende</v>
      </c>
      <c r="Z53" s="11" t="str">
        <f>VLOOKUP(L53,'[1]singkron data'!D:I,6,FALSE)</f>
        <v>Offline</v>
      </c>
      <c r="AA53" s="11">
        <f>VLOOKUP(L53,'[1]singkron data'!D:L,9,FALSE)</f>
        <v>81287843669</v>
      </c>
      <c r="AB53" s="11" t="s">
        <v>54</v>
      </c>
      <c r="AC53" s="11" t="str">
        <f>VLOOKUP(L53,'[1]singkron data'!D:M,10,FALSE)</f>
        <v>Galuh-B</v>
      </c>
      <c r="AD53" s="11" t="str">
        <f>VLOOKUP(L53,'[1]data 1129'!F:O,10,FALSE)</f>
        <v>Tahap III 166</v>
      </c>
      <c r="AE53" s="11">
        <f>VLOOKUP(L53,'[1]singkron data'!D:P,13,FALSE)</f>
        <v>0</v>
      </c>
      <c r="AF53" s="11"/>
      <c r="AG53" s="11" t="e">
        <f>VLOOKUP(L53,'[1]update kontrak'!E:K,6,FALSE)</f>
        <v>#N/A</v>
      </c>
      <c r="AH53" s="11" t="e">
        <f>VLOOKUP(L53,'[1]update kontrak'!E:K,7,FALSE)</f>
        <v>#N/A</v>
      </c>
      <c r="AI53" s="11"/>
      <c r="AJ53" s="11" t="str">
        <f>VLOOKUP(L53,[1]rekap!D:M,1,FALSE)</f>
        <v>Gunung Sari</v>
      </c>
      <c r="AK53" s="11" t="str">
        <f>VLOOKUP(L53,'[1]singkron data'!D:E,2,FALSE)</f>
        <v>PT. Arum Daya Sentausa</v>
      </c>
      <c r="AL53" s="11" t="str">
        <f>VLOOKUP(L53,'[1]update 521'!D:D,1,FALSE)</f>
        <v>Gunung Sari</v>
      </c>
      <c r="AM53" s="11" t="s">
        <v>96</v>
      </c>
      <c r="AN53" s="11" t="e">
        <f>VLOOKUP(L53,[1]Sheet19!E:L,8,FALSE)</f>
        <v>#N/A</v>
      </c>
      <c r="AO53" s="11" t="e">
        <f>VLOOKUP(L53,[1]Sheet19!E:K,7,FALSE)</f>
        <v>#N/A</v>
      </c>
      <c r="AP53" s="12"/>
    </row>
    <row r="54" spans="1:42" ht="15" x14ac:dyDescent="0.2">
      <c r="A54" s="8" t="s">
        <v>42</v>
      </c>
      <c r="B54" s="9" t="s">
        <v>43</v>
      </c>
      <c r="C54" s="9">
        <v>794</v>
      </c>
      <c r="D54" s="9" t="s">
        <v>44</v>
      </c>
      <c r="E54" s="9">
        <v>91</v>
      </c>
      <c r="F54" s="9" t="s">
        <v>187</v>
      </c>
      <c r="G54" s="9" t="s">
        <v>74</v>
      </c>
      <c r="H54" s="9" t="s">
        <v>47</v>
      </c>
      <c r="I54" s="9" t="s">
        <v>111</v>
      </c>
      <c r="J54" s="9" t="s">
        <v>190</v>
      </c>
      <c r="K54" s="9" t="s">
        <v>187</v>
      </c>
      <c r="L54" s="10" t="s">
        <v>187</v>
      </c>
      <c r="M54" s="9" t="s">
        <v>65</v>
      </c>
      <c r="N54" s="9">
        <v>57</v>
      </c>
      <c r="O54" s="9">
        <v>127</v>
      </c>
      <c r="P54" s="9">
        <v>130</v>
      </c>
      <c r="Q54" s="9">
        <v>257</v>
      </c>
      <c r="R54" s="9">
        <v>0.6</v>
      </c>
      <c r="S54" s="9">
        <v>-8.5552033000000005</v>
      </c>
      <c r="T54" s="9">
        <v>122.50863560000001</v>
      </c>
      <c r="U54" s="9" t="s">
        <v>52</v>
      </c>
      <c r="V54" s="11" t="str">
        <f>VLOOKUP(L54,'[1]singkron data'!D:E,2,FALSE)</f>
        <v>PT. Arum Daya Sentausa</v>
      </c>
      <c r="W54" s="11"/>
      <c r="X54" s="11"/>
      <c r="Y54" s="11" t="str">
        <f>VLOOKUP(L54,'[1]singkron data'!D:H,5,FALSE)</f>
        <v>Ende</v>
      </c>
      <c r="Z54" s="11" t="str">
        <f>VLOOKUP(L54,'[1]singkron data'!D:I,6,FALSE)</f>
        <v>Offline</v>
      </c>
      <c r="AA54" s="11">
        <f>VLOOKUP(L54,'[1]singkron data'!D:L,9,FALSE)</f>
        <v>81287843669</v>
      </c>
      <c r="AB54" s="11" t="s">
        <v>54</v>
      </c>
      <c r="AC54" s="11" t="str">
        <f>VLOOKUP(L54,'[1]singkron data'!D:M,10,FALSE)</f>
        <v>Galuh-B</v>
      </c>
      <c r="AD54" s="11" t="str">
        <f>VLOOKUP(L54,'[1]data 1129'!F:O,10,FALSE)</f>
        <v>Tahap III 166</v>
      </c>
      <c r="AE54" s="11">
        <f>VLOOKUP(L54,'[1]singkron data'!D:P,13,FALSE)</f>
        <v>0</v>
      </c>
      <c r="AF54" s="11" t="s">
        <v>55</v>
      </c>
      <c r="AG54" s="11" t="e">
        <f>VLOOKUP(L54,'[1]update kontrak'!E:K,6,FALSE)</f>
        <v>#N/A</v>
      </c>
      <c r="AH54" s="11" t="e">
        <f>VLOOKUP(L54,'[1]update kontrak'!E:K,7,FALSE)</f>
        <v>#N/A</v>
      </c>
      <c r="AI54" s="11"/>
      <c r="AJ54" s="11" t="str">
        <f>VLOOKUP(L54,[1]rekap!D:M,1,FALSE)</f>
        <v>Nangahale</v>
      </c>
      <c r="AK54" s="11" t="str">
        <f>VLOOKUP(L54,'[1]singkron data'!D:E,2,FALSE)</f>
        <v>PT. Arum Daya Sentausa</v>
      </c>
      <c r="AL54" s="11" t="str">
        <f>VLOOKUP(L54,'[1]update 521'!D:D,1,FALSE)</f>
        <v>Nangahale</v>
      </c>
      <c r="AM54" s="11" t="s">
        <v>96</v>
      </c>
      <c r="AN54" s="11" t="e">
        <f>VLOOKUP(L54,[1]Sheet19!E:L,8,FALSE)</f>
        <v>#N/A</v>
      </c>
      <c r="AO54" s="11" t="e">
        <f>VLOOKUP(L54,[1]Sheet19!E:K,7,FALSE)</f>
        <v>#N/A</v>
      </c>
      <c r="AP54" s="12"/>
    </row>
    <row r="55" spans="1:42" ht="15" x14ac:dyDescent="0.2">
      <c r="A55" s="8" t="s">
        <v>42</v>
      </c>
      <c r="B55" s="9" t="s">
        <v>43</v>
      </c>
      <c r="C55" s="9">
        <v>750</v>
      </c>
      <c r="D55" s="9" t="s">
        <v>44</v>
      </c>
      <c r="E55" s="9">
        <v>47</v>
      </c>
      <c r="F55" s="9" t="s">
        <v>191</v>
      </c>
      <c r="G55" s="9" t="s">
        <v>46</v>
      </c>
      <c r="H55" s="9" t="s">
        <v>47</v>
      </c>
      <c r="I55" s="9" t="s">
        <v>85</v>
      </c>
      <c r="J55" s="9" t="s">
        <v>192</v>
      </c>
      <c r="K55" s="9" t="s">
        <v>191</v>
      </c>
      <c r="L55" s="10" t="s">
        <v>191</v>
      </c>
      <c r="M55" s="9" t="s">
        <v>51</v>
      </c>
      <c r="N55" s="9">
        <v>360</v>
      </c>
      <c r="O55" s="9">
        <v>20</v>
      </c>
      <c r="P55" s="9">
        <v>222</v>
      </c>
      <c r="Q55" s="9">
        <v>242</v>
      </c>
      <c r="R55" s="9">
        <v>1</v>
      </c>
      <c r="S55" s="9">
        <v>-8.1584690000000002</v>
      </c>
      <c r="T55" s="9">
        <v>117.72735299999999</v>
      </c>
      <c r="U55" s="9" t="s">
        <v>52</v>
      </c>
      <c r="V55" s="11" t="str">
        <f>VLOOKUP(L55,'[1]singkron data'!D:E,2,FALSE)</f>
        <v>PT. Lesindo Bersinar (menengah)</v>
      </c>
      <c r="W55" s="13">
        <f>VLOOKUP(L55,'[1]update tim 2'!D:F,3,FALSE)</f>
        <v>2640344000</v>
      </c>
      <c r="X55" s="11" t="s">
        <v>55</v>
      </c>
      <c r="Y55" s="11" t="str">
        <f>VLOOKUP(L55,'[1]singkron data'!D:H,5,FALSE)</f>
        <v>Sumbawa</v>
      </c>
      <c r="Z55" s="11" t="str">
        <f>VLOOKUP(L55,'[1]singkron data'!D:I,6,FALSE)</f>
        <v>Online</v>
      </c>
      <c r="AA55" s="11" t="str">
        <f>VLOOKUP(L55,'[1]singkron data'!D:L,9,FALSE)</f>
        <v>082146481844/aris</v>
      </c>
      <c r="AB55" s="11" t="s">
        <v>54</v>
      </c>
      <c r="AC55" s="11" t="str">
        <f>VLOOKUP(L55,'[1]singkron data'!D:M,10,FALSE)</f>
        <v>TK</v>
      </c>
      <c r="AD55" s="11" t="str">
        <f>VLOOKUP(L55,'[1]data 1129'!F:O,10,FALSE)</f>
        <v>Tahap II 146</v>
      </c>
      <c r="AE55" s="11">
        <f>VLOOKUP(L55,'[1]singkron data'!D:P,13,FALSE)</f>
        <v>0</v>
      </c>
      <c r="AF55" s="11" t="s">
        <v>55</v>
      </c>
      <c r="AG55" s="11" t="e">
        <f>VLOOKUP(L55,'[1]update kontrak'!E:K,6,FALSE)</f>
        <v>#N/A</v>
      </c>
      <c r="AH55" s="11" t="e">
        <f>VLOOKUP(L55,'[1]update kontrak'!E:K,7,FALSE)</f>
        <v>#N/A</v>
      </c>
      <c r="AI55" s="11" t="s">
        <v>58</v>
      </c>
      <c r="AJ55" s="11" t="str">
        <f>VLOOKUP(L55,[1]rekap!D:M,1,FALSE)</f>
        <v>Nangamiro</v>
      </c>
      <c r="AK55" s="11" t="str">
        <f>VLOOKUP(L55,'[1]singkron data'!D:E,2,FALSE)</f>
        <v>PT. Lesindo Bersinar (menengah)</v>
      </c>
      <c r="AL55" s="11" t="str">
        <f>VLOOKUP(L55,'[1]update 521'!D:D,1,FALSE)</f>
        <v>Nangamiro</v>
      </c>
      <c r="AM55" s="11" t="s">
        <v>57</v>
      </c>
      <c r="AN55" s="11" t="e">
        <f>VLOOKUP(L55,[1]Sheet19!E:L,8,FALSE)</f>
        <v>#N/A</v>
      </c>
      <c r="AO55" s="11" t="s">
        <v>58</v>
      </c>
      <c r="AP55" s="12"/>
    </row>
    <row r="56" spans="1:42" ht="15" x14ac:dyDescent="0.2">
      <c r="A56" s="8" t="s">
        <v>42</v>
      </c>
      <c r="B56" s="9" t="s">
        <v>43</v>
      </c>
      <c r="C56" s="9">
        <v>781</v>
      </c>
      <c r="D56" s="9" t="s">
        <v>44</v>
      </c>
      <c r="E56" s="9">
        <v>78</v>
      </c>
      <c r="F56" s="9" t="s">
        <v>193</v>
      </c>
      <c r="G56" s="9" t="s">
        <v>74</v>
      </c>
      <c r="H56" s="9" t="s">
        <v>47</v>
      </c>
      <c r="I56" s="9" t="s">
        <v>194</v>
      </c>
      <c r="J56" s="9" t="s">
        <v>195</v>
      </c>
      <c r="K56" s="9" t="s">
        <v>193</v>
      </c>
      <c r="L56" s="10" t="s">
        <v>193</v>
      </c>
      <c r="M56" s="9" t="s">
        <v>51</v>
      </c>
      <c r="N56" s="9">
        <v>432</v>
      </c>
      <c r="O56" s="9">
        <v>30</v>
      </c>
      <c r="P56" s="9">
        <v>39</v>
      </c>
      <c r="Q56" s="9">
        <v>69</v>
      </c>
      <c r="R56" s="9">
        <v>2.2999999999999998</v>
      </c>
      <c r="S56" s="9">
        <v>-8.5322669999999992</v>
      </c>
      <c r="T56" s="9">
        <v>121.330716</v>
      </c>
      <c r="U56" s="9" t="s">
        <v>52</v>
      </c>
      <c r="V56" s="11" t="s">
        <v>196</v>
      </c>
      <c r="W56" s="11"/>
      <c r="X56" s="11"/>
      <c r="Y56" s="11" t="str">
        <f>VLOOKUP(L56,'[1]singkron data'!D:H,5,FALSE)</f>
        <v>Bandung</v>
      </c>
      <c r="Z56" s="11" t="str">
        <f>VLOOKUP(L56,'[1]singkron data'!D:I,6,FALSE)</f>
        <v>Online</v>
      </c>
      <c r="AA56" s="11" t="s">
        <v>197</v>
      </c>
      <c r="AB56" s="11" t="s">
        <v>54</v>
      </c>
      <c r="AC56" s="11" t="str">
        <f>VLOOKUP(L56,'[1]singkron data'!D:M,10,FALSE)</f>
        <v>Gal-Angga</v>
      </c>
      <c r="AD56" s="11" t="str">
        <f>VLOOKUP(L56,'[1]data 1129'!F:O,10,FALSE)</f>
        <v>Tahap III 166</v>
      </c>
      <c r="AE56" s="11">
        <f>VLOOKUP(L56,'[1]singkron data'!D:P,13,FALSE)</f>
        <v>0</v>
      </c>
      <c r="AF56" s="11" t="s">
        <v>55</v>
      </c>
      <c r="AG56" s="11" t="e">
        <f>VLOOKUP(L56,'[1]update kontrak'!E:K,6,FALSE)</f>
        <v>#N/A</v>
      </c>
      <c r="AH56" s="11" t="e">
        <f>VLOOKUP(L56,'[1]update kontrak'!E:K,7,FALSE)</f>
        <v>#N/A</v>
      </c>
      <c r="AI56" s="11"/>
      <c r="AJ56" s="11" t="str">
        <f>VLOOKUP(L56,[1]rekap!D:M,1,FALSE)</f>
        <v>Nangadhero</v>
      </c>
      <c r="AK56" s="11" t="str">
        <f>VLOOKUP(L56,'[1]singkron data'!D:E,2,FALSE)</f>
        <v>PT. Rajasa Nusa Jaya</v>
      </c>
      <c r="AL56" s="11" t="str">
        <f>VLOOKUP(L56,'[1]update 521'!D:D,1,FALSE)</f>
        <v>Nangadhero</v>
      </c>
      <c r="AM56" s="11" t="s">
        <v>96</v>
      </c>
      <c r="AN56" s="11" t="e">
        <f>VLOOKUP(L56,[1]Sheet19!E:L,8,FALSE)</f>
        <v>#N/A</v>
      </c>
      <c r="AO56" s="11" t="e">
        <f>VLOOKUP(L56,[1]Sheet19!E:K,7,FALSE)</f>
        <v>#N/A</v>
      </c>
      <c r="AP56" s="12"/>
    </row>
    <row r="57" spans="1:42" ht="15" x14ac:dyDescent="0.2">
      <c r="A57" s="8" t="s">
        <v>42</v>
      </c>
      <c r="B57" s="9" t="s">
        <v>43</v>
      </c>
      <c r="C57" s="9">
        <v>769</v>
      </c>
      <c r="D57" s="9" t="s">
        <v>44</v>
      </c>
      <c r="E57" s="9">
        <v>66</v>
      </c>
      <c r="F57" s="9" t="s">
        <v>198</v>
      </c>
      <c r="G57" s="9" t="s">
        <v>74</v>
      </c>
      <c r="H57" s="9" t="s">
        <v>47</v>
      </c>
      <c r="I57" s="9" t="s">
        <v>199</v>
      </c>
      <c r="J57" s="9" t="s">
        <v>200</v>
      </c>
      <c r="K57" s="9" t="s">
        <v>201</v>
      </c>
      <c r="L57" s="10" t="s">
        <v>201</v>
      </c>
      <c r="M57" s="9" t="s">
        <v>81</v>
      </c>
      <c r="N57" s="9">
        <v>340</v>
      </c>
      <c r="O57" s="9">
        <v>5</v>
      </c>
      <c r="P57" s="9">
        <v>138</v>
      </c>
      <c r="Q57" s="9">
        <v>143</v>
      </c>
      <c r="R57" s="9">
        <v>1</v>
      </c>
      <c r="S57" s="9">
        <v>-9.6422950000000007</v>
      </c>
      <c r="T57" s="9">
        <v>120.48488399999999</v>
      </c>
      <c r="U57" s="9" t="s">
        <v>52</v>
      </c>
      <c r="V57" s="11" t="str">
        <f>VLOOKUP(L57,'[1]singkron data'!D:E,2,FALSE)</f>
        <v>PT. Assala Karya Perkasa (Menengah)</v>
      </c>
      <c r="W57" s="11"/>
      <c r="X57" s="11"/>
      <c r="Y57" s="11" t="str">
        <f>VLOOKUP(L57,'[1]singkron data'!D:H,5,FALSE)</f>
        <v>Sumba Timur</v>
      </c>
      <c r="Z57" s="11" t="str">
        <f>VLOOKUP(L57,'[1]singkron data'!D:I,6,FALSE)</f>
        <v>Online</v>
      </c>
      <c r="AA57" s="11" t="str">
        <f>VLOOKUP(L57,'[1]singkron data'!D:L,9,FALSE)</f>
        <v>081293305027/iqbal</v>
      </c>
      <c r="AB57" s="11" t="s">
        <v>54</v>
      </c>
      <c r="AC57" s="11" t="str">
        <f>VLOOKUP(L57,'[1]singkron data'!D:M,10,FALSE)</f>
        <v>Iqbal/AM</v>
      </c>
      <c r="AD57" s="11" t="str">
        <f>VLOOKUP(L57,'[1]data 1129'!F:O,10,FALSE)</f>
        <v>Tahap III 166</v>
      </c>
      <c r="AE57" s="11">
        <f>VLOOKUP(L57,'[1]singkron data'!D:P,13,FALSE)</f>
        <v>0</v>
      </c>
      <c r="AF57" s="11" t="s">
        <v>55</v>
      </c>
      <c r="AG57" s="11" t="e">
        <f>VLOOKUP(L57,'[1]update kontrak'!E:K,6,FALSE)</f>
        <v>#N/A</v>
      </c>
      <c r="AH57" s="11" t="e">
        <f>VLOOKUP(L57,'[1]update kontrak'!E:K,7,FALSE)</f>
        <v>#N/A</v>
      </c>
      <c r="AI57" s="11"/>
      <c r="AJ57" s="11" t="str">
        <f>VLOOKUP(L57,[1]rekap!D:M,1,FALSE)</f>
        <v>Palaka Hembi</v>
      </c>
      <c r="AK57" s="11" t="str">
        <f>VLOOKUP(L57,'[1]singkron data'!D:E,2,FALSE)</f>
        <v>PT. Assala Karya Perkasa (Menengah)</v>
      </c>
      <c r="AL57" s="11" t="str">
        <f>VLOOKUP(L57,'[1]update 521'!D:D,1,FALSE)</f>
        <v>Palaka Hembi</v>
      </c>
      <c r="AM57" s="11" t="s">
        <v>96</v>
      </c>
      <c r="AN57" s="11" t="e">
        <f>VLOOKUP(L57,[1]Sheet19!E:L,8,FALSE)</f>
        <v>#N/A</v>
      </c>
      <c r="AO57" s="11" t="e">
        <f>VLOOKUP(L57,[1]Sheet19!E:K,7,FALSE)</f>
        <v>#N/A</v>
      </c>
      <c r="AP57" s="12"/>
    </row>
    <row r="58" spans="1:42" ht="15" x14ac:dyDescent="0.2">
      <c r="A58" s="8" t="s">
        <v>42</v>
      </c>
      <c r="B58" s="9" t="s">
        <v>43</v>
      </c>
      <c r="C58" s="9">
        <v>770</v>
      </c>
      <c r="D58" s="9" t="s">
        <v>44</v>
      </c>
      <c r="E58" s="9">
        <v>67</v>
      </c>
      <c r="F58" s="9" t="s">
        <v>198</v>
      </c>
      <c r="G58" s="9" t="s">
        <v>74</v>
      </c>
      <c r="H58" s="9" t="s">
        <v>47</v>
      </c>
      <c r="I58" s="9" t="s">
        <v>199</v>
      </c>
      <c r="J58" s="9" t="s">
        <v>202</v>
      </c>
      <c r="K58" s="9" t="s">
        <v>203</v>
      </c>
      <c r="L58" s="10" t="s">
        <v>203</v>
      </c>
      <c r="M58" s="9" t="s">
        <v>51</v>
      </c>
      <c r="N58" s="9">
        <v>134</v>
      </c>
      <c r="O58" s="9">
        <v>104</v>
      </c>
      <c r="P58" s="9">
        <v>30</v>
      </c>
      <c r="Q58" s="9">
        <v>134</v>
      </c>
      <c r="R58" s="9">
        <v>1</v>
      </c>
      <c r="S58" s="9">
        <v>-9.65</v>
      </c>
      <c r="T58" s="9">
        <v>120.2424</v>
      </c>
      <c r="U58" s="9" t="s">
        <v>52</v>
      </c>
      <c r="V58" s="11" t="str">
        <f>VLOOKUP(L58,'[1]singkron data'!D:E,2,FALSE)</f>
        <v>PT. Assala Karya Perkasa (Menengah)</v>
      </c>
      <c r="W58" s="11"/>
      <c r="X58" s="11"/>
      <c r="Y58" s="11" t="str">
        <f>VLOOKUP(L58,'[1]singkron data'!D:H,5,FALSE)</f>
        <v>Sumba Timur</v>
      </c>
      <c r="Z58" s="11" t="str">
        <f>VLOOKUP(L58,'[1]singkron data'!D:I,6,FALSE)</f>
        <v>Online</v>
      </c>
      <c r="AA58" s="11" t="str">
        <f>VLOOKUP(L58,'[1]singkron data'!D:L,9,FALSE)</f>
        <v>081293305027/iqbal</v>
      </c>
      <c r="AB58" s="11" t="s">
        <v>54</v>
      </c>
      <c r="AC58" s="11" t="str">
        <f>VLOOKUP(L58,'[1]singkron data'!D:M,10,FALSE)</f>
        <v>Iqbal/AM</v>
      </c>
      <c r="AD58" s="11" t="str">
        <f>VLOOKUP(L58,'[1]data 1129'!F:O,10,FALSE)</f>
        <v>Tahap III 166</v>
      </c>
      <c r="AE58" s="11">
        <f>VLOOKUP(L58,'[1]singkron data'!D:P,13,FALSE)</f>
        <v>0</v>
      </c>
      <c r="AF58" s="11" t="s">
        <v>55</v>
      </c>
      <c r="AG58" s="11" t="e">
        <f>VLOOKUP(L58,'[1]update kontrak'!E:K,6,FALSE)</f>
        <v>#N/A</v>
      </c>
      <c r="AH58" s="11" t="e">
        <f>VLOOKUP(L58,'[1]update kontrak'!E:K,7,FALSE)</f>
        <v>#N/A</v>
      </c>
      <c r="AI58" s="11"/>
      <c r="AJ58" s="11" t="str">
        <f>VLOOKUP(L58,[1]rekap!D:M,1,FALSE)</f>
        <v>Temu</v>
      </c>
      <c r="AK58" s="11" t="str">
        <f>VLOOKUP(L58,'[1]singkron data'!D:E,2,FALSE)</f>
        <v>PT. Assala Karya Perkasa (Menengah)</v>
      </c>
      <c r="AL58" s="11" t="str">
        <f>VLOOKUP(L58,'[1]update 521'!D:D,1,FALSE)</f>
        <v>Temu</v>
      </c>
      <c r="AM58" s="11" t="s">
        <v>96</v>
      </c>
      <c r="AN58" s="11" t="e">
        <f>VLOOKUP(L58,[1]Sheet19!E:L,8,FALSE)</f>
        <v>#N/A</v>
      </c>
      <c r="AO58" s="11" t="e">
        <f>VLOOKUP(L58,[1]Sheet19!E:K,7,FALSE)</f>
        <v>#N/A</v>
      </c>
      <c r="AP58" s="12"/>
    </row>
    <row r="59" spans="1:42" ht="15" x14ac:dyDescent="0.2">
      <c r="A59" s="8" t="s">
        <v>42</v>
      </c>
      <c r="B59" s="9" t="s">
        <v>43</v>
      </c>
      <c r="C59" s="9">
        <v>771</v>
      </c>
      <c r="D59" s="9" t="s">
        <v>44</v>
      </c>
      <c r="E59" s="9">
        <v>68</v>
      </c>
      <c r="F59" s="9" t="s">
        <v>198</v>
      </c>
      <c r="G59" s="9" t="s">
        <v>74</v>
      </c>
      <c r="H59" s="9" t="s">
        <v>47</v>
      </c>
      <c r="I59" s="9" t="s">
        <v>199</v>
      </c>
      <c r="J59" s="9" t="s">
        <v>204</v>
      </c>
      <c r="K59" s="9" t="s">
        <v>205</v>
      </c>
      <c r="L59" s="10" t="s">
        <v>205</v>
      </c>
      <c r="M59" s="9" t="s">
        <v>51</v>
      </c>
      <c r="N59" s="9">
        <v>112</v>
      </c>
      <c r="O59" s="9">
        <v>10</v>
      </c>
      <c r="P59" s="9">
        <v>15</v>
      </c>
      <c r="Q59" s="9">
        <v>25</v>
      </c>
      <c r="R59" s="9">
        <v>2.1</v>
      </c>
      <c r="S59" s="9">
        <v>-9.3960699999999999</v>
      </c>
      <c r="T59" s="9">
        <v>120.02599600000001</v>
      </c>
      <c r="U59" s="9" t="s">
        <v>52</v>
      </c>
      <c r="V59" s="11" t="str">
        <f>VLOOKUP(L59,'[1]singkron data'!D:E,2,FALSE)</f>
        <v>PT. Assala Karya Perkasa (Menengah)</v>
      </c>
      <c r="W59" s="11"/>
      <c r="X59" s="11"/>
      <c r="Y59" s="11" t="str">
        <f>VLOOKUP(L59,'[1]singkron data'!D:H,5,FALSE)</f>
        <v>Sumba Timur</v>
      </c>
      <c r="Z59" s="11" t="str">
        <f>VLOOKUP(L59,'[1]singkron data'!D:I,6,FALSE)</f>
        <v>Online</v>
      </c>
      <c r="AA59" s="11" t="str">
        <f>VLOOKUP(L59,'[1]singkron data'!D:L,9,FALSE)</f>
        <v>081293305027/iqbal</v>
      </c>
      <c r="AB59" s="11" t="s">
        <v>54</v>
      </c>
      <c r="AC59" s="11" t="str">
        <f>VLOOKUP(L59,'[1]singkron data'!D:M,10,FALSE)</f>
        <v>Iqbal/AM</v>
      </c>
      <c r="AD59" s="11" t="str">
        <f>VLOOKUP(L59,'[1]data 1129'!F:O,10,FALSE)</f>
        <v>Tahap III 166</v>
      </c>
      <c r="AE59" s="11">
        <f>VLOOKUP(L59,'[1]singkron data'!D:P,13,FALSE)</f>
        <v>0</v>
      </c>
      <c r="AF59" s="11" t="s">
        <v>55</v>
      </c>
      <c r="AG59" s="11" t="e">
        <f>VLOOKUP(L59,'[1]update kontrak'!E:K,6,FALSE)</f>
        <v>#N/A</v>
      </c>
      <c r="AH59" s="11" t="e">
        <f>VLOOKUP(L59,'[1]update kontrak'!E:K,7,FALSE)</f>
        <v>#N/A</v>
      </c>
      <c r="AI59" s="11"/>
      <c r="AJ59" s="11" t="str">
        <f>VLOOKUP(L59,[1]rekap!D:M,1,FALSE)</f>
        <v>Kadahang</v>
      </c>
      <c r="AK59" s="11" t="str">
        <f>VLOOKUP(L59,'[1]singkron data'!D:E,2,FALSE)</f>
        <v>PT. Assala Karya Perkasa (Menengah)</v>
      </c>
      <c r="AL59" s="11" t="str">
        <f>VLOOKUP(L59,'[1]update 521'!D:D,1,FALSE)</f>
        <v>Kadahang</v>
      </c>
      <c r="AM59" s="11" t="s">
        <v>96</v>
      </c>
      <c r="AN59" s="11" t="e">
        <f>VLOOKUP(L59,[1]Sheet19!E:L,8,FALSE)</f>
        <v>#N/A</v>
      </c>
      <c r="AO59" s="11" t="e">
        <f>VLOOKUP(L59,[1]Sheet19!E:K,7,FALSE)</f>
        <v>#N/A</v>
      </c>
      <c r="AP59" s="12"/>
    </row>
    <row r="60" spans="1:42" ht="15" x14ac:dyDescent="0.2">
      <c r="A60" s="8" t="s">
        <v>42</v>
      </c>
      <c r="B60" s="9" t="s">
        <v>43</v>
      </c>
      <c r="C60" s="9">
        <v>772</v>
      </c>
      <c r="D60" s="9" t="s">
        <v>44</v>
      </c>
      <c r="E60" s="9">
        <v>69</v>
      </c>
      <c r="F60" s="9" t="s">
        <v>198</v>
      </c>
      <c r="G60" s="9" t="s">
        <v>74</v>
      </c>
      <c r="H60" s="9" t="s">
        <v>47</v>
      </c>
      <c r="I60" s="9" t="s">
        <v>199</v>
      </c>
      <c r="J60" s="9" t="s">
        <v>206</v>
      </c>
      <c r="K60" s="9" t="s">
        <v>207</v>
      </c>
      <c r="L60" s="10" t="s">
        <v>207</v>
      </c>
      <c r="M60" s="9" t="s">
        <v>51</v>
      </c>
      <c r="N60" s="9">
        <v>412</v>
      </c>
      <c r="O60" s="9">
        <v>32</v>
      </c>
      <c r="P60" s="9">
        <v>13</v>
      </c>
      <c r="Q60" s="9">
        <v>45</v>
      </c>
      <c r="R60" s="9">
        <v>2.2999999999999998</v>
      </c>
      <c r="S60" s="9">
        <v>-9.7844789999999993</v>
      </c>
      <c r="T60" s="9">
        <v>120.607584</v>
      </c>
      <c r="U60" s="9" t="s">
        <v>52</v>
      </c>
      <c r="V60" s="11" t="str">
        <f>VLOOKUP(L60,'[1]singkron data'!D:E,2,FALSE)</f>
        <v>PT. Assala Karya Perkasa (Menengah)</v>
      </c>
      <c r="W60" s="11"/>
      <c r="X60" s="11"/>
      <c r="Y60" s="11" t="str">
        <f>VLOOKUP(L60,'[1]singkron data'!D:H,5,FALSE)</f>
        <v>Sumba Timur</v>
      </c>
      <c r="Z60" s="11" t="str">
        <f>VLOOKUP(L60,'[1]singkron data'!D:I,6,FALSE)</f>
        <v>Online</v>
      </c>
      <c r="AA60" s="11" t="str">
        <f>VLOOKUP(L60,'[1]singkron data'!D:L,9,FALSE)</f>
        <v>081293305027/iqbal</v>
      </c>
      <c r="AB60" s="11" t="s">
        <v>54</v>
      </c>
      <c r="AC60" s="11" t="str">
        <f>VLOOKUP(L60,'[1]singkron data'!D:M,10,FALSE)</f>
        <v>Iqbal/AM</v>
      </c>
      <c r="AD60" s="11" t="str">
        <f>VLOOKUP(L60,'[1]data 1129'!F:O,10,FALSE)</f>
        <v>Tahap III 166</v>
      </c>
      <c r="AE60" s="11">
        <f>VLOOKUP(L60,'[1]singkron data'!D:P,13,FALSE)</f>
        <v>0</v>
      </c>
      <c r="AF60" s="11" t="s">
        <v>55</v>
      </c>
      <c r="AG60" s="11" t="e">
        <f>VLOOKUP(L60,'[1]update kontrak'!E:K,6,FALSE)</f>
        <v>#N/A</v>
      </c>
      <c r="AH60" s="11" t="e">
        <f>VLOOKUP(L60,'[1]update kontrak'!E:K,7,FALSE)</f>
        <v>#N/A</v>
      </c>
      <c r="AI60" s="11"/>
      <c r="AJ60" s="11" t="str">
        <f>VLOOKUP(L60,[1]rekap!D:M,1,FALSE)</f>
        <v>Wanga</v>
      </c>
      <c r="AK60" s="11" t="str">
        <f>VLOOKUP(L60,'[1]singkron data'!D:E,2,FALSE)</f>
        <v>PT. Assala Karya Perkasa (Menengah)</v>
      </c>
      <c r="AL60" s="11" t="str">
        <f>VLOOKUP(L60,'[1]update 521'!D:D,1,FALSE)</f>
        <v>Wanga</v>
      </c>
      <c r="AM60" s="11" t="s">
        <v>96</v>
      </c>
      <c r="AN60" s="11" t="e">
        <f>VLOOKUP(L60,[1]Sheet19!E:L,8,FALSE)</f>
        <v>#N/A</v>
      </c>
      <c r="AO60" s="11" t="e">
        <f>VLOOKUP(L60,[1]Sheet19!E:K,7,FALSE)</f>
        <v>#N/A</v>
      </c>
      <c r="AP60" s="12"/>
    </row>
    <row r="61" spans="1:42" ht="15" x14ac:dyDescent="0.2">
      <c r="A61" s="8" t="s">
        <v>42</v>
      </c>
      <c r="B61" s="9" t="s">
        <v>43</v>
      </c>
      <c r="C61" s="9">
        <v>757</v>
      </c>
      <c r="D61" s="9" t="s">
        <v>44</v>
      </c>
      <c r="E61" s="9">
        <v>54</v>
      </c>
      <c r="F61" s="9" t="s">
        <v>208</v>
      </c>
      <c r="G61" s="9" t="s">
        <v>74</v>
      </c>
      <c r="H61" s="9" t="s">
        <v>47</v>
      </c>
      <c r="I61" s="9" t="s">
        <v>209</v>
      </c>
      <c r="J61" s="9" t="s">
        <v>210</v>
      </c>
      <c r="K61" s="9" t="s">
        <v>208</v>
      </c>
      <c r="L61" s="10" t="s">
        <v>208</v>
      </c>
      <c r="M61" s="9" t="s">
        <v>81</v>
      </c>
      <c r="N61" s="9">
        <v>1560</v>
      </c>
      <c r="O61" s="9">
        <v>30</v>
      </c>
      <c r="P61" s="9">
        <v>229</v>
      </c>
      <c r="Q61" s="9">
        <v>259</v>
      </c>
      <c r="R61" s="9">
        <v>3</v>
      </c>
      <c r="S61" s="9">
        <v>-10.60083</v>
      </c>
      <c r="T61" s="9">
        <v>123.377011</v>
      </c>
      <c r="U61" s="9" t="s">
        <v>52</v>
      </c>
      <c r="V61" s="11" t="str">
        <f>VLOOKUP(L61,'[1]singkron data'!D:E,2,FALSE)</f>
        <v>PT. Aulia Berlian Konstruksi (Menengah)</v>
      </c>
      <c r="W61" s="13">
        <f>VLOOKUP(L61,'[1]update tim 2'!D:F,3,FALSE)</f>
        <v>4957927000</v>
      </c>
      <c r="X61" s="11" t="s">
        <v>55</v>
      </c>
      <c r="Y61" s="11" t="str">
        <f>VLOOKUP(L61,'[1]singkron data'!D:H,5,FALSE)</f>
        <v>Ende</v>
      </c>
      <c r="Z61" s="11">
        <f>VLOOKUP(L61,'[1]singkron data'!D:I,6,FALSE)</f>
        <v>0</v>
      </c>
      <c r="AA61" s="11" t="str">
        <f>VLOOKUP(L61,'[1]singkron data'!D:L,9,FALSE)</f>
        <v>081293305027/iqbal</v>
      </c>
      <c r="AB61" s="11" t="s">
        <v>54</v>
      </c>
      <c r="AC61" s="11" t="str">
        <f>VLOOKUP(L61,'[1]singkron data'!D:M,10,FALSE)</f>
        <v>Iqbal/AM</v>
      </c>
      <c r="AD61" s="11" t="str">
        <f>VLOOKUP(L61,'[1]data 1129'!F:O,10,FALSE)</f>
        <v>Tahap III 166</v>
      </c>
      <c r="AE61" s="11">
        <f>VLOOKUP(L61,'[1]singkron data'!D:P,13,FALSE)</f>
        <v>0</v>
      </c>
      <c r="AF61" s="11" t="s">
        <v>55</v>
      </c>
      <c r="AG61" s="11" t="e">
        <f>VLOOKUP(L61,'[1]update kontrak'!E:K,6,FALSE)</f>
        <v>#N/A</v>
      </c>
      <c r="AH61" s="11" t="e">
        <f>VLOOKUP(L61,'[1]update kontrak'!E:K,7,FALSE)</f>
        <v>#N/A</v>
      </c>
      <c r="AI61" s="11"/>
      <c r="AJ61" s="11" t="str">
        <f>VLOOKUP(L61,[1]rekap!D:M,1,FALSE)</f>
        <v>Papela</v>
      </c>
      <c r="AK61" s="11" t="str">
        <f>VLOOKUP(L61,'[1]singkron data'!D:E,2,FALSE)</f>
        <v>PT. Aulia Berlian Konstruksi (Menengah)</v>
      </c>
      <c r="AL61" s="11" t="str">
        <f>VLOOKUP(L61,'[1]update 521'!D:D,1,FALSE)</f>
        <v>Papela</v>
      </c>
      <c r="AM61" s="11" t="s">
        <v>57</v>
      </c>
      <c r="AN61" s="11" t="e">
        <f>VLOOKUP(L61,[1]Sheet19!E:L,8,FALSE)</f>
        <v>#N/A</v>
      </c>
      <c r="AO61" s="11" t="s">
        <v>58</v>
      </c>
      <c r="AP61" s="12"/>
    </row>
    <row r="62" spans="1:42" ht="15" x14ac:dyDescent="0.2">
      <c r="A62" s="8" t="s">
        <v>42</v>
      </c>
      <c r="B62" s="9" t="s">
        <v>43</v>
      </c>
      <c r="C62" s="9">
        <v>758</v>
      </c>
      <c r="D62" s="9" t="s">
        <v>44</v>
      </c>
      <c r="E62" s="9">
        <v>55</v>
      </c>
      <c r="F62" s="9" t="s">
        <v>208</v>
      </c>
      <c r="G62" s="9" t="s">
        <v>74</v>
      </c>
      <c r="H62" s="9" t="s">
        <v>47</v>
      </c>
      <c r="I62" s="9" t="s">
        <v>209</v>
      </c>
      <c r="J62" s="9" t="s">
        <v>211</v>
      </c>
      <c r="K62" s="9" t="s">
        <v>212</v>
      </c>
      <c r="L62" s="10" t="s">
        <v>212</v>
      </c>
      <c r="M62" s="9" t="s">
        <v>51</v>
      </c>
      <c r="N62" s="9">
        <v>150</v>
      </c>
      <c r="O62" s="9">
        <v>50</v>
      </c>
      <c r="P62" s="9">
        <v>100</v>
      </c>
      <c r="Q62" s="9">
        <v>150</v>
      </c>
      <c r="R62" s="9">
        <v>1</v>
      </c>
      <c r="S62" s="9">
        <v>-10.605399</v>
      </c>
      <c r="T62" s="9">
        <v>123.190178</v>
      </c>
      <c r="U62" s="9" t="s">
        <v>52</v>
      </c>
      <c r="V62" s="11" t="str">
        <f>VLOOKUP(L62,'[1]singkron data'!D:E,2,FALSE)</f>
        <v>PT. Aulia Berlian Konstruksi (Menengah)</v>
      </c>
      <c r="W62" s="13">
        <f>VLOOKUP(L62,'[1]update tim 2'!D:F,3,FALSE)</f>
        <v>10176472000</v>
      </c>
      <c r="X62" s="11" t="s">
        <v>55</v>
      </c>
      <c r="Y62" s="11" t="str">
        <f>VLOOKUP(L62,'[1]singkron data'!D:H,5,FALSE)</f>
        <v>Ende</v>
      </c>
      <c r="Z62" s="11">
        <f>VLOOKUP(L62,'[1]singkron data'!D:I,6,FALSE)</f>
        <v>0</v>
      </c>
      <c r="AA62" s="11" t="str">
        <f>VLOOKUP(L62,'[1]singkron data'!D:L,9,FALSE)</f>
        <v>081293305027/iqbal</v>
      </c>
      <c r="AB62" s="11" t="s">
        <v>54</v>
      </c>
      <c r="AC62" s="11" t="str">
        <f>VLOOKUP(L62,'[1]singkron data'!D:M,10,FALSE)</f>
        <v>Iqbal/AM</v>
      </c>
      <c r="AD62" s="11" t="str">
        <f>VLOOKUP(L62,'[1]data 1129'!F:O,10,FALSE)</f>
        <v>Tahap III 166</v>
      </c>
      <c r="AE62" s="11">
        <f>VLOOKUP(L62,'[1]singkron data'!D:P,13,FALSE)</f>
        <v>0</v>
      </c>
      <c r="AF62" s="11" t="s">
        <v>55</v>
      </c>
      <c r="AG62" s="11" t="e">
        <f>VLOOKUP(L62,'[1]update kontrak'!E:K,6,FALSE)</f>
        <v>#N/A</v>
      </c>
      <c r="AH62" s="11" t="e">
        <f>VLOOKUP(L62,'[1]update kontrak'!E:K,7,FALSE)</f>
        <v>#N/A</v>
      </c>
      <c r="AI62" s="11"/>
      <c r="AJ62" s="11" t="str">
        <f>VLOOKUP(L62,[1]rekap!D:M,1,FALSE)</f>
        <v>Oenggae</v>
      </c>
      <c r="AK62" s="11" t="str">
        <f>VLOOKUP(L62,'[1]singkron data'!D:E,2,FALSE)</f>
        <v>PT. Aulia Berlian Konstruksi (Menengah)</v>
      </c>
      <c r="AL62" s="11" t="str">
        <f>VLOOKUP(L62,'[1]update 521'!D:D,1,FALSE)</f>
        <v>Oenggae</v>
      </c>
      <c r="AM62" s="11" t="s">
        <v>57</v>
      </c>
      <c r="AN62" s="11" t="e">
        <f>VLOOKUP(L62,[1]Sheet19!E:L,8,FALSE)</f>
        <v>#N/A</v>
      </c>
      <c r="AO62" s="11" t="s">
        <v>58</v>
      </c>
      <c r="AP62" s="12"/>
    </row>
    <row r="63" spans="1:42" ht="15" x14ac:dyDescent="0.2">
      <c r="A63" s="8" t="s">
        <v>42</v>
      </c>
      <c r="B63" s="9" t="s">
        <v>43</v>
      </c>
      <c r="C63" s="9">
        <v>746</v>
      </c>
      <c r="D63" s="9" t="s">
        <v>44</v>
      </c>
      <c r="E63" s="9">
        <v>43</v>
      </c>
      <c r="F63" s="9" t="s">
        <v>192</v>
      </c>
      <c r="G63" s="9" t="s">
        <v>46</v>
      </c>
      <c r="H63" s="9" t="s">
        <v>47</v>
      </c>
      <c r="I63" s="9" t="s">
        <v>85</v>
      </c>
      <c r="J63" s="9" t="s">
        <v>192</v>
      </c>
      <c r="K63" s="9" t="s">
        <v>192</v>
      </c>
      <c r="L63" s="10" t="s">
        <v>192</v>
      </c>
      <c r="M63" s="9" t="s">
        <v>51</v>
      </c>
      <c r="N63" s="9">
        <v>211</v>
      </c>
      <c r="O63" s="9">
        <v>7</v>
      </c>
      <c r="P63" s="9">
        <v>269</v>
      </c>
      <c r="Q63" s="9">
        <v>276</v>
      </c>
      <c r="R63" s="9">
        <v>1.1000000000000001</v>
      </c>
      <c r="S63" s="9">
        <v>-8.2480440000000002</v>
      </c>
      <c r="T63" s="9">
        <v>117.719375</v>
      </c>
      <c r="U63" s="9" t="s">
        <v>52</v>
      </c>
      <c r="V63" s="11" t="str">
        <f>VLOOKUP(L63,'[1]singkron data'!D:E,2,FALSE)</f>
        <v>PT. Lesindo Bersinar (menengah)</v>
      </c>
      <c r="W63" s="13">
        <f>VLOOKUP(L63,'[1]update tim 2'!D:F,3,FALSE)</f>
        <v>2718853000</v>
      </c>
      <c r="X63" s="11" t="s">
        <v>55</v>
      </c>
      <c r="Y63" s="11" t="str">
        <f>VLOOKUP(L63,'[1]singkron data'!D:H,5,FALSE)</f>
        <v>Sumbawa</v>
      </c>
      <c r="Z63" s="11" t="str">
        <f>VLOOKUP(L63,'[1]singkron data'!D:I,6,FALSE)</f>
        <v>Online</v>
      </c>
      <c r="AA63" s="11" t="str">
        <f>VLOOKUP(L63,'[1]singkron data'!D:L,9,FALSE)</f>
        <v>082146481844/aris</v>
      </c>
      <c r="AB63" s="11" t="s">
        <v>54</v>
      </c>
      <c r="AC63" s="11" t="str">
        <f>VLOOKUP(L63,'[1]singkron data'!D:M,10,FALSE)</f>
        <v>TK</v>
      </c>
      <c r="AD63" s="11" t="str">
        <f>VLOOKUP(L63,'[1]data 1129'!F:O,10,FALSE)</f>
        <v>Tahap II 146</v>
      </c>
      <c r="AE63" s="11">
        <f>VLOOKUP(L63,'[1]singkron data'!D:P,13,FALSE)</f>
        <v>0</v>
      </c>
      <c r="AF63" s="11" t="s">
        <v>55</v>
      </c>
      <c r="AG63" s="11" t="e">
        <f>VLOOKUP(L63,'[1]update kontrak'!E:K,6,FALSE)</f>
        <v>#N/A</v>
      </c>
      <c r="AH63" s="11" t="e">
        <f>VLOOKUP(L63,'[1]update kontrak'!E:K,7,FALSE)</f>
        <v>#N/A</v>
      </c>
      <c r="AI63" s="11" t="s">
        <v>58</v>
      </c>
      <c r="AJ63" s="11" t="str">
        <f>VLOOKUP(L63,[1]rekap!D:M,1,FALSE)</f>
        <v>Pekat</v>
      </c>
      <c r="AK63" s="11" t="str">
        <f>VLOOKUP(L63,'[1]singkron data'!D:E,2,FALSE)</f>
        <v>PT. Lesindo Bersinar (menengah)</v>
      </c>
      <c r="AL63" s="11" t="str">
        <f>VLOOKUP(L63,'[1]update 521'!D:D,1,FALSE)</f>
        <v>Pekat</v>
      </c>
      <c r="AM63" s="11" t="s">
        <v>57</v>
      </c>
      <c r="AN63" s="11" t="e">
        <f>VLOOKUP(L63,[1]Sheet19!E:L,8,FALSE)</f>
        <v>#N/A</v>
      </c>
      <c r="AO63" s="11" t="s">
        <v>58</v>
      </c>
      <c r="AP63" s="12"/>
    </row>
    <row r="64" spans="1:42" ht="15" x14ac:dyDescent="0.2">
      <c r="A64" s="8" t="s">
        <v>42</v>
      </c>
      <c r="B64" s="9" t="s">
        <v>43</v>
      </c>
      <c r="C64" s="9">
        <v>705</v>
      </c>
      <c r="D64" s="9" t="s">
        <v>44</v>
      </c>
      <c r="E64" s="9">
        <v>2</v>
      </c>
      <c r="F64" s="9" t="s">
        <v>213</v>
      </c>
      <c r="G64" s="9" t="s">
        <v>214</v>
      </c>
      <c r="H64" s="9" t="s">
        <v>47</v>
      </c>
      <c r="I64" s="9" t="s">
        <v>215</v>
      </c>
      <c r="J64" s="9" t="s">
        <v>215</v>
      </c>
      <c r="K64" s="9" t="s">
        <v>216</v>
      </c>
      <c r="L64" s="9" t="s">
        <v>216</v>
      </c>
      <c r="M64" s="9" t="s">
        <v>65</v>
      </c>
      <c r="N64" s="9">
        <v>895</v>
      </c>
      <c r="O64" s="9" t="s">
        <v>72</v>
      </c>
      <c r="P64" s="9">
        <v>824</v>
      </c>
      <c r="Q64" s="9">
        <v>824</v>
      </c>
      <c r="R64" s="9">
        <v>0.3</v>
      </c>
      <c r="S64" s="9">
        <v>-8.4055569999999999</v>
      </c>
      <c r="T64" s="9">
        <v>114.643027</v>
      </c>
      <c r="U64" s="9" t="s">
        <v>52</v>
      </c>
      <c r="V64" s="11" t="str">
        <f>VLOOKUP(L64,'[1]singkron data'!D:E,2,FALSE)</f>
        <v>PT. Sendang Dakara Nusantara</v>
      </c>
      <c r="W64" s="13">
        <f>VLOOKUP(L64,'[1]update tim 2'!D:F,3,FALSE)</f>
        <v>3176685000</v>
      </c>
      <c r="X64" s="11" t="s">
        <v>55</v>
      </c>
      <c r="Y64" s="11" t="str">
        <f>VLOOKUP(L64,'[1]singkron data'!D:H,5,FALSE)</f>
        <v>Badung</v>
      </c>
      <c r="Z64" s="11" t="str">
        <f>VLOOKUP(L64,'[1]singkron data'!D:I,6,FALSE)</f>
        <v>Offline</v>
      </c>
      <c r="AA64" s="11" t="str">
        <f>VLOOKUP(L64,'[1]singkron data'!D:L,9,FALSE)</f>
        <v>082264525818/helmi</v>
      </c>
      <c r="AB64" s="11" t="s">
        <v>54</v>
      </c>
      <c r="AC64" s="11" t="str">
        <f>VLOOKUP(L64,'[1]singkron data'!D:M,10,FALSE)</f>
        <v>g</v>
      </c>
      <c r="AD64" s="11" t="str">
        <f>VLOOKUP(L64,'[1]data 1129'!F:O,10,FALSE)</f>
        <v>Tahap II 146</v>
      </c>
      <c r="AE64" s="11">
        <f>VLOOKUP(L64,'[1]singkron data'!D:P,13,FALSE)</f>
        <v>0</v>
      </c>
      <c r="AF64" s="11" t="s">
        <v>55</v>
      </c>
      <c r="AG64" s="11" t="e">
        <f>VLOOKUP(L64,'[1]update kontrak'!E:K,6,FALSE)</f>
        <v>#N/A</v>
      </c>
      <c r="AH64" s="11" t="e">
        <f>VLOOKUP(L64,'[1]update kontrak'!E:K,7,FALSE)</f>
        <v>#N/A</v>
      </c>
      <c r="AI64" s="11" t="s">
        <v>58</v>
      </c>
      <c r="AJ64" s="11" t="str">
        <f>VLOOKUP(L64,[1]rekap!D:M,1,FALSE)</f>
        <v>Air Kuning</v>
      </c>
      <c r="AK64" s="11" t="str">
        <f>VLOOKUP(L64,'[1]singkron data'!D:E,2,FALSE)</f>
        <v>PT. Sendang Dakara Nusantara</v>
      </c>
      <c r="AL64" s="11" t="str">
        <f>VLOOKUP(L64,'[1]update 521'!D:D,1,FALSE)</f>
        <v>Air Kuning</v>
      </c>
      <c r="AM64" s="11" t="s">
        <v>57</v>
      </c>
      <c r="AN64" s="11" t="e">
        <f>VLOOKUP(L64,[1]Sheet19!E:L,8,FALSE)</f>
        <v>#N/A</v>
      </c>
      <c r="AO64" s="11" t="s">
        <v>58</v>
      </c>
      <c r="AP64" s="12"/>
    </row>
    <row r="65" spans="1:42" ht="15" x14ac:dyDescent="0.2">
      <c r="A65" s="8" t="s">
        <v>42</v>
      </c>
      <c r="B65" s="9" t="s">
        <v>43</v>
      </c>
      <c r="C65" s="9">
        <v>706</v>
      </c>
      <c r="D65" s="9" t="s">
        <v>44</v>
      </c>
      <c r="E65" s="9">
        <v>3</v>
      </c>
      <c r="F65" s="9" t="s">
        <v>213</v>
      </c>
      <c r="G65" s="9" t="s">
        <v>214</v>
      </c>
      <c r="H65" s="9" t="s">
        <v>47</v>
      </c>
      <c r="I65" s="9" t="s">
        <v>217</v>
      </c>
      <c r="J65" s="9" t="s">
        <v>218</v>
      </c>
      <c r="K65" s="9" t="s">
        <v>219</v>
      </c>
      <c r="L65" s="9" t="s">
        <v>219</v>
      </c>
      <c r="M65" s="9" t="s">
        <v>51</v>
      </c>
      <c r="N65" s="9">
        <v>386</v>
      </c>
      <c r="O65" s="9" t="s">
        <v>72</v>
      </c>
      <c r="P65" s="9">
        <v>106</v>
      </c>
      <c r="Q65" s="9">
        <v>106</v>
      </c>
      <c r="R65" s="9">
        <v>1.5</v>
      </c>
      <c r="S65" s="9">
        <v>-8.1375720000000005</v>
      </c>
      <c r="T65" s="9">
        <v>114.599475</v>
      </c>
      <c r="U65" s="9" t="s">
        <v>52</v>
      </c>
      <c r="V65" s="11" t="str">
        <f>VLOOKUP(L65,'[1]singkron data'!D:E,2,FALSE)</f>
        <v>PT. Sendang Dakara Nusantara</v>
      </c>
      <c r="W65" s="13">
        <f>VLOOKUP(L65,'[1]update tim 2'!D:F,3,FALSE)</f>
        <v>2920469000</v>
      </c>
      <c r="X65" s="11" t="s">
        <v>55</v>
      </c>
      <c r="Y65" s="11" t="str">
        <f>VLOOKUP(L65,'[1]singkron data'!D:H,5,FALSE)</f>
        <v>Badung</v>
      </c>
      <c r="Z65" s="11" t="str">
        <f>VLOOKUP(L65,'[1]singkron data'!D:I,6,FALSE)</f>
        <v>Offline</v>
      </c>
      <c r="AA65" s="11" t="str">
        <f>VLOOKUP(L65,'[1]singkron data'!D:L,9,FALSE)</f>
        <v>082264525818/helmi</v>
      </c>
      <c r="AB65" s="11" t="s">
        <v>54</v>
      </c>
      <c r="AC65" s="11" t="str">
        <f>VLOOKUP(L65,'[1]singkron data'!D:M,10,FALSE)</f>
        <v>g</v>
      </c>
      <c r="AD65" s="11" t="str">
        <f>VLOOKUP(L65,'[1]data 1129'!F:O,10,FALSE)</f>
        <v>Tahap II 146</v>
      </c>
      <c r="AE65" s="11">
        <f>VLOOKUP(L65,'[1]singkron data'!D:P,13,FALSE)</f>
        <v>0</v>
      </c>
      <c r="AF65" s="11" t="s">
        <v>55</v>
      </c>
      <c r="AG65" s="11" t="e">
        <f>VLOOKUP(L65,'[1]update kontrak'!E:K,6,FALSE)</f>
        <v>#N/A</v>
      </c>
      <c r="AH65" s="11" t="e">
        <f>VLOOKUP(L65,'[1]update kontrak'!E:K,7,FALSE)</f>
        <v>#N/A</v>
      </c>
      <c r="AI65" s="11" t="s">
        <v>58</v>
      </c>
      <c r="AJ65" s="11" t="str">
        <f>VLOOKUP(L65,[1]rekap!D:M,1,FALSE)</f>
        <v>Sumberkima</v>
      </c>
      <c r="AK65" s="11" t="str">
        <f>VLOOKUP(L65,'[1]singkron data'!D:E,2,FALSE)</f>
        <v>PT. Sendang Dakara Nusantara</v>
      </c>
      <c r="AL65" s="11" t="str">
        <f>VLOOKUP(L65,'[1]update 521'!D:D,1,FALSE)</f>
        <v>Sumberkima</v>
      </c>
      <c r="AM65" s="11" t="s">
        <v>57</v>
      </c>
      <c r="AN65" s="11" t="e">
        <f>VLOOKUP(L65,[1]Sheet19!E:L,8,FALSE)</f>
        <v>#N/A</v>
      </c>
      <c r="AO65" s="11" t="s">
        <v>58</v>
      </c>
      <c r="AP65" s="12"/>
    </row>
    <row r="66" spans="1:42" ht="15" x14ac:dyDescent="0.2">
      <c r="A66" s="8" t="s">
        <v>42</v>
      </c>
      <c r="B66" s="9" t="s">
        <v>43</v>
      </c>
      <c r="C66" s="9">
        <v>707</v>
      </c>
      <c r="D66" s="9" t="s">
        <v>44</v>
      </c>
      <c r="E66" s="9">
        <v>4</v>
      </c>
      <c r="F66" s="9" t="s">
        <v>213</v>
      </c>
      <c r="G66" s="9" t="s">
        <v>214</v>
      </c>
      <c r="H66" s="9" t="s">
        <v>47</v>
      </c>
      <c r="I66" s="9" t="s">
        <v>215</v>
      </c>
      <c r="J66" s="9" t="s">
        <v>220</v>
      </c>
      <c r="K66" s="9" t="s">
        <v>221</v>
      </c>
      <c r="L66" s="9" t="s">
        <v>221</v>
      </c>
      <c r="M66" s="9" t="s">
        <v>51</v>
      </c>
      <c r="N66" s="9">
        <v>289</v>
      </c>
      <c r="O66" s="9" t="s">
        <v>72</v>
      </c>
      <c r="P66" s="9">
        <v>112</v>
      </c>
      <c r="Q66" s="9">
        <v>112</v>
      </c>
      <c r="R66" s="9">
        <v>0.2</v>
      </c>
      <c r="S66" s="9">
        <v>-8.3089929999999992</v>
      </c>
      <c r="T66" s="9">
        <v>114.51900999999999</v>
      </c>
      <c r="U66" s="9" t="s">
        <v>52</v>
      </c>
      <c r="V66" s="11" t="str">
        <f>VLOOKUP(L66,'[1]singkron data'!D:E,2,FALSE)</f>
        <v>PT. Sendang Dakara Nusantara</v>
      </c>
      <c r="W66" s="13">
        <f>VLOOKUP(L66,'[1]update tim 2'!D:F,3,FALSE)</f>
        <v>2282293000</v>
      </c>
      <c r="X66" s="11" t="s">
        <v>55</v>
      </c>
      <c r="Y66" s="11" t="str">
        <f>VLOOKUP(L66,'[1]singkron data'!D:H,5,FALSE)</f>
        <v>Badung</v>
      </c>
      <c r="Z66" s="11" t="str">
        <f>VLOOKUP(L66,'[1]singkron data'!D:I,6,FALSE)</f>
        <v>Offline</v>
      </c>
      <c r="AA66" s="11" t="str">
        <f>VLOOKUP(L66,'[1]singkron data'!D:L,9,FALSE)</f>
        <v>082264525818/helmi</v>
      </c>
      <c r="AB66" s="11" t="s">
        <v>54</v>
      </c>
      <c r="AC66" s="11" t="str">
        <f>VLOOKUP(L66,'[1]singkron data'!D:M,10,FALSE)</f>
        <v>g</v>
      </c>
      <c r="AD66" s="11" t="str">
        <f>VLOOKUP(L66,'[1]data 1129'!F:O,10,FALSE)</f>
        <v>Tahap II 146</v>
      </c>
      <c r="AE66" s="11">
        <f>VLOOKUP(L66,'[1]singkron data'!D:P,13,FALSE)</f>
        <v>0</v>
      </c>
      <c r="AF66" s="11" t="s">
        <v>55</v>
      </c>
      <c r="AG66" s="11" t="e">
        <f>VLOOKUP(L66,'[1]update kontrak'!E:K,6,FALSE)</f>
        <v>#N/A</v>
      </c>
      <c r="AH66" s="11" t="e">
        <f>VLOOKUP(L66,'[1]update kontrak'!E:K,7,FALSE)</f>
        <v>#N/A</v>
      </c>
      <c r="AI66" s="11" t="s">
        <v>58</v>
      </c>
      <c r="AJ66" s="11" t="str">
        <f>VLOOKUP(L66,[1]rekap!D:M,1,FALSE)</f>
        <v>Candikusuma</v>
      </c>
      <c r="AK66" s="11" t="str">
        <f>VLOOKUP(L66,'[1]singkron data'!D:E,2,FALSE)</f>
        <v>PT. Sendang Dakara Nusantara</v>
      </c>
      <c r="AL66" s="11" t="str">
        <f>VLOOKUP(L66,'[1]update 521'!D:D,1,FALSE)</f>
        <v>Candikusuma</v>
      </c>
      <c r="AM66" s="11" t="s">
        <v>57</v>
      </c>
      <c r="AN66" s="11" t="e">
        <f>VLOOKUP(L66,[1]Sheet19!E:L,8,FALSE)</f>
        <v>#N/A</v>
      </c>
      <c r="AO66" s="11" t="s">
        <v>58</v>
      </c>
      <c r="AP66" s="12"/>
    </row>
    <row r="67" spans="1:42" ht="15" x14ac:dyDescent="0.2">
      <c r="A67" s="8" t="s">
        <v>42</v>
      </c>
      <c r="B67" s="9" t="s">
        <v>43</v>
      </c>
      <c r="C67" s="9">
        <v>735</v>
      </c>
      <c r="D67" s="9" t="s">
        <v>44</v>
      </c>
      <c r="E67" s="9">
        <v>32</v>
      </c>
      <c r="F67" s="9" t="s">
        <v>222</v>
      </c>
      <c r="G67" s="9" t="s">
        <v>46</v>
      </c>
      <c r="H67" s="9" t="s">
        <v>47</v>
      </c>
      <c r="I67" s="9" t="s">
        <v>48</v>
      </c>
      <c r="J67" s="9" t="s">
        <v>129</v>
      </c>
      <c r="K67" s="9" t="s">
        <v>222</v>
      </c>
      <c r="L67" s="10" t="s">
        <v>222</v>
      </c>
      <c r="M67" s="9" t="s">
        <v>51</v>
      </c>
      <c r="N67" s="9">
        <v>72</v>
      </c>
      <c r="O67" s="9">
        <v>18</v>
      </c>
      <c r="P67" s="9">
        <v>39</v>
      </c>
      <c r="Q67" s="9">
        <v>57</v>
      </c>
      <c r="R67" s="9" t="s">
        <v>223</v>
      </c>
      <c r="S67" s="9">
        <v>-8.3498940000000008</v>
      </c>
      <c r="T67" s="9">
        <v>118.257007</v>
      </c>
      <c r="U67" s="9" t="s">
        <v>52</v>
      </c>
      <c r="V67" s="11" t="str">
        <f>VLOOKUP(L67,'[1]singkron data'!D:E,2,FALSE)</f>
        <v>CV. Terang Globalindo</v>
      </c>
      <c r="W67" s="13">
        <f>VLOOKUP(L67,'[1]update tim 2'!D:F,3,FALSE)</f>
        <v>2939152000</v>
      </c>
      <c r="X67" s="11" t="s">
        <v>55</v>
      </c>
      <c r="Y67" s="11" t="str">
        <f>VLOOKUP(L67,'[1]singkron data'!D:H,5,FALSE)</f>
        <v>Jakarta</v>
      </c>
      <c r="Z67" s="11" t="str">
        <f>VLOOKUP(L67,'[1]singkron data'!D:I,6,FALSE)</f>
        <v>Online</v>
      </c>
      <c r="AA67" s="11" t="str">
        <f>VLOOKUP(L67,'[1]singkron data'!D:L,9,FALSE)</f>
        <v>081236590774/ jeffry</v>
      </c>
      <c r="AB67" s="11" t="s">
        <v>54</v>
      </c>
      <c r="AC67" s="11" t="str">
        <f>VLOOKUP(L67,'[1]singkron data'!D:M,10,FALSE)</f>
        <v>Gal-Angga</v>
      </c>
      <c r="AD67" s="11" t="str">
        <f>VLOOKUP(L67,'[1]data 1129'!F:O,10,FALSE)</f>
        <v>Tahap II 146</v>
      </c>
      <c r="AE67" s="11">
        <f>VLOOKUP(L67,'[1]singkron data'!D:P,13,FALSE)</f>
        <v>0</v>
      </c>
      <c r="AF67" s="11" t="s">
        <v>55</v>
      </c>
      <c r="AG67" s="11" t="e">
        <f>VLOOKUP(L67,'[1]update kontrak'!E:K,6,FALSE)</f>
        <v>#N/A</v>
      </c>
      <c r="AH67" s="11" t="e">
        <f>VLOOKUP(L67,'[1]update kontrak'!E:K,7,FALSE)</f>
        <v>#N/A</v>
      </c>
      <c r="AI67" s="11" t="s">
        <v>58</v>
      </c>
      <c r="AJ67" s="11" t="str">
        <f>VLOOKUP(L67,[1]rekap!D:M,1,FALSE)</f>
        <v>Piong</v>
      </c>
      <c r="AK67" s="11" t="str">
        <f>VLOOKUP(L67,'[1]singkron data'!D:E,2,FALSE)</f>
        <v>CV. Terang Globalindo</v>
      </c>
      <c r="AL67" s="11" t="str">
        <f>VLOOKUP(L67,'[1]update 521'!D:D,1,FALSE)</f>
        <v>Piong</v>
      </c>
      <c r="AM67" s="11" t="s">
        <v>57</v>
      </c>
      <c r="AN67" s="11" t="e">
        <f>VLOOKUP(L67,[1]Sheet19!E:L,8,FALSE)</f>
        <v>#N/A</v>
      </c>
      <c r="AO67" s="11" t="s">
        <v>58</v>
      </c>
      <c r="AP67" s="12"/>
    </row>
    <row r="68" spans="1:42" ht="15" x14ac:dyDescent="0.2">
      <c r="A68" s="8" t="s">
        <v>42</v>
      </c>
      <c r="B68" s="9" t="s">
        <v>43</v>
      </c>
      <c r="C68" s="9">
        <v>785</v>
      </c>
      <c r="D68" s="9" t="s">
        <v>44</v>
      </c>
      <c r="E68" s="9">
        <v>82</v>
      </c>
      <c r="F68" s="9" t="s">
        <v>224</v>
      </c>
      <c r="G68" s="9" t="s">
        <v>74</v>
      </c>
      <c r="H68" s="9" t="s">
        <v>47</v>
      </c>
      <c r="I68" s="9" t="s">
        <v>225</v>
      </c>
      <c r="J68" s="9" t="s">
        <v>226</v>
      </c>
      <c r="K68" s="9" t="s">
        <v>227</v>
      </c>
      <c r="L68" s="10" t="s">
        <v>227</v>
      </c>
      <c r="M68" s="9" t="s">
        <v>51</v>
      </c>
      <c r="N68" s="9">
        <v>335</v>
      </c>
      <c r="O68" s="9">
        <v>20</v>
      </c>
      <c r="P68" s="9">
        <v>41</v>
      </c>
      <c r="Q68" s="9">
        <v>61</v>
      </c>
      <c r="R68" s="9">
        <v>1</v>
      </c>
      <c r="S68" s="9">
        <v>-8.3104878000000006</v>
      </c>
      <c r="T68" s="9">
        <v>120.4910515</v>
      </c>
      <c r="U68" s="9" t="s">
        <v>52</v>
      </c>
      <c r="V68" s="11" t="str">
        <f>VLOOKUP(L68,'[1]singkron data'!D:E,2,FALSE)</f>
        <v>PT. Garsi Jembar Niaga</v>
      </c>
      <c r="W68" s="11"/>
      <c r="X68" s="11"/>
      <c r="Y68" s="11">
        <f>VLOOKUP(L68,'[1]singkron data'!D:H,5,FALSE)</f>
        <v>0</v>
      </c>
      <c r="Z68" s="11" t="str">
        <f>VLOOKUP(L68,'[1]singkron data'!D:I,6,FALSE)</f>
        <v>Offline</v>
      </c>
      <c r="AA68" s="11">
        <f>VLOOKUP(L68,'[1]singkron data'!D:L,9,FALSE)</f>
        <v>0</v>
      </c>
      <c r="AB68" s="11" t="s">
        <v>54</v>
      </c>
      <c r="AC68" s="11" t="str">
        <f>VLOOKUP(L68,'[1]singkron data'!D:M,10,FALSE)</f>
        <v>fraksi roem</v>
      </c>
      <c r="AD68" s="11" t="str">
        <f>VLOOKUP(L68,'[1]data 1129'!F:O,10,FALSE)</f>
        <v>Tahap III 166</v>
      </c>
      <c r="AE68" s="11">
        <f>VLOOKUP(L68,'[1]singkron data'!D:P,13,FALSE)</f>
        <v>0</v>
      </c>
      <c r="AF68" s="11" t="s">
        <v>55</v>
      </c>
      <c r="AG68" s="11" t="e">
        <f>VLOOKUP(L68,'[1]update kontrak'!E:K,6,FALSE)</f>
        <v>#N/A</v>
      </c>
      <c r="AH68" s="11" t="e">
        <f>VLOOKUP(L68,'[1]update kontrak'!E:K,7,FALSE)</f>
        <v>#N/A</v>
      </c>
      <c r="AI68" s="11" t="s">
        <v>58</v>
      </c>
      <c r="AJ68" s="11" t="str">
        <f>VLOOKUP(L68,[1]rekap!D:M,1,FALSE)</f>
        <v>Reo</v>
      </c>
      <c r="AK68" s="11" t="str">
        <f>VLOOKUP(L68,'[1]singkron data'!D:E,2,FALSE)</f>
        <v>PT. Garsi Jembar Niaga</v>
      </c>
      <c r="AL68" s="11" t="str">
        <f>VLOOKUP(L68,'[1]update 521'!D:D,1,FALSE)</f>
        <v>Reo</v>
      </c>
      <c r="AM68" s="11" t="s">
        <v>96</v>
      </c>
      <c r="AN68" s="11" t="e">
        <f>VLOOKUP(L68,[1]Sheet19!E:L,8,FALSE)</f>
        <v>#N/A</v>
      </c>
      <c r="AO68" s="11" t="e">
        <f>VLOOKUP(L68,[1]Sheet19!E:K,7,FALSE)</f>
        <v>#N/A</v>
      </c>
      <c r="AP68" s="12"/>
    </row>
    <row r="69" spans="1:42" ht="15" x14ac:dyDescent="0.2">
      <c r="A69" s="8" t="s">
        <v>42</v>
      </c>
      <c r="B69" s="9" t="s">
        <v>43</v>
      </c>
      <c r="C69" s="9">
        <v>786</v>
      </c>
      <c r="D69" s="9" t="s">
        <v>44</v>
      </c>
      <c r="E69" s="9">
        <v>83</v>
      </c>
      <c r="F69" s="9" t="s">
        <v>224</v>
      </c>
      <c r="G69" s="9" t="s">
        <v>74</v>
      </c>
      <c r="H69" s="9" t="s">
        <v>47</v>
      </c>
      <c r="I69" s="9" t="s">
        <v>131</v>
      </c>
      <c r="J69" s="9" t="s">
        <v>228</v>
      </c>
      <c r="K69" s="9" t="s">
        <v>224</v>
      </c>
      <c r="L69" s="10" t="s">
        <v>224</v>
      </c>
      <c r="M69" s="9" t="s">
        <v>51</v>
      </c>
      <c r="N69" s="9">
        <v>270</v>
      </c>
      <c r="O69" s="9" t="s">
        <v>72</v>
      </c>
      <c r="P69" s="9">
        <v>82</v>
      </c>
      <c r="Q69" s="9">
        <v>82</v>
      </c>
      <c r="R69" s="9">
        <v>1</v>
      </c>
      <c r="S69" s="9">
        <v>-8.3434069999999991</v>
      </c>
      <c r="T69" s="9">
        <v>120.757785</v>
      </c>
      <c r="U69" s="9" t="s">
        <v>52</v>
      </c>
      <c r="V69" s="11" t="str">
        <f>VLOOKUP(L69,'[1]singkron data'!D:E,2,FALSE)</f>
        <v>PT. Garsi Jembar Niaga</v>
      </c>
      <c r="W69" s="11"/>
      <c r="X69" s="11"/>
      <c r="Y69" s="11">
        <f>VLOOKUP(L69,'[1]singkron data'!D:H,5,FALSE)</f>
        <v>0</v>
      </c>
      <c r="Z69" s="11" t="str">
        <f>VLOOKUP(L69,'[1]singkron data'!D:I,6,FALSE)</f>
        <v>Offline</v>
      </c>
      <c r="AA69" s="11">
        <f>VLOOKUP(L69,'[1]singkron data'!D:L,9,FALSE)</f>
        <v>0</v>
      </c>
      <c r="AB69" s="11" t="s">
        <v>54</v>
      </c>
      <c r="AC69" s="11" t="str">
        <f>VLOOKUP(L69,'[1]singkron data'!D:M,10,FALSE)</f>
        <v>fraksi roem</v>
      </c>
      <c r="AD69" s="11" t="str">
        <f>VLOOKUP(L69,'[1]data 1129'!F:O,10,FALSE)</f>
        <v>Tahap III 166</v>
      </c>
      <c r="AE69" s="11">
        <f>VLOOKUP(L69,'[1]singkron data'!D:P,13,FALSE)</f>
        <v>0</v>
      </c>
      <c r="AF69" s="11" t="s">
        <v>55</v>
      </c>
      <c r="AG69" s="11" t="e">
        <f>VLOOKUP(L69,'[1]update kontrak'!E:K,6,FALSE)</f>
        <v>#N/A</v>
      </c>
      <c r="AH69" s="11" t="e">
        <f>VLOOKUP(L69,'[1]update kontrak'!E:K,7,FALSE)</f>
        <v>#N/A</v>
      </c>
      <c r="AI69" s="11" t="s">
        <v>58</v>
      </c>
      <c r="AJ69" s="11" t="str">
        <f>VLOOKUP(L69,[1]rekap!D:M,1,FALSE)</f>
        <v>Pota</v>
      </c>
      <c r="AK69" s="11" t="str">
        <f>VLOOKUP(L69,'[1]singkron data'!D:E,2,FALSE)</f>
        <v>PT. Garsi Jembar Niaga</v>
      </c>
      <c r="AL69" s="11" t="str">
        <f>VLOOKUP(L69,'[1]update 521'!D:D,1,FALSE)</f>
        <v>Pota</v>
      </c>
      <c r="AM69" s="11" t="s">
        <v>96</v>
      </c>
      <c r="AN69" s="11" t="e">
        <f>VLOOKUP(L69,[1]Sheet19!E:L,8,FALSE)</f>
        <v>#N/A</v>
      </c>
      <c r="AO69" s="11" t="e">
        <f>VLOOKUP(L69,[1]Sheet19!E:K,7,FALSE)</f>
        <v>#N/A</v>
      </c>
      <c r="AP69" s="12"/>
    </row>
    <row r="70" spans="1:42" ht="15" x14ac:dyDescent="0.2">
      <c r="A70" s="8" t="s">
        <v>42</v>
      </c>
      <c r="B70" s="9" t="s">
        <v>43</v>
      </c>
      <c r="C70" s="9">
        <v>720</v>
      </c>
      <c r="D70" s="9" t="s">
        <v>44</v>
      </c>
      <c r="E70" s="9">
        <v>17</v>
      </c>
      <c r="F70" s="9" t="s">
        <v>229</v>
      </c>
      <c r="G70" s="9" t="s">
        <v>46</v>
      </c>
      <c r="H70" s="9" t="s">
        <v>47</v>
      </c>
      <c r="I70" s="9" t="s">
        <v>230</v>
      </c>
      <c r="J70" s="9" t="s">
        <v>231</v>
      </c>
      <c r="K70" s="9" t="s">
        <v>231</v>
      </c>
      <c r="L70" s="10" t="s">
        <v>231</v>
      </c>
      <c r="M70" s="9" t="s">
        <v>65</v>
      </c>
      <c r="N70" s="9">
        <v>259</v>
      </c>
      <c r="O70" s="9">
        <v>12</v>
      </c>
      <c r="P70" s="9">
        <v>376</v>
      </c>
      <c r="Q70" s="9">
        <v>388</v>
      </c>
      <c r="R70" s="9">
        <v>1.3</v>
      </c>
      <c r="S70" s="9">
        <v>-8.5266730000000006</v>
      </c>
      <c r="T70" s="9">
        <v>116.83237800000001</v>
      </c>
      <c r="U70" s="9" t="s">
        <v>52</v>
      </c>
      <c r="V70" s="11" t="str">
        <f>VLOOKUP(L70,'[1]singkron data'!D:E,2,FALSE)</f>
        <v>PT. Lesindo Bersinar (menengah)</v>
      </c>
      <c r="W70" s="13">
        <f>VLOOKUP(L70,'[1]update tim 2'!D:F,3,FALSE)</f>
        <v>7584383000</v>
      </c>
      <c r="X70" s="11" t="s">
        <v>55</v>
      </c>
      <c r="Y70" s="11">
        <f>VLOOKUP(L70,'[1]singkron data'!D:H,5,FALSE)</f>
        <v>0</v>
      </c>
      <c r="Z70" s="11">
        <f>VLOOKUP(L70,'[1]singkron data'!D:I,6,FALSE)</f>
        <v>0</v>
      </c>
      <c r="AA70" s="11" t="str">
        <f>VLOOKUP(L70,'[1]singkron data'!D:L,9,FALSE)</f>
        <v>082146481844/aris</v>
      </c>
      <c r="AB70" s="11" t="s">
        <v>54</v>
      </c>
      <c r="AC70" s="11" t="str">
        <f>VLOOKUP(L70,'[1]singkron data'!D:M,10,FALSE)</f>
        <v>TK</v>
      </c>
      <c r="AD70" s="11" t="str">
        <f>VLOOKUP(L70,'[1]data 1129'!F:O,10,FALSE)</f>
        <v>Tahap II 146</v>
      </c>
      <c r="AE70" s="11">
        <f>VLOOKUP(L70,'[1]singkron data'!D:P,13,FALSE)</f>
        <v>0</v>
      </c>
      <c r="AF70" s="11" t="s">
        <v>55</v>
      </c>
      <c r="AG70" s="11" t="e">
        <f>VLOOKUP(L70,'[1]update kontrak'!E:K,6,FALSE)</f>
        <v>#N/A</v>
      </c>
      <c r="AH70" s="11" t="e">
        <f>VLOOKUP(L70,'[1]update kontrak'!E:K,7,FALSE)</f>
        <v>#N/A</v>
      </c>
      <c r="AI70" s="11" t="s">
        <v>58</v>
      </c>
      <c r="AJ70" s="11" t="str">
        <f>VLOOKUP(L70,[1]rekap!D:M,1,FALSE)</f>
        <v>Poto Tano</v>
      </c>
      <c r="AK70" s="11" t="str">
        <f>VLOOKUP(L70,'[1]singkron data'!D:E,2,FALSE)</f>
        <v>PT. Lesindo Bersinar (menengah)</v>
      </c>
      <c r="AL70" s="11" t="str">
        <f>VLOOKUP(L70,'[1]update 521'!D:D,1,FALSE)</f>
        <v>Poto Tano</v>
      </c>
      <c r="AM70" s="11" t="s">
        <v>57</v>
      </c>
      <c r="AN70" s="11" t="e">
        <f>VLOOKUP(L70,[1]Sheet19!E:L,8,FALSE)</f>
        <v>#N/A</v>
      </c>
      <c r="AO70" s="11" t="s">
        <v>58</v>
      </c>
      <c r="AP70" s="12"/>
    </row>
    <row r="71" spans="1:42" ht="15" x14ac:dyDescent="0.2">
      <c r="A71" s="8" t="s">
        <v>42</v>
      </c>
      <c r="B71" s="9" t="s">
        <v>43</v>
      </c>
      <c r="C71" s="9">
        <v>721</v>
      </c>
      <c r="D71" s="9" t="s">
        <v>44</v>
      </c>
      <c r="E71" s="9">
        <v>18</v>
      </c>
      <c r="F71" s="9" t="s">
        <v>229</v>
      </c>
      <c r="G71" s="9" t="s">
        <v>46</v>
      </c>
      <c r="H71" s="9" t="s">
        <v>47</v>
      </c>
      <c r="I71" s="9" t="s">
        <v>230</v>
      </c>
      <c r="J71" s="9" t="s">
        <v>232</v>
      </c>
      <c r="K71" s="9" t="s">
        <v>233</v>
      </c>
      <c r="L71" s="10" t="s">
        <v>233</v>
      </c>
      <c r="M71" s="9" t="s">
        <v>51</v>
      </c>
      <c r="N71" s="9">
        <v>380</v>
      </c>
      <c r="O71" s="9">
        <v>610</v>
      </c>
      <c r="P71" s="9" t="s">
        <v>72</v>
      </c>
      <c r="Q71" s="9">
        <v>610</v>
      </c>
      <c r="R71" s="9">
        <v>1</v>
      </c>
      <c r="S71" s="9">
        <v>-8.8169000000000004</v>
      </c>
      <c r="T71" s="9">
        <v>116.81699999999999</v>
      </c>
      <c r="U71" s="9" t="s">
        <v>52</v>
      </c>
      <c r="V71" s="11" t="str">
        <f>VLOOKUP(L71,'[1]singkron data'!D:E,2,FALSE)</f>
        <v>PT. Lesindo Bersinar (menengah)</v>
      </c>
      <c r="W71" s="13">
        <f>VLOOKUP(L71,'[1]update tim 2'!D:F,3,FALSE)</f>
        <v>5083611000</v>
      </c>
      <c r="X71" s="11" t="s">
        <v>55</v>
      </c>
      <c r="Y71" s="11">
        <f>VLOOKUP(L71,'[1]singkron data'!D:H,5,FALSE)</f>
        <v>0</v>
      </c>
      <c r="Z71" s="11">
        <f>VLOOKUP(L71,'[1]singkron data'!D:I,6,FALSE)</f>
        <v>0</v>
      </c>
      <c r="AA71" s="11" t="str">
        <f>VLOOKUP(L71,'[1]singkron data'!D:L,9,FALSE)</f>
        <v>082146481844/aris</v>
      </c>
      <c r="AB71" s="11" t="s">
        <v>54</v>
      </c>
      <c r="AC71" s="11" t="str">
        <f>VLOOKUP(L71,'[1]singkron data'!D:M,10,FALSE)</f>
        <v>TK</v>
      </c>
      <c r="AD71" s="11" t="str">
        <f>VLOOKUP(L71,'[1]data 1129'!F:O,10,FALSE)</f>
        <v>Tahap II 146</v>
      </c>
      <c r="AE71" s="11">
        <f>VLOOKUP(L71,'[1]singkron data'!D:P,13,FALSE)</f>
        <v>0</v>
      </c>
      <c r="AF71" s="11" t="s">
        <v>55</v>
      </c>
      <c r="AG71" s="11" t="e">
        <f>VLOOKUP(L71,'[1]update kontrak'!E:K,6,FALSE)</f>
        <v>#N/A</v>
      </c>
      <c r="AH71" s="11" t="e">
        <f>VLOOKUP(L71,'[1]update kontrak'!E:K,7,FALSE)</f>
        <v>#N/A</v>
      </c>
      <c r="AI71" s="11" t="s">
        <v>58</v>
      </c>
      <c r="AJ71" s="11" t="str">
        <f>VLOOKUP(L71,[1]rekap!D:M,1,FALSE)</f>
        <v>Labuhan Lalar</v>
      </c>
      <c r="AK71" s="11" t="str">
        <f>VLOOKUP(L71,'[1]singkron data'!D:E,2,FALSE)</f>
        <v>PT. Lesindo Bersinar (menengah)</v>
      </c>
      <c r="AL71" s="11" t="str">
        <f>VLOOKUP(L71,'[1]update 521'!D:D,1,FALSE)</f>
        <v>Labuhan Lalar</v>
      </c>
      <c r="AM71" s="11" t="s">
        <v>57</v>
      </c>
      <c r="AN71" s="11" t="e">
        <f>VLOOKUP(L71,[1]Sheet19!E:L,8,FALSE)</f>
        <v>#N/A</v>
      </c>
      <c r="AO71" s="11" t="s">
        <v>58</v>
      </c>
      <c r="AP71" s="12"/>
    </row>
    <row r="72" spans="1:42" ht="15" x14ac:dyDescent="0.2">
      <c r="A72" s="8" t="s">
        <v>42</v>
      </c>
      <c r="B72" s="9" t="s">
        <v>43</v>
      </c>
      <c r="C72" s="9">
        <v>773</v>
      </c>
      <c r="D72" s="9" t="s">
        <v>44</v>
      </c>
      <c r="E72" s="9">
        <v>70</v>
      </c>
      <c r="F72" s="9" t="s">
        <v>198</v>
      </c>
      <c r="G72" s="9" t="s">
        <v>74</v>
      </c>
      <c r="H72" s="9" t="s">
        <v>47</v>
      </c>
      <c r="I72" s="9" t="s">
        <v>199</v>
      </c>
      <c r="J72" s="9" t="s">
        <v>234</v>
      </c>
      <c r="K72" s="9" t="s">
        <v>235</v>
      </c>
      <c r="L72" s="10" t="s">
        <v>235</v>
      </c>
      <c r="M72" s="9" t="s">
        <v>51</v>
      </c>
      <c r="N72" s="9">
        <v>105</v>
      </c>
      <c r="O72" s="9" t="s">
        <v>72</v>
      </c>
      <c r="P72" s="9">
        <v>46</v>
      </c>
      <c r="Q72" s="9">
        <v>46</v>
      </c>
      <c r="R72" s="9">
        <v>1</v>
      </c>
      <c r="S72" s="9">
        <v>-10.313117</v>
      </c>
      <c r="T72" s="9">
        <v>120.1803</v>
      </c>
      <c r="U72" s="9" t="s">
        <v>52</v>
      </c>
      <c r="V72" s="11" t="str">
        <f>VLOOKUP(L72,'[1]singkron data'!D:E,2,FALSE)</f>
        <v>PT. Winata Jaya Utama (Kecil)</v>
      </c>
      <c r="W72" s="11"/>
      <c r="X72" s="11"/>
      <c r="Y72" s="11">
        <f>VLOOKUP(L72,'[1]singkron data'!D:H,5,FALSE)</f>
        <v>0</v>
      </c>
      <c r="Z72" s="11">
        <f>VLOOKUP(L72,'[1]singkron data'!D:I,6,FALSE)</f>
        <v>0</v>
      </c>
      <c r="AA72" s="11" t="str">
        <f>VLOOKUP(L72,'[1]singkron data'!D:L,9,FALSE)</f>
        <v>08111766012/finu</v>
      </c>
      <c r="AB72" s="11" t="s">
        <v>54</v>
      </c>
      <c r="AC72" s="11" t="str">
        <f>VLOOKUP(L72,'[1]singkron data'!D:M,10,FALSE)</f>
        <v>pandu</v>
      </c>
      <c r="AD72" s="11" t="str">
        <f>VLOOKUP(L72,'[1]data 1129'!F:O,10,FALSE)</f>
        <v>Tahap III 166</v>
      </c>
      <c r="AE72" s="11">
        <f>VLOOKUP(L72,'[1]singkron data'!D:P,13,FALSE)</f>
        <v>0</v>
      </c>
      <c r="AF72" s="11" t="s">
        <v>55</v>
      </c>
      <c r="AG72" s="11" t="e">
        <f>VLOOKUP(L72,'[1]update kontrak'!E:K,6,FALSE)</f>
        <v>#N/A</v>
      </c>
      <c r="AH72" s="11" t="e">
        <f>VLOOKUP(L72,'[1]update kontrak'!E:K,7,FALSE)</f>
        <v>#N/A</v>
      </c>
      <c r="AI72" s="11"/>
      <c r="AJ72" s="11" t="str">
        <f>VLOOKUP(L72,[1]rekap!D:M,1,FALSE)</f>
        <v>Praisalura</v>
      </c>
      <c r="AK72" s="11" t="str">
        <f>VLOOKUP(L72,'[1]singkron data'!D:E,2,FALSE)</f>
        <v>PT. Winata Jaya Utama (Kecil)</v>
      </c>
      <c r="AL72" s="11" t="str">
        <f>VLOOKUP(L72,'[1]update 521'!D:D,1,FALSE)</f>
        <v>Praisalura</v>
      </c>
      <c r="AM72" s="11" t="s">
        <v>96</v>
      </c>
      <c r="AN72" s="11" t="e">
        <f>VLOOKUP(L72,[1]Sheet19!E:L,8,FALSE)</f>
        <v>#N/A</v>
      </c>
      <c r="AO72" s="11" t="e">
        <f>VLOOKUP(L72,[1]Sheet19!E:K,7,FALSE)</f>
        <v>#N/A</v>
      </c>
      <c r="AP72" s="12"/>
    </row>
    <row r="73" spans="1:42" ht="15" x14ac:dyDescent="0.2">
      <c r="A73" s="8" t="s">
        <v>42</v>
      </c>
      <c r="B73" s="9" t="s">
        <v>43</v>
      </c>
      <c r="C73" s="9">
        <v>766</v>
      </c>
      <c r="D73" s="9" t="s">
        <v>44</v>
      </c>
      <c r="E73" s="9">
        <v>63</v>
      </c>
      <c r="F73" s="9" t="s">
        <v>236</v>
      </c>
      <c r="G73" s="9" t="s">
        <v>74</v>
      </c>
      <c r="H73" s="9" t="s">
        <v>47</v>
      </c>
      <c r="I73" s="9" t="s">
        <v>237</v>
      </c>
      <c r="J73" s="9" t="s">
        <v>238</v>
      </c>
      <c r="K73" s="9" t="s">
        <v>236</v>
      </c>
      <c r="L73" s="10" t="s">
        <v>236</v>
      </c>
      <c r="M73" s="9" t="s">
        <v>81</v>
      </c>
      <c r="N73" s="9">
        <v>150</v>
      </c>
      <c r="O73" s="9">
        <v>50</v>
      </c>
      <c r="P73" s="9">
        <v>100</v>
      </c>
      <c r="Q73" s="9">
        <v>150</v>
      </c>
      <c r="R73" s="9">
        <v>0.45</v>
      </c>
      <c r="S73" s="9">
        <v>-10.4723723</v>
      </c>
      <c r="T73" s="9">
        <v>121.84438609999999</v>
      </c>
      <c r="U73" s="9" t="s">
        <v>52</v>
      </c>
      <c r="V73" s="11" t="str">
        <f>VLOOKUP(L73,'[1]singkron data'!D:E,2,FALSE)</f>
        <v>PT. Aulia Berlian Konstruksi (Menengah)</v>
      </c>
      <c r="W73" s="11"/>
      <c r="X73" s="11"/>
      <c r="Y73" s="11">
        <f>VLOOKUP(L73,'[1]singkron data'!D:H,5,FALSE)</f>
        <v>0</v>
      </c>
      <c r="Z73" s="11">
        <f>VLOOKUP(L73,'[1]singkron data'!D:I,6,FALSE)</f>
        <v>0</v>
      </c>
      <c r="AA73" s="11" t="str">
        <f>VLOOKUP(L73,'[1]singkron data'!D:L,9,FALSE)</f>
        <v>081293305027/iqbal</v>
      </c>
      <c r="AB73" s="11" t="s">
        <v>54</v>
      </c>
      <c r="AC73" s="11" t="str">
        <f>VLOOKUP(L73,'[1]singkron data'!D:M,10,FALSE)</f>
        <v>Iqbal/AM</v>
      </c>
      <c r="AD73" s="11" t="str">
        <f>VLOOKUP(L73,'[1]data 1129'!F:O,10,FALSE)</f>
        <v>Tahap III 166</v>
      </c>
      <c r="AE73" s="11">
        <f>VLOOKUP(L73,'[1]singkron data'!D:P,13,FALSE)</f>
        <v>0</v>
      </c>
      <c r="AF73" s="11" t="s">
        <v>55</v>
      </c>
      <c r="AG73" s="11" t="e">
        <f>VLOOKUP(L73,'[1]update kontrak'!E:K,6,FALSE)</f>
        <v>#N/A</v>
      </c>
      <c r="AH73" s="11" t="e">
        <f>VLOOKUP(L73,'[1]update kontrak'!E:K,7,FALSE)</f>
        <v>#N/A</v>
      </c>
      <c r="AI73" s="11"/>
      <c r="AJ73" s="11" t="str">
        <f>VLOOKUP(L73,[1]rekap!D:M,1,FALSE)</f>
        <v>Raemadia</v>
      </c>
      <c r="AK73" s="11" t="str">
        <f>VLOOKUP(L73,'[1]singkron data'!D:E,2,FALSE)</f>
        <v>PT. Aulia Berlian Konstruksi (Menengah)</v>
      </c>
      <c r="AL73" s="11" t="str">
        <f>VLOOKUP(L73,'[1]update 521'!D:D,1,FALSE)</f>
        <v>Raemadia</v>
      </c>
      <c r="AM73" s="11" t="s">
        <v>96</v>
      </c>
      <c r="AN73" s="11" t="e">
        <f>VLOOKUP(L73,[1]Sheet19!E:L,8,FALSE)</f>
        <v>#N/A</v>
      </c>
      <c r="AO73" s="11" t="e">
        <f>VLOOKUP(L73,[1]Sheet19!E:K,7,FALSE)</f>
        <v>#N/A</v>
      </c>
      <c r="AP73" s="12"/>
    </row>
    <row r="74" spans="1:42" ht="15" x14ac:dyDescent="0.2">
      <c r="A74" s="8" t="s">
        <v>42</v>
      </c>
      <c r="B74" s="9" t="s">
        <v>43</v>
      </c>
      <c r="C74" s="9">
        <v>768</v>
      </c>
      <c r="D74" s="9" t="s">
        <v>44</v>
      </c>
      <c r="E74" s="9">
        <v>65</v>
      </c>
      <c r="F74" s="9" t="s">
        <v>236</v>
      </c>
      <c r="G74" s="9" t="s">
        <v>74</v>
      </c>
      <c r="H74" s="9" t="s">
        <v>47</v>
      </c>
      <c r="I74" s="9" t="s">
        <v>237</v>
      </c>
      <c r="J74" s="9" t="s">
        <v>239</v>
      </c>
      <c r="K74" s="9" t="s">
        <v>240</v>
      </c>
      <c r="L74" s="10" t="s">
        <v>240</v>
      </c>
      <c r="M74" s="9" t="s">
        <v>51</v>
      </c>
      <c r="N74" s="9">
        <v>123</v>
      </c>
      <c r="O74" s="9">
        <v>12</v>
      </c>
      <c r="P74" s="9">
        <v>111</v>
      </c>
      <c r="Q74" s="9">
        <v>123</v>
      </c>
      <c r="R74" s="9">
        <v>0.15</v>
      </c>
      <c r="S74" s="9">
        <v>-10.604558000000001</v>
      </c>
      <c r="T74" s="9">
        <v>121.605958</v>
      </c>
      <c r="U74" s="9" t="s">
        <v>52</v>
      </c>
      <c r="V74" s="11" t="str">
        <f>VLOOKUP(L74,'[1]singkron data'!D:E,2,FALSE)</f>
        <v>PT. Aulia Berlian Konstruksi (Menengah)</v>
      </c>
      <c r="W74" s="11"/>
      <c r="X74" s="11"/>
      <c r="Y74" s="11">
        <f>VLOOKUP(L74,'[1]singkron data'!D:H,5,FALSE)</f>
        <v>0</v>
      </c>
      <c r="Z74" s="11">
        <f>VLOOKUP(L74,'[1]singkron data'!D:I,6,FALSE)</f>
        <v>0</v>
      </c>
      <c r="AA74" s="11" t="str">
        <f>VLOOKUP(L74,'[1]singkron data'!D:L,9,FALSE)</f>
        <v>081293305027/iqbal</v>
      </c>
      <c r="AB74" s="11" t="s">
        <v>54</v>
      </c>
      <c r="AC74" s="11" t="str">
        <f>VLOOKUP(L74,'[1]singkron data'!D:M,10,FALSE)</f>
        <v>Iqbal/AM</v>
      </c>
      <c r="AD74" s="11" t="str">
        <f>VLOOKUP(L74,'[1]data 1129'!F:O,10,FALSE)</f>
        <v>Tahap III 166</v>
      </c>
      <c r="AE74" s="11">
        <f>VLOOKUP(L74,'[1]singkron data'!D:P,13,FALSE)</f>
        <v>0</v>
      </c>
      <c r="AF74" s="11" t="s">
        <v>55</v>
      </c>
      <c r="AG74" s="11" t="e">
        <f>VLOOKUP(L74,'[1]update kontrak'!E:K,6,FALSE)</f>
        <v>#N/A</v>
      </c>
      <c r="AH74" s="11" t="e">
        <f>VLOOKUP(L74,'[1]update kontrak'!E:K,7,FALSE)</f>
        <v>#N/A</v>
      </c>
      <c r="AI74" s="11"/>
      <c r="AJ74" s="11" t="str">
        <f>VLOOKUP(L74,[1]rekap!D:M,1,FALSE)</f>
        <v>Ledeunu</v>
      </c>
      <c r="AK74" s="11" t="str">
        <f>VLOOKUP(L74,'[1]singkron data'!D:E,2,FALSE)</f>
        <v>PT. Aulia Berlian Konstruksi (Menengah)</v>
      </c>
      <c r="AL74" s="11" t="str">
        <f>VLOOKUP(L74,'[1]update 521'!D:D,1,FALSE)</f>
        <v>Ledeunu</v>
      </c>
      <c r="AM74" s="11" t="s">
        <v>96</v>
      </c>
      <c r="AN74" s="11" t="e">
        <f>VLOOKUP(L74,[1]Sheet19!E:L,8,FALSE)</f>
        <v>#N/A</v>
      </c>
      <c r="AO74" s="11" t="e">
        <f>VLOOKUP(L74,[1]Sheet19!E:K,7,FALSE)</f>
        <v>#N/A</v>
      </c>
      <c r="AP74" s="12"/>
    </row>
    <row r="75" spans="1:42" ht="15" x14ac:dyDescent="0.2">
      <c r="A75" s="8" t="s">
        <v>42</v>
      </c>
      <c r="B75" s="9" t="s">
        <v>43</v>
      </c>
      <c r="C75" s="9">
        <v>736</v>
      </c>
      <c r="D75" s="9" t="s">
        <v>44</v>
      </c>
      <c r="E75" s="9">
        <v>33</v>
      </c>
      <c r="F75" s="9" t="s">
        <v>241</v>
      </c>
      <c r="G75" s="9" t="s">
        <v>46</v>
      </c>
      <c r="H75" s="9" t="s">
        <v>47</v>
      </c>
      <c r="I75" s="9" t="s">
        <v>48</v>
      </c>
      <c r="J75" s="9" t="s">
        <v>242</v>
      </c>
      <c r="K75" s="9" t="s">
        <v>241</v>
      </c>
      <c r="L75" s="10" t="s">
        <v>241</v>
      </c>
      <c r="M75" s="9" t="s">
        <v>65</v>
      </c>
      <c r="N75" s="9">
        <v>460</v>
      </c>
      <c r="O75" s="9" t="s">
        <v>72</v>
      </c>
      <c r="P75" s="9">
        <v>330</v>
      </c>
      <c r="Q75" s="9">
        <v>330</v>
      </c>
      <c r="R75" s="9" t="s">
        <v>243</v>
      </c>
      <c r="S75" s="9">
        <v>-8.7058649999999993</v>
      </c>
      <c r="T75" s="9">
        <v>118.80184800000001</v>
      </c>
      <c r="U75" s="9" t="s">
        <v>52</v>
      </c>
      <c r="V75" s="11" t="str">
        <f>VLOOKUP(L75,'[1]singkron data'!D:E,2,FALSE)</f>
        <v>PT. Daffa Buana Sakti (Menengah)</v>
      </c>
      <c r="W75" s="13">
        <f>VLOOKUP(L75,'[1]update tim 2'!D:F,3,FALSE)</f>
        <v>9356614000</v>
      </c>
      <c r="X75" s="11" t="s">
        <v>55</v>
      </c>
      <c r="Y75" s="11" t="str">
        <f>VLOOKUP(L75,'[1]singkron data'!D:H,5,FALSE)</f>
        <v>Medan</v>
      </c>
      <c r="Z75" s="11">
        <f>VLOOKUP(L75,'[1]singkron data'!D:I,6,FALSE)</f>
        <v>0</v>
      </c>
      <c r="AA75" s="11" t="str">
        <f>VLOOKUP(L75,'[1]singkron data'!D:L,9,FALSE)</f>
        <v>081370515855/azi</v>
      </c>
      <c r="AB75" s="11" t="s">
        <v>54</v>
      </c>
      <c r="AC75" s="11" t="str">
        <f>VLOOKUP(L75,'[1]singkron data'!D:M,10,FALSE)</f>
        <v>Dedd</v>
      </c>
      <c r="AD75" s="11" t="str">
        <f>VLOOKUP(L75,'[1]data 1129'!F:O,10,FALSE)</f>
        <v>Tahap II 146</v>
      </c>
      <c r="AE75" s="11">
        <f>VLOOKUP(L75,'[1]singkron data'!D:P,13,FALSE)</f>
        <v>0</v>
      </c>
      <c r="AF75" s="11" t="s">
        <v>55</v>
      </c>
      <c r="AG75" s="11" t="e">
        <f>VLOOKUP(L75,'[1]update kontrak'!E:K,6,FALSE)</f>
        <v>#N/A</v>
      </c>
      <c r="AH75" s="11" t="e">
        <f>VLOOKUP(L75,'[1]update kontrak'!E:K,7,FALSE)</f>
        <v>#N/A</v>
      </c>
      <c r="AI75" s="11" t="s">
        <v>58</v>
      </c>
      <c r="AJ75" s="11" t="str">
        <f>VLOOKUP(L75,[1]rekap!D:M,1,FALSE)</f>
        <v>Rompo</v>
      </c>
      <c r="AK75" s="11" t="str">
        <f>VLOOKUP(L75,'[1]singkron data'!D:E,2,FALSE)</f>
        <v>PT. Daffa Buana Sakti (Menengah)</v>
      </c>
      <c r="AL75" s="11" t="str">
        <f>VLOOKUP(L75,'[1]update 521'!D:D,1,FALSE)</f>
        <v>Rompo</v>
      </c>
      <c r="AM75" s="11" t="s">
        <v>57</v>
      </c>
      <c r="AN75" s="11" t="e">
        <f>VLOOKUP(L75,[1]Sheet19!E:L,8,FALSE)</f>
        <v>#N/A</v>
      </c>
      <c r="AO75" s="11" t="s">
        <v>58</v>
      </c>
      <c r="AP75" s="12"/>
    </row>
    <row r="76" spans="1:42" ht="15" x14ac:dyDescent="0.2">
      <c r="A76" s="8" t="s">
        <v>42</v>
      </c>
      <c r="B76" s="9" t="s">
        <v>43</v>
      </c>
      <c r="C76" s="9">
        <v>737</v>
      </c>
      <c r="D76" s="9" t="s">
        <v>44</v>
      </c>
      <c r="E76" s="9">
        <v>34</v>
      </c>
      <c r="F76" s="9" t="s">
        <v>241</v>
      </c>
      <c r="G76" s="9" t="s">
        <v>46</v>
      </c>
      <c r="H76" s="9" t="s">
        <v>47</v>
      </c>
      <c r="I76" s="9" t="s">
        <v>48</v>
      </c>
      <c r="J76" s="9" t="s">
        <v>242</v>
      </c>
      <c r="K76" s="9" t="s">
        <v>244</v>
      </c>
      <c r="L76" s="10" t="s">
        <v>244</v>
      </c>
      <c r="M76" s="9" t="s">
        <v>51</v>
      </c>
      <c r="N76" s="9">
        <v>229</v>
      </c>
      <c r="O76" s="9" t="s">
        <v>72</v>
      </c>
      <c r="P76" s="9">
        <v>47</v>
      </c>
      <c r="Q76" s="9">
        <v>47</v>
      </c>
      <c r="R76" s="9">
        <v>4.5999999999999996</v>
      </c>
      <c r="S76" s="9">
        <v>-8.7108950000000007</v>
      </c>
      <c r="T76" s="9">
        <v>118.820223</v>
      </c>
      <c r="U76" s="9" t="s">
        <v>52</v>
      </c>
      <c r="V76" s="11" t="str">
        <f>VLOOKUP(L76,'[1]singkron data'!D:E,2,FALSE)</f>
        <v>PT. Daffa Buana Sakti (Menengah)</v>
      </c>
      <c r="W76" s="13">
        <f>VLOOKUP(L76,'[1]update tim 2'!D:F,3,FALSE)</f>
        <v>3743046000</v>
      </c>
      <c r="X76" s="11" t="s">
        <v>55</v>
      </c>
      <c r="Y76" s="11" t="str">
        <f>VLOOKUP(L76,'[1]singkron data'!D:H,5,FALSE)</f>
        <v>Medan</v>
      </c>
      <c r="Z76" s="11">
        <f>VLOOKUP(L76,'[1]singkron data'!D:I,6,FALSE)</f>
        <v>0</v>
      </c>
      <c r="AA76" s="11" t="str">
        <f>VLOOKUP(L76,'[1]singkron data'!D:L,9,FALSE)</f>
        <v>081370515855/azi</v>
      </c>
      <c r="AB76" s="11" t="s">
        <v>54</v>
      </c>
      <c r="AC76" s="11" t="str">
        <f>VLOOKUP(L76,'[1]singkron data'!D:M,10,FALSE)</f>
        <v>Dedd</v>
      </c>
      <c r="AD76" s="11" t="str">
        <f>VLOOKUP(L76,'[1]data 1129'!F:O,10,FALSE)</f>
        <v>Tahap II 146</v>
      </c>
      <c r="AE76" s="11">
        <f>VLOOKUP(L76,'[1]singkron data'!D:P,13,FALSE)</f>
        <v>0</v>
      </c>
      <c r="AF76" s="11" t="s">
        <v>55</v>
      </c>
      <c r="AG76" s="11" t="e">
        <f>VLOOKUP(L76,'[1]update kontrak'!E:K,6,FALSE)</f>
        <v>#N/A</v>
      </c>
      <c r="AH76" s="11" t="e">
        <f>VLOOKUP(L76,'[1]update kontrak'!E:K,7,FALSE)</f>
        <v>#N/A</v>
      </c>
      <c r="AI76" s="11" t="s">
        <v>58</v>
      </c>
      <c r="AJ76" s="11" t="str">
        <f>VLOOKUP(L76,[1]rekap!D:M,1,FALSE)</f>
        <v>Karumbu</v>
      </c>
      <c r="AK76" s="11" t="str">
        <f>VLOOKUP(L76,'[1]singkron data'!D:E,2,FALSE)</f>
        <v>PT. Daffa Buana Sakti (Menengah)</v>
      </c>
      <c r="AL76" s="11" t="str">
        <f>VLOOKUP(L76,'[1]update 521'!D:D,1,FALSE)</f>
        <v>Karumbu</v>
      </c>
      <c r="AM76" s="11" t="s">
        <v>57</v>
      </c>
      <c r="AN76" s="11" t="e">
        <f>VLOOKUP(L76,[1]Sheet19!E:L,8,FALSE)</f>
        <v>#N/A</v>
      </c>
      <c r="AO76" s="11" t="s">
        <v>58</v>
      </c>
      <c r="AP76" s="12"/>
    </row>
    <row r="77" spans="1:42" ht="15" x14ac:dyDescent="0.2">
      <c r="A77" s="8" t="s">
        <v>42</v>
      </c>
      <c r="B77" s="9" t="s">
        <v>43</v>
      </c>
      <c r="C77" s="9">
        <v>738</v>
      </c>
      <c r="D77" s="9" t="s">
        <v>44</v>
      </c>
      <c r="E77" s="9">
        <v>35</v>
      </c>
      <c r="F77" s="9" t="s">
        <v>241</v>
      </c>
      <c r="G77" s="9" t="s">
        <v>46</v>
      </c>
      <c r="H77" s="9" t="s">
        <v>47</v>
      </c>
      <c r="I77" s="9" t="s">
        <v>48</v>
      </c>
      <c r="J77" s="9" t="s">
        <v>242</v>
      </c>
      <c r="K77" s="9" t="s">
        <v>245</v>
      </c>
      <c r="L77" s="10" t="s">
        <v>245</v>
      </c>
      <c r="M77" s="9" t="s">
        <v>51</v>
      </c>
      <c r="N77" s="9">
        <v>200</v>
      </c>
      <c r="O77" s="9" t="s">
        <v>72</v>
      </c>
      <c r="P77" s="9">
        <v>30</v>
      </c>
      <c r="Q77" s="9">
        <v>30</v>
      </c>
      <c r="R77" s="9">
        <v>6.5000000000000002E-2</v>
      </c>
      <c r="S77" s="9">
        <v>-8.7073309999999999</v>
      </c>
      <c r="T77" s="9">
        <v>118.93965300000001</v>
      </c>
      <c r="U77" s="9" t="s">
        <v>52</v>
      </c>
      <c r="V77" s="11" t="str">
        <f>VLOOKUP(L77,'[1]singkron data'!D:E,2,FALSE)</f>
        <v>PT. Daffa Buana Sakti (Menengah)</v>
      </c>
      <c r="W77" s="13">
        <f>VLOOKUP(L77,'[1]update tim 2'!D:F,3,FALSE)</f>
        <v>2365484000</v>
      </c>
      <c r="X77" s="11" t="s">
        <v>55</v>
      </c>
      <c r="Y77" s="11" t="str">
        <f>VLOOKUP(L77,'[1]singkron data'!D:H,5,FALSE)</f>
        <v>Medan</v>
      </c>
      <c r="Z77" s="11">
        <f>VLOOKUP(L77,'[1]singkron data'!D:I,6,FALSE)</f>
        <v>0</v>
      </c>
      <c r="AA77" s="11" t="str">
        <f>VLOOKUP(L77,'[1]singkron data'!D:L,9,FALSE)</f>
        <v>081370515855/azi</v>
      </c>
      <c r="AB77" s="11" t="s">
        <v>54</v>
      </c>
      <c r="AC77" s="11" t="str">
        <f>VLOOKUP(L77,'[1]singkron data'!D:M,10,FALSE)</f>
        <v>Dedd</v>
      </c>
      <c r="AD77" s="11" t="str">
        <f>VLOOKUP(L77,'[1]data 1129'!F:O,10,FALSE)</f>
        <v>Tahap II 146</v>
      </c>
      <c r="AE77" s="11">
        <f>VLOOKUP(L77,'[1]singkron data'!D:P,13,FALSE)</f>
        <v>0</v>
      </c>
      <c r="AF77" s="11" t="s">
        <v>55</v>
      </c>
      <c r="AG77" s="11" t="e">
        <f>VLOOKUP(L77,'[1]update kontrak'!E:K,6,FALSE)</f>
        <v>#N/A</v>
      </c>
      <c r="AH77" s="11" t="e">
        <f>VLOOKUP(L77,'[1]update kontrak'!E:K,7,FALSE)</f>
        <v>#N/A</v>
      </c>
      <c r="AI77" s="11" t="s">
        <v>58</v>
      </c>
      <c r="AJ77" s="11" t="str">
        <f>VLOOKUP(L77,[1]rekap!D:M,1,FALSE)</f>
        <v>Kangga</v>
      </c>
      <c r="AK77" s="11" t="str">
        <f>VLOOKUP(L77,'[1]singkron data'!D:E,2,FALSE)</f>
        <v>PT. Daffa Buana Sakti (Menengah)</v>
      </c>
      <c r="AL77" s="11" t="str">
        <f>VLOOKUP(L77,'[1]update 521'!D:D,1,FALSE)</f>
        <v>Kangga</v>
      </c>
      <c r="AM77" s="11" t="s">
        <v>57</v>
      </c>
      <c r="AN77" s="11" t="e">
        <f>VLOOKUP(L77,[1]Sheet19!E:L,8,FALSE)</f>
        <v>#N/A</v>
      </c>
      <c r="AO77" s="11" t="s">
        <v>58</v>
      </c>
      <c r="AP77" s="12"/>
    </row>
    <row r="78" spans="1:42" ht="15" x14ac:dyDescent="0.2">
      <c r="A78" s="8" t="s">
        <v>42</v>
      </c>
      <c r="B78" s="9" t="s">
        <v>43</v>
      </c>
      <c r="C78" s="9">
        <v>739</v>
      </c>
      <c r="D78" s="9" t="s">
        <v>44</v>
      </c>
      <c r="E78" s="9">
        <v>36</v>
      </c>
      <c r="F78" s="9" t="s">
        <v>241</v>
      </c>
      <c r="G78" s="9" t="s">
        <v>46</v>
      </c>
      <c r="H78" s="9" t="s">
        <v>47</v>
      </c>
      <c r="I78" s="9" t="s">
        <v>48</v>
      </c>
      <c r="J78" s="9" t="s">
        <v>242</v>
      </c>
      <c r="K78" s="9" t="s">
        <v>246</v>
      </c>
      <c r="L78" s="10" t="s">
        <v>246</v>
      </c>
      <c r="M78" s="9" t="s">
        <v>51</v>
      </c>
      <c r="N78" s="9">
        <v>40</v>
      </c>
      <c r="O78" s="9">
        <v>58</v>
      </c>
      <c r="P78" s="9">
        <v>32</v>
      </c>
      <c r="Q78" s="9">
        <v>90</v>
      </c>
      <c r="R78" s="9" t="s">
        <v>247</v>
      </c>
      <c r="S78" s="9">
        <v>-8.6914060000000006</v>
      </c>
      <c r="T78" s="9">
        <v>118.92469199999999</v>
      </c>
      <c r="U78" s="9" t="s">
        <v>52</v>
      </c>
      <c r="V78" s="11" t="str">
        <f>VLOOKUP(L78,'[1]singkron data'!D:E,2,FALSE)</f>
        <v>PT. Daffa Buana Sakti (Menengah)</v>
      </c>
      <c r="W78" s="13">
        <f>VLOOKUP(L78,'[1]update tim 2'!D:F,3,FALSE)</f>
        <v>2529473000</v>
      </c>
      <c r="X78" s="11" t="s">
        <v>55</v>
      </c>
      <c r="Y78" s="11" t="str">
        <f>VLOOKUP(L78,'[1]singkron data'!D:H,5,FALSE)</f>
        <v>Medan</v>
      </c>
      <c r="Z78" s="11">
        <f>VLOOKUP(L78,'[1]singkron data'!D:I,6,FALSE)</f>
        <v>0</v>
      </c>
      <c r="AA78" s="11" t="str">
        <f>VLOOKUP(L78,'[1]singkron data'!D:L,9,FALSE)</f>
        <v>081370515855/azi</v>
      </c>
      <c r="AB78" s="11" t="s">
        <v>54</v>
      </c>
      <c r="AC78" s="11" t="str">
        <f>VLOOKUP(L78,'[1]singkron data'!D:M,10,FALSE)</f>
        <v>Dedd</v>
      </c>
      <c r="AD78" s="11" t="str">
        <f>VLOOKUP(L78,'[1]data 1129'!F:O,10,FALSE)</f>
        <v>Tahap II 146</v>
      </c>
      <c r="AE78" s="11">
        <f>VLOOKUP(L78,'[1]singkron data'!D:P,13,FALSE)</f>
        <v>0</v>
      </c>
      <c r="AF78" s="11" t="s">
        <v>55</v>
      </c>
      <c r="AG78" s="11" t="e">
        <f>VLOOKUP(L78,'[1]update kontrak'!E:K,6,FALSE)</f>
        <v>#N/A</v>
      </c>
      <c r="AH78" s="11" t="e">
        <f>VLOOKUP(L78,'[1]update kontrak'!E:K,7,FALSE)</f>
        <v>#N/A</v>
      </c>
      <c r="AI78" s="11" t="s">
        <v>58</v>
      </c>
      <c r="AJ78" s="11" t="str">
        <f>VLOOKUP(L78,[1]rekap!D:M,1,FALSE)</f>
        <v>Dumu</v>
      </c>
      <c r="AK78" s="11" t="str">
        <f>VLOOKUP(L78,'[1]singkron data'!D:E,2,FALSE)</f>
        <v>PT. Daffa Buana Sakti (Menengah)</v>
      </c>
      <c r="AL78" s="11" t="str">
        <f>VLOOKUP(L78,'[1]update 521'!D:D,1,FALSE)</f>
        <v>Dumu</v>
      </c>
      <c r="AM78" s="11" t="s">
        <v>57</v>
      </c>
      <c r="AN78" s="11" t="e">
        <f>VLOOKUP(L78,[1]Sheet19!E:L,8,FALSE)</f>
        <v>#N/A</v>
      </c>
      <c r="AO78" s="11" t="s">
        <v>58</v>
      </c>
      <c r="AP78" s="12"/>
    </row>
    <row r="79" spans="1:42" ht="15" x14ac:dyDescent="0.2">
      <c r="A79" s="8" t="s">
        <v>42</v>
      </c>
      <c r="B79" s="9" t="s">
        <v>43</v>
      </c>
      <c r="C79" s="9">
        <v>740</v>
      </c>
      <c r="D79" s="9" t="s">
        <v>44</v>
      </c>
      <c r="E79" s="9">
        <v>37</v>
      </c>
      <c r="F79" s="9" t="s">
        <v>241</v>
      </c>
      <c r="G79" s="9" t="s">
        <v>46</v>
      </c>
      <c r="H79" s="9" t="s">
        <v>47</v>
      </c>
      <c r="I79" s="9" t="s">
        <v>48</v>
      </c>
      <c r="J79" s="9" t="s">
        <v>242</v>
      </c>
      <c r="K79" s="9" t="s">
        <v>248</v>
      </c>
      <c r="L79" s="10" t="s">
        <v>248</v>
      </c>
      <c r="M79" s="9" t="s">
        <v>51</v>
      </c>
      <c r="N79" s="9">
        <v>333</v>
      </c>
      <c r="O79" s="9" t="s">
        <v>72</v>
      </c>
      <c r="P79" s="9">
        <v>49</v>
      </c>
      <c r="Q79" s="9">
        <v>49</v>
      </c>
      <c r="R79" s="9">
        <v>4.5999999999999996</v>
      </c>
      <c r="S79" s="9">
        <v>-8.76295</v>
      </c>
      <c r="T79" s="9">
        <v>118.89760200000001</v>
      </c>
      <c r="U79" s="9" t="s">
        <v>52</v>
      </c>
      <c r="V79" s="11" t="str">
        <f>VLOOKUP(L79,'[1]singkron data'!D:E,2,FALSE)</f>
        <v>PT. Daffa Buana Sakti (Menengah)</v>
      </c>
      <c r="W79" s="13">
        <f>VLOOKUP(L79,'[1]update tim 2'!D:F,3,FALSE)</f>
        <v>2692119000</v>
      </c>
      <c r="X79" s="11" t="s">
        <v>55</v>
      </c>
      <c r="Y79" s="11" t="str">
        <f>VLOOKUP(L79,'[1]singkron data'!D:H,5,FALSE)</f>
        <v>Medan</v>
      </c>
      <c r="Z79" s="11">
        <f>VLOOKUP(L79,'[1]singkron data'!D:I,6,FALSE)</f>
        <v>0</v>
      </c>
      <c r="AA79" s="11" t="str">
        <f>VLOOKUP(L79,'[1]singkron data'!D:L,9,FALSE)</f>
        <v>081370515855/azi</v>
      </c>
      <c r="AB79" s="11" t="s">
        <v>54</v>
      </c>
      <c r="AC79" s="11" t="str">
        <f>VLOOKUP(L79,'[1]singkron data'!D:M,10,FALSE)</f>
        <v>Dedd</v>
      </c>
      <c r="AD79" s="11" t="str">
        <f>VLOOKUP(L79,'[1]data 1129'!F:O,10,FALSE)</f>
        <v>Tahap II 146</v>
      </c>
      <c r="AE79" s="11">
        <f>VLOOKUP(L79,'[1]singkron data'!D:P,13,FALSE)</f>
        <v>0</v>
      </c>
      <c r="AF79" s="11" t="s">
        <v>55</v>
      </c>
      <c r="AG79" s="11" t="e">
        <f>VLOOKUP(L79,'[1]update kontrak'!E:K,6,FALSE)</f>
        <v>#N/A</v>
      </c>
      <c r="AH79" s="11" t="e">
        <f>VLOOKUP(L79,'[1]update kontrak'!E:K,7,FALSE)</f>
        <v>#N/A</v>
      </c>
      <c r="AI79" s="11" t="s">
        <v>58</v>
      </c>
      <c r="AJ79" s="11" t="str">
        <f>VLOOKUP(L79,[1]rekap!D:M,1,FALSE)</f>
        <v>Karampi</v>
      </c>
      <c r="AK79" s="11" t="str">
        <f>VLOOKUP(L79,'[1]singkron data'!D:E,2,FALSE)</f>
        <v>PT. Daffa Buana Sakti (Menengah)</v>
      </c>
      <c r="AL79" s="11" t="str">
        <f>VLOOKUP(L79,'[1]update 521'!D:D,1,FALSE)</f>
        <v>Karampi</v>
      </c>
      <c r="AM79" s="11" t="s">
        <v>57</v>
      </c>
      <c r="AN79" s="11" t="e">
        <f>VLOOKUP(L79,[1]Sheet19!E:L,8,FALSE)</f>
        <v>#N/A</v>
      </c>
      <c r="AO79" s="11" t="s">
        <v>58</v>
      </c>
      <c r="AP79" s="12"/>
    </row>
    <row r="80" spans="1:42" ht="15" x14ac:dyDescent="0.2">
      <c r="A80" s="8" t="s">
        <v>42</v>
      </c>
      <c r="B80" s="9" t="s">
        <v>43</v>
      </c>
      <c r="C80" s="9">
        <v>741</v>
      </c>
      <c r="D80" s="9" t="s">
        <v>44</v>
      </c>
      <c r="E80" s="9">
        <v>38</v>
      </c>
      <c r="F80" s="9" t="s">
        <v>241</v>
      </c>
      <c r="G80" s="9" t="s">
        <v>46</v>
      </c>
      <c r="H80" s="9" t="s">
        <v>47</v>
      </c>
      <c r="I80" s="9" t="s">
        <v>48</v>
      </c>
      <c r="J80" s="9" t="s">
        <v>242</v>
      </c>
      <c r="K80" s="9" t="s">
        <v>249</v>
      </c>
      <c r="L80" s="10" t="s">
        <v>249</v>
      </c>
      <c r="M80" s="9" t="s">
        <v>51</v>
      </c>
      <c r="N80" s="9">
        <v>372</v>
      </c>
      <c r="O80" s="9" t="s">
        <v>72</v>
      </c>
      <c r="P80" s="9">
        <v>84</v>
      </c>
      <c r="Q80" s="9">
        <v>84</v>
      </c>
      <c r="R80" s="9">
        <v>0.16</v>
      </c>
      <c r="S80" s="9">
        <v>-8.7945820000000001</v>
      </c>
      <c r="T80" s="9">
        <v>118.939245</v>
      </c>
      <c r="U80" s="9" t="s">
        <v>52</v>
      </c>
      <c r="V80" s="11" t="str">
        <f>VLOOKUP(L80,'[1]singkron data'!D:E,2,FALSE)</f>
        <v>PT. Daffa Buana Sakti (Menengah)</v>
      </c>
      <c r="W80" s="13">
        <f>VLOOKUP(L80,'[1]update tim 2'!D:F,3,FALSE)</f>
        <v>2969071000</v>
      </c>
      <c r="X80" s="11" t="s">
        <v>55</v>
      </c>
      <c r="Y80" s="11" t="str">
        <f>VLOOKUP(L80,'[1]singkron data'!D:H,5,FALSE)</f>
        <v>Medan</v>
      </c>
      <c r="Z80" s="11">
        <f>VLOOKUP(L80,'[1]singkron data'!D:I,6,FALSE)</f>
        <v>0</v>
      </c>
      <c r="AA80" s="11" t="str">
        <f>VLOOKUP(L80,'[1]singkron data'!D:L,9,FALSE)</f>
        <v>081370515855/azi</v>
      </c>
      <c r="AB80" s="11" t="s">
        <v>54</v>
      </c>
      <c r="AC80" s="11" t="str">
        <f>VLOOKUP(L80,'[1]singkron data'!D:M,10,FALSE)</f>
        <v>Dedd</v>
      </c>
      <c r="AD80" s="11" t="str">
        <f>VLOOKUP(L80,'[1]data 1129'!F:O,10,FALSE)</f>
        <v>Tahap II 146</v>
      </c>
      <c r="AE80" s="11">
        <f>VLOOKUP(L80,'[1]singkron data'!D:P,13,FALSE)</f>
        <v>0</v>
      </c>
      <c r="AF80" s="11" t="s">
        <v>55</v>
      </c>
      <c r="AG80" s="11" t="e">
        <f>VLOOKUP(L80,'[1]update kontrak'!E:K,6,FALSE)</f>
        <v>#N/A</v>
      </c>
      <c r="AH80" s="11" t="e">
        <f>VLOOKUP(L80,'[1]update kontrak'!E:K,7,FALSE)</f>
        <v>#N/A</v>
      </c>
      <c r="AI80" s="11" t="s">
        <v>58</v>
      </c>
      <c r="AJ80" s="11" t="str">
        <f>VLOOKUP(L80,[1]rekap!D:M,1,FALSE)</f>
        <v>Sarae Ruma</v>
      </c>
      <c r="AK80" s="11" t="str">
        <f>VLOOKUP(L80,'[1]singkron data'!D:E,2,FALSE)</f>
        <v>PT. Daffa Buana Sakti (Menengah)</v>
      </c>
      <c r="AL80" s="11" t="str">
        <f>VLOOKUP(L80,'[1]update 521'!D:D,1,FALSE)</f>
        <v>Sarae Ruma</v>
      </c>
      <c r="AM80" s="11" t="s">
        <v>57</v>
      </c>
      <c r="AN80" s="11" t="e">
        <f>VLOOKUP(L80,[1]Sheet19!E:L,8,FALSE)</f>
        <v>#N/A</v>
      </c>
      <c r="AO80" s="11" t="s">
        <v>58</v>
      </c>
      <c r="AP80" s="12"/>
    </row>
    <row r="81" spans="1:42" ht="15" x14ac:dyDescent="0.2">
      <c r="A81" s="8" t="s">
        <v>42</v>
      </c>
      <c r="B81" s="9" t="s">
        <v>43</v>
      </c>
      <c r="C81" s="9">
        <v>787</v>
      </c>
      <c r="D81" s="9" t="s">
        <v>44</v>
      </c>
      <c r="E81" s="9">
        <v>84</v>
      </c>
      <c r="F81" s="9" t="s">
        <v>241</v>
      </c>
      <c r="G81" s="9" t="s">
        <v>46</v>
      </c>
      <c r="H81" s="9" t="s">
        <v>47</v>
      </c>
      <c r="I81" s="9" t="s">
        <v>48</v>
      </c>
      <c r="J81" s="9" t="s">
        <v>242</v>
      </c>
      <c r="K81" s="9" t="s">
        <v>250</v>
      </c>
      <c r="L81" s="10" t="s">
        <v>250</v>
      </c>
      <c r="M81" s="9" t="s">
        <v>51</v>
      </c>
      <c r="N81" s="9">
        <v>197</v>
      </c>
      <c r="O81" s="9" t="s">
        <v>72</v>
      </c>
      <c r="P81" s="9">
        <v>213</v>
      </c>
      <c r="Q81" s="9">
        <v>213</v>
      </c>
      <c r="R81" s="9">
        <v>4.62</v>
      </c>
      <c r="S81" s="9">
        <v>-8.6968490000000003</v>
      </c>
      <c r="T81" s="9">
        <v>118.87458100000001</v>
      </c>
      <c r="U81" s="9" t="s">
        <v>52</v>
      </c>
      <c r="V81" s="11" t="str">
        <f>VLOOKUP(L81,'[1]singkron data'!D:E,2,FALSE)</f>
        <v>PT. Daffa Buana Sakti (Menengah)</v>
      </c>
      <c r="W81" s="13">
        <f>VLOOKUP(L81,'[1]update tim 2'!D:F,3,FALSE)</f>
        <v>2821029000</v>
      </c>
      <c r="X81" s="11" t="s">
        <v>55</v>
      </c>
      <c r="Y81" s="11" t="str">
        <f>VLOOKUP(L81,'[1]singkron data'!D:H,5,FALSE)</f>
        <v>Medan</v>
      </c>
      <c r="Z81" s="11">
        <f>VLOOKUP(L81,'[1]singkron data'!D:I,6,FALSE)</f>
        <v>0</v>
      </c>
      <c r="AA81" s="11" t="str">
        <f>VLOOKUP(L81,'[1]singkron data'!D:L,9,FALSE)</f>
        <v>081370515855/azi</v>
      </c>
      <c r="AB81" s="11" t="s">
        <v>54</v>
      </c>
      <c r="AC81" s="11" t="str">
        <f>VLOOKUP(L81,'[1]singkron data'!D:M,10,FALSE)</f>
        <v>Dedd</v>
      </c>
      <c r="AD81" s="11" t="str">
        <f>VLOOKUP(L81,'[1]data 1129'!F:O,10,FALSE)</f>
        <v>Tahap II 146</v>
      </c>
      <c r="AE81" s="11">
        <f>VLOOKUP(L81,'[1]singkron data'!D:P,13,FALSE)</f>
        <v>0</v>
      </c>
      <c r="AF81" s="11" t="s">
        <v>55</v>
      </c>
      <c r="AG81" s="11" t="e">
        <f>VLOOKUP(L81,'[1]update kontrak'!E:K,6,FALSE)</f>
        <v>#N/A</v>
      </c>
      <c r="AH81" s="11" t="e">
        <f>VLOOKUP(L81,'[1]update kontrak'!E:K,7,FALSE)</f>
        <v>#N/A</v>
      </c>
      <c r="AI81" s="11" t="s">
        <v>58</v>
      </c>
      <c r="AJ81" s="11" t="str">
        <f>VLOOKUP(L81,[1]rekap!D:M,1,FALSE)</f>
        <v>Sambane</v>
      </c>
      <c r="AK81" s="11" t="str">
        <f>VLOOKUP(L81,'[1]singkron data'!D:E,2,FALSE)</f>
        <v>PT. Daffa Buana Sakti (Menengah)</v>
      </c>
      <c r="AL81" s="11" t="str">
        <f>VLOOKUP(L81,'[1]update 521'!D:D,1,FALSE)</f>
        <v>Sambane</v>
      </c>
      <c r="AM81" s="11" t="s">
        <v>57</v>
      </c>
      <c r="AN81" s="11" t="e">
        <f>VLOOKUP(L81,[1]Sheet19!E:L,8,FALSE)</f>
        <v>#N/A</v>
      </c>
      <c r="AO81" s="11" t="s">
        <v>58</v>
      </c>
      <c r="AP81" s="12"/>
    </row>
    <row r="82" spans="1:42" ht="15" x14ac:dyDescent="0.2">
      <c r="A82" s="8" t="s">
        <v>42</v>
      </c>
      <c r="B82" s="9" t="s">
        <v>43</v>
      </c>
      <c r="C82" s="9">
        <v>733</v>
      </c>
      <c r="D82" s="9" t="s">
        <v>44</v>
      </c>
      <c r="E82" s="9">
        <v>30</v>
      </c>
      <c r="F82" s="9" t="s">
        <v>251</v>
      </c>
      <c r="G82" s="9" t="s">
        <v>46</v>
      </c>
      <c r="H82" s="9" t="s">
        <v>47</v>
      </c>
      <c r="I82" s="9" t="s">
        <v>48</v>
      </c>
      <c r="J82" s="9" t="s">
        <v>129</v>
      </c>
      <c r="K82" s="9" t="s">
        <v>251</v>
      </c>
      <c r="L82" s="10" t="s">
        <v>251</v>
      </c>
      <c r="M82" s="9" t="s">
        <v>51</v>
      </c>
      <c r="N82" s="9">
        <v>155</v>
      </c>
      <c r="O82" s="9">
        <v>15</v>
      </c>
      <c r="P82" s="9">
        <v>70</v>
      </c>
      <c r="Q82" s="9">
        <v>85</v>
      </c>
      <c r="R82" s="9" t="s">
        <v>252</v>
      </c>
      <c r="S82" s="9">
        <v>-8.3717170000000003</v>
      </c>
      <c r="T82" s="9">
        <v>118.311196</v>
      </c>
      <c r="U82" s="9" t="s">
        <v>52</v>
      </c>
      <c r="V82" s="11" t="str">
        <f>VLOOKUP(L82,'[1]singkron data'!D:E,2,FALSE)</f>
        <v>PT. Masco Energi</v>
      </c>
      <c r="W82" s="13">
        <f>VLOOKUP(L82,'[1]update tim 2'!D:F,3,FALSE)</f>
        <v>2341055000</v>
      </c>
      <c r="X82" s="11" t="s">
        <v>55</v>
      </c>
      <c r="Y82" s="11" t="str">
        <f>VLOOKUP(L82,'[1]singkron data'!D:H,5,FALSE)</f>
        <v>Bima</v>
      </c>
      <c r="Z82" s="11" t="str">
        <f>VLOOKUP(L82,'[1]singkron data'!D:I,6,FALSE)</f>
        <v>Online</v>
      </c>
      <c r="AA82" s="11" t="str">
        <f>VLOOKUP(L82,'[1]singkron data'!D:L,9,FALSE)</f>
        <v>081112300889/edi</v>
      </c>
      <c r="AB82" s="11" t="s">
        <v>54</v>
      </c>
      <c r="AC82" s="11" t="str">
        <f>VLOOKUP(L82,'[1]singkron data'!D:M,10,FALSE)</f>
        <v>TK</v>
      </c>
      <c r="AD82" s="11" t="str">
        <f>VLOOKUP(L82,'[1]data 1129'!F:O,10,FALSE)</f>
        <v>Tahap II 146</v>
      </c>
      <c r="AE82" s="11">
        <f>VLOOKUP(L82,'[1]singkron data'!D:P,13,FALSE)</f>
        <v>0</v>
      </c>
      <c r="AF82" s="11" t="s">
        <v>55</v>
      </c>
      <c r="AG82" s="11" t="e">
        <f>VLOOKUP(L82,'[1]update kontrak'!E:K,6,FALSE)</f>
        <v>#N/A</v>
      </c>
      <c r="AH82" s="11" t="e">
        <f>VLOOKUP(L82,'[1]update kontrak'!E:K,7,FALSE)</f>
        <v>#N/A</v>
      </c>
      <c r="AI82" s="11" t="s">
        <v>58</v>
      </c>
      <c r="AJ82" s="11" t="str">
        <f>VLOOKUP(L82,[1]rekap!D:M,1,FALSE)</f>
        <v>Sandue</v>
      </c>
      <c r="AK82" s="11" t="str">
        <f>VLOOKUP(L82,'[1]singkron data'!D:E,2,FALSE)</f>
        <v>PT. Masco Energi</v>
      </c>
      <c r="AL82" s="11" t="str">
        <f>VLOOKUP(L82,'[1]update 521'!D:D,1,FALSE)</f>
        <v>Sandue</v>
      </c>
      <c r="AM82" s="11" t="s">
        <v>57</v>
      </c>
      <c r="AN82" s="11" t="e">
        <f>VLOOKUP(L82,[1]Sheet19!E:L,8,FALSE)</f>
        <v>#N/A</v>
      </c>
      <c r="AO82" s="11" t="s">
        <v>58</v>
      </c>
      <c r="AP82" s="12"/>
    </row>
    <row r="83" spans="1:42" ht="15" x14ac:dyDescent="0.2">
      <c r="A83" s="8" t="s">
        <v>42</v>
      </c>
      <c r="B83" s="9" t="s">
        <v>43</v>
      </c>
      <c r="C83" s="9">
        <v>734</v>
      </c>
      <c r="D83" s="9" t="s">
        <v>44</v>
      </c>
      <c r="E83" s="9">
        <v>31</v>
      </c>
      <c r="F83" s="9" t="s">
        <v>251</v>
      </c>
      <c r="G83" s="9" t="s">
        <v>46</v>
      </c>
      <c r="H83" s="9" t="s">
        <v>47</v>
      </c>
      <c r="I83" s="9" t="s">
        <v>48</v>
      </c>
      <c r="J83" s="9" t="s">
        <v>129</v>
      </c>
      <c r="K83" s="9" t="s">
        <v>253</v>
      </c>
      <c r="L83" s="10" t="s">
        <v>253</v>
      </c>
      <c r="M83" s="9" t="s">
        <v>51</v>
      </c>
      <c r="N83" s="9">
        <v>270</v>
      </c>
      <c r="O83" s="9">
        <v>10</v>
      </c>
      <c r="P83" s="9">
        <v>40</v>
      </c>
      <c r="Q83" s="9">
        <v>50</v>
      </c>
      <c r="R83" s="9">
        <v>4.5999999999999996</v>
      </c>
      <c r="S83" s="9">
        <v>-8.3562650000000005</v>
      </c>
      <c r="T83" s="9">
        <v>118.271202</v>
      </c>
      <c r="U83" s="9" t="s">
        <v>52</v>
      </c>
      <c r="V83" s="11" t="str">
        <f>VLOOKUP(L83,'[1]singkron data'!D:E,2,FALSE)</f>
        <v>PT. Masco Energi</v>
      </c>
      <c r="W83" s="13">
        <f>VLOOKUP(L83,'[1]update tim 2'!D:F,3,FALSE)</f>
        <v>2251339000</v>
      </c>
      <c r="X83" s="11" t="s">
        <v>55</v>
      </c>
      <c r="Y83" s="11" t="str">
        <f>VLOOKUP(L83,'[1]singkron data'!D:H,5,FALSE)</f>
        <v>Bima</v>
      </c>
      <c r="Z83" s="11" t="str">
        <f>VLOOKUP(L83,'[1]singkron data'!D:I,6,FALSE)</f>
        <v>Online</v>
      </c>
      <c r="AA83" s="11" t="str">
        <f>VLOOKUP(L83,'[1]singkron data'!D:L,9,FALSE)</f>
        <v>081112300889/edi</v>
      </c>
      <c r="AB83" s="11" t="s">
        <v>54</v>
      </c>
      <c r="AC83" s="11" t="str">
        <f>VLOOKUP(L83,'[1]singkron data'!D:M,10,FALSE)</f>
        <v>TK</v>
      </c>
      <c r="AD83" s="11" t="str">
        <f>VLOOKUP(L83,'[1]data 1129'!F:O,10,FALSE)</f>
        <v>Tahap II 146</v>
      </c>
      <c r="AE83" s="11">
        <f>VLOOKUP(L83,'[1]singkron data'!D:P,13,FALSE)</f>
        <v>0</v>
      </c>
      <c r="AF83" s="11" t="s">
        <v>55</v>
      </c>
      <c r="AG83" s="11" t="e">
        <f>VLOOKUP(L83,'[1]update kontrak'!E:K,6,FALSE)</f>
        <v>#N/A</v>
      </c>
      <c r="AH83" s="11" t="e">
        <f>VLOOKUP(L83,'[1]update kontrak'!E:K,7,FALSE)</f>
        <v>#N/A</v>
      </c>
      <c r="AI83" s="11" t="s">
        <v>58</v>
      </c>
      <c r="AJ83" s="11" t="str">
        <f>VLOOKUP(L83,[1]rekap!D:M,1,FALSE)</f>
        <v>Boro</v>
      </c>
      <c r="AK83" s="11" t="str">
        <f>VLOOKUP(L83,'[1]singkron data'!D:E,2,FALSE)</f>
        <v>PT. Masco Energi</v>
      </c>
      <c r="AL83" s="11" t="str">
        <f>VLOOKUP(L83,'[1]update 521'!D:D,1,FALSE)</f>
        <v>Boro</v>
      </c>
      <c r="AM83" s="11" t="s">
        <v>57</v>
      </c>
      <c r="AN83" s="11" t="e">
        <f>VLOOKUP(L83,[1]Sheet19!E:L,8,FALSE)</f>
        <v>#N/A</v>
      </c>
      <c r="AO83" s="11" t="s">
        <v>58</v>
      </c>
      <c r="AP83" s="12"/>
    </row>
    <row r="84" spans="1:42" ht="15" x14ac:dyDescent="0.2">
      <c r="A84" s="8" t="s">
        <v>42</v>
      </c>
      <c r="B84" s="9" t="s">
        <v>43</v>
      </c>
      <c r="C84" s="9">
        <v>731</v>
      </c>
      <c r="D84" s="9" t="s">
        <v>44</v>
      </c>
      <c r="E84" s="9">
        <v>28</v>
      </c>
      <c r="F84" s="9" t="s">
        <v>254</v>
      </c>
      <c r="G84" s="9" t="s">
        <v>46</v>
      </c>
      <c r="H84" s="9" t="s">
        <v>47</v>
      </c>
      <c r="I84" s="9" t="s">
        <v>48</v>
      </c>
      <c r="J84" s="9" t="s">
        <v>49</v>
      </c>
      <c r="K84" s="9" t="s">
        <v>254</v>
      </c>
      <c r="L84" s="10" t="s">
        <v>254</v>
      </c>
      <c r="M84" s="9" t="s">
        <v>51</v>
      </c>
      <c r="N84" s="9">
        <v>111</v>
      </c>
      <c r="O84" s="9">
        <v>8</v>
      </c>
      <c r="P84" s="9">
        <v>50</v>
      </c>
      <c r="Q84" s="9">
        <v>58</v>
      </c>
      <c r="R84" s="9">
        <v>1</v>
      </c>
      <c r="S84" s="9">
        <v>-8.5625815999999997</v>
      </c>
      <c r="T84" s="9">
        <v>119.0171345</v>
      </c>
      <c r="U84" s="9" t="s">
        <v>52</v>
      </c>
      <c r="V84" s="11" t="str">
        <f>VLOOKUP(L84,'[1]singkron data'!D:E,2,FALSE)</f>
        <v>CV. Terang Globalindo</v>
      </c>
      <c r="W84" s="13">
        <f>VLOOKUP(L84,'[1]update tim 2'!D:F,3,FALSE)</f>
        <v>2712398000</v>
      </c>
      <c r="X84" s="11" t="s">
        <v>55</v>
      </c>
      <c r="Y84" s="11" t="str">
        <f>VLOOKUP(L84,'[1]singkron data'!D:H,5,FALSE)</f>
        <v>Jakarta</v>
      </c>
      <c r="Z84" s="11" t="str">
        <f>VLOOKUP(L84,'[1]singkron data'!D:I,6,FALSE)</f>
        <v>Online</v>
      </c>
      <c r="AA84" s="11" t="str">
        <f>VLOOKUP(L84,'[1]singkron data'!D:L,9,FALSE)</f>
        <v>081236590774/ jeffry</v>
      </c>
      <c r="AB84" s="11" t="s">
        <v>54</v>
      </c>
      <c r="AC84" s="11" t="str">
        <f>VLOOKUP(L84,'[1]singkron data'!D:M,10,FALSE)</f>
        <v>Gal-Angga</v>
      </c>
      <c r="AD84" s="11" t="str">
        <f>VLOOKUP(L84,'[1]data 1129'!F:O,10,FALSE)</f>
        <v>Tahap II 146</v>
      </c>
      <c r="AE84" s="11">
        <f>VLOOKUP(L84,'[1]singkron data'!D:P,13,FALSE)</f>
        <v>0</v>
      </c>
      <c r="AF84" s="11" t="s">
        <v>55</v>
      </c>
      <c r="AG84" s="11" t="e">
        <f>VLOOKUP(L84,'[1]update kontrak'!E:K,6,FALSE)</f>
        <v>#N/A</v>
      </c>
      <c r="AH84" s="11" t="e">
        <f>VLOOKUP(L84,'[1]update kontrak'!E:K,7,FALSE)</f>
        <v>#N/A</v>
      </c>
      <c r="AI84" s="11" t="s">
        <v>58</v>
      </c>
      <c r="AJ84" s="11" t="str">
        <f>VLOOKUP(L84,[1]rekap!D:M,1,FALSE)</f>
        <v>Sangia</v>
      </c>
      <c r="AK84" s="11" t="str">
        <f>VLOOKUP(L84,'[1]singkron data'!D:E,2,FALSE)</f>
        <v>CV. Terang Globalindo</v>
      </c>
      <c r="AL84" s="11" t="str">
        <f>VLOOKUP(L84,'[1]update 521'!D:D,1,FALSE)</f>
        <v>Sangia</v>
      </c>
      <c r="AM84" s="11" t="s">
        <v>57</v>
      </c>
      <c r="AN84" s="11" t="e">
        <f>VLOOKUP(L84,[1]Sheet19!E:L,8,FALSE)</f>
        <v>#N/A</v>
      </c>
      <c r="AO84" s="11" t="s">
        <v>58</v>
      </c>
      <c r="AP84" s="12"/>
    </row>
    <row r="85" spans="1:42" ht="15" x14ac:dyDescent="0.2">
      <c r="A85" s="8" t="s">
        <v>42</v>
      </c>
      <c r="B85" s="9" t="s">
        <v>43</v>
      </c>
      <c r="C85" s="9">
        <v>704</v>
      </c>
      <c r="D85" s="9" t="s">
        <v>44</v>
      </c>
      <c r="E85" s="9">
        <v>1</v>
      </c>
      <c r="F85" s="9" t="s">
        <v>255</v>
      </c>
      <c r="G85" s="9" t="s">
        <v>214</v>
      </c>
      <c r="H85" s="9" t="s">
        <v>47</v>
      </c>
      <c r="I85" s="9" t="s">
        <v>256</v>
      </c>
      <c r="J85" s="9" t="s">
        <v>257</v>
      </c>
      <c r="K85" s="9" t="s">
        <v>258</v>
      </c>
      <c r="L85" s="9" t="s">
        <v>258</v>
      </c>
      <c r="M85" s="9" t="s">
        <v>51</v>
      </c>
      <c r="N85" s="9">
        <v>125</v>
      </c>
      <c r="O85" s="9" t="s">
        <v>72</v>
      </c>
      <c r="P85" s="9">
        <v>125</v>
      </c>
      <c r="Q85" s="9">
        <v>125</v>
      </c>
      <c r="R85" s="9">
        <v>0.4</v>
      </c>
      <c r="S85" s="9">
        <v>-8.5441900000000004</v>
      </c>
      <c r="T85" s="9">
        <v>115.496526</v>
      </c>
      <c r="U85" s="9" t="s">
        <v>52</v>
      </c>
      <c r="V85" s="11" t="str">
        <f>VLOOKUP(L85,'[1]singkron data'!D:E,2,FALSE)</f>
        <v>PT. Sendang Dakara Nusantara</v>
      </c>
      <c r="W85" s="13">
        <f>VLOOKUP(L85,'[1]update tim 2'!D:F,3,FALSE)</f>
        <v>2362904000</v>
      </c>
      <c r="X85" s="11" t="s">
        <v>55</v>
      </c>
      <c r="Y85" s="11" t="str">
        <f>VLOOKUP(L85,'[1]singkron data'!D:H,5,FALSE)</f>
        <v>Badung</v>
      </c>
      <c r="Z85" s="11" t="str">
        <f>VLOOKUP(L85,'[1]singkron data'!D:I,6,FALSE)</f>
        <v>Offline</v>
      </c>
      <c r="AA85" s="11" t="str">
        <f>VLOOKUP(L85,'[1]singkron data'!D:L,9,FALSE)</f>
        <v>082264525818/helmi</v>
      </c>
      <c r="AB85" s="11" t="s">
        <v>54</v>
      </c>
      <c r="AC85" s="11" t="str">
        <f>VLOOKUP(L85,'[1]singkron data'!D:M,10,FALSE)</f>
        <v>g</v>
      </c>
      <c r="AD85" s="11" t="str">
        <f>VLOOKUP(L85,'[1]data 1129'!F:O,10,FALSE)</f>
        <v>Tahap II 146</v>
      </c>
      <c r="AE85" s="11">
        <f>VLOOKUP(L85,'[1]singkron data'!D:P,13,FALSE)</f>
        <v>0</v>
      </c>
      <c r="AF85" s="11" t="s">
        <v>55</v>
      </c>
      <c r="AG85" s="11" t="e">
        <f>VLOOKUP(L85,'[1]update kontrak'!E:K,6,FALSE)</f>
        <v>#N/A</v>
      </c>
      <c r="AH85" s="11" t="e">
        <f>VLOOKUP(L85,'[1]update kontrak'!E:K,7,FALSE)</f>
        <v>#N/A</v>
      </c>
      <c r="AI85" s="11" t="s">
        <v>58</v>
      </c>
      <c r="AJ85" s="11" t="str">
        <f>VLOOKUP(L85,[1]rekap!D:M,1,FALSE)</f>
        <v>Antiga Kelod</v>
      </c>
      <c r="AK85" s="11" t="str">
        <f>VLOOKUP(L85,'[1]singkron data'!D:E,2,FALSE)</f>
        <v>PT. Sendang Dakara Nusantara</v>
      </c>
      <c r="AL85" s="11" t="str">
        <f>VLOOKUP(L85,'[1]update 521'!D:D,1,FALSE)</f>
        <v>Antiga Kelod</v>
      </c>
      <c r="AM85" s="11" t="s">
        <v>57</v>
      </c>
      <c r="AN85" s="11" t="e">
        <f>VLOOKUP(L85,[1]Sheet19!E:L,8,FALSE)</f>
        <v>#N/A</v>
      </c>
      <c r="AO85" s="11" t="s">
        <v>58</v>
      </c>
      <c r="AP85" s="12"/>
    </row>
    <row r="86" spans="1:42" ht="15" x14ac:dyDescent="0.2">
      <c r="A86" s="8" t="s">
        <v>42</v>
      </c>
      <c r="B86" s="9" t="s">
        <v>43</v>
      </c>
      <c r="C86" s="9">
        <v>742</v>
      </c>
      <c r="D86" s="9" t="s">
        <v>44</v>
      </c>
      <c r="E86" s="9">
        <v>39</v>
      </c>
      <c r="F86" s="9" t="s">
        <v>259</v>
      </c>
      <c r="G86" s="9" t="s">
        <v>46</v>
      </c>
      <c r="H86" s="9" t="s">
        <v>47</v>
      </c>
      <c r="I86" s="9" t="s">
        <v>85</v>
      </c>
      <c r="J86" s="9" t="s">
        <v>260</v>
      </c>
      <c r="K86" s="9" t="s">
        <v>261</v>
      </c>
      <c r="L86" s="10" t="s">
        <v>261</v>
      </c>
      <c r="M86" s="9" t="s">
        <v>51</v>
      </c>
      <c r="N86" s="9">
        <v>174</v>
      </c>
      <c r="O86" s="9">
        <v>7</v>
      </c>
      <c r="P86" s="9">
        <v>53</v>
      </c>
      <c r="Q86" s="9">
        <v>60</v>
      </c>
      <c r="R86" s="9">
        <v>1.8</v>
      </c>
      <c r="S86" s="9">
        <v>-8.5293969999999995</v>
      </c>
      <c r="T86" s="9">
        <v>118.180897</v>
      </c>
      <c r="U86" s="9" t="s">
        <v>52</v>
      </c>
      <c r="V86" s="11" t="str">
        <f>VLOOKUP(L86,'[1]singkron data'!D:E,2,FALSE)</f>
        <v>PT. Lesindo Bersinar (menengah)</v>
      </c>
      <c r="W86" s="13">
        <f>VLOOKUP(L86,'[1]update tim 2'!D:F,3,FALSE)</f>
        <v>2504974000</v>
      </c>
      <c r="X86" s="11" t="s">
        <v>55</v>
      </c>
      <c r="Y86" s="11" t="str">
        <f>VLOOKUP(L86,'[1]singkron data'!D:H,5,FALSE)</f>
        <v>Sumbawa</v>
      </c>
      <c r="Z86" s="11" t="str">
        <f>VLOOKUP(L86,'[1]singkron data'!D:I,6,FALSE)</f>
        <v>Online</v>
      </c>
      <c r="AA86" s="11" t="str">
        <f>VLOOKUP(L86,'[1]singkron data'!D:L,9,FALSE)</f>
        <v>081112300889/edi</v>
      </c>
      <c r="AB86" s="11" t="s">
        <v>54</v>
      </c>
      <c r="AC86" s="11" t="str">
        <f>VLOOKUP(L86,'[1]singkron data'!D:M,10,FALSE)</f>
        <v>TK</v>
      </c>
      <c r="AD86" s="11" t="str">
        <f>VLOOKUP(L86,'[1]data 1129'!F:O,10,FALSE)</f>
        <v>Tahap II 146</v>
      </c>
      <c r="AE86" s="11">
        <f>VLOOKUP(L86,'[1]singkron data'!D:P,13,FALSE)</f>
        <v>0</v>
      </c>
      <c r="AF86" s="11" t="s">
        <v>55</v>
      </c>
      <c r="AG86" s="11" t="e">
        <f>VLOOKUP(L86,'[1]update kontrak'!E:K,6,FALSE)</f>
        <v>#N/A</v>
      </c>
      <c r="AH86" s="11" t="e">
        <f>VLOOKUP(L86,'[1]update kontrak'!E:K,7,FALSE)</f>
        <v>#N/A</v>
      </c>
      <c r="AI86" s="11" t="s">
        <v>58</v>
      </c>
      <c r="AJ86" s="11" t="str">
        <f>VLOOKUP(L86,[1]rekap!D:M,1,FALSE)</f>
        <v>Tolo Kalo</v>
      </c>
      <c r="AK86" s="11" t="str">
        <f>VLOOKUP(L86,'[1]singkron data'!D:E,2,FALSE)</f>
        <v>PT. Lesindo Bersinar (menengah)</v>
      </c>
      <c r="AL86" s="11" t="str">
        <f>VLOOKUP(L86,'[1]update 521'!D:D,1,FALSE)</f>
        <v>Tolo Kalo</v>
      </c>
      <c r="AM86" s="11" t="s">
        <v>57</v>
      </c>
      <c r="AN86" s="11" t="e">
        <f>VLOOKUP(L86,[1]Sheet19!E:L,8,FALSE)</f>
        <v>#N/A</v>
      </c>
      <c r="AO86" s="11" t="s">
        <v>58</v>
      </c>
      <c r="AP86" s="12"/>
    </row>
    <row r="87" spans="1:42" ht="15" x14ac:dyDescent="0.2">
      <c r="A87" s="8" t="s">
        <v>42</v>
      </c>
      <c r="B87" s="9" t="s">
        <v>43</v>
      </c>
      <c r="C87" s="9">
        <v>743</v>
      </c>
      <c r="D87" s="9" t="s">
        <v>44</v>
      </c>
      <c r="E87" s="9">
        <v>40</v>
      </c>
      <c r="F87" s="9" t="s">
        <v>259</v>
      </c>
      <c r="G87" s="9" t="s">
        <v>46</v>
      </c>
      <c r="H87" s="9" t="s">
        <v>47</v>
      </c>
      <c r="I87" s="9" t="s">
        <v>85</v>
      </c>
      <c r="J87" s="9" t="s">
        <v>260</v>
      </c>
      <c r="K87" s="9" t="s">
        <v>259</v>
      </c>
      <c r="L87" s="10" t="s">
        <v>259</v>
      </c>
      <c r="M87" s="9" t="s">
        <v>51</v>
      </c>
      <c r="N87" s="9">
        <v>458</v>
      </c>
      <c r="O87" s="9" t="s">
        <v>72</v>
      </c>
      <c r="P87" s="9">
        <v>268</v>
      </c>
      <c r="Q87" s="9">
        <v>268</v>
      </c>
      <c r="R87" s="9">
        <v>1.8</v>
      </c>
      <c r="S87" s="9">
        <v>-8.5595219999999994</v>
      </c>
      <c r="T87" s="9">
        <v>118.239806</v>
      </c>
      <c r="U87" s="9" t="s">
        <v>52</v>
      </c>
      <c r="V87" s="11" t="str">
        <f>VLOOKUP(L87,'[1]singkron data'!D:E,2,FALSE)</f>
        <v>PT. Masco Energi</v>
      </c>
      <c r="W87" s="13">
        <f>VLOOKUP(L87,'[1]update tim 2'!D:F,3,FALSE)</f>
        <v>2938167000</v>
      </c>
      <c r="X87" s="11" t="s">
        <v>55</v>
      </c>
      <c r="Y87" s="11" t="str">
        <f>VLOOKUP(L87,'[1]singkron data'!D:H,5,FALSE)</f>
        <v>Lombok Barat</v>
      </c>
      <c r="Z87" s="11" t="str">
        <f>VLOOKUP(L87,'[1]singkron data'!D:I,6,FALSE)</f>
        <v>Online</v>
      </c>
      <c r="AA87" s="11" t="str">
        <f>VLOOKUP(L87,'[1]singkron data'!D:L,9,FALSE)</f>
        <v>081112300889/edi</v>
      </c>
      <c r="AB87" s="11" t="s">
        <v>54</v>
      </c>
      <c r="AC87" s="11" t="str">
        <f>VLOOKUP(L87,'[1]singkron data'!D:M,10,FALSE)</f>
        <v>TK</v>
      </c>
      <c r="AD87" s="11" t="str">
        <f>VLOOKUP(L87,'[1]data 1129'!F:O,10,FALSE)</f>
        <v>Tahap II 146</v>
      </c>
      <c r="AE87" s="11">
        <f>VLOOKUP(L87,'[1]singkron data'!D:P,13,FALSE)</f>
        <v>0</v>
      </c>
      <c r="AF87" s="11" t="s">
        <v>55</v>
      </c>
      <c r="AG87" s="11" t="e">
        <f>VLOOKUP(L87,'[1]update kontrak'!E:K,6,FALSE)</f>
        <v>#N/A</v>
      </c>
      <c r="AH87" s="11" t="e">
        <f>VLOOKUP(L87,'[1]update kontrak'!E:K,7,FALSE)</f>
        <v>#N/A</v>
      </c>
      <c r="AI87" s="11" t="s">
        <v>58</v>
      </c>
      <c r="AJ87" s="11" t="str">
        <f>VLOOKUP(L87,[1]rekap!D:M,1,FALSE)</f>
        <v>Soro</v>
      </c>
      <c r="AK87" s="11" t="str">
        <f>VLOOKUP(L87,'[1]singkron data'!D:E,2,FALSE)</f>
        <v>PT. Masco Energi</v>
      </c>
      <c r="AL87" s="11" t="str">
        <f>VLOOKUP(L87,'[1]update 521'!D:D,1,FALSE)</f>
        <v>Soro</v>
      </c>
      <c r="AM87" s="11" t="s">
        <v>57</v>
      </c>
      <c r="AN87" s="11" t="e">
        <f>VLOOKUP(L87,[1]Sheet19!E:L,8,FALSE)</f>
        <v>#N/A</v>
      </c>
      <c r="AO87" s="11" t="s">
        <v>58</v>
      </c>
      <c r="AP87" s="12"/>
    </row>
    <row r="88" spans="1:42" ht="15" x14ac:dyDescent="0.2">
      <c r="A88" s="8" t="s">
        <v>42</v>
      </c>
      <c r="B88" s="9" t="s">
        <v>60</v>
      </c>
      <c r="C88" s="9">
        <v>717</v>
      </c>
      <c r="D88" s="9" t="s">
        <v>44</v>
      </c>
      <c r="E88" s="9">
        <v>14</v>
      </c>
      <c r="F88" s="9" t="s">
        <v>262</v>
      </c>
      <c r="G88" s="9" t="s">
        <v>46</v>
      </c>
      <c r="H88" s="9" t="s">
        <v>47</v>
      </c>
      <c r="I88" s="9" t="s">
        <v>78</v>
      </c>
      <c r="J88" s="9" t="s">
        <v>263</v>
      </c>
      <c r="K88" s="9" t="s">
        <v>262</v>
      </c>
      <c r="L88" s="10" t="s">
        <v>262</v>
      </c>
      <c r="M88" s="9" t="s">
        <v>51</v>
      </c>
      <c r="N88" s="9">
        <v>536</v>
      </c>
      <c r="O88" s="9" t="s">
        <v>72</v>
      </c>
      <c r="P88" s="9">
        <v>201</v>
      </c>
      <c r="Q88" s="9">
        <v>201</v>
      </c>
      <c r="R88" s="9">
        <v>0.8</v>
      </c>
      <c r="S88" s="9">
        <v>-8.3368529999999996</v>
      </c>
      <c r="T88" s="9">
        <v>116.69652000000001</v>
      </c>
      <c r="U88" s="9" t="s">
        <v>52</v>
      </c>
      <c r="V88" s="11" t="str">
        <f>VLOOKUP(L88,'[1]singkron data'!D:E,2,FALSE)</f>
        <v>PT. Asuka Engineering Indonesia</v>
      </c>
      <c r="W88" s="13">
        <f>VLOOKUP(L88,'[1]update tim 2'!D:F,3,FALSE)</f>
        <v>2690941000</v>
      </c>
      <c r="X88" s="11" t="s">
        <v>55</v>
      </c>
      <c r="Y88" s="11" t="str">
        <f>VLOOKUP(L88,'[1]singkron data'!D:H,5,FALSE)</f>
        <v>Gresik</v>
      </c>
      <c r="Z88" s="11">
        <f>VLOOKUP(L88,'[1]singkron data'!D:I,6,FALSE)</f>
        <v>0</v>
      </c>
      <c r="AA88" s="11" t="str">
        <f>VLOOKUP(L88,'[1]singkron data'!D:L,9,FALSE)</f>
        <v>081358005070/efendi</v>
      </c>
      <c r="AB88" s="11" t="s">
        <v>54</v>
      </c>
      <c r="AC88" s="11" t="str">
        <f>VLOOKUP(L88,'[1]singkron data'!D:M,10,FALSE)</f>
        <v>g</v>
      </c>
      <c r="AD88" s="11" t="str">
        <f>VLOOKUP(L88,'[1]data 1129'!F:O,10,FALSE)</f>
        <v>Tahap II 146</v>
      </c>
      <c r="AE88" s="11">
        <f>VLOOKUP(L88,'[1]singkron data'!D:P,13,FALSE)</f>
        <v>0</v>
      </c>
      <c r="AF88" s="11" t="s">
        <v>55</v>
      </c>
      <c r="AG88" s="11" t="e">
        <f>VLOOKUP(L88,'[1]update kontrak'!E:K,6,FALSE)</f>
        <v>#N/A</v>
      </c>
      <c r="AH88" s="11" t="e">
        <f>VLOOKUP(L88,'[1]update kontrak'!E:K,7,FALSE)</f>
        <v>#N/A</v>
      </c>
      <c r="AI88" s="11" t="s">
        <v>58</v>
      </c>
      <c r="AJ88" s="11" t="str">
        <f>VLOOKUP(L88,[1]rekap!D:M,1,FALSE)</f>
        <v>Sugian</v>
      </c>
      <c r="AK88" s="11" t="str">
        <f>VLOOKUP(L88,'[1]singkron data'!D:E,2,FALSE)</f>
        <v>PT. Asuka Engineering Indonesia</v>
      </c>
      <c r="AL88" s="11" t="str">
        <f>VLOOKUP(L88,'[1]update 521'!D:D,1,FALSE)</f>
        <v>Sugian</v>
      </c>
      <c r="AM88" s="11" t="s">
        <v>57</v>
      </c>
      <c r="AN88" s="11" t="e">
        <f>VLOOKUP(L88,[1]Sheet19!E:L,8,FALSE)</f>
        <v>#N/A</v>
      </c>
      <c r="AO88" s="11" t="s">
        <v>58</v>
      </c>
      <c r="AP88" s="12"/>
    </row>
    <row r="89" spans="1:42" ht="16" x14ac:dyDescent="0.2">
      <c r="A89" s="8" t="s">
        <v>42</v>
      </c>
      <c r="B89" s="9" t="s">
        <v>43</v>
      </c>
      <c r="C89" s="9">
        <v>726</v>
      </c>
      <c r="D89" s="9" t="s">
        <v>44</v>
      </c>
      <c r="E89" s="9">
        <v>23</v>
      </c>
      <c r="F89" s="9" t="s">
        <v>264</v>
      </c>
      <c r="G89" s="9" t="s">
        <v>46</v>
      </c>
      <c r="H89" s="9" t="s">
        <v>47</v>
      </c>
      <c r="I89" s="9" t="s">
        <v>265</v>
      </c>
      <c r="J89" s="15" t="s">
        <v>266</v>
      </c>
      <c r="K89" s="15" t="s">
        <v>264</v>
      </c>
      <c r="L89" s="16" t="s">
        <v>264</v>
      </c>
      <c r="M89" s="9" t="s">
        <v>51</v>
      </c>
      <c r="N89" s="9">
        <v>293</v>
      </c>
      <c r="O89" s="9" t="s">
        <v>72</v>
      </c>
      <c r="P89" s="9">
        <v>132</v>
      </c>
      <c r="Q89" s="9">
        <v>132</v>
      </c>
      <c r="R89" s="9">
        <v>1.5</v>
      </c>
      <c r="S89" s="9">
        <v>-8.4521429999999995</v>
      </c>
      <c r="T89" s="9">
        <v>118.71385100000001</v>
      </c>
      <c r="U89" s="9" t="s">
        <v>52</v>
      </c>
      <c r="V89" s="13" t="s">
        <v>267</v>
      </c>
      <c r="W89" s="11"/>
      <c r="X89" s="11"/>
      <c r="Y89" s="11">
        <f>VLOOKUP(L89,'[1]singkron data'!D:H,5,FALSE)</f>
        <v>0</v>
      </c>
      <c r="Z89" s="11">
        <f>VLOOKUP(L89,'[1]singkron data'!D:I,6,FALSE)</f>
        <v>0</v>
      </c>
      <c r="AA89" s="11"/>
      <c r="AB89" s="11" t="s">
        <v>54</v>
      </c>
      <c r="AC89" s="11" t="s">
        <v>268</v>
      </c>
      <c r="AD89" s="11" t="str">
        <f>VLOOKUP(L89,'[1]data 1129'!F:O,10,FALSE)</f>
        <v>Tahap II 146</v>
      </c>
      <c r="AE89" s="11">
        <f>VLOOKUP(L89,'[1]singkron data'!D:P,13,FALSE)</f>
        <v>0</v>
      </c>
      <c r="AF89" s="11" t="s">
        <v>55</v>
      </c>
      <c r="AG89" s="11" t="e">
        <f>VLOOKUP(L89,'[1]update kontrak'!E:K,6,FALSE)</f>
        <v>#N/A</v>
      </c>
      <c r="AH89" s="11" t="e">
        <f>VLOOKUP(L89,'[1]update kontrak'!E:K,7,FALSE)</f>
        <v>#N/A</v>
      </c>
      <c r="AI89" s="11"/>
      <c r="AJ89" s="11" t="str">
        <f>VLOOKUP(L89,[1]rekap!D:M,1,FALSE)</f>
        <v>Tanjung</v>
      </c>
      <c r="AK89" s="11" t="str">
        <f>VLOOKUP(L89,'[1]singkron data'!D:E,2,FALSE)</f>
        <v>PT SPECTRATAMA PERKASA</v>
      </c>
      <c r="AL89" s="11" t="str">
        <f>VLOOKUP(L89,'[1]update 521'!D:D,1,FALSE)</f>
        <v>Tanjung</v>
      </c>
      <c r="AM89" s="11" t="s">
        <v>57</v>
      </c>
      <c r="AN89" s="11" t="e">
        <f>VLOOKUP(L89,[1]Sheet19!E:L,8,FALSE)</f>
        <v>#N/A</v>
      </c>
      <c r="AO89" s="11" t="s">
        <v>58</v>
      </c>
      <c r="AP89" s="12"/>
    </row>
    <row r="90" spans="1:42" ht="15" x14ac:dyDescent="0.2">
      <c r="A90" s="8" t="s">
        <v>42</v>
      </c>
      <c r="B90" s="9" t="s">
        <v>43</v>
      </c>
      <c r="C90" s="9">
        <v>759</v>
      </c>
      <c r="D90" s="9" t="s">
        <v>44</v>
      </c>
      <c r="E90" s="9">
        <v>56</v>
      </c>
      <c r="F90" s="9" t="s">
        <v>269</v>
      </c>
      <c r="G90" s="9" t="s">
        <v>74</v>
      </c>
      <c r="H90" s="9" t="s">
        <v>47</v>
      </c>
      <c r="I90" s="9" t="s">
        <v>180</v>
      </c>
      <c r="J90" s="9" t="s">
        <v>270</v>
      </c>
      <c r="K90" s="9" t="s">
        <v>269</v>
      </c>
      <c r="L90" s="10" t="s">
        <v>269</v>
      </c>
      <c r="M90" s="9" t="s">
        <v>81</v>
      </c>
      <c r="N90" s="9">
        <v>241</v>
      </c>
      <c r="O90" s="9" t="s">
        <v>72</v>
      </c>
      <c r="P90" s="9">
        <v>80</v>
      </c>
      <c r="Q90" s="9">
        <v>80</v>
      </c>
      <c r="R90" s="9">
        <v>0.52</v>
      </c>
      <c r="S90" s="9">
        <v>-8.8734730000000006</v>
      </c>
      <c r="T90" s="9">
        <v>121.664333</v>
      </c>
      <c r="U90" s="9" t="s">
        <v>52</v>
      </c>
      <c r="V90" s="11" t="str">
        <f>VLOOKUP(L90,'[1]singkron data'!D:E,2,FALSE)</f>
        <v>CV. Jawa Mai</v>
      </c>
      <c r="W90" s="11"/>
      <c r="X90" s="11"/>
      <c r="Y90" s="11" t="str">
        <f>VLOOKUP(L90,'[1]singkron data'!D:H,5,FALSE)</f>
        <v>Ende</v>
      </c>
      <c r="Z90" s="11" t="str">
        <f>VLOOKUP(L90,'[1]singkron data'!D:I,6,FALSE)</f>
        <v>Online</v>
      </c>
      <c r="AA90" s="11">
        <f>VLOOKUP(L90,'[1]singkron data'!D:L,9,FALSE)</f>
        <v>81237969666</v>
      </c>
      <c r="AB90" s="11" t="s">
        <v>54</v>
      </c>
      <c r="AC90" s="11" t="str">
        <f>VLOOKUP(L90,'[1]singkron data'!D:M,10,FALSE)</f>
        <v>Galuh-B</v>
      </c>
      <c r="AD90" s="11" t="str">
        <f>VLOOKUP(L90,'[1]data 1129'!F:O,10,FALSE)</f>
        <v>Tahap III 166</v>
      </c>
      <c r="AE90" s="11">
        <f>VLOOKUP(L90,'[1]singkron data'!D:P,13,FALSE)</f>
        <v>0</v>
      </c>
      <c r="AF90" s="11" t="s">
        <v>55</v>
      </c>
      <c r="AG90" s="11" t="e">
        <f>VLOOKUP(L90,'[1]update kontrak'!E:K,6,FALSE)</f>
        <v>#N/A</v>
      </c>
      <c r="AH90" s="11" t="e">
        <f>VLOOKUP(L90,'[1]update kontrak'!E:K,7,FALSE)</f>
        <v>#N/A</v>
      </c>
      <c r="AI90" s="11"/>
      <c r="AJ90" s="11" t="str">
        <f>VLOOKUP(L90,[1]rekap!D:M,1,FALSE)</f>
        <v>Tetandara</v>
      </c>
      <c r="AK90" s="11" t="str">
        <f>VLOOKUP(L90,'[1]singkron data'!D:E,2,FALSE)</f>
        <v>CV. Jawa Mai</v>
      </c>
      <c r="AL90" s="11" t="str">
        <f>VLOOKUP(L90,'[1]update 521'!D:D,1,FALSE)</f>
        <v>Tetandara</v>
      </c>
      <c r="AM90" s="11" t="s">
        <v>96</v>
      </c>
      <c r="AN90" s="11" t="e">
        <f>VLOOKUP(L90,[1]Sheet19!E:L,8,FALSE)</f>
        <v>#N/A</v>
      </c>
      <c r="AO90" s="11" t="e">
        <f>VLOOKUP(L90,[1]Sheet19!E:K,7,FALSE)</f>
        <v>#N/A</v>
      </c>
      <c r="AP90" s="12"/>
    </row>
    <row r="91" spans="1:42" ht="15" x14ac:dyDescent="0.2">
      <c r="A91" s="8" t="s">
        <v>42</v>
      </c>
      <c r="B91" s="9" t="s">
        <v>43</v>
      </c>
      <c r="C91" s="9">
        <v>760</v>
      </c>
      <c r="D91" s="9" t="s">
        <v>44</v>
      </c>
      <c r="E91" s="9">
        <v>57</v>
      </c>
      <c r="F91" s="9" t="s">
        <v>269</v>
      </c>
      <c r="G91" s="9" t="s">
        <v>74</v>
      </c>
      <c r="H91" s="9" t="s">
        <v>47</v>
      </c>
      <c r="I91" s="9" t="s">
        <v>180</v>
      </c>
      <c r="J91" s="9" t="s">
        <v>271</v>
      </c>
      <c r="K91" s="9" t="s">
        <v>272</v>
      </c>
      <c r="L91" s="10" t="s">
        <v>272</v>
      </c>
      <c r="M91" s="9" t="s">
        <v>51</v>
      </c>
      <c r="N91" s="9">
        <v>267</v>
      </c>
      <c r="O91" s="9" t="s">
        <v>72</v>
      </c>
      <c r="P91" s="9">
        <v>36</v>
      </c>
      <c r="Q91" s="9">
        <v>36</v>
      </c>
      <c r="R91" s="9">
        <v>0.56999999999999995</v>
      </c>
      <c r="S91" s="9">
        <v>-8.8546940000000003</v>
      </c>
      <c r="T91" s="9">
        <v>121.52116700000001</v>
      </c>
      <c r="U91" s="9" t="s">
        <v>52</v>
      </c>
      <c r="V91" s="11" t="str">
        <f>VLOOKUP(L91,'[1]singkron data'!D:E,2,FALSE)</f>
        <v>CV. Jawa Mai</v>
      </c>
      <c r="W91" s="11"/>
      <c r="X91" s="11"/>
      <c r="Y91" s="11" t="str">
        <f>VLOOKUP(L91,'[1]singkron data'!D:H,5,FALSE)</f>
        <v>Ende</v>
      </c>
      <c r="Z91" s="11" t="str">
        <f>VLOOKUP(L91,'[1]singkron data'!D:I,6,FALSE)</f>
        <v>Online</v>
      </c>
      <c r="AA91" s="11">
        <f>VLOOKUP(L91,'[1]singkron data'!D:L,9,FALSE)</f>
        <v>81237969666</v>
      </c>
      <c r="AB91" s="11" t="s">
        <v>54</v>
      </c>
      <c r="AC91" s="11" t="str">
        <f>VLOOKUP(L91,'[1]singkron data'!D:M,10,FALSE)</f>
        <v>Galuh-B</v>
      </c>
      <c r="AD91" s="11" t="str">
        <f>VLOOKUP(L91,'[1]data 1129'!F:O,10,FALSE)</f>
        <v>Tahap III 166</v>
      </c>
      <c r="AE91" s="11">
        <f>VLOOKUP(L91,'[1]singkron data'!D:P,13,FALSE)</f>
        <v>0</v>
      </c>
      <c r="AF91" s="11" t="s">
        <v>55</v>
      </c>
      <c r="AG91" s="11" t="e">
        <f>VLOOKUP(L91,'[1]update kontrak'!E:K,6,FALSE)</f>
        <v>#N/A</v>
      </c>
      <c r="AH91" s="11" t="e">
        <f>VLOOKUP(L91,'[1]update kontrak'!E:K,7,FALSE)</f>
        <v>#N/A</v>
      </c>
      <c r="AI91" s="11"/>
      <c r="AJ91" s="11" t="str">
        <f>VLOOKUP(L91,[1]rekap!D:M,1,FALSE)</f>
        <v>Rorurangga</v>
      </c>
      <c r="AK91" s="11" t="str">
        <f>VLOOKUP(L91,'[1]singkron data'!D:E,2,FALSE)</f>
        <v>CV. Jawa Mai</v>
      </c>
      <c r="AL91" s="11" t="str">
        <f>VLOOKUP(L91,'[1]update 521'!D:D,1,FALSE)</f>
        <v>Rorurangga</v>
      </c>
      <c r="AM91" s="11" t="s">
        <v>96</v>
      </c>
      <c r="AN91" s="11" t="e">
        <f>VLOOKUP(L91,[1]Sheet19!E:L,8,FALSE)</f>
        <v>#N/A</v>
      </c>
      <c r="AO91" s="11" t="e">
        <f>VLOOKUP(L91,[1]Sheet19!E:K,7,FALSE)</f>
        <v>#N/A</v>
      </c>
      <c r="AP91" s="12"/>
    </row>
    <row r="92" spans="1:42" ht="15" x14ac:dyDescent="0.2">
      <c r="A92" s="8" t="s">
        <v>42</v>
      </c>
      <c r="B92" s="9" t="s">
        <v>43</v>
      </c>
      <c r="C92" s="9">
        <v>778</v>
      </c>
      <c r="D92" s="9" t="s">
        <v>44</v>
      </c>
      <c r="E92" s="9">
        <v>75</v>
      </c>
      <c r="F92" s="9" t="s">
        <v>273</v>
      </c>
      <c r="G92" s="9" t="s">
        <v>74</v>
      </c>
      <c r="H92" s="9" t="s">
        <v>47</v>
      </c>
      <c r="I92" s="9" t="s">
        <v>274</v>
      </c>
      <c r="J92" s="9" t="s">
        <v>275</v>
      </c>
      <c r="K92" s="9" t="s">
        <v>276</v>
      </c>
      <c r="L92" s="10" t="s">
        <v>276</v>
      </c>
      <c r="M92" s="9" t="s">
        <v>81</v>
      </c>
      <c r="N92" s="9">
        <v>350</v>
      </c>
      <c r="O92" s="9">
        <v>150</v>
      </c>
      <c r="P92" s="9">
        <v>31</v>
      </c>
      <c r="Q92" s="9">
        <v>181</v>
      </c>
      <c r="R92" s="9">
        <v>0.93</v>
      </c>
      <c r="S92" s="9">
        <v>-8.4935550000000006</v>
      </c>
      <c r="T92" s="9">
        <v>123.25287899999999</v>
      </c>
      <c r="U92" s="9" t="s">
        <v>52</v>
      </c>
      <c r="V92" s="11" t="str">
        <f>VLOOKUP(L92,'[1]singkron data'!D:E,2,FALSE)</f>
        <v>PT. Trisama Sakti Contractor</v>
      </c>
      <c r="W92" s="11"/>
      <c r="X92" s="11"/>
      <c r="Y92" s="11">
        <f>VLOOKUP(L92,'[1]singkron data'!D:H,5,FALSE)</f>
        <v>0</v>
      </c>
      <c r="Z92" s="11">
        <f>VLOOKUP(L92,'[1]singkron data'!D:I,6,FALSE)</f>
        <v>0</v>
      </c>
      <c r="AA92" s="11">
        <f>VLOOKUP(L92,'[1]singkron data'!D:L,9,FALSE)</f>
        <v>0</v>
      </c>
      <c r="AB92" s="11" t="s">
        <v>54</v>
      </c>
      <c r="AC92" s="11" t="str">
        <f>VLOOKUP(L92,'[1]singkron data'!D:M,10,FALSE)</f>
        <v>fraksi roem</v>
      </c>
      <c r="AD92" s="11" t="str">
        <f>VLOOKUP(L92,'[1]data 1129'!F:O,10,FALSE)</f>
        <v>Tahap III 166</v>
      </c>
      <c r="AE92" s="11">
        <f>VLOOKUP(L92,'[1]singkron data'!D:P,13,FALSE)</f>
        <v>0</v>
      </c>
      <c r="AF92" s="11" t="s">
        <v>55</v>
      </c>
      <c r="AG92" s="11" t="e">
        <f>VLOOKUP(L92,'[1]update kontrak'!E:K,6,FALSE)</f>
        <v>#N/A</v>
      </c>
      <c r="AH92" s="11" t="e">
        <f>VLOOKUP(L92,'[1]update kontrak'!E:K,7,FALSE)</f>
        <v>#N/A</v>
      </c>
      <c r="AI92" s="11" t="s">
        <v>58</v>
      </c>
      <c r="AJ92" s="11" t="str">
        <f>VLOOKUP(L92,[1]rekap!D:M,1,FALSE)</f>
        <v>Babokerong</v>
      </c>
      <c r="AK92" s="11" t="str">
        <f>VLOOKUP(L92,'[1]singkron data'!D:E,2,FALSE)</f>
        <v>PT. Trisama Sakti Contractor</v>
      </c>
      <c r="AL92" s="11" t="str">
        <f>VLOOKUP(L92,'[1]update 521'!D:D,1,FALSE)</f>
        <v>Babokerong</v>
      </c>
      <c r="AM92" s="11" t="s">
        <v>96</v>
      </c>
      <c r="AN92" s="11" t="e">
        <f>VLOOKUP(L92,[1]Sheet19!E:L,8,FALSE)</f>
        <v>#N/A</v>
      </c>
      <c r="AO92" s="11" t="e">
        <f>VLOOKUP(L92,[1]Sheet19!E:K,7,FALSE)</f>
        <v>#N/A</v>
      </c>
      <c r="AP92" s="12"/>
    </row>
    <row r="93" spans="1:42" ht="15" x14ac:dyDescent="0.2">
      <c r="A93" s="8" t="s">
        <v>42</v>
      </c>
      <c r="B93" s="9" t="s">
        <v>43</v>
      </c>
      <c r="C93" s="9">
        <v>779</v>
      </c>
      <c r="D93" s="9" t="s">
        <v>44</v>
      </c>
      <c r="E93" s="9">
        <v>76</v>
      </c>
      <c r="F93" s="9" t="s">
        <v>273</v>
      </c>
      <c r="G93" s="9" t="s">
        <v>74</v>
      </c>
      <c r="H93" s="9" t="s">
        <v>47</v>
      </c>
      <c r="I93" s="9" t="s">
        <v>274</v>
      </c>
      <c r="J93" s="9" t="s">
        <v>277</v>
      </c>
      <c r="K93" s="9" t="s">
        <v>278</v>
      </c>
      <c r="L93" s="10" t="s">
        <v>278</v>
      </c>
      <c r="M93" s="9" t="s">
        <v>51</v>
      </c>
      <c r="N93" s="9">
        <v>720</v>
      </c>
      <c r="O93" s="9" t="s">
        <v>72</v>
      </c>
      <c r="P93" s="9">
        <v>99</v>
      </c>
      <c r="Q93" s="9">
        <v>99</v>
      </c>
      <c r="R93" s="9">
        <v>0.92</v>
      </c>
      <c r="S93" s="9">
        <v>-8.3703260000000004</v>
      </c>
      <c r="T93" s="9">
        <v>123.42609299999999</v>
      </c>
      <c r="U93" s="9" t="s">
        <v>52</v>
      </c>
      <c r="V93" s="11" t="str">
        <f>VLOOKUP(L93,'[1]singkron data'!D:E,2,FALSE)</f>
        <v>PT. Trisama Sakti Contractor</v>
      </c>
      <c r="W93" s="11"/>
      <c r="X93" s="11"/>
      <c r="Y93" s="11">
        <f>VLOOKUP(L93,'[1]singkron data'!D:H,5,FALSE)</f>
        <v>0</v>
      </c>
      <c r="Z93" s="11">
        <f>VLOOKUP(L93,'[1]singkron data'!D:I,6,FALSE)</f>
        <v>0</v>
      </c>
      <c r="AA93" s="11">
        <f>VLOOKUP(L93,'[1]singkron data'!D:L,9,FALSE)</f>
        <v>0</v>
      </c>
      <c r="AB93" s="11" t="s">
        <v>54</v>
      </c>
      <c r="AC93" s="11" t="str">
        <f>VLOOKUP(L93,'[1]singkron data'!D:M,10,FALSE)</f>
        <v>fraksi roem</v>
      </c>
      <c r="AD93" s="11" t="str">
        <f>VLOOKUP(L93,'[1]data 1129'!F:O,10,FALSE)</f>
        <v>Tahap III 166</v>
      </c>
      <c r="AE93" s="11">
        <f>VLOOKUP(L93,'[1]singkron data'!D:P,13,FALSE)</f>
        <v>0</v>
      </c>
      <c r="AF93" s="11" t="s">
        <v>55</v>
      </c>
      <c r="AG93" s="11" t="e">
        <f>VLOOKUP(L93,'[1]update kontrak'!E:K,6,FALSE)</f>
        <v>#N/A</v>
      </c>
      <c r="AH93" s="11" t="e">
        <f>VLOOKUP(L93,'[1]update kontrak'!E:K,7,FALSE)</f>
        <v>#N/A</v>
      </c>
      <c r="AI93" s="11" t="s">
        <v>58</v>
      </c>
      <c r="AJ93" s="11" t="str">
        <f>VLOOKUP(L93,[1]rekap!D:M,1,FALSE)</f>
        <v>Lewoleba Tengah</v>
      </c>
      <c r="AK93" s="11" t="str">
        <f>VLOOKUP(L93,'[1]singkron data'!D:E,2,FALSE)</f>
        <v>PT. Trisama Sakti Contractor</v>
      </c>
      <c r="AL93" s="11" t="str">
        <f>VLOOKUP(L93,'[1]update 521'!D:D,1,FALSE)</f>
        <v>Lewoleba Tengah</v>
      </c>
      <c r="AM93" s="11" t="s">
        <v>96</v>
      </c>
      <c r="AN93" s="11" t="e">
        <f>VLOOKUP(L93,[1]Sheet19!E:L,8,FALSE)</f>
        <v>#N/A</v>
      </c>
      <c r="AO93" s="11" t="e">
        <f>VLOOKUP(L93,[1]Sheet19!E:K,7,FALSE)</f>
        <v>#N/A</v>
      </c>
      <c r="AP93" s="12"/>
    </row>
    <row r="94" spans="1:42" ht="15" x14ac:dyDescent="0.2">
      <c r="A94" s="8" t="s">
        <v>42</v>
      </c>
      <c r="B94" s="9" t="s">
        <v>43</v>
      </c>
      <c r="C94" s="9">
        <v>780</v>
      </c>
      <c r="D94" s="9" t="s">
        <v>44</v>
      </c>
      <c r="E94" s="9">
        <v>77</v>
      </c>
      <c r="F94" s="9" t="s">
        <v>273</v>
      </c>
      <c r="G94" s="9" t="s">
        <v>74</v>
      </c>
      <c r="H94" s="9" t="s">
        <v>47</v>
      </c>
      <c r="I94" s="9" t="s">
        <v>274</v>
      </c>
      <c r="J94" s="9" t="s">
        <v>279</v>
      </c>
      <c r="K94" s="9" t="s">
        <v>280</v>
      </c>
      <c r="L94" s="10" t="s">
        <v>280</v>
      </c>
      <c r="M94" s="9" t="s">
        <v>51</v>
      </c>
      <c r="N94" s="9">
        <v>360</v>
      </c>
      <c r="O94" s="9">
        <v>13</v>
      </c>
      <c r="P94" s="9">
        <v>38</v>
      </c>
      <c r="Q94" s="9">
        <v>51</v>
      </c>
      <c r="R94" s="9">
        <v>0.63449999999999995</v>
      </c>
      <c r="S94" s="9">
        <v>-8.5325609999999994</v>
      </c>
      <c r="T94" s="9">
        <v>123.450501</v>
      </c>
      <c r="U94" s="9" t="s">
        <v>52</v>
      </c>
      <c r="V94" s="11" t="str">
        <f>VLOOKUP(L94,'[1]singkron data'!D:E,2,FALSE)</f>
        <v>PT. Trisama Sakti Contractor</v>
      </c>
      <c r="W94" s="11"/>
      <c r="X94" s="11"/>
      <c r="Y94" s="11">
        <f>VLOOKUP(L94,'[1]singkron data'!D:H,5,FALSE)</f>
        <v>0</v>
      </c>
      <c r="Z94" s="11">
        <f>VLOOKUP(L94,'[1]singkron data'!D:I,6,FALSE)</f>
        <v>0</v>
      </c>
      <c r="AA94" s="11">
        <f>VLOOKUP(L94,'[1]singkron data'!D:L,9,FALSE)</f>
        <v>0</v>
      </c>
      <c r="AB94" s="11" t="s">
        <v>54</v>
      </c>
      <c r="AC94" s="11" t="str">
        <f>VLOOKUP(L94,'[1]singkron data'!D:M,10,FALSE)</f>
        <v>fraksi roem</v>
      </c>
      <c r="AD94" s="11" t="str">
        <f>VLOOKUP(L94,'[1]data 1129'!F:O,10,FALSE)</f>
        <v>Tahap III 166</v>
      </c>
      <c r="AE94" s="11">
        <f>VLOOKUP(L94,'[1]singkron data'!D:P,13,FALSE)</f>
        <v>0</v>
      </c>
      <c r="AF94" s="11" t="s">
        <v>55</v>
      </c>
      <c r="AG94" s="11" t="e">
        <f>VLOOKUP(L94,'[1]update kontrak'!E:K,6,FALSE)</f>
        <v>#N/A</v>
      </c>
      <c r="AH94" s="11" t="e">
        <f>VLOOKUP(L94,'[1]update kontrak'!E:K,7,FALSE)</f>
        <v>#N/A</v>
      </c>
      <c r="AI94" s="11" t="s">
        <v>58</v>
      </c>
      <c r="AJ94" s="11" t="str">
        <f>VLOOKUP(L94,[1]rekap!D:M,1,FALSE)</f>
        <v>Pantai Harapan</v>
      </c>
      <c r="AK94" s="11" t="str">
        <f>VLOOKUP(L94,'[1]singkron data'!D:E,2,FALSE)</f>
        <v>PT. Trisama Sakti Contractor</v>
      </c>
      <c r="AL94" s="11" t="str">
        <f>VLOOKUP(L94,'[1]update 521'!D:D,1,FALSE)</f>
        <v>Pantai Harapan</v>
      </c>
      <c r="AM94" s="11" t="s">
        <v>96</v>
      </c>
      <c r="AN94" s="11" t="e">
        <f>VLOOKUP(L94,[1]Sheet19!E:L,8,FALSE)</f>
        <v>#N/A</v>
      </c>
      <c r="AO94" s="11" t="e">
        <f>VLOOKUP(L94,[1]Sheet19!E:K,7,FALSE)</f>
        <v>#N/A</v>
      </c>
      <c r="AP94" s="12"/>
    </row>
    <row r="95" spans="1:42" ht="15" x14ac:dyDescent="0.2">
      <c r="A95" s="8" t="s">
        <v>42</v>
      </c>
      <c r="B95" s="9" t="s">
        <v>43</v>
      </c>
      <c r="C95" s="9">
        <v>800</v>
      </c>
      <c r="D95" s="9" t="s">
        <v>44</v>
      </c>
      <c r="E95" s="9">
        <v>97</v>
      </c>
      <c r="F95" s="9" t="s">
        <v>273</v>
      </c>
      <c r="G95" s="9" t="s">
        <v>74</v>
      </c>
      <c r="H95" s="9" t="s">
        <v>47</v>
      </c>
      <c r="I95" s="9" t="s">
        <v>274</v>
      </c>
      <c r="J95" s="9" t="s">
        <v>281</v>
      </c>
      <c r="K95" s="9" t="s">
        <v>273</v>
      </c>
      <c r="L95" s="10" t="s">
        <v>273</v>
      </c>
      <c r="M95" s="9" t="s">
        <v>65</v>
      </c>
      <c r="N95" s="9">
        <v>43</v>
      </c>
      <c r="O95" s="9">
        <v>11</v>
      </c>
      <c r="P95" s="9">
        <v>32</v>
      </c>
      <c r="Q95" s="9">
        <v>43</v>
      </c>
      <c r="R95" s="9">
        <v>1.03</v>
      </c>
      <c r="S95" s="9">
        <v>-8.2544690000000003</v>
      </c>
      <c r="T95" s="9">
        <v>123.651667</v>
      </c>
      <c r="U95" s="9" t="s">
        <v>52</v>
      </c>
      <c r="V95" s="11" t="str">
        <f>VLOOKUP(L95,'[1]singkron data'!D:E,2,FALSE)</f>
        <v>PT. Trisama Sakti Contractor</v>
      </c>
      <c r="W95" s="11"/>
      <c r="X95" s="11"/>
      <c r="Y95" s="11">
        <f>VLOOKUP(L95,'[1]singkron data'!D:H,5,FALSE)</f>
        <v>0</v>
      </c>
      <c r="Z95" s="11">
        <f>VLOOKUP(L95,'[1]singkron data'!D:I,6,FALSE)</f>
        <v>0</v>
      </c>
      <c r="AA95" s="11">
        <f>VLOOKUP(L95,'[1]singkron data'!D:L,9,FALSE)</f>
        <v>0</v>
      </c>
      <c r="AB95" s="11" t="s">
        <v>54</v>
      </c>
      <c r="AC95" s="11" t="str">
        <f>VLOOKUP(L95,'[1]singkron data'!D:M,10,FALSE)</f>
        <v>fraksi roem</v>
      </c>
      <c r="AD95" s="11" t="str">
        <f>VLOOKUP(L95,'[1]data 1129'!F:O,10,FALSE)</f>
        <v>Tahap III 166</v>
      </c>
      <c r="AE95" s="11">
        <f>VLOOKUP(L95,'[1]singkron data'!D:P,13,FALSE)</f>
        <v>0</v>
      </c>
      <c r="AF95" s="11" t="s">
        <v>55</v>
      </c>
      <c r="AG95" s="11" t="e">
        <f>VLOOKUP(L95,'[1]update kontrak'!E:K,6,FALSE)</f>
        <v>#N/A</v>
      </c>
      <c r="AH95" s="11" t="e">
        <f>VLOOKUP(L95,'[1]update kontrak'!E:K,7,FALSE)</f>
        <v>#N/A</v>
      </c>
      <c r="AI95" s="11" t="s">
        <v>58</v>
      </c>
      <c r="AJ95" s="11" t="str">
        <f>VLOOKUP(L95,[1]rekap!D:M,1,FALSE)</f>
        <v>Wailolong</v>
      </c>
      <c r="AK95" s="11" t="str">
        <f>VLOOKUP(L95,'[1]singkron data'!D:E,2,FALSE)</f>
        <v>PT. Trisama Sakti Contractor</v>
      </c>
      <c r="AL95" s="11" t="str">
        <f>VLOOKUP(L95,'[1]update 521'!D:D,1,FALSE)</f>
        <v>Wailolong</v>
      </c>
      <c r="AM95" s="11" t="s">
        <v>96</v>
      </c>
      <c r="AN95" s="11" t="e">
        <f>VLOOKUP(L95,[1]Sheet19!E:L,8,FALSE)</f>
        <v>#N/A</v>
      </c>
      <c r="AO95" s="11" t="e">
        <f>VLOOKUP(L95,[1]Sheet19!E:K,7,FALSE)</f>
        <v>#N/A</v>
      </c>
      <c r="AP95" s="12"/>
    </row>
    <row r="96" spans="1:42" ht="15" x14ac:dyDescent="0.2">
      <c r="A96" s="8" t="s">
        <v>42</v>
      </c>
      <c r="B96" s="9" t="s">
        <v>43</v>
      </c>
      <c r="C96" s="9">
        <v>761</v>
      </c>
      <c r="D96" s="9" t="s">
        <v>44</v>
      </c>
      <c r="E96" s="9">
        <v>58</v>
      </c>
      <c r="F96" s="9" t="s">
        <v>282</v>
      </c>
      <c r="G96" s="9" t="s">
        <v>74</v>
      </c>
      <c r="H96" s="9" t="s">
        <v>47</v>
      </c>
      <c r="I96" s="9" t="s">
        <v>180</v>
      </c>
      <c r="J96" s="9" t="s">
        <v>283</v>
      </c>
      <c r="K96" s="9" t="s">
        <v>282</v>
      </c>
      <c r="L96" s="10" t="s">
        <v>282</v>
      </c>
      <c r="M96" s="9" t="s">
        <v>51</v>
      </c>
      <c r="N96" s="9">
        <v>45</v>
      </c>
      <c r="O96" s="9">
        <v>50</v>
      </c>
      <c r="P96" s="9">
        <v>30</v>
      </c>
      <c r="Q96" s="9">
        <v>80</v>
      </c>
      <c r="R96" s="9">
        <v>15.46</v>
      </c>
      <c r="S96" s="9">
        <v>-8.4994440000000004</v>
      </c>
      <c r="T96" s="9">
        <v>121.640972</v>
      </c>
      <c r="U96" s="9" t="s">
        <v>52</v>
      </c>
      <c r="V96" s="11" t="str">
        <f>VLOOKUP(L96,'[1]singkron data'!D:E,2,FALSE)</f>
        <v>CV. Jawa Mai</v>
      </c>
      <c r="W96" s="11"/>
      <c r="X96" s="11"/>
      <c r="Y96" s="11" t="str">
        <f>VLOOKUP(L96,'[1]singkron data'!D:H,5,FALSE)</f>
        <v>Ende</v>
      </c>
      <c r="Z96" s="11" t="str">
        <f>VLOOKUP(L96,'[1]singkron data'!D:I,6,FALSE)</f>
        <v>Online</v>
      </c>
      <c r="AA96" s="11">
        <f>VLOOKUP(L96,'[1]singkron data'!D:L,9,FALSE)</f>
        <v>81237969666</v>
      </c>
      <c r="AB96" s="11" t="s">
        <v>54</v>
      </c>
      <c r="AC96" s="11" t="str">
        <f>VLOOKUP(L96,'[1]singkron data'!D:M,10,FALSE)</f>
        <v>Galuh-BIN</v>
      </c>
      <c r="AD96" s="11" t="str">
        <f>VLOOKUP(L96,'[1]data 1129'!F:O,10,FALSE)</f>
        <v>Tahap III 166</v>
      </c>
      <c r="AE96" s="11">
        <f>VLOOKUP(L96,'[1]singkron data'!D:P,13,FALSE)</f>
        <v>0</v>
      </c>
      <c r="AF96" s="11" t="s">
        <v>55</v>
      </c>
      <c r="AG96" s="11" t="e">
        <f>VLOOKUP(L96,'[1]update kontrak'!E:K,6,FALSE)</f>
        <v>#N/A</v>
      </c>
      <c r="AH96" s="11" t="e">
        <f>VLOOKUP(L96,'[1]update kontrak'!E:K,7,FALSE)</f>
        <v>#N/A</v>
      </c>
      <c r="AI96" s="11"/>
      <c r="AJ96" s="11" t="str">
        <f>VLOOKUP(L96,[1]rekap!D:M,1,FALSE)</f>
        <v>Waka</v>
      </c>
      <c r="AK96" s="11" t="str">
        <f>VLOOKUP(L96,'[1]singkron data'!D:E,2,FALSE)</f>
        <v>CV. Jawa Mai</v>
      </c>
      <c r="AL96" s="11" t="str">
        <f>VLOOKUP(L96,'[1]update 521'!D:D,1,FALSE)</f>
        <v>Waka</v>
      </c>
      <c r="AM96" s="11" t="s">
        <v>96</v>
      </c>
      <c r="AN96" s="11" t="e">
        <f>VLOOKUP(L96,[1]Sheet19!E:L,8,FALSE)</f>
        <v>#N/A</v>
      </c>
      <c r="AO96" s="11" t="e">
        <f>VLOOKUP(L96,[1]Sheet19!E:K,7,FALSE)</f>
        <v>#N/A</v>
      </c>
      <c r="AP96" s="12"/>
    </row>
    <row r="97" spans="1:42" ht="15" x14ac:dyDescent="0.2">
      <c r="A97" s="8" t="s">
        <v>42</v>
      </c>
      <c r="B97" s="9" t="s">
        <v>43</v>
      </c>
      <c r="C97" s="9">
        <v>913</v>
      </c>
      <c r="D97" s="9" t="s">
        <v>284</v>
      </c>
      <c r="E97" s="9">
        <v>1</v>
      </c>
      <c r="F97" s="9" t="s">
        <v>285</v>
      </c>
      <c r="G97" s="9" t="s">
        <v>286</v>
      </c>
      <c r="H97" s="9" t="s">
        <v>287</v>
      </c>
      <c r="I97" s="9" t="s">
        <v>288</v>
      </c>
      <c r="J97" s="9" t="s">
        <v>289</v>
      </c>
      <c r="K97" s="9" t="s">
        <v>285</v>
      </c>
      <c r="L97" s="10" t="s">
        <v>285</v>
      </c>
      <c r="M97" s="9" t="s">
        <v>51</v>
      </c>
      <c r="N97" s="9">
        <v>100</v>
      </c>
      <c r="O97" s="9" t="s">
        <v>72</v>
      </c>
      <c r="P97" s="9">
        <v>50</v>
      </c>
      <c r="Q97" s="9">
        <v>50</v>
      </c>
      <c r="R97" s="9">
        <v>0.3</v>
      </c>
      <c r="S97" s="9">
        <v>-6.2487950000000003</v>
      </c>
      <c r="T97" s="9">
        <v>107.749278</v>
      </c>
      <c r="U97" s="9" t="s">
        <v>52</v>
      </c>
      <c r="V97" s="11" t="str">
        <f>VLOOKUP(L97,'[1]singkron data'!D:E,2,FALSE)</f>
        <v>PT Medal Cipta Buana</v>
      </c>
      <c r="W97" s="13">
        <f>VLOOKUP(L97,'[1]data 1129'!F:H,3,FALSE)</f>
        <v>3591483000</v>
      </c>
      <c r="X97" s="11" t="s">
        <v>55</v>
      </c>
      <c r="Y97" s="11" t="str">
        <f>VLOOKUP(L97,'[1]singkron data'!D:H,5,FALSE)</f>
        <v>Bandung</v>
      </c>
      <c r="Z97" s="11" t="str">
        <f>VLOOKUP(L97,'[1]singkron data'!D:I,6,FALSE)</f>
        <v>Offline</v>
      </c>
      <c r="AA97" s="11">
        <f>VLOOKUP(L97,'[1]singkron data'!D:L,9,FALSE)</f>
        <v>0</v>
      </c>
      <c r="AB97" s="11" t="s">
        <v>54</v>
      </c>
      <c r="AC97" s="11" t="str">
        <f>VLOOKUP(L97,'[1]singkron data'!D:M,10,FALSE)</f>
        <v>Sandi</v>
      </c>
      <c r="AD97" s="11" t="str">
        <f>VLOOKUP(L97,'[1]data 1129'!F:O,10,FALSE)</f>
        <v>Tahap I 208</v>
      </c>
      <c r="AE97" s="11" t="str">
        <f>VLOOKUP(L97,'[1]singkron data'!D:P,13,FALSE)</f>
        <v>sudah</v>
      </c>
      <c r="AF97" s="11" t="s">
        <v>55</v>
      </c>
      <c r="AG97" s="17">
        <f>VLOOKUP(L97,'[1]update kontrak'!E:K,6,FALSE)</f>
        <v>1912565165.9100001</v>
      </c>
      <c r="AH97" s="11" t="str">
        <f>VLOOKUP(L97,'[1]update kontrak'!E:K,7,FALSE)</f>
        <v>KONTRAK</v>
      </c>
      <c r="AI97" s="11" t="s">
        <v>41</v>
      </c>
      <c r="AJ97" s="11" t="str">
        <f>VLOOKUP(L97,[1]rekap!D:M,1,FALSE)</f>
        <v>Anggasari</v>
      </c>
      <c r="AK97" s="11" t="str">
        <f>VLOOKUP(L97,'[1]singkron data'!D:E,2,FALSE)</f>
        <v>PT Medal Cipta Buana</v>
      </c>
      <c r="AL97" s="11" t="str">
        <f>VLOOKUP(L97,'[1]update 521'!D:D,1,FALSE)</f>
        <v>Anggasari</v>
      </c>
      <c r="AM97" s="11" t="s">
        <v>57</v>
      </c>
      <c r="AN97" s="17">
        <f>VLOOKUP(L97,[1]Sheet19!E:L,8,FALSE)</f>
        <v>1912565165.9100001</v>
      </c>
      <c r="AO97" s="11" t="str">
        <f>VLOOKUP(L97,[1]Sheet19!E:K,7,FALSE)</f>
        <v>KONTRAK</v>
      </c>
      <c r="AP97" s="12" t="s">
        <v>41</v>
      </c>
    </row>
    <row r="98" spans="1:42" ht="15" x14ac:dyDescent="0.2">
      <c r="A98" s="8" t="s">
        <v>42</v>
      </c>
      <c r="B98" s="9" t="s">
        <v>43</v>
      </c>
      <c r="C98" s="9">
        <v>914</v>
      </c>
      <c r="D98" s="9" t="s">
        <v>284</v>
      </c>
      <c r="E98" s="9">
        <v>2</v>
      </c>
      <c r="F98" s="9" t="s">
        <v>285</v>
      </c>
      <c r="G98" s="9" t="s">
        <v>286</v>
      </c>
      <c r="H98" s="9" t="s">
        <v>287</v>
      </c>
      <c r="I98" s="9" t="s">
        <v>288</v>
      </c>
      <c r="J98" s="9" t="s">
        <v>290</v>
      </c>
      <c r="K98" s="9" t="s">
        <v>291</v>
      </c>
      <c r="L98" s="10" t="s">
        <v>291</v>
      </c>
      <c r="M98" s="9" t="s">
        <v>51</v>
      </c>
      <c r="N98" s="9">
        <v>52</v>
      </c>
      <c r="O98" s="9" t="s">
        <v>72</v>
      </c>
      <c r="P98" s="9">
        <v>54</v>
      </c>
      <c r="Q98" s="9">
        <v>54</v>
      </c>
      <c r="R98" s="9">
        <v>0.2</v>
      </c>
      <c r="S98" s="9">
        <v>-6.2419089999999997</v>
      </c>
      <c r="T98" s="9">
        <v>107.62862</v>
      </c>
      <c r="U98" s="9" t="s">
        <v>52</v>
      </c>
      <c r="V98" s="11" t="str">
        <f>VLOOKUP(L98,'[1]singkron data'!D:E,2,FALSE)</f>
        <v>PT Medal Cipta Buana</v>
      </c>
      <c r="W98" s="13">
        <f>VLOOKUP(L98,'[1]data 1129'!F:H,3,FALSE)</f>
        <v>3880426000</v>
      </c>
      <c r="X98" s="11" t="s">
        <v>55</v>
      </c>
      <c r="Y98" s="11" t="str">
        <f>VLOOKUP(L98,'[1]singkron data'!D:H,5,FALSE)</f>
        <v>Bandung</v>
      </c>
      <c r="Z98" s="11" t="str">
        <f>VLOOKUP(L98,'[1]singkron data'!D:I,6,FALSE)</f>
        <v>Offline</v>
      </c>
      <c r="AA98" s="11">
        <f>VLOOKUP(L98,'[1]singkron data'!D:L,9,FALSE)</f>
        <v>0</v>
      </c>
      <c r="AB98" s="11" t="s">
        <v>54</v>
      </c>
      <c r="AC98" s="11" t="str">
        <f>VLOOKUP(L98,'[1]singkron data'!D:M,10,FALSE)</f>
        <v>Sandi</v>
      </c>
      <c r="AD98" s="11" t="str">
        <f>VLOOKUP(L98,'[1]data 1129'!F:O,10,FALSE)</f>
        <v>Tahap I 208</v>
      </c>
      <c r="AE98" s="11" t="str">
        <f>VLOOKUP(L98,'[1]singkron data'!D:P,13,FALSE)</f>
        <v>sudah</v>
      </c>
      <c r="AF98" s="11" t="s">
        <v>55</v>
      </c>
      <c r="AG98" s="17">
        <f>VLOOKUP(L98,'[1]update kontrak'!E:K,6,FALSE)</f>
        <v>2397548541.5100002</v>
      </c>
      <c r="AH98" s="11" t="str">
        <f>VLOOKUP(L98,'[1]update kontrak'!E:K,7,FALSE)</f>
        <v>KONTRAK</v>
      </c>
      <c r="AI98" s="11" t="s">
        <v>41</v>
      </c>
      <c r="AJ98" s="11" t="str">
        <f>VLOOKUP(L98,[1]rekap!D:M,1,FALSE)</f>
        <v>Rawameneng</v>
      </c>
      <c r="AK98" s="11" t="str">
        <f>VLOOKUP(L98,'[1]singkron data'!D:E,2,FALSE)</f>
        <v>PT Medal Cipta Buana</v>
      </c>
      <c r="AL98" s="11" t="str">
        <f>VLOOKUP(L98,'[1]update 521'!D:D,1,FALSE)</f>
        <v>Rawameneng</v>
      </c>
      <c r="AM98" s="11" t="s">
        <v>57</v>
      </c>
      <c r="AN98" s="17">
        <f>VLOOKUP(L98,[1]Sheet19!E:L,8,FALSE)</f>
        <v>2397548541.5100002</v>
      </c>
      <c r="AO98" s="11" t="str">
        <f>VLOOKUP(L98,[1]Sheet19!E:K,7,FALSE)</f>
        <v>KONTRAK</v>
      </c>
      <c r="AP98" s="12" t="s">
        <v>41</v>
      </c>
    </row>
    <row r="99" spans="1:42" ht="15" x14ac:dyDescent="0.2">
      <c r="A99" s="8" t="s">
        <v>42</v>
      </c>
      <c r="B99" s="9" t="s">
        <v>43</v>
      </c>
      <c r="C99" s="9">
        <v>966</v>
      </c>
      <c r="D99" s="9" t="s">
        <v>284</v>
      </c>
      <c r="E99" s="9">
        <v>54</v>
      </c>
      <c r="F99" s="18" t="s">
        <v>292</v>
      </c>
      <c r="G99" s="9" t="s">
        <v>286</v>
      </c>
      <c r="H99" s="9" t="s">
        <v>287</v>
      </c>
      <c r="I99" s="9" t="s">
        <v>293</v>
      </c>
      <c r="J99" s="9" t="s">
        <v>294</v>
      </c>
      <c r="K99" s="9" t="s">
        <v>295</v>
      </c>
      <c r="L99" s="10" t="s">
        <v>295</v>
      </c>
      <c r="M99" s="9" t="s">
        <v>81</v>
      </c>
      <c r="N99" s="9">
        <v>597</v>
      </c>
      <c r="O99" s="9" t="s">
        <v>72</v>
      </c>
      <c r="P99" s="9">
        <v>380</v>
      </c>
      <c r="Q99" s="9">
        <v>380</v>
      </c>
      <c r="R99" s="9">
        <v>1.55</v>
      </c>
      <c r="S99" s="18">
        <v>-7.7020280000000003</v>
      </c>
      <c r="T99" s="18">
        <v>107.832972</v>
      </c>
      <c r="U99" s="9" t="s">
        <v>52</v>
      </c>
      <c r="V99" s="11" t="str">
        <f>VLOOKUP(L99,'[1]singkron data'!D:E,2,FALSE)</f>
        <v>PT. Putra Ogan Cemerlang</v>
      </c>
      <c r="W99" s="13">
        <f>VLOOKUP(L99,'[1]data 1129'!F:H,3,FALSE)</f>
        <v>3188856000</v>
      </c>
      <c r="X99" s="11" t="s">
        <v>55</v>
      </c>
      <c r="Y99" s="11">
        <f>VLOOKUP(L99,'[1]singkron data'!D:H,5,FALSE)</f>
        <v>0</v>
      </c>
      <c r="Z99" s="11">
        <f>VLOOKUP(L99,'[1]singkron data'!D:I,6,FALSE)</f>
        <v>0</v>
      </c>
      <c r="AA99" s="11">
        <f>VLOOKUP(L99,'[1]singkron data'!D:L,9,FALSE)</f>
        <v>87891060224</v>
      </c>
      <c r="AB99" s="11" t="s">
        <v>54</v>
      </c>
      <c r="AC99" s="11">
        <f>VLOOKUP(L99,'[1]singkron data'!D:M,10,FALSE)</f>
        <v>0</v>
      </c>
      <c r="AD99" s="11" t="str">
        <f>VLOOKUP(L99,'[1]data 1129'!F:O,10,FALSE)</f>
        <v>Tahap I 208</v>
      </c>
      <c r="AE99" s="11" t="str">
        <f>VLOOKUP(L99,'[1]singkron data'!D:P,13,FALSE)</f>
        <v>sudah</v>
      </c>
      <c r="AF99" s="11" t="s">
        <v>55</v>
      </c>
      <c r="AG99" s="17">
        <f>VLOOKUP(L99,'[1]update kontrak'!E:K,6,FALSE)</f>
        <v>3154127608.9000001</v>
      </c>
      <c r="AH99" s="11" t="str">
        <f>VLOOKUP(L99,'[1]update kontrak'!E:K,7,FALSE)</f>
        <v>KONTRAK</v>
      </c>
      <c r="AI99" s="11" t="s">
        <v>41</v>
      </c>
      <c r="AJ99" s="11" t="str">
        <f>VLOOKUP(L99,[1]rekap!D:M,1,FALSE)</f>
        <v>Sagara</v>
      </c>
      <c r="AK99" s="11" t="str">
        <f>VLOOKUP(L99,'[1]singkron data'!D:E,2,FALSE)</f>
        <v>PT. Putra Ogan Cemerlang</v>
      </c>
      <c r="AL99" s="11" t="str">
        <f>VLOOKUP(L99,'[1]update 521'!D:D,1,FALSE)</f>
        <v>Sagara</v>
      </c>
      <c r="AM99" s="11" t="s">
        <v>57</v>
      </c>
      <c r="AN99" s="17">
        <f>VLOOKUP(L99,[1]Sheet19!E:L,8,FALSE)</f>
        <v>3154127608.9000001</v>
      </c>
      <c r="AO99" s="11" t="str">
        <f>VLOOKUP(L99,[1]Sheet19!E:K,7,FALSE)</f>
        <v>KONTRAK</v>
      </c>
      <c r="AP99" s="12" t="s">
        <v>41</v>
      </c>
    </row>
    <row r="100" spans="1:42" ht="15" x14ac:dyDescent="0.2">
      <c r="A100" s="8" t="s">
        <v>42</v>
      </c>
      <c r="B100" s="9" t="s">
        <v>43</v>
      </c>
      <c r="C100" s="9">
        <v>920</v>
      </c>
      <c r="D100" s="9" t="s">
        <v>284</v>
      </c>
      <c r="E100" s="9">
        <v>8</v>
      </c>
      <c r="F100" s="9" t="s">
        <v>296</v>
      </c>
      <c r="G100" s="9" t="s">
        <v>297</v>
      </c>
      <c r="H100" s="9" t="s">
        <v>287</v>
      </c>
      <c r="I100" s="9" t="s">
        <v>298</v>
      </c>
      <c r="J100" s="9" t="s">
        <v>299</v>
      </c>
      <c r="K100" s="9" t="s">
        <v>296</v>
      </c>
      <c r="L100" s="10" t="s">
        <v>296</v>
      </c>
      <c r="M100" s="9" t="s">
        <v>51</v>
      </c>
      <c r="N100" s="9">
        <v>425</v>
      </c>
      <c r="O100" s="9" t="s">
        <v>72</v>
      </c>
      <c r="P100" s="9">
        <v>186</v>
      </c>
      <c r="Q100" s="9">
        <v>186</v>
      </c>
      <c r="R100" s="9">
        <v>0.2</v>
      </c>
      <c r="S100" s="9">
        <v>-8.2574760000000005</v>
      </c>
      <c r="T100" s="9">
        <v>111.799691</v>
      </c>
      <c r="U100" s="9" t="s">
        <v>52</v>
      </c>
      <c r="V100" s="11" t="str">
        <f>VLOOKUP(L100,'[1]singkron data'!D:E,2,FALSE)</f>
        <v>CV. Wapike Bali</v>
      </c>
      <c r="W100" s="13">
        <f>VLOOKUP(L100,'[1]data 1129'!F:H,3,FALSE)</f>
        <v>2314000000</v>
      </c>
      <c r="X100" s="11" t="s">
        <v>55</v>
      </c>
      <c r="Y100" s="11">
        <f>VLOOKUP(L100,'[1]singkron data'!D:H,5,FALSE)</f>
        <v>0</v>
      </c>
      <c r="Z100" s="11">
        <f>VLOOKUP(L100,'[1]singkron data'!D:I,6,FALSE)</f>
        <v>0</v>
      </c>
      <c r="AA100" s="11" t="str">
        <f>VLOOKUP(L100,'[1]singkron data'!D:L,9,FALSE)</f>
        <v>813-3035-4355/Siroj</v>
      </c>
      <c r="AB100" s="11" t="s">
        <v>54</v>
      </c>
      <c r="AC100" s="11" t="str">
        <f>VLOOKUP(L100,'[1]singkron data'!D:M,10,FALSE)</f>
        <v>g</v>
      </c>
      <c r="AD100" s="11" t="str">
        <f>VLOOKUP(L100,'[1]data 1129'!F:O,10,FALSE)</f>
        <v>Tahap III 166</v>
      </c>
      <c r="AE100" s="11" t="str">
        <f>VLOOKUP(L100,'[1]singkron data'!D:P,13,FALSE)</f>
        <v>sudah</v>
      </c>
      <c r="AF100" s="11" t="s">
        <v>55</v>
      </c>
      <c r="AG100" s="11" t="e">
        <f>VLOOKUP(L100,'[1]update kontrak'!E:K,6,FALSE)</f>
        <v>#N/A</v>
      </c>
      <c r="AH100" s="11" t="e">
        <f>VLOOKUP(L100,'[1]update kontrak'!E:K,7,FALSE)</f>
        <v>#N/A</v>
      </c>
      <c r="AI100" s="11" t="s">
        <v>58</v>
      </c>
      <c r="AJ100" s="11" t="str">
        <f>VLOOKUP(L100,[1]rekap!D:M,1,FALSE)</f>
        <v>Besole</v>
      </c>
      <c r="AK100" s="11" t="str">
        <f>VLOOKUP(L100,'[1]singkron data'!D:E,2,FALSE)</f>
        <v>CV. Wapike Bali</v>
      </c>
      <c r="AL100" s="11" t="str">
        <f>VLOOKUP(L100,'[1]update 521'!D:D,1,FALSE)</f>
        <v>Besole</v>
      </c>
      <c r="AM100" s="11" t="s">
        <v>57</v>
      </c>
      <c r="AN100" s="17">
        <f>VLOOKUP(L100,[1]Sheet19!E:L,8,FALSE)</f>
        <v>4483620743.6599998</v>
      </c>
      <c r="AO100" s="11" t="str">
        <f>VLOOKUP(L100,[1]Sheet19!E:K,7,FALSE)</f>
        <v>SPPBJ</v>
      </c>
      <c r="AP100" s="12"/>
    </row>
    <row r="101" spans="1:42" ht="15" x14ac:dyDescent="0.2">
      <c r="A101" s="8" t="s">
        <v>42</v>
      </c>
      <c r="B101" s="9" t="s">
        <v>43</v>
      </c>
      <c r="C101" s="9">
        <v>923</v>
      </c>
      <c r="D101" s="9" t="s">
        <v>284</v>
      </c>
      <c r="E101" s="9">
        <v>11</v>
      </c>
      <c r="F101" s="9" t="s">
        <v>300</v>
      </c>
      <c r="G101" s="9" t="s">
        <v>301</v>
      </c>
      <c r="H101" s="9" t="s">
        <v>287</v>
      </c>
      <c r="I101" s="9" t="s">
        <v>302</v>
      </c>
      <c r="J101" s="9" t="s">
        <v>303</v>
      </c>
      <c r="K101" s="9" t="s">
        <v>304</v>
      </c>
      <c r="L101" s="10" t="s">
        <v>304</v>
      </c>
      <c r="M101" s="9" t="s">
        <v>51</v>
      </c>
      <c r="N101" s="9">
        <v>1841</v>
      </c>
      <c r="O101" s="9">
        <v>159</v>
      </c>
      <c r="P101" s="9">
        <v>867</v>
      </c>
      <c r="Q101" s="14">
        <v>1026</v>
      </c>
      <c r="R101" s="9">
        <v>0.79</v>
      </c>
      <c r="S101" s="9">
        <v>-6.8132039999999998</v>
      </c>
      <c r="T101" s="9">
        <v>110.586845</v>
      </c>
      <c r="U101" s="9" t="s">
        <v>52</v>
      </c>
      <c r="V101" s="11" t="str">
        <f>VLOOKUP(L101,'[1]singkron data'!D:E,2,FALSE)</f>
        <v>CV. Sinar Mulya</v>
      </c>
      <c r="W101" s="13">
        <f>VLOOKUP(L101,'[1]data 1129'!F:H,3,FALSE)</f>
        <v>2963833935</v>
      </c>
      <c r="X101" s="11" t="s">
        <v>55</v>
      </c>
      <c r="Y101" s="11" t="str">
        <f>VLOOKUP(L101,'[1]singkron data'!D:H,5,FALSE)</f>
        <v>Surabaya</v>
      </c>
      <c r="Z101" s="11" t="str">
        <f>VLOOKUP(L101,'[1]singkron data'!D:I,6,FALSE)</f>
        <v>Online</v>
      </c>
      <c r="AA101" s="11" t="str">
        <f>VLOOKUP(L101,'[1]singkron data'!D:L,9,FALSE)</f>
        <v>081330470795/haris</v>
      </c>
      <c r="AB101" s="11" t="s">
        <v>54</v>
      </c>
      <c r="AC101" s="11" t="str">
        <f>VLOOKUP(L101,'[1]singkron data'!D:M,10,FALSE)</f>
        <v>g</v>
      </c>
      <c r="AD101" s="11" t="str">
        <f>VLOOKUP(L101,'[1]data 1129'!F:O,10,FALSE)</f>
        <v>Tahap I 208</v>
      </c>
      <c r="AE101" s="11" t="str">
        <f>VLOOKUP(L101,'[1]singkron data'!D:P,13,FALSE)</f>
        <v>sudah</v>
      </c>
      <c r="AF101" s="11" t="s">
        <v>55</v>
      </c>
      <c r="AG101" s="11" t="e">
        <f>VLOOKUP(L101,'[1]update kontrak'!E:K,6,FALSE)</f>
        <v>#N/A</v>
      </c>
      <c r="AH101" s="11" t="e">
        <f>VLOOKUP(L101,'[1]update kontrak'!E:K,7,FALSE)</f>
        <v>#N/A</v>
      </c>
      <c r="AI101" s="11" t="s">
        <v>58</v>
      </c>
      <c r="AJ101" s="11" t="str">
        <f>VLOOKUP(L101,[1]rekap!D:M,1,FALSE)</f>
        <v>Betahwalang</v>
      </c>
      <c r="AK101" s="11" t="str">
        <f>VLOOKUP(L101,'[1]singkron data'!D:E,2,FALSE)</f>
        <v>CV. Sinar Mulya</v>
      </c>
      <c r="AL101" s="11" t="str">
        <f>VLOOKUP(L101,'[1]update 521'!D:D,1,FALSE)</f>
        <v>Betahwalang</v>
      </c>
      <c r="AM101" s="11" t="s">
        <v>57</v>
      </c>
      <c r="AN101" s="17">
        <f>VLOOKUP(L101,[1]Sheet19!E:L,8,FALSE)</f>
        <v>2968677537.71</v>
      </c>
      <c r="AO101" s="11" t="str">
        <f>VLOOKUP(L101,[1]Sheet19!E:K,7,FALSE)</f>
        <v>SPPBJ</v>
      </c>
      <c r="AP101" s="12"/>
    </row>
    <row r="102" spans="1:42" ht="15" x14ac:dyDescent="0.2">
      <c r="A102" s="8" t="s">
        <v>42</v>
      </c>
      <c r="B102" s="9" t="s">
        <v>43</v>
      </c>
      <c r="C102" s="9">
        <v>924</v>
      </c>
      <c r="D102" s="9" t="s">
        <v>284</v>
      </c>
      <c r="E102" s="9">
        <v>12</v>
      </c>
      <c r="F102" s="9" t="s">
        <v>300</v>
      </c>
      <c r="G102" s="9" t="s">
        <v>301</v>
      </c>
      <c r="H102" s="9" t="s">
        <v>287</v>
      </c>
      <c r="I102" s="9" t="s">
        <v>305</v>
      </c>
      <c r="J102" s="9" t="s">
        <v>306</v>
      </c>
      <c r="K102" s="9" t="s">
        <v>307</v>
      </c>
      <c r="L102" s="10" t="s">
        <v>307</v>
      </c>
      <c r="M102" s="9" t="s">
        <v>51</v>
      </c>
      <c r="N102" s="9">
        <v>450</v>
      </c>
      <c r="O102" s="9" t="s">
        <v>72</v>
      </c>
      <c r="P102" s="9">
        <v>113</v>
      </c>
      <c r="Q102" s="9">
        <v>113</v>
      </c>
      <c r="R102" s="9">
        <v>0.7</v>
      </c>
      <c r="S102" s="9">
        <v>-6.4866720999999998</v>
      </c>
      <c r="T102" s="9">
        <v>110.69181879999999</v>
      </c>
      <c r="U102" s="9" t="s">
        <v>52</v>
      </c>
      <c r="V102" s="11" t="str">
        <f>VLOOKUP(L102,'[1]singkron data'!D:E,2,FALSE)</f>
        <v>PT. Adi Bima Utama</v>
      </c>
      <c r="W102" s="13">
        <f>VLOOKUP(L102,'[1]data 1129'!F:H,3,FALSE)</f>
        <v>5437000000</v>
      </c>
      <c r="X102" s="11" t="s">
        <v>55</v>
      </c>
      <c r="Y102" s="11">
        <f>VLOOKUP(L102,'[1]singkron data'!D:H,5,FALSE)</f>
        <v>0</v>
      </c>
      <c r="Z102" s="11">
        <f>VLOOKUP(L102,'[1]singkron data'!D:I,6,FALSE)</f>
        <v>0</v>
      </c>
      <c r="AA102" s="11" t="str">
        <f>VLOOKUP(L102,'[1]singkron data'!D:L,9,FALSE)</f>
        <v>082311097406/dedi</v>
      </c>
      <c r="AB102" s="11" t="s">
        <v>54</v>
      </c>
      <c r="AC102" s="11" t="str">
        <f>VLOOKUP(L102,'[1]singkron data'!D:M,10,FALSE)</f>
        <v>g</v>
      </c>
      <c r="AD102" s="11" t="str">
        <f>VLOOKUP(L102,'[1]data 1129'!F:O,10,FALSE)</f>
        <v>Tahap IV 200</v>
      </c>
      <c r="AE102" s="11" t="str">
        <f>VLOOKUP(L102,'[1]singkron data'!D:P,13,FALSE)</f>
        <v>sudah</v>
      </c>
      <c r="AF102" s="11" t="s">
        <v>55</v>
      </c>
      <c r="AG102" s="11" t="e">
        <f>VLOOKUP(L102,'[1]update kontrak'!E:K,6,FALSE)</f>
        <v>#N/A</v>
      </c>
      <c r="AH102" s="11" t="e">
        <f>VLOOKUP(L102,'[1]update kontrak'!E:K,7,FALSE)</f>
        <v>#N/A</v>
      </c>
      <c r="AI102" s="11" t="s">
        <v>58</v>
      </c>
      <c r="AJ102" s="11" t="str">
        <f>VLOOKUP(L102,[1]rekap!D:M,1,FALSE)</f>
        <v>Karanggondang</v>
      </c>
      <c r="AK102" s="11" t="str">
        <f>VLOOKUP(L102,'[1]singkron data'!D:E,2,FALSE)</f>
        <v>PT. Adi Bima Utama</v>
      </c>
      <c r="AL102" s="11" t="str">
        <f>VLOOKUP(L102,'[1]update 521'!D:D,1,FALSE)</f>
        <v>Karanggondang</v>
      </c>
      <c r="AM102" s="11" t="s">
        <v>57</v>
      </c>
      <c r="AN102" s="11" t="e">
        <f>VLOOKUP(L102,[1]Sheet19!E:L,8,FALSE)</f>
        <v>#N/A</v>
      </c>
      <c r="AO102" s="11" t="s">
        <v>58</v>
      </c>
      <c r="AP102" s="12"/>
    </row>
    <row r="103" spans="1:42" ht="15" x14ac:dyDescent="0.2">
      <c r="A103" s="8" t="s">
        <v>42</v>
      </c>
      <c r="B103" s="9" t="s">
        <v>43</v>
      </c>
      <c r="C103" s="9">
        <v>925</v>
      </c>
      <c r="D103" s="9" t="s">
        <v>284</v>
      </c>
      <c r="E103" s="9">
        <v>13</v>
      </c>
      <c r="F103" s="9" t="s">
        <v>300</v>
      </c>
      <c r="G103" s="9" t="s">
        <v>301</v>
      </c>
      <c r="H103" s="9" t="s">
        <v>287</v>
      </c>
      <c r="I103" s="9" t="s">
        <v>305</v>
      </c>
      <c r="J103" s="9" t="s">
        <v>308</v>
      </c>
      <c r="K103" s="9" t="s">
        <v>309</v>
      </c>
      <c r="L103" s="10" t="s">
        <v>309</v>
      </c>
      <c r="M103" s="9" t="s">
        <v>51</v>
      </c>
      <c r="N103" s="9">
        <v>946</v>
      </c>
      <c r="O103" s="9" t="s">
        <v>72</v>
      </c>
      <c r="P103" s="9">
        <v>725</v>
      </c>
      <c r="Q103" s="9">
        <v>725</v>
      </c>
      <c r="R103" s="9">
        <v>0.55000000000000004</v>
      </c>
      <c r="S103" s="9">
        <v>-6.7072316000000001</v>
      </c>
      <c r="T103" s="9">
        <v>110.6265128</v>
      </c>
      <c r="U103" s="9" t="s">
        <v>52</v>
      </c>
      <c r="V103" s="11" t="str">
        <f>VLOOKUP(L103,'[1]singkron data'!D:E,2,FALSE)</f>
        <v>CV. Astana Mas</v>
      </c>
      <c r="W103" s="13">
        <f>VLOOKUP(L103,'[1]data 1129'!F:H,3,FALSE)</f>
        <v>2314000000</v>
      </c>
      <c r="X103" s="11" t="s">
        <v>55</v>
      </c>
      <c r="Y103" s="11">
        <f>VLOOKUP(L103,'[1]singkron data'!D:H,5,FALSE)</f>
        <v>0</v>
      </c>
      <c r="Z103" s="11">
        <f>VLOOKUP(L103,'[1]singkron data'!D:I,6,FALSE)</f>
        <v>0</v>
      </c>
      <c r="AA103" s="11" t="str">
        <f>VLOOKUP(L103,'[1]singkron data'!D:L,9,FALSE)</f>
        <v>081330065040/ARI</v>
      </c>
      <c r="AB103" s="11" t="s">
        <v>54</v>
      </c>
      <c r="AC103" s="11" t="str">
        <f>VLOOKUP(L103,'[1]singkron data'!D:M,10,FALSE)</f>
        <v>g</v>
      </c>
      <c r="AD103" s="11" t="str">
        <f>VLOOKUP(L103,'[1]data 1129'!F:O,10,FALSE)</f>
        <v>Tahap I 208</v>
      </c>
      <c r="AE103" s="11" t="str">
        <f>VLOOKUP(L103,'[1]singkron data'!D:P,13,FALSE)</f>
        <v>sudah</v>
      </c>
      <c r="AF103" s="11" t="s">
        <v>55</v>
      </c>
      <c r="AG103" s="11" t="e">
        <f>VLOOKUP(L103,'[1]update kontrak'!E:K,6,FALSE)</f>
        <v>#N/A</v>
      </c>
      <c r="AH103" s="11" t="e">
        <f>VLOOKUP(L103,'[1]update kontrak'!E:K,7,FALSE)</f>
        <v>#N/A</v>
      </c>
      <c r="AI103" s="11" t="s">
        <v>58</v>
      </c>
      <c r="AJ103" s="11" t="str">
        <f>VLOOKUP(L103,[1]rekap!D:M,1,FALSE)</f>
        <v>Kedungmalang</v>
      </c>
      <c r="AK103" s="11" t="str">
        <f>VLOOKUP(L103,'[1]singkron data'!D:E,2,FALSE)</f>
        <v>CV. Astana Mas</v>
      </c>
      <c r="AL103" s="11" t="str">
        <f>VLOOKUP(L103,'[1]update 521'!D:D,1,FALSE)</f>
        <v>Kedungmalang</v>
      </c>
      <c r="AM103" s="11" t="s">
        <v>57</v>
      </c>
      <c r="AN103" s="11" t="e">
        <f>VLOOKUP(L103,[1]Sheet19!E:L,8,FALSE)</f>
        <v>#N/A</v>
      </c>
      <c r="AO103" s="11" t="s">
        <v>58</v>
      </c>
      <c r="AP103" s="12"/>
    </row>
    <row r="104" spans="1:42" ht="15" x14ac:dyDescent="0.2">
      <c r="A104" s="8" t="s">
        <v>42</v>
      </c>
      <c r="B104" s="9" t="s">
        <v>43</v>
      </c>
      <c r="C104" s="9">
        <v>929</v>
      </c>
      <c r="D104" s="9" t="s">
        <v>284</v>
      </c>
      <c r="E104" s="9">
        <v>17</v>
      </c>
      <c r="F104" s="9" t="s">
        <v>300</v>
      </c>
      <c r="G104" s="9" t="s">
        <v>301</v>
      </c>
      <c r="H104" s="9" t="s">
        <v>287</v>
      </c>
      <c r="I104" s="9" t="s">
        <v>305</v>
      </c>
      <c r="J104" s="9" t="s">
        <v>305</v>
      </c>
      <c r="K104" s="9" t="s">
        <v>310</v>
      </c>
      <c r="L104" s="10" t="s">
        <v>310</v>
      </c>
      <c r="M104" s="9" t="s">
        <v>51</v>
      </c>
      <c r="N104" s="9">
        <v>340</v>
      </c>
      <c r="O104" s="9" t="s">
        <v>72</v>
      </c>
      <c r="P104" s="9">
        <v>165</v>
      </c>
      <c r="Q104" s="9">
        <v>165</v>
      </c>
      <c r="R104" s="19">
        <v>46054</v>
      </c>
      <c r="S104" s="9">
        <v>-6.582274</v>
      </c>
      <c r="T104" s="9">
        <v>110.657291</v>
      </c>
      <c r="U104" s="9" t="s">
        <v>52</v>
      </c>
      <c r="V104" s="11" t="str">
        <f>VLOOKUP(L104,'[1]singkron data'!D:E,2,FALSE)</f>
        <v>CV. Astana Mas</v>
      </c>
      <c r="W104" s="13">
        <f>VLOOKUP(L104,'[1]data 1129'!F:H,3,FALSE)</f>
        <v>2314000000</v>
      </c>
      <c r="X104" s="11" t="s">
        <v>55</v>
      </c>
      <c r="Y104" s="11">
        <f>VLOOKUP(L104,'[1]singkron data'!D:H,5,FALSE)</f>
        <v>0</v>
      </c>
      <c r="Z104" s="11">
        <f>VLOOKUP(L104,'[1]singkron data'!D:I,6,FALSE)</f>
        <v>0</v>
      </c>
      <c r="AA104" s="11" t="str">
        <f>VLOOKUP(L104,'[1]singkron data'!D:L,9,FALSE)</f>
        <v>081330065040/ARI</v>
      </c>
      <c r="AB104" s="11" t="s">
        <v>54</v>
      </c>
      <c r="AC104" s="11" t="str">
        <f>VLOOKUP(L104,'[1]singkron data'!D:M,10,FALSE)</f>
        <v>g</v>
      </c>
      <c r="AD104" s="11" t="str">
        <f>VLOOKUP(L104,'[1]data 1129'!F:O,10,FALSE)</f>
        <v>Tahap I 208</v>
      </c>
      <c r="AE104" s="11" t="str">
        <f>VLOOKUP(L104,'[1]singkron data'!D:P,13,FALSE)</f>
        <v>sudah</v>
      </c>
      <c r="AF104" s="11" t="s">
        <v>55</v>
      </c>
      <c r="AG104" s="11" t="e">
        <f>VLOOKUP(L104,'[1]update kontrak'!E:K,6,FALSE)</f>
        <v>#N/A</v>
      </c>
      <c r="AH104" s="11" t="e">
        <f>VLOOKUP(L104,'[1]update kontrak'!E:K,7,FALSE)</f>
        <v>#N/A</v>
      </c>
      <c r="AI104" s="11" t="s">
        <v>58</v>
      </c>
      <c r="AJ104" s="11" t="str">
        <f>VLOOKUP(L104,[1]rekap!D:M,1,FALSE)</f>
        <v>Ujungbatu</v>
      </c>
      <c r="AK104" s="11" t="str">
        <f>VLOOKUP(L104,'[1]singkron data'!D:E,2,FALSE)</f>
        <v>CV. Astana Mas</v>
      </c>
      <c r="AL104" s="11" t="str">
        <f>VLOOKUP(L104,'[1]update 521'!D:D,1,FALSE)</f>
        <v>Ujungbatu</v>
      </c>
      <c r="AM104" s="11" t="s">
        <v>57</v>
      </c>
      <c r="AN104" s="11" t="e">
        <f>VLOOKUP(L104,[1]Sheet19!E:L,8,FALSE)</f>
        <v>#N/A</v>
      </c>
      <c r="AO104" s="11" t="s">
        <v>58</v>
      </c>
      <c r="AP104" s="12"/>
    </row>
    <row r="105" spans="1:42" ht="15" x14ac:dyDescent="0.2">
      <c r="A105" s="8" t="s">
        <v>42</v>
      </c>
      <c r="B105" s="9" t="s">
        <v>43</v>
      </c>
      <c r="C105" s="9">
        <v>930</v>
      </c>
      <c r="D105" s="9" t="s">
        <v>284</v>
      </c>
      <c r="E105" s="9">
        <v>18</v>
      </c>
      <c r="F105" s="9" t="s">
        <v>300</v>
      </c>
      <c r="G105" s="9" t="s">
        <v>301</v>
      </c>
      <c r="H105" s="9" t="s">
        <v>287</v>
      </c>
      <c r="I105" s="9" t="s">
        <v>305</v>
      </c>
      <c r="J105" s="9" t="s">
        <v>311</v>
      </c>
      <c r="K105" s="9" t="s">
        <v>312</v>
      </c>
      <c r="L105" s="10" t="s">
        <v>312</v>
      </c>
      <c r="M105" s="9" t="s">
        <v>51</v>
      </c>
      <c r="N105" s="9">
        <v>1710</v>
      </c>
      <c r="O105" s="9" t="s">
        <v>72</v>
      </c>
      <c r="P105" s="9">
        <v>800</v>
      </c>
      <c r="Q105" s="9">
        <v>800</v>
      </c>
      <c r="R105" s="9">
        <v>7.0000000000000007E-2</v>
      </c>
      <c r="S105" s="9">
        <v>-6.4069446000000001</v>
      </c>
      <c r="T105" s="9">
        <v>110.9205092</v>
      </c>
      <c r="U105" s="9" t="s">
        <v>52</v>
      </c>
      <c r="V105" s="11" t="str">
        <f>VLOOKUP(L105,'[1]singkron data'!D:E,2,FALSE)</f>
        <v>PT. Adi Bima Utama</v>
      </c>
      <c r="W105" s="13">
        <f>VLOOKUP(L105,'[1]data 1129'!F:H,3,FALSE)</f>
        <v>5437000000</v>
      </c>
      <c r="X105" s="11" t="s">
        <v>55</v>
      </c>
      <c r="Y105" s="11">
        <f>VLOOKUP(L105,'[1]singkron data'!D:H,5,FALSE)</f>
        <v>0</v>
      </c>
      <c r="Z105" s="11">
        <f>VLOOKUP(L105,'[1]singkron data'!D:I,6,FALSE)</f>
        <v>0</v>
      </c>
      <c r="AA105" s="11" t="str">
        <f>VLOOKUP(L105,'[1]singkron data'!D:L,9,FALSE)</f>
        <v>082311097406/dedi</v>
      </c>
      <c r="AB105" s="11" t="s">
        <v>54</v>
      </c>
      <c r="AC105" s="11" t="str">
        <f>VLOOKUP(L105,'[1]singkron data'!D:M,10,FALSE)</f>
        <v>g</v>
      </c>
      <c r="AD105" s="11" t="str">
        <f>VLOOKUP(L105,'[1]data 1129'!F:O,10,FALSE)</f>
        <v>Tahap IV 200</v>
      </c>
      <c r="AE105" s="11" t="str">
        <f>VLOOKUP(L105,'[1]singkron data'!D:P,13,FALSE)</f>
        <v>sudah</v>
      </c>
      <c r="AF105" s="11" t="s">
        <v>55</v>
      </c>
      <c r="AG105" s="11" t="e">
        <f>VLOOKUP(L105,'[1]update kontrak'!E:K,6,FALSE)</f>
        <v>#N/A</v>
      </c>
      <c r="AH105" s="11" t="e">
        <f>VLOOKUP(L105,'[1]update kontrak'!E:K,7,FALSE)</f>
        <v>#N/A</v>
      </c>
      <c r="AI105" s="11" t="s">
        <v>58</v>
      </c>
      <c r="AJ105" s="11" t="str">
        <f>VLOOKUP(L105,[1]rekap!D:M,1,FALSE)</f>
        <v>Ujungwatu</v>
      </c>
      <c r="AK105" s="11" t="str">
        <f>VLOOKUP(L105,'[1]singkron data'!D:E,2,FALSE)</f>
        <v>PT. Adi Bima Utama</v>
      </c>
      <c r="AL105" s="11" t="str">
        <f>VLOOKUP(L105,'[1]update 521'!D:D,1,FALSE)</f>
        <v>Ujungwatu</v>
      </c>
      <c r="AM105" s="11" t="s">
        <v>57</v>
      </c>
      <c r="AN105" s="11" t="e">
        <f>VLOOKUP(L105,[1]Sheet19!E:L,8,FALSE)</f>
        <v>#N/A</v>
      </c>
      <c r="AO105" s="11" t="s">
        <v>58</v>
      </c>
      <c r="AP105" s="12"/>
    </row>
    <row r="106" spans="1:42" ht="15" x14ac:dyDescent="0.2">
      <c r="A106" s="8" t="s">
        <v>42</v>
      </c>
      <c r="B106" s="9" t="s">
        <v>43</v>
      </c>
      <c r="C106" s="9">
        <v>931</v>
      </c>
      <c r="D106" s="9" t="s">
        <v>284</v>
      </c>
      <c r="E106" s="9">
        <v>19</v>
      </c>
      <c r="F106" s="9" t="s">
        <v>300</v>
      </c>
      <c r="G106" s="9" t="s">
        <v>301</v>
      </c>
      <c r="H106" s="9" t="s">
        <v>287</v>
      </c>
      <c r="I106" s="9" t="s">
        <v>302</v>
      </c>
      <c r="J106" s="9" t="s">
        <v>313</v>
      </c>
      <c r="K106" s="9" t="s">
        <v>314</v>
      </c>
      <c r="L106" s="10" t="s">
        <v>314</v>
      </c>
      <c r="M106" s="9" t="s">
        <v>81</v>
      </c>
      <c r="N106" s="9">
        <v>540</v>
      </c>
      <c r="O106" s="9" t="s">
        <v>72</v>
      </c>
      <c r="P106" s="9">
        <v>250</v>
      </c>
      <c r="Q106" s="9">
        <v>250</v>
      </c>
      <c r="R106" s="9">
        <v>0.3</v>
      </c>
      <c r="S106" s="9">
        <v>-6.7090209999999999</v>
      </c>
      <c r="T106" s="9">
        <v>110.62261700000001</v>
      </c>
      <c r="U106" s="9" t="s">
        <v>52</v>
      </c>
      <c r="V106" s="11" t="str">
        <f>VLOOKUP(L106,'[1]singkron data'!D:E,2,FALSE)</f>
        <v>CV. Sinar Mulya</v>
      </c>
      <c r="W106" s="13">
        <f>VLOOKUP(L106,'[1]data 1129'!F:H,3,FALSE)</f>
        <v>5437000000</v>
      </c>
      <c r="X106" s="11" t="s">
        <v>55</v>
      </c>
      <c r="Y106" s="11">
        <f>VLOOKUP(L106,'[1]singkron data'!D:H,5,FALSE)</f>
        <v>0</v>
      </c>
      <c r="Z106" s="11" t="str">
        <f>VLOOKUP(L106,'[1]singkron data'!D:I,6,FALSE)</f>
        <v>Online</v>
      </c>
      <c r="AA106" s="11" t="str">
        <f>VLOOKUP(L106,'[1]singkron data'!D:L,9,FALSE)</f>
        <v>081330470795/haris</v>
      </c>
      <c r="AB106" s="11" t="s">
        <v>54</v>
      </c>
      <c r="AC106" s="11" t="str">
        <f>VLOOKUP(L106,'[1]singkron data'!D:M,10,FALSE)</f>
        <v>g</v>
      </c>
      <c r="AD106" s="11" t="str">
        <f>VLOOKUP(L106,'[1]data 1129'!F:O,10,FALSE)</f>
        <v>Tahap IV 200</v>
      </c>
      <c r="AE106" s="11" t="str">
        <f>VLOOKUP(L106,'[1]singkron data'!D:P,13,FALSE)</f>
        <v>sudah</v>
      </c>
      <c r="AF106" s="11" t="s">
        <v>55</v>
      </c>
      <c r="AG106" s="11" t="e">
        <f>VLOOKUP(L106,'[1]update kontrak'!E:K,6,FALSE)</f>
        <v>#N/A</v>
      </c>
      <c r="AH106" s="11" t="e">
        <f>VLOOKUP(L106,'[1]update kontrak'!E:K,7,FALSE)</f>
        <v>#N/A</v>
      </c>
      <c r="AI106" s="11" t="s">
        <v>58</v>
      </c>
      <c r="AJ106" s="11" t="str">
        <f>VLOOKUP(L106,[1]rekap!D:M,1,FALSE)</f>
        <v>Kedungmutih</v>
      </c>
      <c r="AK106" s="11" t="str">
        <f>VLOOKUP(L106,'[1]singkron data'!D:E,2,FALSE)</f>
        <v>CV. Sinar Mulya</v>
      </c>
      <c r="AL106" s="11" t="str">
        <f>VLOOKUP(L106,'[1]update 521'!D:D,1,FALSE)</f>
        <v>Kedungmutih</v>
      </c>
      <c r="AM106" s="11" t="s">
        <v>57</v>
      </c>
      <c r="AN106" s="17">
        <f>VLOOKUP(L106,[1]Sheet19!E:L,8,FALSE)</f>
        <v>3331007246.1900001</v>
      </c>
      <c r="AO106" s="11" t="str">
        <f>VLOOKUP(L106,[1]Sheet19!E:K,7,FALSE)</f>
        <v>SPPBJ</v>
      </c>
      <c r="AP106" s="12"/>
    </row>
    <row r="107" spans="1:42" ht="15" x14ac:dyDescent="0.2">
      <c r="A107" s="8" t="s">
        <v>42</v>
      </c>
      <c r="B107" s="9" t="s">
        <v>43</v>
      </c>
      <c r="C107" s="9">
        <v>919</v>
      </c>
      <c r="D107" s="9" t="s">
        <v>284</v>
      </c>
      <c r="E107" s="9">
        <v>7</v>
      </c>
      <c r="F107" s="9" t="s">
        <v>315</v>
      </c>
      <c r="G107" s="9" t="s">
        <v>301</v>
      </c>
      <c r="H107" s="9" t="s">
        <v>287</v>
      </c>
      <c r="I107" s="9" t="s">
        <v>316</v>
      </c>
      <c r="J107" s="9" t="s">
        <v>317</v>
      </c>
      <c r="K107" s="9" t="s">
        <v>318</v>
      </c>
      <c r="L107" s="10" t="s">
        <v>318</v>
      </c>
      <c r="M107" s="9" t="s">
        <v>51</v>
      </c>
      <c r="N107" s="9">
        <v>467</v>
      </c>
      <c r="O107" s="9" t="s">
        <v>72</v>
      </c>
      <c r="P107" s="9">
        <v>300</v>
      </c>
      <c r="Q107" s="9">
        <v>300</v>
      </c>
      <c r="R107" s="9">
        <v>0.1</v>
      </c>
      <c r="S107" s="9">
        <v>-6.9886111</v>
      </c>
      <c r="T107" s="9">
        <v>106.3093889</v>
      </c>
      <c r="U107" s="9" t="s">
        <v>52</v>
      </c>
      <c r="V107" s="11" t="str">
        <f>VLOOKUP(L107,'[1]singkron data'!D:E,2,FALSE)</f>
        <v>PT. Insan Pesona (Besar)</v>
      </c>
      <c r="W107" s="13">
        <f>VLOOKUP(L107,'[1]data 1129'!F:H,3,FALSE)</f>
        <v>5437000000</v>
      </c>
      <c r="X107" s="11" t="s">
        <v>55</v>
      </c>
      <c r="Y107" s="11" t="str">
        <f>VLOOKUP(L107,'[1]singkron data'!D:H,5,FALSE)</f>
        <v>Pati</v>
      </c>
      <c r="Z107" s="11" t="str">
        <f>VLOOKUP(L107,'[1]singkron data'!D:I,6,FALSE)</f>
        <v>Online</v>
      </c>
      <c r="AA107" s="11">
        <f>VLOOKUP(L107,'[1]singkron data'!D:L,9,FALSE)</f>
        <v>82137429384</v>
      </c>
      <c r="AB107" s="11" t="s">
        <v>54</v>
      </c>
      <c r="AC107" s="11" t="str">
        <f>VLOOKUP(L107,'[1]singkron data'!D:M,10,FALSE)</f>
        <v>haris</v>
      </c>
      <c r="AD107" s="11" t="str">
        <f>VLOOKUP(L107,'[1]data 1129'!F:O,10,FALSE)</f>
        <v>Tahap IV 200</v>
      </c>
      <c r="AE107" s="11">
        <f>VLOOKUP(L107,'[1]singkron data'!D:P,13,FALSE)</f>
        <v>0</v>
      </c>
      <c r="AF107" s="11"/>
      <c r="AG107" s="11" t="e">
        <f>VLOOKUP(L107,'[1]update kontrak'!E:K,6,FALSE)</f>
        <v>#N/A</v>
      </c>
      <c r="AH107" s="11" t="e">
        <f>VLOOKUP(L107,'[1]update kontrak'!E:K,7,FALSE)</f>
        <v>#N/A</v>
      </c>
      <c r="AI107" s="11"/>
      <c r="AJ107" s="11" t="str">
        <f>VLOOKUP(L107,[1]rekap!D:M,1,FALSE)</f>
        <v>Sambiroto</v>
      </c>
      <c r="AK107" s="11" t="str">
        <f>VLOOKUP(L107,'[1]singkron data'!D:E,2,FALSE)</f>
        <v>PT. Insan Pesona (Besar)</v>
      </c>
      <c r="AL107" s="11" t="str">
        <f>VLOOKUP(L107,'[1]update 521'!D:D,1,FALSE)</f>
        <v>Sambiroto</v>
      </c>
      <c r="AM107" s="11" t="s">
        <v>57</v>
      </c>
      <c r="AN107" s="11" t="e">
        <f>VLOOKUP(L107,[1]Sheet19!E:L,8,FALSE)</f>
        <v>#N/A</v>
      </c>
      <c r="AO107" s="11" t="s">
        <v>58</v>
      </c>
      <c r="AP107" s="12"/>
    </row>
    <row r="108" spans="1:42" ht="15" x14ac:dyDescent="0.2">
      <c r="A108" s="8" t="s">
        <v>42</v>
      </c>
      <c r="B108" s="9" t="s">
        <v>43</v>
      </c>
      <c r="C108" s="9">
        <v>935</v>
      </c>
      <c r="D108" s="9" t="s">
        <v>284</v>
      </c>
      <c r="E108" s="9">
        <v>23</v>
      </c>
      <c r="F108" s="9" t="s">
        <v>315</v>
      </c>
      <c r="G108" s="9" t="s">
        <v>286</v>
      </c>
      <c r="H108" s="9" t="s">
        <v>287</v>
      </c>
      <c r="I108" s="9" t="s">
        <v>319</v>
      </c>
      <c r="J108" s="9" t="s">
        <v>320</v>
      </c>
      <c r="K108" s="9" t="s">
        <v>315</v>
      </c>
      <c r="L108" s="10" t="s">
        <v>315</v>
      </c>
      <c r="M108" s="9" t="s">
        <v>65</v>
      </c>
      <c r="N108" s="9">
        <v>1400</v>
      </c>
      <c r="O108" s="9" t="s">
        <v>72</v>
      </c>
      <c r="P108" s="9">
        <v>352</v>
      </c>
      <c r="Q108" s="9">
        <v>352</v>
      </c>
      <c r="R108" s="9">
        <v>7</v>
      </c>
      <c r="S108" s="9">
        <v>-6.9533990000000001</v>
      </c>
      <c r="T108" s="9">
        <v>106.442131</v>
      </c>
      <c r="U108" s="9" t="s">
        <v>52</v>
      </c>
      <c r="V108" s="20" t="str">
        <f>VLOOKUP(L108,'[1]singkron data'!D:E,2,FALSE)</f>
        <v>CV. Mitra Jaya Mandiri</v>
      </c>
      <c r="W108" s="13">
        <f>VLOOKUP(L108,'[1]data 1129'!F:H,3,FALSE)</f>
        <v>4443404000</v>
      </c>
      <c r="X108" s="11" t="s">
        <v>55</v>
      </c>
      <c r="Y108" s="11">
        <f>VLOOKUP(L108,'[1]singkron data'!D:H,5,FALSE)</f>
        <v>0</v>
      </c>
      <c r="Z108" s="11" t="str">
        <f>VLOOKUP(L108,'[1]singkron data'!D:I,6,FALSE)</f>
        <v>Offline</v>
      </c>
      <c r="AA108" s="11" t="s">
        <v>321</v>
      </c>
      <c r="AB108" s="11" t="s">
        <v>54</v>
      </c>
      <c r="AC108" s="11" t="s">
        <v>322</v>
      </c>
      <c r="AD108" s="11" t="str">
        <f>VLOOKUP(L108,'[1]data 1129'!F:O,10,FALSE)</f>
        <v>Tahap I 208</v>
      </c>
      <c r="AE108" s="11" t="str">
        <f>VLOOKUP(L108,'[1]singkron data'!D:P,13,FALSE)</f>
        <v>sudah</v>
      </c>
      <c r="AF108" s="11" t="s">
        <v>55</v>
      </c>
      <c r="AG108" s="17">
        <f>VLOOKUP(L108,'[1]update kontrak'!E:K,6,FALSE)</f>
        <v>4686922473.6899996</v>
      </c>
      <c r="AH108" s="11" t="str">
        <f>VLOOKUP(L108,'[1]update kontrak'!E:K,7,FALSE)</f>
        <v>KONTRAK</v>
      </c>
      <c r="AI108" s="11" t="s">
        <v>41</v>
      </c>
      <c r="AJ108" s="11" t="str">
        <f>VLOOKUP(L108,[1]rekap!D:M,1,FALSE)</f>
        <v>Cikahuripan</v>
      </c>
      <c r="AK108" s="11" t="str">
        <f>VLOOKUP(L108,'[1]singkron data'!D:E,2,FALSE)</f>
        <v>CV. Mitra Jaya Mandiri</v>
      </c>
      <c r="AL108" s="11" t="str">
        <f>VLOOKUP(L108,'[1]update 521'!D:D,1,FALSE)</f>
        <v>Cikahuripan</v>
      </c>
      <c r="AM108" s="11" t="s">
        <v>57</v>
      </c>
      <c r="AN108" s="17">
        <f>VLOOKUP(L108,[1]Sheet19!E:L,8,FALSE)</f>
        <v>4686922473.6899996</v>
      </c>
      <c r="AO108" s="11" t="str">
        <f>VLOOKUP(L108,[1]Sheet19!E:K,7,FALSE)</f>
        <v>KONTRAK</v>
      </c>
      <c r="AP108" s="12" t="s">
        <v>41</v>
      </c>
    </row>
    <row r="109" spans="1:42" ht="15" x14ac:dyDescent="0.2">
      <c r="A109" s="8" t="s">
        <v>42</v>
      </c>
      <c r="B109" s="9" t="s">
        <v>43</v>
      </c>
      <c r="C109" s="9">
        <v>936</v>
      </c>
      <c r="D109" s="9" t="s">
        <v>284</v>
      </c>
      <c r="E109" s="9">
        <v>24</v>
      </c>
      <c r="F109" s="9" t="s">
        <v>315</v>
      </c>
      <c r="G109" s="9" t="s">
        <v>323</v>
      </c>
      <c r="H109" s="9" t="s">
        <v>287</v>
      </c>
      <c r="I109" s="9" t="s">
        <v>324</v>
      </c>
      <c r="J109" s="9" t="s">
        <v>325</v>
      </c>
      <c r="K109" s="9" t="s">
        <v>326</v>
      </c>
      <c r="L109" s="9" t="s">
        <v>326</v>
      </c>
      <c r="M109" s="9" t="s">
        <v>51</v>
      </c>
      <c r="N109" s="9">
        <v>480</v>
      </c>
      <c r="O109" s="9" t="s">
        <v>72</v>
      </c>
      <c r="P109" s="9">
        <v>150</v>
      </c>
      <c r="Q109" s="9">
        <v>150</v>
      </c>
      <c r="R109" s="9">
        <v>3.92</v>
      </c>
      <c r="S109" s="9">
        <v>-6.9379470000000003</v>
      </c>
      <c r="T109" s="9">
        <v>106.24459</v>
      </c>
      <c r="U109" s="9" t="s">
        <v>52</v>
      </c>
      <c r="V109" s="11" t="str">
        <f>VLOOKUP(L109,'[1]singkron data'!D:E,2,FALSE)</f>
        <v>PT. Amber Hasya</v>
      </c>
      <c r="W109" s="13">
        <f>VLOOKUP(L109,'[1]data 1129'!F:H,3,FALSE)</f>
        <v>4922853000</v>
      </c>
      <c r="X109" s="11" t="s">
        <v>55</v>
      </c>
      <c r="Y109" s="11" t="str">
        <f>VLOOKUP(L109,'[1]singkron data'!D:H,5,FALSE)</f>
        <v>Bandung</v>
      </c>
      <c r="Z109" s="11" t="str">
        <f>VLOOKUP(L109,'[1]singkron data'!D:I,6,FALSE)</f>
        <v>Offline</v>
      </c>
      <c r="AA109" s="11">
        <f>VLOOKUP(L109,'[1]singkron data'!D:L,9,FALSE)</f>
        <v>0</v>
      </c>
      <c r="AB109" s="11" t="s">
        <v>54</v>
      </c>
      <c r="AC109" s="11" t="str">
        <f>VLOOKUP(L109,'[1]singkron data'!D:M,10,FALSE)</f>
        <v>Sandi</v>
      </c>
      <c r="AD109" s="11" t="str">
        <f>VLOOKUP(L109,'[1]data 1129'!F:O,10,FALSE)</f>
        <v>Tahap I 208</v>
      </c>
      <c r="AE109" s="11" t="str">
        <f>VLOOKUP(L109,'[1]singkron data'!D:P,13,FALSE)</f>
        <v>sudah</v>
      </c>
      <c r="AF109" s="11" t="s">
        <v>55</v>
      </c>
      <c r="AG109" s="17">
        <f>VLOOKUP(L109,'[1]update kontrak'!E:K,6,FALSE)</f>
        <v>2215819319.3099999</v>
      </c>
      <c r="AH109" s="11" t="str">
        <f>VLOOKUP(L109,'[1]update kontrak'!E:K,7,FALSE)</f>
        <v>KONTRAK</v>
      </c>
      <c r="AI109" s="11" t="s">
        <v>41</v>
      </c>
      <c r="AJ109" s="11" t="str">
        <f>VLOOKUP(L109,[1]rekap!D:M,1,FALSE)</f>
        <v>Bayah Barat</v>
      </c>
      <c r="AK109" s="11" t="str">
        <f>VLOOKUP(L109,'[1]singkron data'!D:E,2,FALSE)</f>
        <v>PT. Amber Hasya</v>
      </c>
      <c r="AL109" s="11" t="str">
        <f>VLOOKUP(L109,'[1]update 521'!D:D,1,FALSE)</f>
        <v>Bayah Barat</v>
      </c>
      <c r="AM109" s="11" t="s">
        <v>57</v>
      </c>
      <c r="AN109" s="17">
        <f>VLOOKUP(L109,[1]Sheet19!E:L,8,FALSE)</f>
        <v>2215819319.3099999</v>
      </c>
      <c r="AO109" s="11" t="str">
        <f>VLOOKUP(L109,[1]Sheet19!E:K,7,FALSE)</f>
        <v>KONTRAK</v>
      </c>
      <c r="AP109" s="12" t="s">
        <v>41</v>
      </c>
    </row>
    <row r="110" spans="1:42" ht="15" x14ac:dyDescent="0.2">
      <c r="A110" s="8" t="s">
        <v>42</v>
      </c>
      <c r="B110" s="9" t="s">
        <v>43</v>
      </c>
      <c r="C110" s="9">
        <v>937</v>
      </c>
      <c r="D110" s="9" t="s">
        <v>284</v>
      </c>
      <c r="E110" s="9">
        <v>25</v>
      </c>
      <c r="F110" s="9" t="s">
        <v>315</v>
      </c>
      <c r="G110" s="9" t="s">
        <v>323</v>
      </c>
      <c r="H110" s="9" t="s">
        <v>287</v>
      </c>
      <c r="I110" s="9" t="s">
        <v>324</v>
      </c>
      <c r="J110" s="9" t="s">
        <v>327</v>
      </c>
      <c r="K110" s="9" t="s">
        <v>328</v>
      </c>
      <c r="L110" s="9" t="s">
        <v>328</v>
      </c>
      <c r="M110" s="9" t="s">
        <v>51</v>
      </c>
      <c r="N110" s="9">
        <v>200</v>
      </c>
      <c r="O110" s="9" t="s">
        <v>72</v>
      </c>
      <c r="P110" s="9">
        <v>83</v>
      </c>
      <c r="Q110" s="9">
        <v>83</v>
      </c>
      <c r="R110" s="9">
        <v>0.1</v>
      </c>
      <c r="S110" s="9">
        <v>-6.9889722000000001</v>
      </c>
      <c r="T110" s="9">
        <v>106.38133329999999</v>
      </c>
      <c r="U110" s="9" t="s">
        <v>52</v>
      </c>
      <c r="V110" s="11" t="str">
        <f>VLOOKUP(L110,'[1]singkron data'!D:E,2,FALSE)</f>
        <v>PT. Amber Hasya</v>
      </c>
      <c r="W110" s="13">
        <f>VLOOKUP(L110,'[1]data 1129'!F:H,3,FALSE)</f>
        <v>3158405000</v>
      </c>
      <c r="X110" s="11" t="s">
        <v>55</v>
      </c>
      <c r="Y110" s="11" t="str">
        <f>VLOOKUP(L110,'[1]singkron data'!D:H,5,FALSE)</f>
        <v>Bandung</v>
      </c>
      <c r="Z110" s="11" t="str">
        <f>VLOOKUP(L110,'[1]singkron data'!D:I,6,FALSE)</f>
        <v>Offline</v>
      </c>
      <c r="AA110" s="11">
        <f>VLOOKUP(L110,'[1]singkron data'!D:L,9,FALSE)</f>
        <v>0</v>
      </c>
      <c r="AB110" s="11" t="s">
        <v>54</v>
      </c>
      <c r="AC110" s="11" t="str">
        <f>VLOOKUP(L110,'[1]singkron data'!D:M,10,FALSE)</f>
        <v>Sandi</v>
      </c>
      <c r="AD110" s="11" t="str">
        <f>VLOOKUP(L110,'[1]data 1129'!F:O,10,FALSE)</f>
        <v>Tahap I 208</v>
      </c>
      <c r="AE110" s="11" t="str">
        <f>VLOOKUP(L110,'[1]singkron data'!D:P,13,FALSE)</f>
        <v>sudah</v>
      </c>
      <c r="AF110" s="11" t="s">
        <v>55</v>
      </c>
      <c r="AG110" s="17">
        <f>VLOOKUP(L110,'[1]update kontrak'!E:K,6,FALSE)</f>
        <v>2277232593.4499998</v>
      </c>
      <c r="AH110" s="11" t="str">
        <f>VLOOKUP(L110,'[1]update kontrak'!E:K,7,FALSE)</f>
        <v>KONTRAK</v>
      </c>
      <c r="AI110" s="11" t="s">
        <v>41</v>
      </c>
      <c r="AJ110" s="11" t="str">
        <f>VLOOKUP(L110,[1]rekap!D:M,1,FALSE)</f>
        <v>Cireundeu</v>
      </c>
      <c r="AK110" s="11" t="str">
        <f>VLOOKUP(L110,'[1]singkron data'!D:E,2,FALSE)</f>
        <v>PT. Amber Hasya</v>
      </c>
      <c r="AL110" s="11" t="str">
        <f>VLOOKUP(L110,'[1]update 521'!D:D,1,FALSE)</f>
        <v>Cireundeu</v>
      </c>
      <c r="AM110" s="11" t="s">
        <v>57</v>
      </c>
      <c r="AN110" s="17">
        <f>VLOOKUP(L110,[1]Sheet19!E:L,8,FALSE)</f>
        <v>2277232593.4499998</v>
      </c>
      <c r="AO110" s="11" t="str">
        <f>VLOOKUP(L110,[1]Sheet19!E:K,7,FALSE)</f>
        <v>KONTRAK</v>
      </c>
      <c r="AP110" s="12" t="s">
        <v>41</v>
      </c>
    </row>
    <row r="111" spans="1:42" ht="15" x14ac:dyDescent="0.2">
      <c r="A111" s="8" t="s">
        <v>42</v>
      </c>
      <c r="B111" s="9" t="s">
        <v>43</v>
      </c>
      <c r="C111" s="9">
        <v>939</v>
      </c>
      <c r="D111" s="9" t="s">
        <v>284</v>
      </c>
      <c r="E111" s="9">
        <v>27</v>
      </c>
      <c r="F111" s="9" t="s">
        <v>315</v>
      </c>
      <c r="G111" s="9" t="s">
        <v>323</v>
      </c>
      <c r="H111" s="9" t="s">
        <v>287</v>
      </c>
      <c r="I111" s="9" t="s">
        <v>324</v>
      </c>
      <c r="J111" s="9" t="s">
        <v>325</v>
      </c>
      <c r="K111" s="9" t="s">
        <v>329</v>
      </c>
      <c r="L111" s="9" t="s">
        <v>329</v>
      </c>
      <c r="M111" s="9" t="s">
        <v>81</v>
      </c>
      <c r="N111" s="9">
        <v>200</v>
      </c>
      <c r="O111" s="9" t="s">
        <v>72</v>
      </c>
      <c r="P111" s="9">
        <v>200</v>
      </c>
      <c r="Q111" s="9">
        <v>200</v>
      </c>
      <c r="R111" s="9">
        <v>13.7</v>
      </c>
      <c r="S111" s="9">
        <v>-6.9479939999999996</v>
      </c>
      <c r="T111" s="9">
        <v>106.24673</v>
      </c>
      <c r="U111" s="9" t="s">
        <v>52</v>
      </c>
      <c r="V111" s="11" t="str">
        <f>VLOOKUP(L111,'[1]singkron data'!D:E,2,FALSE)</f>
        <v>PT. Amber Hasya</v>
      </c>
      <c r="W111" s="13">
        <f>VLOOKUP(L111,'[1]data 1129'!F:H,3,FALSE)</f>
        <v>3380570000</v>
      </c>
      <c r="X111" s="11" t="s">
        <v>55</v>
      </c>
      <c r="Y111" s="11" t="str">
        <f>VLOOKUP(L111,'[1]singkron data'!D:H,5,FALSE)</f>
        <v>Bandung</v>
      </c>
      <c r="Z111" s="11" t="str">
        <f>VLOOKUP(L111,'[1]singkron data'!D:I,6,FALSE)</f>
        <v>Offline</v>
      </c>
      <c r="AA111" s="11">
        <f>VLOOKUP(L111,'[1]singkron data'!D:L,9,FALSE)</f>
        <v>0</v>
      </c>
      <c r="AB111" s="11" t="s">
        <v>54</v>
      </c>
      <c r="AC111" s="11" t="str">
        <f>VLOOKUP(L111,'[1]singkron data'!D:M,10,FALSE)</f>
        <v>Sandi</v>
      </c>
      <c r="AD111" s="11" t="str">
        <f>VLOOKUP(L111,'[1]data 1129'!F:O,10,FALSE)</f>
        <v>Tahap I 208</v>
      </c>
      <c r="AE111" s="11" t="str">
        <f>VLOOKUP(L111,'[1]singkron data'!D:P,13,FALSE)</f>
        <v>sudah</v>
      </c>
      <c r="AF111" s="11" t="s">
        <v>55</v>
      </c>
      <c r="AG111" s="17">
        <f>VLOOKUP(L111,'[1]update kontrak'!E:K,6,FALSE)</f>
        <v>3123791540.4299998</v>
      </c>
      <c r="AH111" s="11" t="str">
        <f>VLOOKUP(L111,'[1]update kontrak'!E:K,7,FALSE)</f>
        <v>KONTRAK</v>
      </c>
      <c r="AI111" s="11" t="s">
        <v>41</v>
      </c>
      <c r="AJ111" s="11" t="str">
        <f>VLOOKUP(L111,[1]rekap!D:M,1,FALSE)</f>
        <v>Darmasari</v>
      </c>
      <c r="AK111" s="11" t="str">
        <f>VLOOKUP(L111,'[1]singkron data'!D:E,2,FALSE)</f>
        <v>PT. Amber Hasya</v>
      </c>
      <c r="AL111" s="11" t="str">
        <f>VLOOKUP(L111,'[1]update 521'!D:D,1,FALSE)</f>
        <v>Darmasari</v>
      </c>
      <c r="AM111" s="11" t="s">
        <v>57</v>
      </c>
      <c r="AN111" s="17">
        <f>VLOOKUP(L111,[1]Sheet19!E:L,8,FALSE)</f>
        <v>3123791540.4299998</v>
      </c>
      <c r="AO111" s="11" t="str">
        <f>VLOOKUP(L111,[1]Sheet19!E:K,7,FALSE)</f>
        <v>KONTRAK</v>
      </c>
      <c r="AP111" s="12" t="s">
        <v>41</v>
      </c>
    </row>
    <row r="112" spans="1:42" ht="15" x14ac:dyDescent="0.2">
      <c r="A112" s="8" t="s">
        <v>42</v>
      </c>
      <c r="B112" s="9" t="s">
        <v>43</v>
      </c>
      <c r="C112" s="9">
        <v>940</v>
      </c>
      <c r="D112" s="9" t="s">
        <v>284</v>
      </c>
      <c r="E112" s="9">
        <v>28</v>
      </c>
      <c r="F112" s="9" t="s">
        <v>315</v>
      </c>
      <c r="G112" s="9" t="s">
        <v>286</v>
      </c>
      <c r="H112" s="9" t="s">
        <v>287</v>
      </c>
      <c r="I112" s="9" t="s">
        <v>319</v>
      </c>
      <c r="J112" s="9" t="s">
        <v>320</v>
      </c>
      <c r="K112" s="9" t="s">
        <v>330</v>
      </c>
      <c r="L112" s="10" t="s">
        <v>330</v>
      </c>
      <c r="M112" s="9" t="s">
        <v>81</v>
      </c>
      <c r="N112" s="9">
        <v>381</v>
      </c>
      <c r="O112" s="9" t="s">
        <v>72</v>
      </c>
      <c r="P112" s="9">
        <v>290</v>
      </c>
      <c r="Q112" s="9">
        <v>290</v>
      </c>
      <c r="R112" s="9">
        <v>0.3</v>
      </c>
      <c r="S112" s="9">
        <v>-6.9663727</v>
      </c>
      <c r="T112" s="9">
        <v>106.41448080000001</v>
      </c>
      <c r="U112" s="9" t="s">
        <v>52</v>
      </c>
      <c r="V112" s="20" t="str">
        <f>VLOOKUP(L112,'[1]singkron data'!D:E,2,FALSE)</f>
        <v>CV. Mitra Jaya Mandiri</v>
      </c>
      <c r="W112" s="13">
        <f>VLOOKUP(L112,'[1]data 1129'!F:H,3,FALSE)</f>
        <v>4441806000</v>
      </c>
      <c r="X112" s="11" t="s">
        <v>55</v>
      </c>
      <c r="Y112" s="11">
        <f>VLOOKUP(L112,'[1]singkron data'!D:H,5,FALSE)</f>
        <v>0</v>
      </c>
      <c r="Z112" s="11" t="str">
        <f>VLOOKUP(L112,'[1]singkron data'!D:I,6,FALSE)</f>
        <v>Offline</v>
      </c>
      <c r="AA112" s="11" t="s">
        <v>321</v>
      </c>
      <c r="AB112" s="11" t="s">
        <v>54</v>
      </c>
      <c r="AC112" s="11" t="str">
        <f>VLOOKUP(L112,'[1]singkron data'!D:M,10,FALSE)</f>
        <v>Sandi</v>
      </c>
      <c r="AD112" s="11" t="str">
        <f>VLOOKUP(L112,'[1]data 1129'!F:O,10,FALSE)</f>
        <v>Tahap I 208</v>
      </c>
      <c r="AE112" s="11" t="str">
        <f>VLOOKUP(L112,'[1]singkron data'!D:P,13,FALSE)</f>
        <v>sudah</v>
      </c>
      <c r="AF112" s="11" t="s">
        <v>55</v>
      </c>
      <c r="AG112" s="17">
        <f>VLOOKUP(L112,'[1]update kontrak'!E:K,6,FALSE)</f>
        <v>4669078010.46</v>
      </c>
      <c r="AH112" s="11" t="str">
        <f>VLOOKUP(L112,'[1]update kontrak'!E:K,7,FALSE)</f>
        <v>KONTRAK</v>
      </c>
      <c r="AI112" s="11" t="s">
        <v>41</v>
      </c>
      <c r="AJ112" s="11" t="str">
        <f>VLOOKUP(L112,[1]rekap!D:M,1,FALSE)</f>
        <v>Pasirbaru</v>
      </c>
      <c r="AK112" s="11" t="str">
        <f>VLOOKUP(L112,'[1]singkron data'!D:E,2,FALSE)</f>
        <v>CV. Mitra Jaya Mandiri</v>
      </c>
      <c r="AL112" s="11" t="str">
        <f>VLOOKUP(L112,'[1]update 521'!D:D,1,FALSE)</f>
        <v>Pasirbaru</v>
      </c>
      <c r="AM112" s="11" t="s">
        <v>57</v>
      </c>
      <c r="AN112" s="17">
        <f>VLOOKUP(L112,[1]Sheet19!E:L,8,FALSE)</f>
        <v>4669078010.46</v>
      </c>
      <c r="AO112" s="11" t="str">
        <f>VLOOKUP(L112,[1]Sheet19!E:K,7,FALSE)</f>
        <v>KONTRAK</v>
      </c>
      <c r="AP112" s="12" t="s">
        <v>41</v>
      </c>
    </row>
    <row r="113" spans="1:42" ht="15" x14ac:dyDescent="0.2">
      <c r="A113" s="8" t="s">
        <v>42</v>
      </c>
      <c r="B113" s="9" t="s">
        <v>43</v>
      </c>
      <c r="C113" s="9">
        <v>1002</v>
      </c>
      <c r="D113" s="9" t="s">
        <v>284</v>
      </c>
      <c r="E113" s="9">
        <v>90</v>
      </c>
      <c r="F113" s="9" t="s">
        <v>331</v>
      </c>
      <c r="G113" s="9" t="s">
        <v>323</v>
      </c>
      <c r="H113" s="9" t="s">
        <v>287</v>
      </c>
      <c r="I113" s="9" t="s">
        <v>332</v>
      </c>
      <c r="J113" s="9" t="s">
        <v>333</v>
      </c>
      <c r="K113" s="9" t="s">
        <v>334</v>
      </c>
      <c r="L113" s="9" t="s">
        <v>334</v>
      </c>
      <c r="M113" s="9" t="s">
        <v>81</v>
      </c>
      <c r="N113" s="9">
        <v>2184</v>
      </c>
      <c r="O113" s="9" t="s">
        <v>72</v>
      </c>
      <c r="P113" s="9">
        <v>176</v>
      </c>
      <c r="Q113" s="9">
        <v>176</v>
      </c>
      <c r="R113" s="9">
        <v>0.64</v>
      </c>
      <c r="S113" s="9">
        <v>-6.4925280000000001</v>
      </c>
      <c r="T113" s="9">
        <v>105.796288</v>
      </c>
      <c r="U113" s="9" t="s">
        <v>52</v>
      </c>
      <c r="V113" s="11" t="str">
        <f>VLOOKUP(L113,'[1]singkron data'!D:E,2,FALSE)</f>
        <v>PT. Amber Hasya</v>
      </c>
      <c r="W113" s="13">
        <f>VLOOKUP(L113,'[1]data 1129'!F:H,3,FALSE)</f>
        <v>2771581000</v>
      </c>
      <c r="X113" s="11" t="s">
        <v>55</v>
      </c>
      <c r="Y113" s="11" t="str">
        <f>VLOOKUP(L113,'[1]singkron data'!D:H,5,FALSE)</f>
        <v>Bandung</v>
      </c>
      <c r="Z113" s="11" t="str">
        <f>VLOOKUP(L113,'[1]singkron data'!D:I,6,FALSE)</f>
        <v>Offline</v>
      </c>
      <c r="AA113" s="11">
        <f>VLOOKUP(L113,'[1]singkron data'!D:L,9,FALSE)</f>
        <v>0</v>
      </c>
      <c r="AB113" s="11" t="s">
        <v>54</v>
      </c>
      <c r="AC113" s="11" t="str">
        <f>VLOOKUP(L113,'[1]singkron data'!D:M,10,FALSE)</f>
        <v>Sandi</v>
      </c>
      <c r="AD113" s="11" t="str">
        <f>VLOOKUP(L113,'[1]data 1129'!F:O,10,FALSE)</f>
        <v>Tahap I 208</v>
      </c>
      <c r="AE113" s="11" t="str">
        <f>VLOOKUP(L113,'[1]singkron data'!D:P,13,FALSE)</f>
        <v>sudah</v>
      </c>
      <c r="AF113" s="11" t="s">
        <v>55</v>
      </c>
      <c r="AG113" s="17">
        <f>VLOOKUP(L113,'[1]update kontrak'!E:K,6,FALSE)</f>
        <v>2895283393.98</v>
      </c>
      <c r="AH113" s="11" t="str">
        <f>VLOOKUP(L113,'[1]update kontrak'!E:K,7,FALSE)</f>
        <v>KONTRAK</v>
      </c>
      <c r="AI113" s="11" t="s">
        <v>41</v>
      </c>
      <c r="AJ113" s="11" t="str">
        <f>VLOOKUP(L113,[1]rekap!D:M,1,FALSE)</f>
        <v>Panimbangjaya</v>
      </c>
      <c r="AK113" s="11" t="str">
        <f>VLOOKUP(L113,'[1]singkron data'!D:E,2,FALSE)</f>
        <v>PT. Amber Hasya</v>
      </c>
      <c r="AL113" s="11" t="str">
        <f>VLOOKUP(L113,'[1]update 521'!D:D,1,FALSE)</f>
        <v>Panimbangjaya</v>
      </c>
      <c r="AM113" s="11" t="s">
        <v>57</v>
      </c>
      <c r="AN113" s="17">
        <f>VLOOKUP(L113,[1]Sheet19!E:L,8,FALSE)</f>
        <v>2895283393.98</v>
      </c>
      <c r="AO113" s="11" t="str">
        <f>VLOOKUP(L113,[1]Sheet19!E:K,7,FALSE)</f>
        <v>KONTRAK</v>
      </c>
      <c r="AP113" s="12" t="s">
        <v>41</v>
      </c>
    </row>
    <row r="114" spans="1:42" ht="15" x14ac:dyDescent="0.2">
      <c r="A114" s="8" t="s">
        <v>42</v>
      </c>
      <c r="B114" s="9" t="s">
        <v>43</v>
      </c>
      <c r="C114" s="9">
        <v>1003</v>
      </c>
      <c r="D114" s="9" t="s">
        <v>284</v>
      </c>
      <c r="E114" s="9">
        <v>91</v>
      </c>
      <c r="F114" s="9" t="s">
        <v>331</v>
      </c>
      <c r="G114" s="9" t="s">
        <v>323</v>
      </c>
      <c r="H114" s="9" t="s">
        <v>287</v>
      </c>
      <c r="I114" s="9" t="s">
        <v>332</v>
      </c>
      <c r="J114" s="9" t="s">
        <v>335</v>
      </c>
      <c r="K114" s="9" t="s">
        <v>336</v>
      </c>
      <c r="L114" s="9" t="s">
        <v>336</v>
      </c>
      <c r="M114" s="9" t="s">
        <v>51</v>
      </c>
      <c r="N114" s="9">
        <v>585</v>
      </c>
      <c r="O114" s="9" t="s">
        <v>72</v>
      </c>
      <c r="P114" s="9">
        <v>22</v>
      </c>
      <c r="Q114" s="9">
        <v>22</v>
      </c>
      <c r="R114" s="9">
        <v>2.23</v>
      </c>
      <c r="S114" s="9">
        <v>-6.3356728999999996</v>
      </c>
      <c r="T114" s="9">
        <v>105.8348031</v>
      </c>
      <c r="U114" s="9" t="s">
        <v>52</v>
      </c>
      <c r="V114" s="11" t="str">
        <f>VLOOKUP(L114,'[1]singkron data'!D:E,2,FALSE)</f>
        <v>CV. Masa Barokah</v>
      </c>
      <c r="W114" s="13">
        <f>VLOOKUP(L114,'[1]data 1129'!F:H,3,FALSE)</f>
        <v>3569000000</v>
      </c>
      <c r="X114" s="11" t="s">
        <v>55</v>
      </c>
      <c r="Y114" s="11">
        <f>VLOOKUP(L114,'[1]singkron data'!D:H,5,FALSE)</f>
        <v>0</v>
      </c>
      <c r="Z114" s="11">
        <f>VLOOKUP(L114,'[1]singkron data'!D:I,6,FALSE)</f>
        <v>0</v>
      </c>
      <c r="AA114" s="11" t="str">
        <f>VLOOKUP(L114,'[1]singkron data'!D:L,9,FALSE)</f>
        <v>081212846377/eko</v>
      </c>
      <c r="AB114" s="11" t="s">
        <v>54</v>
      </c>
      <c r="AC114" s="11" t="str">
        <f>VLOOKUP(L114,'[1]singkron data'!D:M,10,FALSE)</f>
        <v>TK ganti perusahaan kecil karena pagu dibawah 15 miliar</v>
      </c>
      <c r="AD114" s="11" t="str">
        <f>VLOOKUP(L114,'[1]data 1129'!F:O,10,FALSE)</f>
        <v>Tahap IV 200</v>
      </c>
      <c r="AE114" s="11" t="str">
        <f>VLOOKUP(L114,'[1]singkron data'!D:P,13,FALSE)</f>
        <v>tidak masuk pleno</v>
      </c>
      <c r="AF114" s="11" t="s">
        <v>55</v>
      </c>
      <c r="AG114" s="11" t="e">
        <f>VLOOKUP(L114,'[1]update kontrak'!E:K,6,FALSE)</f>
        <v>#N/A</v>
      </c>
      <c r="AH114" s="11" t="e">
        <f>VLOOKUP(L114,'[1]update kontrak'!E:K,7,FALSE)</f>
        <v>#N/A</v>
      </c>
      <c r="AI114" s="11"/>
      <c r="AJ114" s="11" t="str">
        <f>VLOOKUP(L114,[1]rekap!D:M,1,FALSE)</f>
        <v>Banjarmasin</v>
      </c>
      <c r="AK114" s="11" t="str">
        <f>VLOOKUP(L114,'[1]singkron data'!D:E,2,FALSE)</f>
        <v>CV. Masa Barokah</v>
      </c>
      <c r="AL114" s="11" t="str">
        <f>VLOOKUP(L114,'[1]update 521'!D:D,1,FALSE)</f>
        <v>Banjarmasin</v>
      </c>
      <c r="AM114" s="11" t="s">
        <v>337</v>
      </c>
      <c r="AN114" s="11" t="e">
        <f>VLOOKUP(L114,[1]Sheet19!E:L,8,FALSE)</f>
        <v>#N/A</v>
      </c>
      <c r="AO114" s="11" t="s">
        <v>58</v>
      </c>
      <c r="AP114" s="12"/>
    </row>
    <row r="115" spans="1:42" ht="15" x14ac:dyDescent="0.2">
      <c r="A115" s="8" t="s">
        <v>42</v>
      </c>
      <c r="B115" s="9" t="s">
        <v>43</v>
      </c>
      <c r="C115" s="9">
        <v>1003</v>
      </c>
      <c r="D115" s="9" t="s">
        <v>284</v>
      </c>
      <c r="E115" s="9">
        <v>91</v>
      </c>
      <c r="F115" s="9" t="s">
        <v>331</v>
      </c>
      <c r="G115" s="9" t="s">
        <v>323</v>
      </c>
      <c r="H115" s="9" t="s">
        <v>287</v>
      </c>
      <c r="I115" s="9" t="s">
        <v>332</v>
      </c>
      <c r="J115" s="9" t="s">
        <v>335</v>
      </c>
      <c r="K115" s="9" t="s">
        <v>335</v>
      </c>
      <c r="L115" s="9" t="s">
        <v>335</v>
      </c>
      <c r="M115" s="9" t="s">
        <v>51</v>
      </c>
      <c r="N115" s="9">
        <v>585</v>
      </c>
      <c r="O115" s="9" t="s">
        <v>72</v>
      </c>
      <c r="P115" s="9">
        <v>22</v>
      </c>
      <c r="Q115" s="9">
        <v>22</v>
      </c>
      <c r="R115" s="9">
        <v>2.23</v>
      </c>
      <c r="S115" s="9">
        <v>-6.3356728999999996</v>
      </c>
      <c r="T115" s="9">
        <v>105.8348031</v>
      </c>
      <c r="U115" s="9" t="s">
        <v>52</v>
      </c>
      <c r="V115" s="11" t="s">
        <v>338</v>
      </c>
      <c r="W115" s="11"/>
      <c r="X115" s="11"/>
      <c r="Y115" s="11">
        <f>VLOOKUP(L115,'[1]singkron data'!D:H,5,FALSE)</f>
        <v>0</v>
      </c>
      <c r="Z115" s="11">
        <f>VLOOKUP(L115,'[1]singkron data'!D:I,6,FALSE)</f>
        <v>0</v>
      </c>
      <c r="AA115" s="11" t="s">
        <v>339</v>
      </c>
      <c r="AB115" s="11" t="s">
        <v>54</v>
      </c>
      <c r="AC115" s="11" t="str">
        <f>VLOOKUP(L115,'[1]singkron data'!D:M,10,FALSE)</f>
        <v>g</v>
      </c>
      <c r="AD115" s="11" t="e">
        <f>VLOOKUP(L115,'[1]data 1129'!F:O,10,FALSE)</f>
        <v>#N/A</v>
      </c>
      <c r="AE115" s="11">
        <f>VLOOKUP(L115,'[1]singkron data'!D:P,13,FALSE)</f>
        <v>0</v>
      </c>
      <c r="AF115" s="11"/>
      <c r="AG115" s="11" t="e">
        <f>VLOOKUP(L115,'[1]update kontrak'!E:K,6,FALSE)</f>
        <v>#N/A</v>
      </c>
      <c r="AH115" s="11" t="e">
        <f>VLOOKUP(L115,'[1]update kontrak'!E:K,7,FALSE)</f>
        <v>#N/A</v>
      </c>
      <c r="AI115" s="11"/>
      <c r="AJ115" s="11" t="str">
        <f>VLOOKUP(L115,[1]rekap!D:M,1,FALSE)</f>
        <v>Carita</v>
      </c>
      <c r="AK115" s="11" t="str">
        <f>VLOOKUP(L115,'[1]singkron data'!D:E,2,FALSE)</f>
        <v>CV. Mirsel</v>
      </c>
      <c r="AL115" s="11" t="str">
        <f>VLOOKUP(L115,'[1]update 521'!D:D,1,FALSE)</f>
        <v>Carita</v>
      </c>
      <c r="AM115" s="11" t="s">
        <v>57</v>
      </c>
      <c r="AN115" s="11" t="e">
        <f>VLOOKUP(L115,[1]Sheet19!E:L,8,FALSE)</f>
        <v>#N/A</v>
      </c>
      <c r="AO115" s="11" t="e">
        <f>VLOOKUP(L115,[1]Sheet19!E:K,7,FALSE)</f>
        <v>#N/A</v>
      </c>
      <c r="AP115" s="12"/>
    </row>
    <row r="116" spans="1:42" ht="15" x14ac:dyDescent="0.2">
      <c r="A116" s="8" t="s">
        <v>42</v>
      </c>
      <c r="B116" s="9" t="s">
        <v>43</v>
      </c>
      <c r="C116" s="9">
        <v>1004</v>
      </c>
      <c r="D116" s="9" t="s">
        <v>284</v>
      </c>
      <c r="E116" s="9">
        <v>92</v>
      </c>
      <c r="F116" s="9" t="s">
        <v>331</v>
      </c>
      <c r="G116" s="9" t="s">
        <v>323</v>
      </c>
      <c r="H116" s="9" t="s">
        <v>287</v>
      </c>
      <c r="I116" s="9" t="s">
        <v>332</v>
      </c>
      <c r="J116" s="9" t="s">
        <v>340</v>
      </c>
      <c r="K116" s="9" t="s">
        <v>341</v>
      </c>
      <c r="L116" s="9" t="s">
        <v>341</v>
      </c>
      <c r="M116" s="9" t="s">
        <v>51</v>
      </c>
      <c r="N116" s="9">
        <v>159</v>
      </c>
      <c r="O116" s="9" t="s">
        <v>72</v>
      </c>
      <c r="P116" s="9">
        <v>25</v>
      </c>
      <c r="Q116" s="9">
        <v>25</v>
      </c>
      <c r="R116" s="9">
        <v>2</v>
      </c>
      <c r="S116" s="9">
        <v>-6.6887600000000003</v>
      </c>
      <c r="T116" s="9">
        <v>105.5643</v>
      </c>
      <c r="U116" s="9" t="s">
        <v>52</v>
      </c>
      <c r="V116" s="11" t="str">
        <f>VLOOKUP(L116,'[1]singkron data'!D:E,2,FALSE)</f>
        <v>PT. Amber Hasya</v>
      </c>
      <c r="W116" s="13">
        <f>VLOOKUP(L116,'[1]data 1129'!F:H,3,FALSE)</f>
        <v>2692679000</v>
      </c>
      <c r="X116" s="11" t="s">
        <v>55</v>
      </c>
      <c r="Y116" s="11" t="str">
        <f>VLOOKUP(L116,'[1]singkron data'!D:H,5,FALSE)</f>
        <v>Bandung</v>
      </c>
      <c r="Z116" s="11" t="str">
        <f>VLOOKUP(L116,'[1]singkron data'!D:I,6,FALSE)</f>
        <v>Offline</v>
      </c>
      <c r="AA116" s="11">
        <f>VLOOKUP(L116,'[1]singkron data'!D:L,9,FALSE)</f>
        <v>0</v>
      </c>
      <c r="AB116" s="11" t="s">
        <v>54</v>
      </c>
      <c r="AC116" s="11" t="str">
        <f>VLOOKUP(L116,'[1]singkron data'!D:M,10,FALSE)</f>
        <v>Sandi</v>
      </c>
      <c r="AD116" s="11" t="str">
        <f>VLOOKUP(L116,'[1]data 1129'!F:O,10,FALSE)</f>
        <v>Tahap I 208</v>
      </c>
      <c r="AE116" s="11" t="str">
        <f>VLOOKUP(L116,'[1]singkron data'!D:P,13,FALSE)</f>
        <v>sudah</v>
      </c>
      <c r="AF116" s="11" t="s">
        <v>55</v>
      </c>
      <c r="AG116" s="17">
        <f>VLOOKUP(L116,'[1]update kontrak'!E:K,6,FALSE)</f>
        <v>1903820019.8099999</v>
      </c>
      <c r="AH116" s="11" t="str">
        <f>VLOOKUP(L116,'[1]update kontrak'!E:K,7,FALSE)</f>
        <v>KONTRAK</v>
      </c>
      <c r="AI116" s="11" t="s">
        <v>41</v>
      </c>
      <c r="AJ116" s="11" t="str">
        <f>VLOOKUP(L116,[1]rekap!D:M,1,FALSE)</f>
        <v>Kertamukti</v>
      </c>
      <c r="AK116" s="11" t="str">
        <f>VLOOKUP(L116,'[1]singkron data'!D:E,2,FALSE)</f>
        <v>PT. Amber Hasya</v>
      </c>
      <c r="AL116" s="11" t="str">
        <f>VLOOKUP(L116,'[1]update 521'!D:D,1,FALSE)</f>
        <v>Kertamukti</v>
      </c>
      <c r="AM116" s="11" t="s">
        <v>57</v>
      </c>
      <c r="AN116" s="17">
        <f>VLOOKUP(L116,[1]Sheet19!E:L,8,FALSE)</f>
        <v>1903820019.8099999</v>
      </c>
      <c r="AO116" s="11" t="str">
        <f>VLOOKUP(L116,[1]Sheet19!E:K,7,FALSE)</f>
        <v>KONTRAK</v>
      </c>
      <c r="AP116" s="12" t="s">
        <v>41</v>
      </c>
    </row>
    <row r="117" spans="1:42" ht="15" x14ac:dyDescent="0.2">
      <c r="A117" s="8" t="s">
        <v>42</v>
      </c>
      <c r="B117" s="9" t="s">
        <v>43</v>
      </c>
      <c r="C117" s="9">
        <v>1005</v>
      </c>
      <c r="D117" s="9" t="s">
        <v>284</v>
      </c>
      <c r="E117" s="9">
        <v>93</v>
      </c>
      <c r="F117" s="9" t="s">
        <v>331</v>
      </c>
      <c r="G117" s="9" t="s">
        <v>323</v>
      </c>
      <c r="H117" s="9" t="s">
        <v>287</v>
      </c>
      <c r="I117" s="9" t="s">
        <v>324</v>
      </c>
      <c r="J117" s="9" t="s">
        <v>342</v>
      </c>
      <c r="K117" s="9" t="s">
        <v>343</v>
      </c>
      <c r="L117" s="9" t="s">
        <v>343</v>
      </c>
      <c r="M117" s="9" t="s">
        <v>51</v>
      </c>
      <c r="N117" s="9">
        <v>280</v>
      </c>
      <c r="O117" s="9" t="s">
        <v>72</v>
      </c>
      <c r="P117" s="9">
        <v>83</v>
      </c>
      <c r="Q117" s="9">
        <v>83</v>
      </c>
      <c r="R117" s="9">
        <v>1</v>
      </c>
      <c r="S117" s="9">
        <v>-6.8303877999999996</v>
      </c>
      <c r="T117" s="9">
        <v>105.8932607</v>
      </c>
      <c r="U117" s="9" t="s">
        <v>52</v>
      </c>
      <c r="V117" s="11" t="str">
        <f>VLOOKUP(L117,'[1]singkron data'!D:E,2,FALSE)</f>
        <v>PT. Nayaka Mitrarenov Indotama</v>
      </c>
      <c r="W117" s="13">
        <f>VLOOKUP(L117,'[1]data 1129'!F:H,3,FALSE)</f>
        <v>2812523000</v>
      </c>
      <c r="X117" s="11" t="s">
        <v>55</v>
      </c>
      <c r="Y117" s="11" t="str">
        <f>VLOOKUP(L117,'[1]singkron data'!D:H,5,FALSE)</f>
        <v>Bandung</v>
      </c>
      <c r="Z117" s="11" t="str">
        <f>VLOOKUP(L117,'[1]singkron data'!D:I,6,FALSE)</f>
        <v>Offline</v>
      </c>
      <c r="AA117" s="11" t="str">
        <f>VLOOKUP(L117,'[1]singkron data'!D:L,9,FALSE)</f>
        <v>08128054680/bobi/ info@mitrarenov.com</v>
      </c>
      <c r="AB117" s="11" t="s">
        <v>54</v>
      </c>
      <c r="AC117" s="11" t="str">
        <f>VLOOKUP(L117,'[1]singkron data'!D:M,10,FALSE)</f>
        <v>Arif Rah</v>
      </c>
      <c r="AD117" s="11" t="str">
        <f>VLOOKUP(L117,'[1]data 1129'!F:O,10,FALSE)</f>
        <v>Tahap I 208</v>
      </c>
      <c r="AE117" s="11" t="str">
        <f>VLOOKUP(L117,'[1]singkron data'!D:P,13,FALSE)</f>
        <v>sudah</v>
      </c>
      <c r="AF117" s="11" t="s">
        <v>55</v>
      </c>
      <c r="AG117" s="17">
        <f>VLOOKUP(L117,'[1]update kontrak'!E:K,6,FALSE)</f>
        <v>2040932480.0999999</v>
      </c>
      <c r="AH117" s="11" t="str">
        <f>VLOOKUP(L117,'[1]update kontrak'!E:K,7,FALSE)</f>
        <v>KONTRAK</v>
      </c>
      <c r="AI117" s="11" t="s">
        <v>41</v>
      </c>
      <c r="AJ117" s="11" t="str">
        <f>VLOOKUP(L117,[1]rekap!D:M,1,FALSE)</f>
        <v>Muara</v>
      </c>
      <c r="AK117" s="11" t="str">
        <f>VLOOKUP(L117,'[1]singkron data'!D:E,2,FALSE)</f>
        <v>PT. Nayaka Mitrarenov Indotama</v>
      </c>
      <c r="AL117" s="11" t="str">
        <f>VLOOKUP(L117,'[1]update 521'!D:D,1,FALSE)</f>
        <v>Muara</v>
      </c>
      <c r="AM117" s="11" t="s">
        <v>57</v>
      </c>
      <c r="AN117" s="17">
        <f>VLOOKUP(L117,[1]Sheet19!E:L,8,FALSE)</f>
        <v>2040932480.0999999</v>
      </c>
      <c r="AO117" s="11" t="str">
        <f>VLOOKUP(L117,[1]Sheet19!E:K,7,FALSE)</f>
        <v>KONTRAK</v>
      </c>
      <c r="AP117" s="12" t="s">
        <v>41</v>
      </c>
    </row>
    <row r="118" spans="1:42" ht="15" x14ac:dyDescent="0.2">
      <c r="A118" s="8" t="s">
        <v>42</v>
      </c>
      <c r="B118" s="9" t="s">
        <v>43</v>
      </c>
      <c r="C118" s="9">
        <v>1006</v>
      </c>
      <c r="D118" s="9" t="s">
        <v>284</v>
      </c>
      <c r="E118" s="9">
        <v>94</v>
      </c>
      <c r="F118" s="9" t="s">
        <v>331</v>
      </c>
      <c r="G118" s="9" t="s">
        <v>323</v>
      </c>
      <c r="H118" s="9" t="s">
        <v>287</v>
      </c>
      <c r="I118" s="9" t="s">
        <v>332</v>
      </c>
      <c r="J118" s="9" t="s">
        <v>340</v>
      </c>
      <c r="K118" s="9" t="s">
        <v>344</v>
      </c>
      <c r="L118" s="9" t="s">
        <v>344</v>
      </c>
      <c r="M118" s="9" t="s">
        <v>51</v>
      </c>
      <c r="N118" s="9">
        <v>776</v>
      </c>
      <c r="O118" s="9" t="s">
        <v>72</v>
      </c>
      <c r="P118" s="9">
        <v>120</v>
      </c>
      <c r="Q118" s="9">
        <v>120</v>
      </c>
      <c r="R118" s="9">
        <v>0.46</v>
      </c>
      <c r="S118" s="9">
        <v>-6.6567040000000004</v>
      </c>
      <c r="T118" s="9">
        <v>105.582263</v>
      </c>
      <c r="U118" s="9" t="s">
        <v>52</v>
      </c>
      <c r="V118" s="11" t="str">
        <f>VLOOKUP(L118,'[1]singkron data'!D:E,2,FALSE)</f>
        <v>PT. Amber Hasya</v>
      </c>
      <c r="W118" s="13">
        <f>VLOOKUP(L118,'[1]data 1129'!F:H,3,FALSE)</f>
        <v>3121415000</v>
      </c>
      <c r="X118" s="11" t="s">
        <v>55</v>
      </c>
      <c r="Y118" s="11" t="str">
        <f>VLOOKUP(L118,'[1]singkron data'!D:H,5,FALSE)</f>
        <v>Bandung</v>
      </c>
      <c r="Z118" s="11" t="str">
        <f>VLOOKUP(L118,'[1]singkron data'!D:I,6,FALSE)</f>
        <v>Offline</v>
      </c>
      <c r="AA118" s="11">
        <f>VLOOKUP(L118,'[1]singkron data'!D:L,9,FALSE)</f>
        <v>0</v>
      </c>
      <c r="AB118" s="11" t="s">
        <v>54</v>
      </c>
      <c r="AC118" s="11" t="str">
        <f>VLOOKUP(L118,'[1]singkron data'!D:M,10,FALSE)</f>
        <v>Sandi</v>
      </c>
      <c r="AD118" s="11" t="str">
        <f>VLOOKUP(L118,'[1]data 1129'!F:O,10,FALSE)</f>
        <v>Tahap I 208</v>
      </c>
      <c r="AE118" s="11" t="str">
        <f>VLOOKUP(L118,'[1]singkron data'!D:P,13,FALSE)</f>
        <v>sudah</v>
      </c>
      <c r="AF118" s="11" t="s">
        <v>55</v>
      </c>
      <c r="AG118" s="17">
        <f>VLOOKUP(L118,'[1]update kontrak'!E:K,6,FALSE)</f>
        <v>2280791467.6799998</v>
      </c>
      <c r="AH118" s="11" t="str">
        <f>VLOOKUP(L118,'[1]update kontrak'!E:K,7,FALSE)</f>
        <v>KONTRAK</v>
      </c>
      <c r="AI118" s="11" t="s">
        <v>41</v>
      </c>
      <c r="AJ118" s="11" t="str">
        <f>VLOOKUP(L118,[1]rekap!D:M,1,FALSE)</f>
        <v>Sumberjaya</v>
      </c>
      <c r="AK118" s="11" t="str">
        <f>VLOOKUP(L118,'[1]singkron data'!D:E,2,FALSE)</f>
        <v>PT. Amber Hasya</v>
      </c>
      <c r="AL118" s="11" t="str">
        <f>VLOOKUP(L118,'[1]update 521'!D:D,1,FALSE)</f>
        <v>Sumberjaya</v>
      </c>
      <c r="AM118" s="11" t="s">
        <v>57</v>
      </c>
      <c r="AN118" s="17">
        <f>VLOOKUP(L118,[1]Sheet19!E:L,8,FALSE)</f>
        <v>2280791467.6799998</v>
      </c>
      <c r="AO118" s="11" t="str">
        <f>VLOOKUP(L118,[1]Sheet19!E:K,7,FALSE)</f>
        <v>KONTRAK</v>
      </c>
      <c r="AP118" s="12" t="s">
        <v>41</v>
      </c>
    </row>
    <row r="119" spans="1:42" ht="15" x14ac:dyDescent="0.2">
      <c r="A119" s="8" t="s">
        <v>42</v>
      </c>
      <c r="B119" s="9" t="s">
        <v>43</v>
      </c>
      <c r="C119" s="9">
        <v>942</v>
      </c>
      <c r="D119" s="9" t="s">
        <v>284</v>
      </c>
      <c r="E119" s="9">
        <v>30</v>
      </c>
      <c r="F119" s="9" t="s">
        <v>345</v>
      </c>
      <c r="G119" s="9" t="s">
        <v>286</v>
      </c>
      <c r="H119" s="9" t="s">
        <v>287</v>
      </c>
      <c r="I119" s="9" t="s">
        <v>346</v>
      </c>
      <c r="J119" s="9" t="s">
        <v>347</v>
      </c>
      <c r="K119" s="9" t="s">
        <v>345</v>
      </c>
      <c r="L119" s="10" t="s">
        <v>345</v>
      </c>
      <c r="M119" s="9" t="s">
        <v>65</v>
      </c>
      <c r="N119" s="9">
        <v>2133</v>
      </c>
      <c r="O119" s="9" t="s">
        <v>72</v>
      </c>
      <c r="P119" s="9">
        <v>249</v>
      </c>
      <c r="Q119" s="9">
        <v>249</v>
      </c>
      <c r="R119" s="9">
        <v>1</v>
      </c>
      <c r="S119" s="9">
        <v>-6.16812</v>
      </c>
      <c r="T119" s="9">
        <v>107.494038</v>
      </c>
      <c r="U119" s="9" t="s">
        <v>52</v>
      </c>
      <c r="V119" s="20" t="str">
        <f>VLOOKUP(L119,'[1]singkron data'!D:E,2,FALSE)</f>
        <v>PT Medal Cipta Buana</v>
      </c>
      <c r="W119" s="13">
        <f>VLOOKUP(L119,'[1]data 1129'!F:H,3,FALSE)</f>
        <v>4045523000</v>
      </c>
      <c r="X119" s="11" t="s">
        <v>55</v>
      </c>
      <c r="Y119" s="11" t="str">
        <f>VLOOKUP(L119,'[1]singkron data'!D:H,5,FALSE)</f>
        <v>Bandung</v>
      </c>
      <c r="Z119" s="11" t="str">
        <f>VLOOKUP(L119,'[1]singkron data'!D:I,6,FALSE)</f>
        <v>Offline</v>
      </c>
      <c r="AA119" s="11">
        <f>VLOOKUP(L119,'[1]singkron data'!D:L,9,FALSE)</f>
        <v>0</v>
      </c>
      <c r="AB119" s="11" t="s">
        <v>54</v>
      </c>
      <c r="AC119" s="11" t="str">
        <f>VLOOKUP(L119,'[1]singkron data'!D:M,10,FALSE)</f>
        <v>Sandi</v>
      </c>
      <c r="AD119" s="11" t="str">
        <f>VLOOKUP(L119,'[1]data 1129'!F:O,10,FALSE)</f>
        <v>Tahap I 208</v>
      </c>
      <c r="AE119" s="11" t="str">
        <f>VLOOKUP(L119,'[1]singkron data'!D:P,13,FALSE)</f>
        <v>sudah</v>
      </c>
      <c r="AF119" s="11" t="s">
        <v>55</v>
      </c>
      <c r="AG119" s="17">
        <f>VLOOKUP(L119,'[1]update kontrak'!E:K,6,FALSE)</f>
        <v>6301046972.3400002</v>
      </c>
      <c r="AH119" s="11" t="str">
        <f>VLOOKUP(L119,'[1]update kontrak'!E:K,7,FALSE)</f>
        <v>KONTRAK</v>
      </c>
      <c r="AI119" s="11" t="s">
        <v>41</v>
      </c>
      <c r="AJ119" s="11" t="str">
        <f>VLOOKUP(L119,[1]rekap!D:M,1,FALSE)</f>
        <v>Ciparagejaya</v>
      </c>
      <c r="AK119" s="11" t="str">
        <f>VLOOKUP(L119,'[1]singkron data'!D:E,2,FALSE)</f>
        <v>PT Medal Cipta Buana</v>
      </c>
      <c r="AL119" s="11" t="str">
        <f>VLOOKUP(L119,'[1]update 521'!D:D,1,FALSE)</f>
        <v>Ciparagejaya</v>
      </c>
      <c r="AM119" s="11" t="s">
        <v>57</v>
      </c>
      <c r="AN119" s="17">
        <f>VLOOKUP(L119,[1]Sheet19!E:L,8,FALSE)</f>
        <v>6301046972.3400002</v>
      </c>
      <c r="AO119" s="11" t="str">
        <f>VLOOKUP(L119,[1]Sheet19!E:K,7,FALSE)</f>
        <v>KONTRAK</v>
      </c>
      <c r="AP119" s="12" t="s">
        <v>41</v>
      </c>
    </row>
    <row r="120" spans="1:42" ht="15" x14ac:dyDescent="0.2">
      <c r="A120" s="8" t="s">
        <v>42</v>
      </c>
      <c r="B120" s="9" t="s">
        <v>43</v>
      </c>
      <c r="C120" s="9">
        <v>943</v>
      </c>
      <c r="D120" s="9" t="s">
        <v>284</v>
      </c>
      <c r="E120" s="9">
        <v>31</v>
      </c>
      <c r="F120" s="9" t="s">
        <v>345</v>
      </c>
      <c r="G120" s="9" t="s">
        <v>286</v>
      </c>
      <c r="H120" s="9" t="s">
        <v>287</v>
      </c>
      <c r="I120" s="9" t="s">
        <v>346</v>
      </c>
      <c r="J120" s="9" t="s">
        <v>348</v>
      </c>
      <c r="K120" s="9" t="s">
        <v>349</v>
      </c>
      <c r="L120" s="10" t="s">
        <v>349</v>
      </c>
      <c r="M120" s="9" t="s">
        <v>51</v>
      </c>
      <c r="N120" s="9">
        <v>415</v>
      </c>
      <c r="O120" s="9" t="s">
        <v>72</v>
      </c>
      <c r="P120" s="9">
        <v>112</v>
      </c>
      <c r="Q120" s="9">
        <v>112</v>
      </c>
      <c r="R120" s="9">
        <v>5.1100000000000003</v>
      </c>
      <c r="S120" s="9">
        <v>-6.1859950000000001</v>
      </c>
      <c r="T120" s="9">
        <v>107.563053</v>
      </c>
      <c r="U120" s="9" t="s">
        <v>52</v>
      </c>
      <c r="V120" s="11" t="str">
        <f>VLOOKUP(L120,'[1]singkron data'!D:E,2,FALSE)</f>
        <v>PT Medal Cipta Buana</v>
      </c>
      <c r="W120" s="13">
        <f>VLOOKUP(L120,'[1]data 1129'!F:H,3,FALSE)</f>
        <v>5038825000</v>
      </c>
      <c r="X120" s="11" t="s">
        <v>55</v>
      </c>
      <c r="Y120" s="11" t="str">
        <f>VLOOKUP(L120,'[1]singkron data'!D:H,5,FALSE)</f>
        <v>Bandung</v>
      </c>
      <c r="Z120" s="11" t="str">
        <f>VLOOKUP(L120,'[1]singkron data'!D:I,6,FALSE)</f>
        <v>Offline</v>
      </c>
      <c r="AA120" s="11">
        <f>VLOOKUP(L120,'[1]singkron data'!D:L,9,FALSE)</f>
        <v>0</v>
      </c>
      <c r="AB120" s="11" t="s">
        <v>54</v>
      </c>
      <c r="AC120" s="11" t="str">
        <f>VLOOKUP(L120,'[1]singkron data'!D:M,10,FALSE)</f>
        <v>Sandi</v>
      </c>
      <c r="AD120" s="11" t="str">
        <f>VLOOKUP(L120,'[1]data 1129'!F:O,10,FALSE)</f>
        <v>Tahap I 208</v>
      </c>
      <c r="AE120" s="11" t="str">
        <f>VLOOKUP(L120,'[1]singkron data'!D:P,13,FALSE)</f>
        <v>sudah</v>
      </c>
      <c r="AF120" s="11" t="s">
        <v>55</v>
      </c>
      <c r="AG120" s="17">
        <f>VLOOKUP(L120,'[1]update kontrak'!E:K,6,FALSE)</f>
        <v>3693204172.2600002</v>
      </c>
      <c r="AH120" s="11" t="str">
        <f>VLOOKUP(L120,'[1]update kontrak'!E:K,7,FALSE)</f>
        <v>KONTRAK</v>
      </c>
      <c r="AI120" s="11" t="s">
        <v>41</v>
      </c>
      <c r="AJ120" s="11" t="str">
        <f>VLOOKUP(L120,[1]rekap!D:M,1,FALSE)</f>
        <v>Sukakerta</v>
      </c>
      <c r="AK120" s="11" t="str">
        <f>VLOOKUP(L120,'[1]singkron data'!D:E,2,FALSE)</f>
        <v>PT Medal Cipta Buana</v>
      </c>
      <c r="AL120" s="11" t="str">
        <f>VLOOKUP(L120,'[1]update 521'!D:D,1,FALSE)</f>
        <v>Sukakerta</v>
      </c>
      <c r="AM120" s="11" t="s">
        <v>57</v>
      </c>
      <c r="AN120" s="17">
        <f>VLOOKUP(L120,[1]Sheet19!E:L,8,FALSE)</f>
        <v>3693204172.2600002</v>
      </c>
      <c r="AO120" s="11" t="str">
        <f>VLOOKUP(L120,[1]Sheet19!E:K,7,FALSE)</f>
        <v>KONTRAK</v>
      </c>
      <c r="AP120" s="12" t="s">
        <v>41</v>
      </c>
    </row>
    <row r="121" spans="1:42" ht="15" x14ac:dyDescent="0.2">
      <c r="A121" s="8" t="s">
        <v>42</v>
      </c>
      <c r="B121" s="9" t="s">
        <v>43</v>
      </c>
      <c r="C121" s="9">
        <v>944</v>
      </c>
      <c r="D121" s="9" t="s">
        <v>284</v>
      </c>
      <c r="E121" s="9">
        <v>32</v>
      </c>
      <c r="F121" s="9" t="s">
        <v>345</v>
      </c>
      <c r="G121" s="9" t="s">
        <v>286</v>
      </c>
      <c r="H121" s="9" t="s">
        <v>287</v>
      </c>
      <c r="I121" s="9" t="s">
        <v>346</v>
      </c>
      <c r="J121" s="9" t="s">
        <v>350</v>
      </c>
      <c r="K121" s="9" t="s">
        <v>351</v>
      </c>
      <c r="L121" s="10" t="s">
        <v>351</v>
      </c>
      <c r="M121" s="9" t="s">
        <v>51</v>
      </c>
      <c r="N121" s="9">
        <v>605</v>
      </c>
      <c r="O121" s="9" t="s">
        <v>72</v>
      </c>
      <c r="P121" s="9">
        <v>190</v>
      </c>
      <c r="Q121" s="9">
        <v>190</v>
      </c>
      <c r="R121" s="9">
        <v>0.27</v>
      </c>
      <c r="S121" s="9">
        <v>-6.0579141999999999</v>
      </c>
      <c r="T121" s="9">
        <v>107.40425329999999</v>
      </c>
      <c r="U121" s="9" t="s">
        <v>52</v>
      </c>
      <c r="V121" s="11" t="str">
        <f>VLOOKUP(L121,'[1]singkron data'!D:E,2,FALSE)</f>
        <v>PT Medal Cipta Buana</v>
      </c>
      <c r="W121" s="13">
        <f>VLOOKUP(L121,'[1]data 1129'!F:H,3,FALSE)</f>
        <v>4682162000</v>
      </c>
      <c r="X121" s="11" t="s">
        <v>55</v>
      </c>
      <c r="Y121" s="11" t="str">
        <f>VLOOKUP(L121,'[1]singkron data'!D:H,5,FALSE)</f>
        <v>Bandung</v>
      </c>
      <c r="Z121" s="11" t="str">
        <f>VLOOKUP(L121,'[1]singkron data'!D:I,6,FALSE)</f>
        <v>Offline</v>
      </c>
      <c r="AA121" s="11">
        <f>VLOOKUP(L121,'[1]singkron data'!D:L,9,FALSE)</f>
        <v>0</v>
      </c>
      <c r="AB121" s="11" t="s">
        <v>54</v>
      </c>
      <c r="AC121" s="11" t="str">
        <f>VLOOKUP(L121,'[1]singkron data'!D:M,10,FALSE)</f>
        <v>Sandi</v>
      </c>
      <c r="AD121" s="11" t="str">
        <f>VLOOKUP(L121,'[1]data 1129'!F:O,10,FALSE)</f>
        <v>Tahap I 208</v>
      </c>
      <c r="AE121" s="11" t="str">
        <f>VLOOKUP(L121,'[1]singkron data'!D:P,13,FALSE)</f>
        <v>sudah</v>
      </c>
      <c r="AF121" s="11" t="s">
        <v>55</v>
      </c>
      <c r="AG121" s="17">
        <f>VLOOKUP(L121,'[1]update kontrak'!E:K,6,FALSE)</f>
        <v>4542684755.79</v>
      </c>
      <c r="AH121" s="11" t="str">
        <f>VLOOKUP(L121,'[1]update kontrak'!E:K,7,FALSE)</f>
        <v>KONTRAK</v>
      </c>
      <c r="AI121" s="11" t="s">
        <v>41</v>
      </c>
      <c r="AJ121" s="11" t="str">
        <f>VLOOKUP(L121,[1]rekap!D:M,1,FALSE)</f>
        <v>Sungaibuntu</v>
      </c>
      <c r="AK121" s="11" t="str">
        <f>VLOOKUP(L121,'[1]singkron data'!D:E,2,FALSE)</f>
        <v>PT Medal Cipta Buana</v>
      </c>
      <c r="AL121" s="11" t="str">
        <f>VLOOKUP(L121,'[1]update 521'!D:D,1,FALSE)</f>
        <v>Sungaibuntu</v>
      </c>
      <c r="AM121" s="11" t="s">
        <v>57</v>
      </c>
      <c r="AN121" s="17">
        <f>VLOOKUP(L121,[1]Sheet19!E:L,8,FALSE)</f>
        <v>4542684755.79</v>
      </c>
      <c r="AO121" s="11" t="str">
        <f>VLOOKUP(L121,[1]Sheet19!E:K,7,FALSE)</f>
        <v>KONTRAK</v>
      </c>
      <c r="AP121" s="12" t="s">
        <v>41</v>
      </c>
    </row>
    <row r="122" spans="1:42" ht="15" x14ac:dyDescent="0.2">
      <c r="A122" s="8" t="s">
        <v>42</v>
      </c>
      <c r="B122" s="9" t="s">
        <v>43</v>
      </c>
      <c r="C122" s="9">
        <v>945</v>
      </c>
      <c r="D122" s="9" t="s">
        <v>284</v>
      </c>
      <c r="E122" s="9">
        <v>33</v>
      </c>
      <c r="F122" s="9" t="s">
        <v>352</v>
      </c>
      <c r="G122" s="9" t="s">
        <v>286</v>
      </c>
      <c r="H122" s="9" t="s">
        <v>287</v>
      </c>
      <c r="I122" s="9" t="s">
        <v>353</v>
      </c>
      <c r="J122" s="9" t="s">
        <v>354</v>
      </c>
      <c r="K122" s="9" t="s">
        <v>352</v>
      </c>
      <c r="L122" s="10" t="s">
        <v>352</v>
      </c>
      <c r="M122" s="9" t="s">
        <v>65</v>
      </c>
      <c r="N122" s="9">
        <v>1427</v>
      </c>
      <c r="O122" s="9" t="s">
        <v>72</v>
      </c>
      <c r="P122" s="9">
        <v>350</v>
      </c>
      <c r="Q122" s="9">
        <v>350</v>
      </c>
      <c r="R122" s="9">
        <v>0.54</v>
      </c>
      <c r="S122" s="9">
        <v>-6.7653454999999996</v>
      </c>
      <c r="T122" s="9">
        <v>108.6010574</v>
      </c>
      <c r="U122" s="9" t="s">
        <v>52</v>
      </c>
      <c r="V122" s="11" t="str">
        <f>VLOOKUP(L122,'[1]singkron data'!D:E,2,FALSE)</f>
        <v>PT. Citra Mutiara Bangun Persada</v>
      </c>
      <c r="W122" s="13">
        <f>VLOOKUP(L122,'[1]data 1129'!F:H,3,FALSE)</f>
        <v>6353838000</v>
      </c>
      <c r="X122" s="11" t="s">
        <v>55</v>
      </c>
      <c r="Y122" s="11" t="str">
        <f>VLOOKUP(L122,'[1]singkron data'!D:H,5,FALSE)</f>
        <v>Bandung</v>
      </c>
      <c r="Z122" s="11">
        <f>VLOOKUP(L122,'[1]singkron data'!D:I,6,FALSE)</f>
        <v>0</v>
      </c>
      <c r="AA122" s="11">
        <f>VLOOKUP(L122,'[1]singkron data'!D:L,9,FALSE)</f>
        <v>82116261526</v>
      </c>
      <c r="AB122" s="11" t="s">
        <v>54</v>
      </c>
      <c r="AC122" s="11" t="str">
        <f>VLOOKUP(L122,'[1]singkron data'!D:M,10,FALSE)</f>
        <v>Sandi</v>
      </c>
      <c r="AD122" s="11" t="str">
        <f>VLOOKUP(L122,'[1]data 1129'!F:O,10,FALSE)</f>
        <v>Tahap I 208</v>
      </c>
      <c r="AE122" s="11" t="str">
        <f>VLOOKUP(L122,'[1]singkron data'!D:P,13,FALSE)</f>
        <v>sudah</v>
      </c>
      <c r="AF122" s="11" t="s">
        <v>55</v>
      </c>
      <c r="AG122" s="17">
        <f>VLOOKUP(L122,'[1]update kontrak'!E:K,6,FALSE)</f>
        <v>4651403489.6099997</v>
      </c>
      <c r="AH122" s="11" t="str">
        <f>VLOOKUP(L122,'[1]update kontrak'!E:K,7,FALSE)</f>
        <v>KONTRAK</v>
      </c>
      <c r="AI122" s="11" t="s">
        <v>41</v>
      </c>
      <c r="AJ122" s="11" t="str">
        <f>VLOOKUP(L122,[1]rekap!D:M,1,FALSE)</f>
        <v>Citemu</v>
      </c>
      <c r="AK122" s="11" t="str">
        <f>VLOOKUP(L122,'[1]singkron data'!D:E,2,FALSE)</f>
        <v>PT. Citra Mutiara Bangun Persada</v>
      </c>
      <c r="AL122" s="11" t="str">
        <f>VLOOKUP(L122,'[1]update 521'!D:D,1,FALSE)</f>
        <v>Citemu</v>
      </c>
      <c r="AM122" s="11" t="s">
        <v>57</v>
      </c>
      <c r="AN122" s="17">
        <f>VLOOKUP(L122,[1]Sheet19!E:L,8,FALSE)</f>
        <v>4651403489.6099997</v>
      </c>
      <c r="AO122" s="11" t="str">
        <f>VLOOKUP(L122,[1]Sheet19!E:K,7,FALSE)</f>
        <v>KONTRAK</v>
      </c>
      <c r="AP122" s="12" t="s">
        <v>41</v>
      </c>
    </row>
    <row r="123" spans="1:42" ht="15" x14ac:dyDescent="0.2">
      <c r="A123" s="8" t="s">
        <v>42</v>
      </c>
      <c r="B123" s="9" t="s">
        <v>43</v>
      </c>
      <c r="C123" s="9">
        <v>946</v>
      </c>
      <c r="D123" s="9" t="s">
        <v>284</v>
      </c>
      <c r="E123" s="9">
        <v>34</v>
      </c>
      <c r="F123" s="9" t="s">
        <v>352</v>
      </c>
      <c r="G123" s="9" t="s">
        <v>286</v>
      </c>
      <c r="H123" s="9" t="s">
        <v>287</v>
      </c>
      <c r="I123" s="9" t="s">
        <v>355</v>
      </c>
      <c r="J123" s="9" t="s">
        <v>356</v>
      </c>
      <c r="K123" s="9" t="s">
        <v>357</v>
      </c>
      <c r="L123" s="10" t="s">
        <v>357</v>
      </c>
      <c r="M123" s="9" t="s">
        <v>51</v>
      </c>
      <c r="N123" s="9">
        <v>212</v>
      </c>
      <c r="O123" s="9" t="s">
        <v>72</v>
      </c>
      <c r="P123" s="9">
        <v>58</v>
      </c>
      <c r="Q123" s="9">
        <v>58</v>
      </c>
      <c r="R123" s="9">
        <v>1.35</v>
      </c>
      <c r="S123" s="9">
        <v>-6.7003604990000003</v>
      </c>
      <c r="T123" s="9">
        <v>108.5653118</v>
      </c>
      <c r="U123" s="9" t="s">
        <v>52</v>
      </c>
      <c r="V123" s="11" t="str">
        <f>VLOOKUP(L123,'[1]singkron data'!D:E,2,FALSE)</f>
        <v>PT. Citra Mutiara Bangun Persada</v>
      </c>
      <c r="W123" s="13">
        <f>VLOOKUP(L123,'[1]data 1129'!F:H,3,FALSE)</f>
        <v>4080518000</v>
      </c>
      <c r="X123" s="11" t="s">
        <v>55</v>
      </c>
      <c r="Y123" s="11" t="str">
        <f>VLOOKUP(L123,'[1]singkron data'!D:H,5,FALSE)</f>
        <v>Bandung</v>
      </c>
      <c r="Z123" s="11">
        <f>VLOOKUP(L123,'[1]singkron data'!D:I,6,FALSE)</f>
        <v>0</v>
      </c>
      <c r="AA123" s="11">
        <f>VLOOKUP(L123,'[1]singkron data'!D:L,9,FALSE)</f>
        <v>82116261526</v>
      </c>
      <c r="AB123" s="11" t="s">
        <v>54</v>
      </c>
      <c r="AC123" s="11" t="str">
        <f>VLOOKUP(L123,'[1]singkron data'!D:M,10,FALSE)</f>
        <v>Sandi</v>
      </c>
      <c r="AD123" s="11" t="str">
        <f>VLOOKUP(L123,'[1]data 1129'!F:O,10,FALSE)</f>
        <v>Tahap I 208</v>
      </c>
      <c r="AE123" s="11" t="str">
        <f>VLOOKUP(L123,'[1]singkron data'!D:P,13,FALSE)</f>
        <v>sudah</v>
      </c>
      <c r="AF123" s="11" t="s">
        <v>55</v>
      </c>
      <c r="AG123" s="17">
        <f>VLOOKUP(L123,'[1]update kontrak'!E:K,6,FALSE)</f>
        <v>2819148883.8600001</v>
      </c>
      <c r="AH123" s="11" t="str">
        <f>VLOOKUP(L123,'[1]update kontrak'!E:K,7,FALSE)</f>
        <v>KONTRAK</v>
      </c>
      <c r="AI123" s="11" t="s">
        <v>41</v>
      </c>
      <c r="AJ123" s="11" t="str">
        <f>VLOOKUP(L123,[1]rekap!D:M,1,FALSE)</f>
        <v>Kesenden</v>
      </c>
      <c r="AK123" s="11" t="str">
        <f>VLOOKUP(L123,'[1]singkron data'!D:E,2,FALSE)</f>
        <v>PT. Citra Mutiara Bangun Persada</v>
      </c>
      <c r="AL123" s="11" t="str">
        <f>VLOOKUP(L123,'[1]update 521'!D:D,1,FALSE)</f>
        <v>Kesenden</v>
      </c>
      <c r="AM123" s="11" t="s">
        <v>57</v>
      </c>
      <c r="AN123" s="17">
        <f>VLOOKUP(L123,[1]Sheet19!E:L,8,FALSE)</f>
        <v>2819148883.8600001</v>
      </c>
      <c r="AO123" s="11" t="str">
        <f>VLOOKUP(L123,[1]Sheet19!E:K,7,FALSE)</f>
        <v>KONTRAK</v>
      </c>
      <c r="AP123" s="12" t="s">
        <v>41</v>
      </c>
    </row>
    <row r="124" spans="1:42" ht="15" x14ac:dyDescent="0.2">
      <c r="A124" s="8" t="s">
        <v>42</v>
      </c>
      <c r="B124" s="9" t="s">
        <v>43</v>
      </c>
      <c r="C124" s="9">
        <v>947</v>
      </c>
      <c r="D124" s="9" t="s">
        <v>284</v>
      </c>
      <c r="E124" s="9">
        <v>35</v>
      </c>
      <c r="F124" s="9" t="s">
        <v>352</v>
      </c>
      <c r="G124" s="9" t="s">
        <v>286</v>
      </c>
      <c r="H124" s="9" t="s">
        <v>287</v>
      </c>
      <c r="I124" s="9" t="s">
        <v>353</v>
      </c>
      <c r="J124" s="9" t="s">
        <v>354</v>
      </c>
      <c r="K124" s="9" t="s">
        <v>358</v>
      </c>
      <c r="L124" s="10" t="s">
        <v>358</v>
      </c>
      <c r="M124" s="9" t="s">
        <v>51</v>
      </c>
      <c r="N124" s="9">
        <v>322</v>
      </c>
      <c r="O124" s="9" t="s">
        <v>72</v>
      </c>
      <c r="P124" s="9">
        <v>150</v>
      </c>
      <c r="Q124" s="9">
        <v>150</v>
      </c>
      <c r="R124" s="9">
        <v>1.9</v>
      </c>
      <c r="S124" s="9">
        <v>-6.7529000000000003</v>
      </c>
      <c r="T124" s="9">
        <v>108.59613</v>
      </c>
      <c r="U124" s="9" t="s">
        <v>52</v>
      </c>
      <c r="V124" s="11" t="str">
        <f>VLOOKUP(L124,'[1]singkron data'!D:E,2,FALSE)</f>
        <v>PT. Citra Mutiara Bangun Persada</v>
      </c>
      <c r="W124" s="13">
        <f>VLOOKUP(L124,'[1]data 1129'!F:H,3,FALSE)</f>
        <v>4227542000</v>
      </c>
      <c r="X124" s="11" t="s">
        <v>55</v>
      </c>
      <c r="Y124" s="11" t="str">
        <f>VLOOKUP(L124,'[1]singkron data'!D:H,5,FALSE)</f>
        <v>Bandung</v>
      </c>
      <c r="Z124" s="11">
        <f>VLOOKUP(L124,'[1]singkron data'!D:I,6,FALSE)</f>
        <v>0</v>
      </c>
      <c r="AA124" s="11">
        <f>VLOOKUP(L124,'[1]singkron data'!D:L,9,FALSE)</f>
        <v>82116261526</v>
      </c>
      <c r="AB124" s="11" t="s">
        <v>54</v>
      </c>
      <c r="AC124" s="11" t="str">
        <f>VLOOKUP(L124,'[1]singkron data'!D:M,10,FALSE)</f>
        <v>Sandi</v>
      </c>
      <c r="AD124" s="11" t="str">
        <f>VLOOKUP(L124,'[1]data 1129'!F:O,10,FALSE)</f>
        <v>Tahap I 208</v>
      </c>
      <c r="AE124" s="11" t="str">
        <f>VLOOKUP(L124,'[1]singkron data'!D:P,13,FALSE)</f>
        <v>sudah</v>
      </c>
      <c r="AF124" s="11" t="s">
        <v>55</v>
      </c>
      <c r="AG124" s="17">
        <f>VLOOKUP(L124,'[1]update kontrak'!E:K,6,FALSE)</f>
        <v>2201565507.8299999</v>
      </c>
      <c r="AH124" s="11" t="str">
        <f>VLOOKUP(L124,'[1]update kontrak'!E:K,7,FALSE)</f>
        <v>KONTRAK</v>
      </c>
      <c r="AI124" s="11" t="s">
        <v>41</v>
      </c>
      <c r="AJ124" s="11" t="str">
        <f>VLOOKUP(L124,[1]rekap!D:M,1,FALSE)</f>
        <v>Mundu Pesisir</v>
      </c>
      <c r="AK124" s="11" t="str">
        <f>VLOOKUP(L124,'[1]singkron data'!D:E,2,FALSE)</f>
        <v>PT. Citra Mutiara Bangun Persada</v>
      </c>
      <c r="AL124" s="11" t="str">
        <f>VLOOKUP(L124,'[1]update 521'!D:D,1,FALSE)</f>
        <v>Mundu Pesisir</v>
      </c>
      <c r="AM124" s="11" t="s">
        <v>57</v>
      </c>
      <c r="AN124" s="17">
        <f>VLOOKUP(L124,[1]Sheet19!E:L,8,FALSE)</f>
        <v>2201565507.8299999</v>
      </c>
      <c r="AO124" s="11" t="str">
        <f>VLOOKUP(L124,[1]Sheet19!E:K,7,FALSE)</f>
        <v>KONTRAK</v>
      </c>
      <c r="AP124" s="12" t="s">
        <v>41</v>
      </c>
    </row>
    <row r="125" spans="1:42" ht="15" x14ac:dyDescent="0.2">
      <c r="A125" s="8" t="s">
        <v>42</v>
      </c>
      <c r="B125" s="9" t="s">
        <v>43</v>
      </c>
      <c r="C125" s="9">
        <v>1050</v>
      </c>
      <c r="D125" s="9" t="s">
        <v>284</v>
      </c>
      <c r="E125" s="9">
        <v>138</v>
      </c>
      <c r="F125" s="9" t="s">
        <v>359</v>
      </c>
      <c r="G125" s="9" t="s">
        <v>286</v>
      </c>
      <c r="H125" s="9" t="s">
        <v>287</v>
      </c>
      <c r="I125" s="9" t="s">
        <v>319</v>
      </c>
      <c r="J125" s="9" t="s">
        <v>360</v>
      </c>
      <c r="K125" s="9" t="s">
        <v>361</v>
      </c>
      <c r="L125" s="10" t="s">
        <v>362</v>
      </c>
      <c r="M125" s="9" t="s">
        <v>65</v>
      </c>
      <c r="N125" s="9">
        <v>2136</v>
      </c>
      <c r="O125" s="9">
        <v>10</v>
      </c>
      <c r="P125" s="14">
        <v>1245</v>
      </c>
      <c r="Q125" s="14">
        <v>1255</v>
      </c>
      <c r="R125" s="9">
        <v>5</v>
      </c>
      <c r="S125" s="9">
        <v>-7.3624900000000002</v>
      </c>
      <c r="T125" s="9">
        <v>106.41347</v>
      </c>
      <c r="U125" s="9" t="s">
        <v>52</v>
      </c>
      <c r="V125" s="11" t="str">
        <f>VLOOKUP(L125,'[1]singkron data'!D:E,2,FALSE)</f>
        <v>CV. Ardila</v>
      </c>
      <c r="W125" s="11"/>
      <c r="X125" s="11" t="s">
        <v>55</v>
      </c>
      <c r="Y125" s="11">
        <f>VLOOKUP(L125,'[1]singkron data'!D:H,5,FALSE)</f>
        <v>0</v>
      </c>
      <c r="Z125" s="11">
        <f>VLOOKUP(L125,'[1]singkron data'!D:I,6,FALSE)</f>
        <v>0</v>
      </c>
      <c r="AA125" s="11">
        <f>VLOOKUP(L125,'[1]singkron data'!D:L,9,FALSE)</f>
        <v>85863200646</v>
      </c>
      <c r="AB125" s="11" t="s">
        <v>54</v>
      </c>
      <c r="AC125" s="11" t="s">
        <v>363</v>
      </c>
      <c r="AD125" s="11" t="s">
        <v>364</v>
      </c>
      <c r="AE125" s="11" t="str">
        <f>VLOOKUP(L125,'[1]singkron data'!D:P,13,FALSE)</f>
        <v>sudah</v>
      </c>
      <c r="AF125" s="11" t="s">
        <v>55</v>
      </c>
      <c r="AG125" s="17">
        <f>VLOOKUP(L125,'[1]update kontrak'!E:K,6,FALSE)</f>
        <v>5888343000</v>
      </c>
      <c r="AH125" s="11" t="str">
        <f>VLOOKUP(L125,'[1]update kontrak'!E:K,7,FALSE)</f>
        <v>KONTRAK</v>
      </c>
      <c r="AI125" s="11" t="s">
        <v>41</v>
      </c>
      <c r="AJ125" s="11" t="str">
        <f>VLOOKUP(L125,[1]rekap!D:M,1,FALSE)</f>
        <v>Ujunggenteng</v>
      </c>
      <c r="AK125" s="11" t="str">
        <f>VLOOKUP(L125,'[1]singkron data'!D:E,2,FALSE)</f>
        <v>CV. Ardila</v>
      </c>
      <c r="AL125" s="11" t="str">
        <f>VLOOKUP(L125,'[1]update 521'!D:D,1,FALSE)</f>
        <v>Ujunggenteng</v>
      </c>
      <c r="AM125" s="11" t="s">
        <v>57</v>
      </c>
      <c r="AN125" s="17">
        <f>VLOOKUP(L125,[1]Sheet19!E:L,8,FALSE)</f>
        <v>5888343000</v>
      </c>
      <c r="AO125" s="11" t="str">
        <f>VLOOKUP(L125,[1]Sheet19!E:K,7,FALSE)</f>
        <v>KONTRAK</v>
      </c>
      <c r="AP125" s="12" t="s">
        <v>41</v>
      </c>
    </row>
    <row r="126" spans="1:42" ht="15" x14ac:dyDescent="0.2">
      <c r="A126" s="8" t="s">
        <v>42</v>
      </c>
      <c r="B126" s="9" t="s">
        <v>43</v>
      </c>
      <c r="C126" s="9">
        <v>948</v>
      </c>
      <c r="D126" s="9" t="s">
        <v>284</v>
      </c>
      <c r="E126" s="9">
        <v>36</v>
      </c>
      <c r="F126" s="9" t="s">
        <v>365</v>
      </c>
      <c r="G126" s="9" t="s">
        <v>297</v>
      </c>
      <c r="H126" s="9" t="s">
        <v>287</v>
      </c>
      <c r="I126" s="9" t="s">
        <v>366</v>
      </c>
      <c r="J126" s="9" t="s">
        <v>367</v>
      </c>
      <c r="K126" s="9" t="s">
        <v>368</v>
      </c>
      <c r="L126" s="10" t="s">
        <v>368</v>
      </c>
      <c r="M126" s="9" t="s">
        <v>51</v>
      </c>
      <c r="N126" s="9">
        <v>280</v>
      </c>
      <c r="O126" s="9" t="s">
        <v>72</v>
      </c>
      <c r="P126" s="9">
        <v>70</v>
      </c>
      <c r="Q126" s="9">
        <v>70</v>
      </c>
      <c r="R126" s="9">
        <v>0.51</v>
      </c>
      <c r="S126" s="9">
        <v>-7.2206000000000001</v>
      </c>
      <c r="T126" s="9">
        <v>113.456394</v>
      </c>
      <c r="U126" s="9" t="s">
        <v>52</v>
      </c>
      <c r="V126" s="11" t="str">
        <f>VLOOKUP(L126,'[1]singkron data'!D:E,2,FALSE)</f>
        <v>CV. Rizky Ilahi</v>
      </c>
      <c r="W126" s="13">
        <f>VLOOKUP(L126,'[1]data 1129'!F:H,3,FALSE)</f>
        <v>2832310000</v>
      </c>
      <c r="X126" s="11" t="s">
        <v>55</v>
      </c>
      <c r="Y126" s="11" t="str">
        <f>VLOOKUP(L126,'[1]singkron data'!D:H,5,FALSE)</f>
        <v>Sumenep (kecil)</v>
      </c>
      <c r="Z126" s="11">
        <f>VLOOKUP(L126,'[1]singkron data'!D:I,6,FALSE)</f>
        <v>0</v>
      </c>
      <c r="AA126" s="11" t="str">
        <f>VLOOKUP(L126,'[1]singkron data'!D:L,9,FALSE)</f>
        <v>082338876876/sufianto</v>
      </c>
      <c r="AB126" s="11" t="s">
        <v>54</v>
      </c>
      <c r="AC126" s="11" t="str">
        <f>VLOOKUP(L126,'[1]singkron data'!D:M,10,FALSE)</f>
        <v>Put</v>
      </c>
      <c r="AD126" s="11" t="str">
        <f>VLOOKUP(L126,'[1]data 1129'!F:O,10,FALSE)</f>
        <v>Tahap I 208</v>
      </c>
      <c r="AE126" s="11" t="str">
        <f>VLOOKUP(L126,'[1]singkron data'!D:P,13,FALSE)</f>
        <v>sudah</v>
      </c>
      <c r="AF126" s="11" t="s">
        <v>55</v>
      </c>
      <c r="AG126" s="17">
        <f>VLOOKUP(L126,'[1]update kontrak'!E:K,6,FALSE)</f>
        <v>2232784000</v>
      </c>
      <c r="AH126" s="11" t="str">
        <f>VLOOKUP(L126,'[1]update kontrak'!E:K,7,FALSE)</f>
        <v>KONTRAK</v>
      </c>
      <c r="AI126" s="11" t="s">
        <v>41</v>
      </c>
      <c r="AJ126" s="11" t="str">
        <f>VLOOKUP(L126,[1]rekap!D:M,1,FALSE)</f>
        <v>Branta Tinggi</v>
      </c>
      <c r="AK126" s="11" t="str">
        <f>VLOOKUP(L126,'[1]singkron data'!D:E,2,FALSE)</f>
        <v>CV. Rizky Ilahi</v>
      </c>
      <c r="AL126" s="11" t="str">
        <f>VLOOKUP(L126,'[1]update 521'!D:D,1,FALSE)</f>
        <v>Branta Tinggi</v>
      </c>
      <c r="AM126" s="11" t="s">
        <v>57</v>
      </c>
      <c r="AN126" s="17">
        <f>VLOOKUP(L126,[1]Sheet19!E:L,8,FALSE)</f>
        <v>2232784000</v>
      </c>
      <c r="AO126" s="11" t="str">
        <f>VLOOKUP(L126,[1]Sheet19!E:K,7,FALSE)</f>
        <v>KONTRAK</v>
      </c>
      <c r="AP126" s="12" t="s">
        <v>41</v>
      </c>
    </row>
    <row r="127" spans="1:42" ht="15" x14ac:dyDescent="0.2">
      <c r="A127" s="8" t="s">
        <v>42</v>
      </c>
      <c r="B127" s="9" t="s">
        <v>43</v>
      </c>
      <c r="C127" s="9">
        <v>949</v>
      </c>
      <c r="D127" s="9" t="s">
        <v>284</v>
      </c>
      <c r="E127" s="9">
        <v>37</v>
      </c>
      <c r="F127" s="9" t="s">
        <v>365</v>
      </c>
      <c r="G127" s="9" t="s">
        <v>297</v>
      </c>
      <c r="H127" s="9" t="s">
        <v>287</v>
      </c>
      <c r="I127" s="9" t="s">
        <v>369</v>
      </c>
      <c r="J127" s="9" t="s">
        <v>370</v>
      </c>
      <c r="K127" s="9" t="s">
        <v>371</v>
      </c>
      <c r="L127" s="10" t="s">
        <v>371</v>
      </c>
      <c r="M127" s="9" t="s">
        <v>51</v>
      </c>
      <c r="N127" s="9">
        <v>1506</v>
      </c>
      <c r="O127" s="9" t="s">
        <v>72</v>
      </c>
      <c r="P127" s="9">
        <v>200</v>
      </c>
      <c r="Q127" s="9">
        <v>200</v>
      </c>
      <c r="R127" s="9">
        <v>0.1</v>
      </c>
      <c r="S127" s="9">
        <v>-7.2120391000000001</v>
      </c>
      <c r="T127" s="9">
        <v>113.34012730000001</v>
      </c>
      <c r="U127" s="9" t="s">
        <v>52</v>
      </c>
      <c r="V127" s="11" t="str">
        <f>VLOOKUP(L127,'[1]singkron data'!D:E,2,FALSE)</f>
        <v>PT. Ridho Karya</v>
      </c>
      <c r="W127" s="13">
        <f>VLOOKUP(L127,'[1]data 1129'!F:H,3,FALSE)</f>
        <v>3454266000</v>
      </c>
      <c r="X127" s="11" t="s">
        <v>55</v>
      </c>
      <c r="Y127" s="11">
        <f>VLOOKUP(L127,'[1]singkron data'!D:H,5,FALSE)</f>
        <v>0</v>
      </c>
      <c r="Z127" s="11">
        <f>VLOOKUP(L127,'[1]singkron data'!D:I,6,FALSE)</f>
        <v>0</v>
      </c>
      <c r="AA127" s="11">
        <f>VLOOKUP(L127,'[1]singkron data'!D:L,9,FALSE)</f>
        <v>0</v>
      </c>
      <c r="AB127" s="11" t="s">
        <v>54</v>
      </c>
      <c r="AC127" s="11">
        <f>VLOOKUP(L127,'[1]singkron data'!D:M,10,FALSE)</f>
        <v>0</v>
      </c>
      <c r="AD127" s="11" t="str">
        <f>VLOOKUP(L127,'[1]data 1129'!F:O,10,FALSE)</f>
        <v>Tahap I 208</v>
      </c>
      <c r="AE127" s="11" t="str">
        <f>VLOOKUP(L127,'[1]singkron data'!D:P,13,FALSE)</f>
        <v>sudah</v>
      </c>
      <c r="AF127" s="11" t="s">
        <v>55</v>
      </c>
      <c r="AG127" s="17">
        <f>VLOOKUP(L127,'[1]update kontrak'!E:K,6,FALSE)</f>
        <v>3179942000</v>
      </c>
      <c r="AH127" s="11" t="str">
        <f>VLOOKUP(L127,'[1]update kontrak'!E:K,7,FALSE)</f>
        <v>KONTRAK</v>
      </c>
      <c r="AI127" s="11" t="s">
        <v>41</v>
      </c>
      <c r="AJ127" s="11" t="str">
        <f>VLOOKUP(L127,[1]rekap!D:M,1,FALSE)</f>
        <v>Dharma Camplong</v>
      </c>
      <c r="AK127" s="11" t="str">
        <f>VLOOKUP(L127,'[1]singkron data'!D:E,2,FALSE)</f>
        <v>PT. Ridho Karya</v>
      </c>
      <c r="AL127" s="11" t="str">
        <f>VLOOKUP(L127,'[1]update 521'!D:D,1,FALSE)</f>
        <v>Dharma Camplong</v>
      </c>
      <c r="AM127" s="11" t="s">
        <v>57</v>
      </c>
      <c r="AN127" s="17">
        <f>VLOOKUP(L127,[1]Sheet19!E:L,8,FALSE)</f>
        <v>3179942000</v>
      </c>
      <c r="AO127" s="11" t="str">
        <f>VLOOKUP(L127,[1]Sheet19!E:K,7,FALSE)</f>
        <v>KONTRAK</v>
      </c>
      <c r="AP127" s="12" t="s">
        <v>41</v>
      </c>
    </row>
    <row r="128" spans="1:42" ht="15" x14ac:dyDescent="0.2">
      <c r="A128" s="8" t="s">
        <v>42</v>
      </c>
      <c r="B128" s="9" t="s">
        <v>43</v>
      </c>
      <c r="C128" s="9">
        <v>950</v>
      </c>
      <c r="D128" s="9" t="s">
        <v>284</v>
      </c>
      <c r="E128" s="9">
        <v>38</v>
      </c>
      <c r="F128" s="9" t="s">
        <v>365</v>
      </c>
      <c r="G128" s="9" t="s">
        <v>297</v>
      </c>
      <c r="H128" s="9" t="s">
        <v>287</v>
      </c>
      <c r="I128" s="9" t="s">
        <v>366</v>
      </c>
      <c r="J128" s="9" t="s">
        <v>372</v>
      </c>
      <c r="K128" s="9" t="s">
        <v>373</v>
      </c>
      <c r="L128" s="10" t="s">
        <v>373</v>
      </c>
      <c r="M128" s="9" t="s">
        <v>51</v>
      </c>
      <c r="N128" s="9">
        <v>24</v>
      </c>
      <c r="O128" s="9" t="s">
        <v>72</v>
      </c>
      <c r="P128" s="9">
        <v>20</v>
      </c>
      <c r="Q128" s="9">
        <v>20</v>
      </c>
      <c r="R128" s="19">
        <v>46054</v>
      </c>
      <c r="S128" s="9">
        <v>-6.8983889999999999</v>
      </c>
      <c r="T128" s="9">
        <v>113.507926</v>
      </c>
      <c r="U128" s="9" t="s">
        <v>52</v>
      </c>
      <c r="V128" s="11" t="str">
        <f>VLOOKUP(L128,'[1]singkron data'!D:E,2,FALSE)</f>
        <v>CV. Lancar Jaya Karya Abadi</v>
      </c>
      <c r="W128" s="13">
        <f>VLOOKUP(L128,'[1]data 1129'!F:H,3,FALSE)</f>
        <v>2822807000</v>
      </c>
      <c r="X128" s="11" t="s">
        <v>55</v>
      </c>
      <c r="Y128" s="11">
        <f>VLOOKUP(L128,'[1]singkron data'!D:H,5,FALSE)</f>
        <v>0</v>
      </c>
      <c r="Z128" s="11">
        <f>VLOOKUP(L128,'[1]singkron data'!D:I,6,FALSE)</f>
        <v>0</v>
      </c>
      <c r="AA128" s="11" t="str">
        <f>VLOOKUP(L128,'[1]singkron data'!D:L,9,FALSE)</f>
        <v>087850593929/wawan</v>
      </c>
      <c r="AB128" s="11" t="s">
        <v>54</v>
      </c>
      <c r="AC128" s="11" t="str">
        <f>VLOOKUP(L128,'[1]singkron data'!D:M,10,FALSE)</f>
        <v>Put - ganti penyedia skala kecil</v>
      </c>
      <c r="AD128" s="11" t="str">
        <f>VLOOKUP(L128,'[1]data 1129'!F:O,10,FALSE)</f>
        <v>Tahap I 208</v>
      </c>
      <c r="AE128" s="11" t="str">
        <f>VLOOKUP(L128,'[1]singkron data'!D:P,13,FALSE)</f>
        <v>sudah</v>
      </c>
      <c r="AF128" s="11" t="s">
        <v>55</v>
      </c>
      <c r="AG128" s="11" t="e">
        <f>VLOOKUP(L128,'[1]update kontrak'!E:K,6,FALSE)</f>
        <v>#N/A</v>
      </c>
      <c r="AH128" s="11" t="e">
        <f>VLOOKUP(L128,'[1]update kontrak'!E:K,7,FALSE)</f>
        <v>#N/A</v>
      </c>
      <c r="AI128" s="11" t="s">
        <v>58</v>
      </c>
      <c r="AJ128" s="11" t="str">
        <f>VLOOKUP(L128,[1]rekap!D:M,1,FALSE)</f>
        <v>Lesong Daja</v>
      </c>
      <c r="AK128" s="11" t="str">
        <f>VLOOKUP(L128,'[1]singkron data'!D:E,2,FALSE)</f>
        <v>CV. Lancar Jaya Karya Abadi</v>
      </c>
      <c r="AL128" s="11" t="str">
        <f>VLOOKUP(L128,'[1]update 521'!D:D,1,FALSE)</f>
        <v>Lesong Daja</v>
      </c>
      <c r="AM128" s="11" t="s">
        <v>57</v>
      </c>
      <c r="AN128" s="11" t="e">
        <f>VLOOKUP(L128,[1]Sheet19!E:L,8,FALSE)</f>
        <v>#N/A</v>
      </c>
      <c r="AO128" s="11" t="s">
        <v>58</v>
      </c>
      <c r="AP128" s="12"/>
    </row>
    <row r="129" spans="1:42" ht="15" x14ac:dyDescent="0.2">
      <c r="A129" s="8" t="s">
        <v>42</v>
      </c>
      <c r="B129" s="9" t="s">
        <v>43</v>
      </c>
      <c r="C129" s="9">
        <v>951</v>
      </c>
      <c r="D129" s="9" t="s">
        <v>284</v>
      </c>
      <c r="E129" s="9">
        <v>39</v>
      </c>
      <c r="F129" s="9" t="s">
        <v>365</v>
      </c>
      <c r="G129" s="9" t="s">
        <v>297</v>
      </c>
      <c r="H129" s="9" t="s">
        <v>287</v>
      </c>
      <c r="I129" s="9" t="s">
        <v>366</v>
      </c>
      <c r="J129" s="9" t="s">
        <v>374</v>
      </c>
      <c r="K129" s="9" t="s">
        <v>375</v>
      </c>
      <c r="L129" s="10" t="s">
        <v>375</v>
      </c>
      <c r="M129" s="9" t="s">
        <v>51</v>
      </c>
      <c r="N129" s="9">
        <v>517</v>
      </c>
      <c r="O129" s="9" t="s">
        <v>72</v>
      </c>
      <c r="P129" s="9">
        <v>195</v>
      </c>
      <c r="Q129" s="9">
        <v>195</v>
      </c>
      <c r="R129" s="9">
        <v>1</v>
      </c>
      <c r="S129" s="9">
        <v>-7.236713</v>
      </c>
      <c r="T129" s="9">
        <v>113.52998599999999</v>
      </c>
      <c r="U129" s="9" t="s">
        <v>52</v>
      </c>
      <c r="V129" s="11" t="str">
        <f>VLOOKUP(L129,'[1]singkron data'!D:E,2,FALSE)</f>
        <v>PT. Ombulindo Multi Karya</v>
      </c>
      <c r="W129" s="13">
        <f>VLOOKUP(L129,'[1]data 1129'!F:H,3,FALSE)</f>
        <v>2783933000</v>
      </c>
      <c r="X129" s="11" t="s">
        <v>55</v>
      </c>
      <c r="Y129" s="11">
        <f>VLOOKUP(L129,'[1]singkron data'!D:H,5,FALSE)</f>
        <v>0</v>
      </c>
      <c r="Z129" s="11">
        <f>VLOOKUP(L129,'[1]singkron data'!D:I,6,FALSE)</f>
        <v>0</v>
      </c>
      <c r="AA129" s="11" t="str">
        <f>VLOOKUP(L129,'[1]singkron data'!D:L,9,FALSE)</f>
        <v>087850260088/salim</v>
      </c>
      <c r="AB129" s="11" t="s">
        <v>54</v>
      </c>
      <c r="AC129" s="11" t="str">
        <f>VLOOKUP(L129,'[1]singkron data'!D:M,10,FALSE)</f>
        <v>Put</v>
      </c>
      <c r="AD129" s="11" t="str">
        <f>VLOOKUP(L129,'[1]data 1129'!F:O,10,FALSE)</f>
        <v>Tahap I 208</v>
      </c>
      <c r="AE129" s="11" t="str">
        <f>VLOOKUP(L129,'[1]singkron data'!D:P,13,FALSE)</f>
        <v>sudah</v>
      </c>
      <c r="AF129" s="11" t="s">
        <v>55</v>
      </c>
      <c r="AG129" s="17">
        <f>VLOOKUP(L129,'[1]update kontrak'!E:K,6,FALSE)</f>
        <v>2014943000</v>
      </c>
      <c r="AH129" s="11" t="str">
        <f>VLOOKUP(L129,'[1]update kontrak'!E:K,7,FALSE)</f>
        <v>KONTRAK</v>
      </c>
      <c r="AI129" s="11" t="s">
        <v>41</v>
      </c>
      <c r="AJ129" s="11" t="str">
        <f>VLOOKUP(L129,[1]rekap!D:M,1,FALSE)</f>
        <v>Padelegan</v>
      </c>
      <c r="AK129" s="11" t="str">
        <f>VLOOKUP(L129,'[1]singkron data'!D:E,2,FALSE)</f>
        <v>PT. Ombulindo Multi Karya</v>
      </c>
      <c r="AL129" s="11" t="str">
        <f>VLOOKUP(L129,'[1]update 521'!D:D,1,FALSE)</f>
        <v>Padelegan</v>
      </c>
      <c r="AM129" s="11" t="s">
        <v>57</v>
      </c>
      <c r="AN129" s="17">
        <f>VLOOKUP(L129,[1]Sheet19!E:L,8,FALSE)</f>
        <v>2014943000</v>
      </c>
      <c r="AO129" s="11" t="str">
        <f>VLOOKUP(L129,[1]Sheet19!E:K,7,FALSE)</f>
        <v>KONTRAK</v>
      </c>
      <c r="AP129" s="12" t="s">
        <v>41</v>
      </c>
    </row>
    <row r="130" spans="1:42" ht="15" x14ac:dyDescent="0.2">
      <c r="A130" s="8" t="s">
        <v>42</v>
      </c>
      <c r="B130" s="9" t="s">
        <v>43</v>
      </c>
      <c r="C130" s="9">
        <v>952</v>
      </c>
      <c r="D130" s="9" t="s">
        <v>284</v>
      </c>
      <c r="E130" s="9">
        <v>40</v>
      </c>
      <c r="F130" s="9" t="s">
        <v>365</v>
      </c>
      <c r="G130" s="9" t="s">
        <v>297</v>
      </c>
      <c r="H130" s="9" t="s">
        <v>287</v>
      </c>
      <c r="I130" s="9" t="s">
        <v>376</v>
      </c>
      <c r="J130" s="9" t="s">
        <v>377</v>
      </c>
      <c r="K130" s="9" t="s">
        <v>377</v>
      </c>
      <c r="L130" s="10" t="s">
        <v>377</v>
      </c>
      <c r="M130" s="9" t="s">
        <v>51</v>
      </c>
      <c r="N130" s="9">
        <v>1700</v>
      </c>
      <c r="O130" s="9" t="s">
        <v>72</v>
      </c>
      <c r="P130" s="9">
        <v>115</v>
      </c>
      <c r="Q130" s="9">
        <v>115</v>
      </c>
      <c r="R130" s="9">
        <v>2.5</v>
      </c>
      <c r="S130" s="9">
        <v>-6.8898169999999999</v>
      </c>
      <c r="T130" s="9">
        <v>113.65061300000001</v>
      </c>
      <c r="U130" s="9" t="s">
        <v>52</v>
      </c>
      <c r="V130" s="11" t="str">
        <f>VLOOKUP(L130,'[1]singkron data'!D:E,2,FALSE)</f>
        <v>CV. Lancar Jaya Karya Abadi</v>
      </c>
      <c r="W130" s="13">
        <f>VLOOKUP(L130,'[1]data 1129'!F:H,3,FALSE)</f>
        <v>2279531000</v>
      </c>
      <c r="X130" s="11" t="s">
        <v>55</v>
      </c>
      <c r="Y130" s="11" t="str">
        <f>VLOOKUP(L130,'[1]singkron data'!D:H,5,FALSE)</f>
        <v>Banten</v>
      </c>
      <c r="Z130" s="11" t="str">
        <f>VLOOKUP(L130,'[1]singkron data'!D:I,6,FALSE)</f>
        <v>Offline</v>
      </c>
      <c r="AA130" s="11" t="str">
        <f>VLOOKUP(L130,'[1]singkron data'!D:L,9,FALSE)</f>
        <v>087850593929/wawan</v>
      </c>
      <c r="AB130" s="11" t="s">
        <v>54</v>
      </c>
      <c r="AC130" s="11" t="str">
        <f>VLOOKUP(L130,'[1]singkron data'!D:M,10,FALSE)</f>
        <v>put - diganti penyedia</v>
      </c>
      <c r="AD130" s="11" t="str">
        <f>VLOOKUP(L130,'[1]data 1129'!F:O,10,FALSE)</f>
        <v>Tahap I 208</v>
      </c>
      <c r="AE130" s="11" t="str">
        <f>VLOOKUP(L130,'[1]singkron data'!D:P,13,FALSE)</f>
        <v>sudah</v>
      </c>
      <c r="AF130" s="11" t="s">
        <v>55</v>
      </c>
      <c r="AG130" s="11" t="e">
        <f>VLOOKUP(L130,'[1]update kontrak'!E:K,6,FALSE)</f>
        <v>#N/A</v>
      </c>
      <c r="AH130" s="11" t="e">
        <f>VLOOKUP(L130,'[1]update kontrak'!E:K,7,FALSE)</f>
        <v>#N/A</v>
      </c>
      <c r="AI130" s="11" t="s">
        <v>58</v>
      </c>
      <c r="AJ130" s="11" t="str">
        <f>VLOOKUP(L130,[1]rekap!D:M,1,FALSE)</f>
        <v>Pasongsongan</v>
      </c>
      <c r="AK130" s="11" t="str">
        <f>VLOOKUP(L130,'[1]singkron data'!D:E,2,FALSE)</f>
        <v>CV. Lancar Jaya Karya Abadi</v>
      </c>
      <c r="AL130" s="11" t="str">
        <f>VLOOKUP(L130,'[1]update 521'!D:D,1,FALSE)</f>
        <v>Pasongsongan</v>
      </c>
      <c r="AM130" s="11" t="s">
        <v>57</v>
      </c>
      <c r="AN130" s="17">
        <f>VLOOKUP(L130,[1]Sheet19!E:L,8,FALSE)</f>
        <v>2263622000</v>
      </c>
      <c r="AO130" s="11" t="str">
        <f>VLOOKUP(L130,[1]Sheet19!E:K,7,FALSE)</f>
        <v>SPPBJ</v>
      </c>
      <c r="AP130" s="12"/>
    </row>
    <row r="131" spans="1:42" ht="15" x14ac:dyDescent="0.2">
      <c r="A131" s="8" t="s">
        <v>42</v>
      </c>
      <c r="B131" s="9" t="s">
        <v>43</v>
      </c>
      <c r="C131" s="9">
        <v>953</v>
      </c>
      <c r="D131" s="9" t="s">
        <v>284</v>
      </c>
      <c r="E131" s="9">
        <v>41</v>
      </c>
      <c r="F131" s="9" t="s">
        <v>365</v>
      </c>
      <c r="G131" s="9" t="s">
        <v>297</v>
      </c>
      <c r="H131" s="9" t="s">
        <v>287</v>
      </c>
      <c r="I131" s="9" t="s">
        <v>376</v>
      </c>
      <c r="J131" s="9" t="s">
        <v>378</v>
      </c>
      <c r="K131" s="9" t="s">
        <v>379</v>
      </c>
      <c r="L131" s="10" t="s">
        <v>379</v>
      </c>
      <c r="M131" s="9" t="s">
        <v>51</v>
      </c>
      <c r="N131" s="9">
        <v>100</v>
      </c>
      <c r="O131" s="9" t="s">
        <v>72</v>
      </c>
      <c r="P131" s="9">
        <v>20</v>
      </c>
      <c r="Q131" s="9">
        <v>20</v>
      </c>
      <c r="R131" s="9">
        <v>1.18</v>
      </c>
      <c r="S131" s="9">
        <v>-6.8873689999999996</v>
      </c>
      <c r="T131" s="9">
        <v>113.789452</v>
      </c>
      <c r="U131" s="9" t="s">
        <v>52</v>
      </c>
      <c r="V131" s="11" t="str">
        <f>VLOOKUP(L131,'[1]singkron data'!D:E,2,FALSE)</f>
        <v>CV. Lancar Jaya Karya Abadi</v>
      </c>
      <c r="W131" s="13">
        <f>VLOOKUP(L131,'[1]data 1129'!F:H,3,FALSE)</f>
        <v>3167566000</v>
      </c>
      <c r="X131" s="11" t="s">
        <v>55</v>
      </c>
      <c r="Y131" s="11">
        <f>VLOOKUP(L131,'[1]singkron data'!D:H,5,FALSE)</f>
        <v>0</v>
      </c>
      <c r="Z131" s="11" t="str">
        <f>VLOOKUP(L131,'[1]singkron data'!D:I,6,FALSE)</f>
        <v>Online</v>
      </c>
      <c r="AA131" s="11" t="str">
        <f>VLOOKUP(L131,'[1]singkron data'!D:L,9,FALSE)</f>
        <v>087850593929/wawan</v>
      </c>
      <c r="AB131" s="11" t="s">
        <v>54</v>
      </c>
      <c r="AC131" s="11" t="str">
        <f>VLOOKUP(L131,'[1]singkron data'!D:M,10,FALSE)</f>
        <v>put - diganti penyedia</v>
      </c>
      <c r="AD131" s="11" t="str">
        <f>VLOOKUP(L131,'[1]data 1129'!F:O,10,FALSE)</f>
        <v>Tahap I 208</v>
      </c>
      <c r="AE131" s="11" t="str">
        <f>VLOOKUP(L131,'[1]singkron data'!D:P,13,FALSE)</f>
        <v>sudah</v>
      </c>
      <c r="AF131" s="11" t="s">
        <v>55</v>
      </c>
      <c r="AG131" s="11" t="e">
        <f>VLOOKUP(L131,'[1]update kontrak'!E:K,6,FALSE)</f>
        <v>#N/A</v>
      </c>
      <c r="AH131" s="11" t="e">
        <f>VLOOKUP(L131,'[1]update kontrak'!E:K,7,FALSE)</f>
        <v>#N/A</v>
      </c>
      <c r="AI131" s="11" t="s">
        <v>58</v>
      </c>
      <c r="AJ131" s="11" t="str">
        <f>VLOOKUP(L131,[1]rekap!D:M,1,FALSE)</f>
        <v>Slopeng</v>
      </c>
      <c r="AK131" s="11" t="str">
        <f>VLOOKUP(L131,'[1]singkron data'!D:E,2,FALSE)</f>
        <v>CV. Lancar Jaya Karya Abadi</v>
      </c>
      <c r="AL131" s="11" t="str">
        <f>VLOOKUP(L131,'[1]update 521'!D:D,1,FALSE)</f>
        <v>Slopeng</v>
      </c>
      <c r="AM131" s="11" t="s">
        <v>57</v>
      </c>
      <c r="AN131" s="17">
        <f>VLOOKUP(L131,[1]Sheet19!E:L,8,FALSE)</f>
        <v>2374160000</v>
      </c>
      <c r="AO131" s="11" t="str">
        <f>VLOOKUP(L131,[1]Sheet19!E:K,7,FALSE)</f>
        <v>SPPBJ</v>
      </c>
      <c r="AP131" s="12"/>
    </row>
    <row r="132" spans="1:42" ht="15" x14ac:dyDescent="0.2">
      <c r="A132" s="8" t="s">
        <v>42</v>
      </c>
      <c r="B132" s="9" t="s">
        <v>43</v>
      </c>
      <c r="C132" s="9">
        <v>938</v>
      </c>
      <c r="D132" s="9" t="s">
        <v>284</v>
      </c>
      <c r="E132" s="9">
        <v>26</v>
      </c>
      <c r="F132" s="9" t="s">
        <v>292</v>
      </c>
      <c r="G132" s="9" t="s">
        <v>323</v>
      </c>
      <c r="H132" s="9" t="s">
        <v>287</v>
      </c>
      <c r="I132" s="9" t="s">
        <v>324</v>
      </c>
      <c r="J132" s="9" t="s">
        <v>325</v>
      </c>
      <c r="K132" s="9" t="s">
        <v>380</v>
      </c>
      <c r="L132" s="9" t="s">
        <v>380</v>
      </c>
      <c r="M132" s="9" t="s">
        <v>51</v>
      </c>
      <c r="N132" s="9">
        <v>300</v>
      </c>
      <c r="O132" s="9" t="s">
        <v>72</v>
      </c>
      <c r="P132" s="9">
        <v>71</v>
      </c>
      <c r="Q132" s="9">
        <v>71</v>
      </c>
      <c r="R132" s="9">
        <v>0.1</v>
      </c>
      <c r="S132" s="9">
        <v>-7.6919790150000003</v>
      </c>
      <c r="T132" s="9">
        <v>107.8183966</v>
      </c>
      <c r="U132" s="9" t="s">
        <v>52</v>
      </c>
      <c r="V132" s="11" t="str">
        <f>VLOOKUP(L132,'[1]singkron data'!D:E,2,FALSE)</f>
        <v>PT. Amber Hasya</v>
      </c>
      <c r="W132" s="13">
        <f>VLOOKUP(L132,'[1]data 1129'!F:H,3,FALSE)</f>
        <v>3043921000</v>
      </c>
      <c r="X132" s="11" t="s">
        <v>55</v>
      </c>
      <c r="Y132" s="11" t="str">
        <f>VLOOKUP(L132,'[1]singkron data'!D:H,5,FALSE)</f>
        <v>Bandung</v>
      </c>
      <c r="Z132" s="11" t="str">
        <f>VLOOKUP(L132,'[1]singkron data'!D:I,6,FALSE)</f>
        <v>Offline</v>
      </c>
      <c r="AA132" s="11">
        <f>VLOOKUP(L132,'[1]singkron data'!D:L,9,FALSE)</f>
        <v>0</v>
      </c>
      <c r="AB132" s="11" t="s">
        <v>54</v>
      </c>
      <c r="AC132" s="11" t="str">
        <f>VLOOKUP(L132,'[1]singkron data'!D:M,10,FALSE)</f>
        <v>Sandi</v>
      </c>
      <c r="AD132" s="11" t="str">
        <f>VLOOKUP(L132,'[1]data 1129'!F:O,10,FALSE)</f>
        <v>Tahap I 208</v>
      </c>
      <c r="AE132" s="11" t="str">
        <f>VLOOKUP(L132,'[1]singkron data'!D:P,13,FALSE)</f>
        <v>sudah</v>
      </c>
      <c r="AF132" s="11" t="s">
        <v>55</v>
      </c>
      <c r="AG132" s="17">
        <f>VLOOKUP(L132,'[1]update kontrak'!E:K,6,FALSE)</f>
        <v>2162437522.3200002</v>
      </c>
      <c r="AH132" s="11" t="str">
        <f>VLOOKUP(L132,'[1]update kontrak'!E:K,7,FALSE)</f>
        <v>KONTRAK</v>
      </c>
      <c r="AI132" s="11" t="s">
        <v>41</v>
      </c>
      <c r="AJ132" s="11" t="str">
        <f>VLOOKUP(L132,[1]rekap!D:M,1,FALSE)</f>
        <v>Sawarna</v>
      </c>
      <c r="AK132" s="11" t="str">
        <f>VLOOKUP(L132,'[1]singkron data'!D:E,2,FALSE)</f>
        <v>PT. Amber Hasya</v>
      </c>
      <c r="AL132" s="11" t="str">
        <f>VLOOKUP(L132,'[1]update 521'!D:D,1,FALSE)</f>
        <v>Sawarna</v>
      </c>
      <c r="AM132" s="11" t="s">
        <v>57</v>
      </c>
      <c r="AN132" s="17">
        <f>VLOOKUP(L132,[1]Sheet19!E:L,8,FALSE)</f>
        <v>2162437522.3200002</v>
      </c>
      <c r="AO132" s="11" t="str">
        <f>VLOOKUP(L132,[1]Sheet19!E:K,7,FALSE)</f>
        <v>KONTRAK</v>
      </c>
      <c r="AP132" s="12" t="s">
        <v>41</v>
      </c>
    </row>
    <row r="133" spans="1:42" ht="15" x14ac:dyDescent="0.2">
      <c r="A133" s="8" t="s">
        <v>42</v>
      </c>
      <c r="B133" s="9" t="s">
        <v>43</v>
      </c>
      <c r="C133" s="9">
        <v>963</v>
      </c>
      <c r="D133" s="9" t="s">
        <v>284</v>
      </c>
      <c r="E133" s="9">
        <v>51</v>
      </c>
      <c r="F133" s="9" t="s">
        <v>292</v>
      </c>
      <c r="G133" s="9" t="s">
        <v>286</v>
      </c>
      <c r="H133" s="9" t="s">
        <v>287</v>
      </c>
      <c r="I133" s="9" t="s">
        <v>293</v>
      </c>
      <c r="J133" s="9" t="s">
        <v>381</v>
      </c>
      <c r="K133" s="9" t="s">
        <v>292</v>
      </c>
      <c r="L133" s="10" t="s">
        <v>292</v>
      </c>
      <c r="M133" s="9" t="s">
        <v>65</v>
      </c>
      <c r="N133" s="9">
        <v>652</v>
      </c>
      <c r="O133" s="9">
        <v>250</v>
      </c>
      <c r="P133" s="9">
        <v>200</v>
      </c>
      <c r="Q133" s="9">
        <v>450</v>
      </c>
      <c r="R133" s="9">
        <v>1.5</v>
      </c>
      <c r="S133" s="9">
        <v>-7.5149616999999997</v>
      </c>
      <c r="T133" s="9">
        <v>107.46210499999999</v>
      </c>
      <c r="U133" s="9" t="s">
        <v>52</v>
      </c>
      <c r="V133" s="11" t="str">
        <f>VLOOKUP(L133,'[1]singkron data'!D:E,2,FALSE)</f>
        <v>PT. Putra Ogan Cemerlang</v>
      </c>
      <c r="W133" s="13">
        <f>VLOOKUP(L133,'[1]data 1129'!F:H,3,FALSE)</f>
        <v>6333020000</v>
      </c>
      <c r="X133" s="11" t="s">
        <v>55</v>
      </c>
      <c r="Y133" s="11">
        <f>VLOOKUP(L133,'[1]singkron data'!D:H,5,FALSE)</f>
        <v>0</v>
      </c>
      <c r="Z133" s="11">
        <f>VLOOKUP(L133,'[1]singkron data'!D:I,6,FALSE)</f>
        <v>0</v>
      </c>
      <c r="AA133" s="11">
        <f>VLOOKUP(L133,'[1]singkron data'!D:L,9,FALSE)</f>
        <v>87891060224</v>
      </c>
      <c r="AB133" s="11" t="s">
        <v>54</v>
      </c>
      <c r="AC133" s="11">
        <f>VLOOKUP(L133,'[1]singkron data'!D:M,10,FALSE)</f>
        <v>0</v>
      </c>
      <c r="AD133" s="11" t="str">
        <f>VLOOKUP(L133,'[1]data 1129'!F:O,10,FALSE)</f>
        <v>Tahap I 208</v>
      </c>
      <c r="AE133" s="11" t="str">
        <f>VLOOKUP(L133,'[1]singkron data'!D:P,13,FALSE)</f>
        <v>sudah</v>
      </c>
      <c r="AF133" s="11" t="s">
        <v>55</v>
      </c>
      <c r="AG133" s="17">
        <f>VLOOKUP(L133,'[1]update kontrak'!E:K,6,FALSE)</f>
        <v>6109673852.7700005</v>
      </c>
      <c r="AH133" s="11" t="str">
        <f>VLOOKUP(L133,'[1]update kontrak'!E:K,7,FALSE)</f>
        <v>KONTRAK</v>
      </c>
      <c r="AI133" s="11" t="s">
        <v>41</v>
      </c>
      <c r="AJ133" s="11" t="str">
        <f>VLOOKUP(L133,[1]rekap!D:M,1,FALSE)</f>
        <v>Indralayang</v>
      </c>
      <c r="AK133" s="11" t="str">
        <f>VLOOKUP(L133,'[1]singkron data'!D:E,2,FALSE)</f>
        <v>PT. Putra Ogan Cemerlang</v>
      </c>
      <c r="AL133" s="11" t="str">
        <f>VLOOKUP(L133,'[1]update 521'!D:D,1,FALSE)</f>
        <v>Indralayang</v>
      </c>
      <c r="AM133" s="11" t="s">
        <v>57</v>
      </c>
      <c r="AN133" s="17">
        <f>VLOOKUP(L133,[1]Sheet19!E:L,8,FALSE)</f>
        <v>6109673852.7700005</v>
      </c>
      <c r="AO133" s="11" t="str">
        <f>VLOOKUP(L133,[1]Sheet19!E:K,7,FALSE)</f>
        <v>KONTRAK</v>
      </c>
      <c r="AP133" s="12" t="s">
        <v>41</v>
      </c>
    </row>
    <row r="134" spans="1:42" ht="15" x14ac:dyDescent="0.2">
      <c r="A134" s="8" t="s">
        <v>42</v>
      </c>
      <c r="B134" s="9" t="s">
        <v>43</v>
      </c>
      <c r="C134" s="9">
        <v>964</v>
      </c>
      <c r="D134" s="9" t="s">
        <v>284</v>
      </c>
      <c r="E134" s="9">
        <v>52</v>
      </c>
      <c r="F134" s="9" t="s">
        <v>292</v>
      </c>
      <c r="G134" s="9" t="s">
        <v>286</v>
      </c>
      <c r="H134" s="9" t="s">
        <v>287</v>
      </c>
      <c r="I134" s="9" t="s">
        <v>293</v>
      </c>
      <c r="J134" s="9" t="s">
        <v>382</v>
      </c>
      <c r="K134" s="9" t="s">
        <v>383</v>
      </c>
      <c r="L134" s="10" t="s">
        <v>383</v>
      </c>
      <c r="M134" s="9" t="s">
        <v>51</v>
      </c>
      <c r="N134" s="9">
        <v>46</v>
      </c>
      <c r="O134" s="9">
        <v>35</v>
      </c>
      <c r="P134" s="9">
        <v>5</v>
      </c>
      <c r="Q134" s="9">
        <v>40</v>
      </c>
      <c r="R134" s="9">
        <v>2</v>
      </c>
      <c r="S134" s="9">
        <v>-7.5600180000000003</v>
      </c>
      <c r="T134" s="9">
        <v>107.56616099999999</v>
      </c>
      <c r="U134" s="9" t="s">
        <v>52</v>
      </c>
      <c r="V134" s="11" t="str">
        <f>VLOOKUP(L134,'[1]singkron data'!D:E,2,FALSE)</f>
        <v>PT. Putra Ogan Cemerlang</v>
      </c>
      <c r="W134" s="13">
        <f>VLOOKUP(L134,'[1]data 1129'!F:H,3,FALSE)</f>
        <v>3919720000</v>
      </c>
      <c r="X134" s="11" t="s">
        <v>55</v>
      </c>
      <c r="Y134" s="11">
        <f>VLOOKUP(L134,'[1]singkron data'!D:H,5,FALSE)</f>
        <v>0</v>
      </c>
      <c r="Z134" s="11">
        <f>VLOOKUP(L134,'[1]singkron data'!D:I,6,FALSE)</f>
        <v>0</v>
      </c>
      <c r="AA134" s="11">
        <f>VLOOKUP(L134,'[1]singkron data'!D:L,9,FALSE)</f>
        <v>87891060224</v>
      </c>
      <c r="AB134" s="11" t="s">
        <v>54</v>
      </c>
      <c r="AC134" s="11">
        <f>VLOOKUP(L134,'[1]singkron data'!D:M,10,FALSE)</f>
        <v>0</v>
      </c>
      <c r="AD134" s="11" t="str">
        <f>VLOOKUP(L134,'[1]data 1129'!F:O,10,FALSE)</f>
        <v>Tahap I 208</v>
      </c>
      <c r="AE134" s="11" t="str">
        <f>VLOOKUP(L134,'[1]singkron data'!D:P,13,FALSE)</f>
        <v>sudah</v>
      </c>
      <c r="AF134" s="11" t="s">
        <v>55</v>
      </c>
      <c r="AG134" s="17">
        <f>VLOOKUP(L134,'[1]update kontrak'!E:K,6,FALSE)</f>
        <v>3985858759.02</v>
      </c>
      <c r="AH134" s="11" t="str">
        <f>VLOOKUP(L134,'[1]update kontrak'!E:K,7,FALSE)</f>
        <v>KONTRAK</v>
      </c>
      <c r="AI134" s="11" t="s">
        <v>41</v>
      </c>
      <c r="AJ134" s="11" t="str">
        <f>VLOOKUP(L134,[1]rekap!D:M,1,FALSE)</f>
        <v>Cijayana</v>
      </c>
      <c r="AK134" s="11" t="str">
        <f>VLOOKUP(L134,'[1]singkron data'!D:E,2,FALSE)</f>
        <v>PT. Putra Ogan Cemerlang</v>
      </c>
      <c r="AL134" s="11" t="str">
        <f>VLOOKUP(L134,'[1]update 521'!D:D,1,FALSE)</f>
        <v>Cijayana</v>
      </c>
      <c r="AM134" s="11" t="s">
        <v>57</v>
      </c>
      <c r="AN134" s="17">
        <f>VLOOKUP(L134,[1]Sheet19!E:L,8,FALSE)</f>
        <v>3985858759.02</v>
      </c>
      <c r="AO134" s="11" t="str">
        <f>VLOOKUP(L134,[1]Sheet19!E:K,7,FALSE)</f>
        <v>KONTRAK</v>
      </c>
      <c r="AP134" s="12" t="s">
        <v>41</v>
      </c>
    </row>
    <row r="135" spans="1:42" ht="15" x14ac:dyDescent="0.2">
      <c r="A135" s="21" t="s">
        <v>42</v>
      </c>
      <c r="B135" s="22" t="s">
        <v>43</v>
      </c>
      <c r="C135" s="22">
        <v>965</v>
      </c>
      <c r="D135" s="22" t="s">
        <v>284</v>
      </c>
      <c r="E135" s="22">
        <v>53</v>
      </c>
      <c r="F135" s="22" t="s">
        <v>292</v>
      </c>
      <c r="G135" s="22" t="s">
        <v>286</v>
      </c>
      <c r="H135" s="22" t="s">
        <v>287</v>
      </c>
      <c r="I135" s="22" t="s">
        <v>293</v>
      </c>
      <c r="J135" s="22" t="s">
        <v>384</v>
      </c>
      <c r="K135" s="22" t="s">
        <v>385</v>
      </c>
      <c r="L135" s="22" t="s">
        <v>385</v>
      </c>
      <c r="M135" s="22" t="s">
        <v>51</v>
      </c>
      <c r="N135" s="22">
        <v>250</v>
      </c>
      <c r="O135" s="22">
        <v>30</v>
      </c>
      <c r="P135" s="22">
        <v>142</v>
      </c>
      <c r="Q135" s="22">
        <v>172</v>
      </c>
      <c r="R135" s="22">
        <v>0.2</v>
      </c>
      <c r="S135" s="22">
        <v>-7.6489441999999999</v>
      </c>
      <c r="T135" s="22">
        <v>107.6931725</v>
      </c>
      <c r="U135" s="22" t="s">
        <v>52</v>
      </c>
      <c r="V135" s="23"/>
      <c r="W135" s="24">
        <f>VLOOKUP(L135,'[1]data 1129'!F:H,3,FALSE)</f>
        <v>2314000000</v>
      </c>
      <c r="X135" s="25"/>
      <c r="Y135" s="25" t="str">
        <f>VLOOKUP(L135,'[1]singkron data'!D:H,5,FALSE)</f>
        <v>Tidak ada lahan</v>
      </c>
      <c r="Z135" s="25">
        <f>VLOOKUP(L135,'[1]singkron data'!D:I,6,FALSE)</f>
        <v>0</v>
      </c>
      <c r="AA135" s="25">
        <f>VLOOKUP(L135,'[1]singkron data'!D:L,9,FALSE)</f>
        <v>0</v>
      </c>
      <c r="AB135" s="25" t="s">
        <v>54</v>
      </c>
      <c r="AC135" s="25">
        <f>VLOOKUP(L135,'[1]singkron data'!D:M,10,FALSE)</f>
        <v>0</v>
      </c>
      <c r="AD135" s="25" t="str">
        <f>VLOOKUP(L135,'[1]data 1129'!F:O,10,FALSE)</f>
        <v>Tahap I 208</v>
      </c>
      <c r="AE135" s="25">
        <f>VLOOKUP(L135,'[1]singkron data'!D:P,13,FALSE)</f>
        <v>0</v>
      </c>
      <c r="AF135" s="25"/>
      <c r="AG135" s="25" t="e">
        <f>VLOOKUP(L135,'[1]update kontrak'!E:K,6,FALSE)</f>
        <v>#N/A</v>
      </c>
      <c r="AH135" s="25" t="e">
        <f>VLOOKUP(L135,'[1]update kontrak'!E:K,7,FALSE)</f>
        <v>#N/A</v>
      </c>
      <c r="AI135" s="25"/>
      <c r="AJ135" s="25" t="str">
        <f>VLOOKUP(L135,[1]rekap!D:M,1,FALSE)</f>
        <v>Pamalayan</v>
      </c>
      <c r="AK135" s="25" t="str">
        <f>VLOOKUP(L135,'[1]singkron data'!D:E,2,FALSE)</f>
        <v>tidak ada lahan</v>
      </c>
      <c r="AL135" s="25" t="str">
        <f>VLOOKUP(L135,'[1]update 521'!D:D,1,FALSE)</f>
        <v>Pamalayan</v>
      </c>
      <c r="AM135" s="11" t="s">
        <v>57</v>
      </c>
      <c r="AN135" s="11" t="e">
        <f>VLOOKUP(L135,[1]Sheet19!E:L,8,FALSE)</f>
        <v>#N/A</v>
      </c>
      <c r="AO135" s="11"/>
      <c r="AP135" s="12"/>
    </row>
    <row r="136" spans="1:42" ht="15" x14ac:dyDescent="0.2">
      <c r="A136" s="8" t="s">
        <v>42</v>
      </c>
      <c r="B136" s="9" t="s">
        <v>43</v>
      </c>
      <c r="C136" s="9">
        <v>967</v>
      </c>
      <c r="D136" s="9" t="s">
        <v>284</v>
      </c>
      <c r="E136" s="9">
        <v>55</v>
      </c>
      <c r="F136" s="9" t="s">
        <v>386</v>
      </c>
      <c r="G136" s="9" t="s">
        <v>297</v>
      </c>
      <c r="H136" s="9" t="s">
        <v>287</v>
      </c>
      <c r="I136" s="9" t="s">
        <v>387</v>
      </c>
      <c r="J136" s="9" t="s">
        <v>388</v>
      </c>
      <c r="K136" s="9" t="s">
        <v>386</v>
      </c>
      <c r="L136" s="10" t="s">
        <v>386</v>
      </c>
      <c r="M136" s="9" t="s">
        <v>51</v>
      </c>
      <c r="N136" s="9">
        <v>140</v>
      </c>
      <c r="O136" s="9" t="s">
        <v>72</v>
      </c>
      <c r="P136" s="9">
        <v>77</v>
      </c>
      <c r="Q136" s="9">
        <v>77</v>
      </c>
      <c r="R136" s="9">
        <v>7.0000000000000007E-2</v>
      </c>
      <c r="S136" s="9">
        <v>-8.2519583000000001</v>
      </c>
      <c r="T136" s="9">
        <v>111.2555878</v>
      </c>
      <c r="U136" s="9" t="s">
        <v>52</v>
      </c>
      <c r="V136" s="11" t="str">
        <f>VLOOKUP(L136,'[1]singkron data'!D:E,2,FALSE)</f>
        <v>PT. Gora Cipta Sarana</v>
      </c>
      <c r="W136" s="13">
        <f>VLOOKUP(L136,'[1]data 1129'!F:H,3,FALSE)</f>
        <v>2314000000</v>
      </c>
      <c r="X136" s="11" t="s">
        <v>55</v>
      </c>
      <c r="Y136" s="11" t="str">
        <f>VLOOKUP(L136,'[1]singkron data'!D:H,5,FALSE)</f>
        <v>Jakarta (kecil)</v>
      </c>
      <c r="Z136" s="11" t="str">
        <f>VLOOKUP(L136,'[1]singkron data'!D:I,6,FALSE)</f>
        <v>Offline</v>
      </c>
      <c r="AA136" s="11">
        <f>VLOOKUP(L136,'[1]singkron data'!D:L,9,FALSE)</f>
        <v>87871961997</v>
      </c>
      <c r="AB136" s="11" t="s">
        <v>54</v>
      </c>
      <c r="AC136" s="11" t="str">
        <f>VLOOKUP(L136,'[1]singkron data'!D:M,10,FALSE)</f>
        <v>87871961997 minta narahubung</v>
      </c>
      <c r="AD136" s="11" t="str">
        <f>VLOOKUP(L136,'[1]data 1129'!F:O,10,FALSE)</f>
        <v>Tahap I 208</v>
      </c>
      <c r="AE136" s="11" t="str">
        <f>VLOOKUP(L136,'[1]singkron data'!D:P,13,FALSE)</f>
        <v>sudah</v>
      </c>
      <c r="AF136" s="11" t="s">
        <v>55</v>
      </c>
      <c r="AG136" s="17">
        <f>VLOOKUP(L136,'[1]update kontrak'!E:K,6,FALSE)</f>
        <v>2467260000</v>
      </c>
      <c r="AH136" s="11" t="str">
        <f>VLOOKUP(L136,'[1]update kontrak'!E:K,7,FALSE)</f>
        <v>SPPBJ</v>
      </c>
      <c r="AI136" s="11" t="s">
        <v>58</v>
      </c>
      <c r="AJ136" s="11" t="str">
        <f>VLOOKUP(L136,[1]rekap!D:M,1,FALSE)</f>
        <v>Jetak</v>
      </c>
      <c r="AK136" s="11" t="str">
        <f>VLOOKUP(L136,'[1]singkron data'!D:E,2,FALSE)</f>
        <v>PT. Gora Cipta Sarana</v>
      </c>
      <c r="AL136" s="11" t="str">
        <f>VLOOKUP(L136,'[1]update 521'!D:D,1,FALSE)</f>
        <v>Jetak</v>
      </c>
      <c r="AM136" s="11" t="s">
        <v>57</v>
      </c>
      <c r="AN136" s="17">
        <f>VLOOKUP(L136,[1]Sheet19!E:L,8,FALSE)</f>
        <v>2467260000</v>
      </c>
      <c r="AO136" s="11" t="str">
        <f>VLOOKUP(L136,[1]Sheet19!E:K,7,FALSE)</f>
        <v>KONTRAK</v>
      </c>
      <c r="AP136" s="12" t="s">
        <v>41</v>
      </c>
    </row>
    <row r="137" spans="1:42" ht="15" x14ac:dyDescent="0.2">
      <c r="A137" s="8" t="s">
        <v>42</v>
      </c>
      <c r="B137" s="9" t="s">
        <v>43</v>
      </c>
      <c r="C137" s="9">
        <v>971</v>
      </c>
      <c r="D137" s="9" t="s">
        <v>284</v>
      </c>
      <c r="E137" s="9">
        <v>59</v>
      </c>
      <c r="F137" s="9" t="s">
        <v>389</v>
      </c>
      <c r="G137" s="9" t="s">
        <v>301</v>
      </c>
      <c r="H137" s="9" t="s">
        <v>287</v>
      </c>
      <c r="I137" s="9" t="s">
        <v>390</v>
      </c>
      <c r="J137" s="9" t="s">
        <v>391</v>
      </c>
      <c r="K137" s="9" t="s">
        <v>392</v>
      </c>
      <c r="L137" s="10" t="s">
        <v>392</v>
      </c>
      <c r="M137" s="9" t="s">
        <v>65</v>
      </c>
      <c r="N137" s="9">
        <v>3600</v>
      </c>
      <c r="O137" s="9">
        <v>30</v>
      </c>
      <c r="P137" s="14">
        <v>1000</v>
      </c>
      <c r="Q137" s="14">
        <v>1030</v>
      </c>
      <c r="R137" s="9" t="s">
        <v>393</v>
      </c>
      <c r="S137" s="9">
        <v>-7.7129269999999996</v>
      </c>
      <c r="T137" s="9">
        <v>109.386231</v>
      </c>
      <c r="U137" s="9" t="s">
        <v>52</v>
      </c>
      <c r="V137" s="11" t="str">
        <f>VLOOKUP(L137,'[1]singkron data'!D:E,2,FALSE)</f>
        <v>PT. AMI Kamena Jaya</v>
      </c>
      <c r="W137" s="13">
        <f>VLOOKUP(L137,'[1]data 1129'!F:H,3,FALSE)</f>
        <v>5500000000</v>
      </c>
      <c r="X137" s="11" t="s">
        <v>55</v>
      </c>
      <c r="Y137" s="11" t="str">
        <f>VLOOKUP(L137,'[1]singkron data'!D:H,5,FALSE)</f>
        <v>Jakarta</v>
      </c>
      <c r="Z137" s="11" t="str">
        <f>VLOOKUP(L137,'[1]singkron data'!D:I,6,FALSE)</f>
        <v>Online</v>
      </c>
      <c r="AA137" s="11" t="str">
        <f>VLOOKUP(L137,'[1]singkron data'!D:L,9,FALSE)</f>
        <v>081210805888/agus tobing</v>
      </c>
      <c r="AB137" s="11" t="s">
        <v>54</v>
      </c>
      <c r="AC137" s="11" t="str">
        <f>VLOOKUP(L137,'[1]singkron data'!D:M,10,FALSE)</f>
        <v>TK</v>
      </c>
      <c r="AD137" s="11" t="str">
        <f>VLOOKUP(L137,'[1]data 1129'!F:O,10,FALSE)</f>
        <v>Tahap I 208</v>
      </c>
      <c r="AE137" s="11" t="str">
        <f>VLOOKUP(L137,'[1]singkron data'!D:P,13,FALSE)</f>
        <v>sudah</v>
      </c>
      <c r="AF137" s="11" t="s">
        <v>55</v>
      </c>
      <c r="AG137" s="11" t="e">
        <f>VLOOKUP(L137,'[1]update kontrak'!E:K,6,FALSE)</f>
        <v>#N/A</v>
      </c>
      <c r="AH137" s="11" t="e">
        <f>VLOOKUP(L137,'[1]update kontrak'!E:K,7,FALSE)</f>
        <v>#N/A</v>
      </c>
      <c r="AI137" s="11" t="s">
        <v>58</v>
      </c>
      <c r="AJ137" s="11" t="str">
        <f>VLOOKUP(L137,[1]rekap!D:M,1,FALSE)</f>
        <v>Jetis</v>
      </c>
      <c r="AK137" s="11" t="str">
        <f>VLOOKUP(L137,'[1]singkron data'!D:E,2,FALSE)</f>
        <v>PT. AMI Kamena Jaya</v>
      </c>
      <c r="AL137" s="11" t="str">
        <f>VLOOKUP(L137,'[1]update 521'!D:D,1,FALSE)</f>
        <v>Jetis</v>
      </c>
      <c r="AM137" s="11" t="s">
        <v>57</v>
      </c>
      <c r="AN137" s="11" t="e">
        <f>VLOOKUP(L137,[1]Sheet19!E:L,8,FALSE)</f>
        <v>#N/A</v>
      </c>
      <c r="AO137" s="11" t="s">
        <v>58</v>
      </c>
      <c r="AP137" s="12"/>
    </row>
    <row r="138" spans="1:42" ht="15" x14ac:dyDescent="0.2">
      <c r="A138" s="21" t="s">
        <v>42</v>
      </c>
      <c r="B138" s="22" t="s">
        <v>43</v>
      </c>
      <c r="C138" s="22">
        <v>972</v>
      </c>
      <c r="D138" s="22" t="s">
        <v>284</v>
      </c>
      <c r="E138" s="22">
        <v>60</v>
      </c>
      <c r="F138" s="22" t="s">
        <v>389</v>
      </c>
      <c r="G138" s="22" t="s">
        <v>301</v>
      </c>
      <c r="H138" s="22" t="s">
        <v>287</v>
      </c>
      <c r="I138" s="22" t="s">
        <v>394</v>
      </c>
      <c r="J138" s="22" t="s">
        <v>395</v>
      </c>
      <c r="K138" s="22" t="s">
        <v>396</v>
      </c>
      <c r="L138" s="22" t="s">
        <v>396</v>
      </c>
      <c r="M138" s="22" t="s">
        <v>51</v>
      </c>
      <c r="N138" s="22">
        <v>370</v>
      </c>
      <c r="O138" s="22" t="s">
        <v>72</v>
      </c>
      <c r="P138" s="22">
        <v>156</v>
      </c>
      <c r="Q138" s="22">
        <v>156</v>
      </c>
      <c r="R138" s="22" t="s">
        <v>397</v>
      </c>
      <c r="S138" s="22">
        <v>-7.7309450000000002</v>
      </c>
      <c r="T138" s="22">
        <v>109.395105</v>
      </c>
      <c r="U138" s="22" t="s">
        <v>52</v>
      </c>
      <c r="V138" s="25" t="str">
        <f>VLOOKUP(L138,'[1]singkron data'!D:E,2,FALSE)</f>
        <v>PT. Akusara Reksa Mulia</v>
      </c>
      <c r="W138" s="24">
        <f>VLOOKUP(L138,'[1]data 1129'!F:H,3,FALSE)</f>
        <v>2314000000</v>
      </c>
      <c r="X138" s="11" t="s">
        <v>55</v>
      </c>
      <c r="Y138" s="25" t="str">
        <f>VLOOKUP(L138,'[1]singkron data'!D:H,5,FALSE)</f>
        <v>Tangerang</v>
      </c>
      <c r="Z138" s="25" t="str">
        <f>VLOOKUP(L138,'[1]singkron data'!D:I,6,FALSE)</f>
        <v>Offline</v>
      </c>
      <c r="AA138" s="25">
        <f>VLOOKUP(L138,'[1]singkron data'!D:L,9,FALSE)</f>
        <v>0</v>
      </c>
      <c r="AB138" s="25" t="s">
        <v>54</v>
      </c>
      <c r="AC138" s="25" t="s">
        <v>398</v>
      </c>
      <c r="AD138" s="25" t="str">
        <f>VLOOKUP(L138,'[1]data 1129'!F:O,10,FALSE)</f>
        <v>Tahap I 208</v>
      </c>
      <c r="AE138" s="25" t="s">
        <v>399</v>
      </c>
      <c r="AF138" s="11" t="s">
        <v>55</v>
      </c>
      <c r="AG138" s="26">
        <f>VLOOKUP(L138,'[1]update kontrak'!E:K,6,FALSE)</f>
        <v>3762076000</v>
      </c>
      <c r="AH138" s="25" t="str">
        <f>VLOOKUP(L138,'[1]update kontrak'!E:K,7,FALSE)</f>
        <v>KONTRAK</v>
      </c>
      <c r="AI138" s="25" t="s">
        <v>41</v>
      </c>
      <c r="AJ138" s="25" t="str">
        <f>VLOOKUP(L138,[1]rekap!D:M,1,FALSE)</f>
        <v>Argopeni</v>
      </c>
      <c r="AK138" s="25" t="str">
        <f>VLOOKUP(L138,'[1]singkron data'!D:E,2,FALSE)</f>
        <v>PT. Akusara Reksa Mulia</v>
      </c>
      <c r="AL138" s="25" t="str">
        <f>VLOOKUP(L138,'[1]update 521'!D:D,1,FALSE)</f>
        <v>Argopeni</v>
      </c>
      <c r="AM138" s="25" t="s">
        <v>337</v>
      </c>
      <c r="AN138" s="17">
        <f>VLOOKUP(L138,[1]Sheet19!E:L,8,FALSE)</f>
        <v>3762076000</v>
      </c>
      <c r="AO138" s="11" t="str">
        <f>VLOOKUP(L138,[1]Sheet19!E:K,7,FALSE)</f>
        <v>KONTRAK</v>
      </c>
      <c r="AP138" s="12" t="s">
        <v>41</v>
      </c>
    </row>
    <row r="139" spans="1:42" ht="15" x14ac:dyDescent="0.2">
      <c r="A139" s="8" t="s">
        <v>42</v>
      </c>
      <c r="B139" s="9" t="s">
        <v>43</v>
      </c>
      <c r="C139" s="9">
        <v>975</v>
      </c>
      <c r="D139" s="9" t="s">
        <v>284</v>
      </c>
      <c r="E139" s="9">
        <v>63</v>
      </c>
      <c r="F139" s="9" t="s">
        <v>389</v>
      </c>
      <c r="G139" s="9" t="s">
        <v>301</v>
      </c>
      <c r="H139" s="9" t="s">
        <v>287</v>
      </c>
      <c r="I139" s="9" t="s">
        <v>394</v>
      </c>
      <c r="J139" s="9" t="s">
        <v>395</v>
      </c>
      <c r="K139" s="9" t="s">
        <v>400</v>
      </c>
      <c r="L139" s="10" t="s">
        <v>400</v>
      </c>
      <c r="M139" s="9" t="s">
        <v>51</v>
      </c>
      <c r="N139" s="9">
        <v>505</v>
      </c>
      <c r="O139" s="9">
        <v>17</v>
      </c>
      <c r="P139" s="9">
        <v>365</v>
      </c>
      <c r="Q139" s="9">
        <v>382</v>
      </c>
      <c r="R139" s="9">
        <v>4.0999999999999996</v>
      </c>
      <c r="S139" s="9">
        <v>-7.7666703000000004</v>
      </c>
      <c r="T139" s="9">
        <v>109.4371914</v>
      </c>
      <c r="U139" s="9" t="s">
        <v>52</v>
      </c>
      <c r="V139" s="11" t="str">
        <f>VLOOKUP(L139,'[1]singkron data'!D:E,2,FALSE)</f>
        <v>CV. Alkomber Karya</v>
      </c>
      <c r="W139" s="13">
        <f>VLOOKUP(L139,'[1]data 1129'!F:H,3,FALSE)</f>
        <v>3985949254</v>
      </c>
      <c r="X139" s="11" t="s">
        <v>55</v>
      </c>
      <c r="Y139" s="11" t="str">
        <f>VLOOKUP(L139,'[1]singkron data'!D:H,5,FALSE)</f>
        <v>Surabaya</v>
      </c>
      <c r="Z139" s="11" t="str">
        <f>VLOOKUP(L139,'[1]singkron data'!D:I,6,FALSE)</f>
        <v>Online</v>
      </c>
      <c r="AA139" s="11" t="str">
        <f>VLOOKUP(L139,'[1]singkron data'!D:L,9,FALSE)</f>
        <v>081286452407/prio</v>
      </c>
      <c r="AB139" s="11" t="s">
        <v>54</v>
      </c>
      <c r="AC139" s="11" t="str">
        <f>VLOOKUP(L139,'[1]singkron data'!D:M,10,FALSE)</f>
        <v>g</v>
      </c>
      <c r="AD139" s="11" t="str">
        <f>VLOOKUP(L139,'[1]data 1129'!F:O,10,FALSE)</f>
        <v>Tahap I 208</v>
      </c>
      <c r="AE139" s="11" t="str">
        <f>VLOOKUP(L139,'[1]singkron data'!D:P,13,FALSE)</f>
        <v>sudah</v>
      </c>
      <c r="AF139" s="11" t="s">
        <v>55</v>
      </c>
      <c r="AG139" s="11" t="e">
        <f>VLOOKUP(L139,'[1]update kontrak'!E:K,6,FALSE)</f>
        <v>#N/A</v>
      </c>
      <c r="AH139" s="11" t="e">
        <f>VLOOKUP(L139,'[1]update kontrak'!E:K,7,FALSE)</f>
        <v>#N/A</v>
      </c>
      <c r="AI139" s="11" t="s">
        <v>58</v>
      </c>
      <c r="AJ139" s="11" t="str">
        <f>VLOOKUP(L139,[1]rekap!D:M,1,FALSE)</f>
        <v>Pasir</v>
      </c>
      <c r="AK139" s="11" t="str">
        <f>VLOOKUP(L139,'[1]singkron data'!D:E,2,FALSE)</f>
        <v>CV. Alkomber Karya</v>
      </c>
      <c r="AL139" s="11" t="str">
        <f>VLOOKUP(L139,'[1]update 521'!D:D,1,FALSE)</f>
        <v>Pasir</v>
      </c>
      <c r="AM139" s="11" t="s">
        <v>57</v>
      </c>
      <c r="AN139" s="11" t="e">
        <f>VLOOKUP(L139,[1]Sheet19!E:L,8,FALSE)</f>
        <v>#N/A</v>
      </c>
      <c r="AO139" s="11" t="s">
        <v>58</v>
      </c>
      <c r="AP139" s="12"/>
    </row>
    <row r="140" spans="1:42" ht="15" x14ac:dyDescent="0.2">
      <c r="A140" s="8" t="s">
        <v>42</v>
      </c>
      <c r="B140" s="9" t="s">
        <v>43</v>
      </c>
      <c r="C140" s="9">
        <v>976</v>
      </c>
      <c r="D140" s="9" t="s">
        <v>284</v>
      </c>
      <c r="E140" s="9">
        <v>64</v>
      </c>
      <c r="F140" s="9" t="s">
        <v>401</v>
      </c>
      <c r="G140" s="9" t="s">
        <v>301</v>
      </c>
      <c r="H140" s="9" t="s">
        <v>287</v>
      </c>
      <c r="I140" s="9" t="s">
        <v>394</v>
      </c>
      <c r="J140" s="9" t="s">
        <v>402</v>
      </c>
      <c r="K140" s="9" t="s">
        <v>403</v>
      </c>
      <c r="L140" s="10" t="s">
        <v>403</v>
      </c>
      <c r="M140" s="9" t="s">
        <v>51</v>
      </c>
      <c r="N140" s="9">
        <v>122</v>
      </c>
      <c r="O140" s="9">
        <v>18</v>
      </c>
      <c r="P140" s="9">
        <v>98</v>
      </c>
      <c r="Q140" s="9">
        <v>116</v>
      </c>
      <c r="R140" s="9" t="s">
        <v>404</v>
      </c>
      <c r="S140" s="9">
        <v>-7.7801489999999998</v>
      </c>
      <c r="T140" s="9">
        <v>109.622117</v>
      </c>
      <c r="U140" s="9" t="s">
        <v>52</v>
      </c>
      <c r="V140" s="20" t="str">
        <f>VLOOKUP(L140,'[1]singkron data'!D:E,2,FALSE)</f>
        <v>CV. Javanesia</v>
      </c>
      <c r="W140" s="13">
        <f>VLOOKUP(L140,'[1]data 1129'!F:H,3,FALSE)</f>
        <v>2687822000</v>
      </c>
      <c r="X140" s="11" t="s">
        <v>55</v>
      </c>
      <c r="Y140" s="11">
        <f>VLOOKUP(L140,'[1]singkron data'!D:H,5,FALSE)</f>
        <v>0</v>
      </c>
      <c r="Z140" s="11">
        <f>VLOOKUP(L140,'[1]singkron data'!D:I,6,FALSE)</f>
        <v>0</v>
      </c>
      <c r="AA140" s="11">
        <f>VLOOKUP(L140,'[1]singkron data'!D:L,9,FALSE)</f>
        <v>87729472594</v>
      </c>
      <c r="AB140" s="11" t="s">
        <v>54</v>
      </c>
      <c r="AC140" s="11" t="str">
        <f>VLOOKUP(L140,'[1]singkron data'!D:M,10,FALSE)</f>
        <v>Sandi</v>
      </c>
      <c r="AD140" s="11" t="str">
        <f>VLOOKUP(L140,'[1]data 1129'!F:O,10,FALSE)</f>
        <v>Tahap I 208</v>
      </c>
      <c r="AE140" s="11" t="str">
        <f>VLOOKUP(L140,'[1]singkron data'!D:P,13,FALSE)</f>
        <v>sudah</v>
      </c>
      <c r="AF140" s="11" t="s">
        <v>55</v>
      </c>
      <c r="AG140" s="17">
        <f>VLOOKUP(L140,'[1]update kontrak'!E:K,6,FALSE)</f>
        <v>2536149000</v>
      </c>
      <c r="AH140" s="11" t="str">
        <f>VLOOKUP(L140,'[1]update kontrak'!E:K,7,FALSE)</f>
        <v>KONTRAK</v>
      </c>
      <c r="AI140" s="11" t="s">
        <v>41</v>
      </c>
      <c r="AJ140" s="11" t="str">
        <f>VLOOKUP(L140,[1]rekap!D:M,1,FALSE)</f>
        <v>Tanggulangin</v>
      </c>
      <c r="AK140" s="11" t="str">
        <f>VLOOKUP(L140,'[1]singkron data'!D:E,2,FALSE)</f>
        <v>CV. Javanesia</v>
      </c>
      <c r="AL140" s="11" t="str">
        <f>VLOOKUP(L140,'[1]update 521'!D:D,1,FALSE)</f>
        <v>Tanggulangin</v>
      </c>
      <c r="AM140" s="11" t="s">
        <v>57</v>
      </c>
      <c r="AN140" s="17">
        <f>VLOOKUP(L140,[1]Sheet19!E:L,8,FALSE)</f>
        <v>2536149000</v>
      </c>
      <c r="AO140" s="11" t="str">
        <f>VLOOKUP(L140,[1]Sheet19!E:K,7,FALSE)</f>
        <v>KONTRAK</v>
      </c>
      <c r="AP140" s="12" t="s">
        <v>41</v>
      </c>
    </row>
    <row r="141" spans="1:42" ht="15" x14ac:dyDescent="0.2">
      <c r="A141" s="8" t="s">
        <v>42</v>
      </c>
      <c r="B141" s="9" t="s">
        <v>43</v>
      </c>
      <c r="C141" s="9">
        <v>985</v>
      </c>
      <c r="D141" s="9" t="s">
        <v>284</v>
      </c>
      <c r="E141" s="9">
        <v>73</v>
      </c>
      <c r="F141" s="9" t="s">
        <v>405</v>
      </c>
      <c r="G141" s="9" t="s">
        <v>297</v>
      </c>
      <c r="H141" s="9" t="s">
        <v>287</v>
      </c>
      <c r="I141" s="9" t="s">
        <v>406</v>
      </c>
      <c r="J141" s="9" t="s">
        <v>407</v>
      </c>
      <c r="K141" s="9" t="s">
        <v>408</v>
      </c>
      <c r="L141" s="10" t="s">
        <v>408</v>
      </c>
      <c r="M141" s="9" t="s">
        <v>81</v>
      </c>
      <c r="N141" s="9">
        <v>9000</v>
      </c>
      <c r="O141" s="9" t="s">
        <v>72</v>
      </c>
      <c r="P141" s="9">
        <v>350</v>
      </c>
      <c r="Q141" s="9">
        <v>350</v>
      </c>
      <c r="R141" s="9">
        <v>0.5</v>
      </c>
      <c r="S141" s="9">
        <v>-8.4324650000000005</v>
      </c>
      <c r="T141" s="9">
        <v>114.341084</v>
      </c>
      <c r="U141" s="9" t="s">
        <v>52</v>
      </c>
      <c r="V141" s="11" t="str">
        <f>VLOOKUP(L141,'[1]singkron data'!D:E,2,FALSE)</f>
        <v>CV. Megah Makmur Konstruksi</v>
      </c>
      <c r="W141" s="13">
        <f>VLOOKUP(L141,'[1]data 1129'!F:H,3,FALSE)</f>
        <v>2551998000</v>
      </c>
      <c r="X141" s="11" t="s">
        <v>55</v>
      </c>
      <c r="Y141" s="11">
        <f>VLOOKUP(L141,'[1]singkron data'!D:H,5,FALSE)</f>
        <v>0</v>
      </c>
      <c r="Z141" s="11" t="str">
        <f>VLOOKUP(L141,'[1]singkron data'!D:I,6,FALSE)</f>
        <v>Offline</v>
      </c>
      <c r="AA141" s="11" t="str">
        <f>VLOOKUP(L141,'[1]singkron data'!D:L,9,FALSE)</f>
        <v>081399744929/ajeng</v>
      </c>
      <c r="AB141" s="11" t="s">
        <v>54</v>
      </c>
      <c r="AC141" s="11" t="str">
        <f>VLOOKUP(L141,'[1]singkron data'!D:M,10,FALSE)</f>
        <v>g</v>
      </c>
      <c r="AD141" s="11" t="str">
        <f>VLOOKUP(L141,'[1]data 1129'!F:O,10,FALSE)</f>
        <v>Tahap I 208</v>
      </c>
      <c r="AE141" s="11" t="str">
        <f>VLOOKUP(L141,'[1]singkron data'!D:P,13,FALSE)</f>
        <v>sudah</v>
      </c>
      <c r="AF141" s="11" t="s">
        <v>55</v>
      </c>
      <c r="AG141" s="17">
        <f>VLOOKUP(L141,'[1]update kontrak'!E:K,6,FALSE)</f>
        <v>2781044000</v>
      </c>
      <c r="AH141" s="11" t="str">
        <f>VLOOKUP(L141,'[1]update kontrak'!E:K,7,FALSE)</f>
        <v>SPPBJ</v>
      </c>
      <c r="AI141" s="11" t="s">
        <v>58</v>
      </c>
      <c r="AJ141" s="11" t="str">
        <f>VLOOKUP(L141,[1]rekap!D:M,1,FALSE)</f>
        <v>Kedungrejo</v>
      </c>
      <c r="AK141" s="11" t="str">
        <f>VLOOKUP(L141,'[1]singkron data'!D:E,2,FALSE)</f>
        <v>CV. Megah Makmur Konstruksi</v>
      </c>
      <c r="AL141" s="11" t="str">
        <f>VLOOKUP(L141,'[1]update 521'!D:D,1,FALSE)</f>
        <v>Kedungrejo</v>
      </c>
      <c r="AM141" s="11" t="s">
        <v>57</v>
      </c>
      <c r="AN141" s="17">
        <f>VLOOKUP(L141,[1]Sheet19!E:L,8,FALSE)</f>
        <v>2781044000</v>
      </c>
      <c r="AO141" s="11" t="str">
        <f>VLOOKUP(L141,[1]Sheet19!E:K,7,FALSE)</f>
        <v>KONTRAK</v>
      </c>
      <c r="AP141" s="12" t="s">
        <v>41</v>
      </c>
    </row>
    <row r="142" spans="1:42" ht="15" x14ac:dyDescent="0.2">
      <c r="A142" s="8" t="s">
        <v>42</v>
      </c>
      <c r="B142" s="9" t="s">
        <v>43</v>
      </c>
      <c r="C142" s="9">
        <v>986</v>
      </c>
      <c r="D142" s="9" t="s">
        <v>284</v>
      </c>
      <c r="E142" s="9">
        <v>74</v>
      </c>
      <c r="F142" s="9" t="s">
        <v>409</v>
      </c>
      <c r="G142" s="9" t="s">
        <v>323</v>
      </c>
      <c r="H142" s="9" t="s">
        <v>287</v>
      </c>
      <c r="I142" s="9" t="s">
        <v>410</v>
      </c>
      <c r="J142" s="9" t="s">
        <v>411</v>
      </c>
      <c r="K142" s="9" t="s">
        <v>409</v>
      </c>
      <c r="L142" s="9" t="s">
        <v>409</v>
      </c>
      <c r="M142" s="9" t="s">
        <v>65</v>
      </c>
      <c r="N142" s="9">
        <v>607</v>
      </c>
      <c r="O142" s="9">
        <v>100</v>
      </c>
      <c r="P142" s="14">
        <v>1000</v>
      </c>
      <c r="Q142" s="14">
        <v>1100</v>
      </c>
      <c r="R142" s="9">
        <v>0.4</v>
      </c>
      <c r="S142" s="9">
        <v>-5.9680590000000002</v>
      </c>
      <c r="T142" s="9">
        <v>106.303589</v>
      </c>
      <c r="U142" s="9" t="s">
        <v>52</v>
      </c>
      <c r="V142" s="11" t="str">
        <f>VLOOKUP(L142,'[1]singkron data'!D:E,2,FALSE)</f>
        <v>CV. Masa Barokah</v>
      </c>
      <c r="W142" s="13">
        <f>VLOOKUP(L142,'[1]data 1129'!F:H,3,FALSE)</f>
        <v>3043921000</v>
      </c>
      <c r="X142" s="11" t="s">
        <v>55</v>
      </c>
      <c r="Y142" s="11">
        <f>VLOOKUP(L142,'[1]singkron data'!D:H,5,FALSE)</f>
        <v>0</v>
      </c>
      <c r="Z142" s="11" t="str">
        <f>VLOOKUP(L142,'[1]singkron data'!D:I,6,FALSE)</f>
        <v>Online</v>
      </c>
      <c r="AA142" s="11" t="str">
        <f>VLOOKUP(L142,'[1]singkron data'!D:L,9,FALSE)</f>
        <v>081212846377/eko</v>
      </c>
      <c r="AB142" s="11" t="s">
        <v>54</v>
      </c>
      <c r="AC142" s="11" t="str">
        <f>VLOOKUP(L142,'[1]singkron data'!D:M,10,FALSE)</f>
        <v>TK ganti perusahaan kecil karena pagu dibawah 15 miliar</v>
      </c>
      <c r="AD142" s="11" t="str">
        <f>VLOOKUP(L142,'[1]data 1129'!F:O,10,FALSE)</f>
        <v>Tahap I 208</v>
      </c>
      <c r="AE142" s="11" t="str">
        <f>VLOOKUP(L142,'[1]singkron data'!D:P,13,FALSE)</f>
        <v>sudah</v>
      </c>
      <c r="AF142" s="11" t="s">
        <v>55</v>
      </c>
      <c r="AG142" s="11" t="e">
        <f>VLOOKUP(L142,'[1]update kontrak'!E:K,6,FALSE)</f>
        <v>#N/A</v>
      </c>
      <c r="AH142" s="11" t="e">
        <f>VLOOKUP(L142,'[1]update kontrak'!E:K,7,FALSE)</f>
        <v>#N/A</v>
      </c>
      <c r="AI142" s="11" t="s">
        <v>58</v>
      </c>
      <c r="AJ142" s="11" t="str">
        <f>VLOOKUP(L142,[1]rekap!D:M,1,FALSE)</f>
        <v>Lontar</v>
      </c>
      <c r="AK142" s="11" t="str">
        <f>VLOOKUP(L142,'[1]singkron data'!D:E,2,FALSE)</f>
        <v>CV. Masa Barokah</v>
      </c>
      <c r="AL142" s="11" t="str">
        <f>VLOOKUP(L142,'[1]update 521'!D:D,1,FALSE)</f>
        <v>Lontar</v>
      </c>
      <c r="AM142" s="11" t="s">
        <v>57</v>
      </c>
      <c r="AN142" s="11" t="e">
        <f>VLOOKUP(L142,[1]Sheet19!E:L,8,FALSE)</f>
        <v>#N/A</v>
      </c>
      <c r="AO142" s="11" t="s">
        <v>58</v>
      </c>
      <c r="AP142" s="12"/>
    </row>
    <row r="143" spans="1:42" ht="15" x14ac:dyDescent="0.2">
      <c r="A143" s="8" t="s">
        <v>42</v>
      </c>
      <c r="B143" s="9" t="s">
        <v>43</v>
      </c>
      <c r="C143" s="9">
        <v>988</v>
      </c>
      <c r="D143" s="9" t="s">
        <v>284</v>
      </c>
      <c r="E143" s="9">
        <v>76</v>
      </c>
      <c r="F143" s="9" t="s">
        <v>409</v>
      </c>
      <c r="G143" s="9" t="s">
        <v>323</v>
      </c>
      <c r="H143" s="9" t="s">
        <v>287</v>
      </c>
      <c r="I143" s="9" t="s">
        <v>412</v>
      </c>
      <c r="J143" s="9" t="s">
        <v>413</v>
      </c>
      <c r="K143" s="9" t="s">
        <v>414</v>
      </c>
      <c r="L143" s="9" t="s">
        <v>414</v>
      </c>
      <c r="M143" s="9" t="s">
        <v>51</v>
      </c>
      <c r="N143" s="9">
        <v>580</v>
      </c>
      <c r="O143" s="9" t="s">
        <v>72</v>
      </c>
      <c r="P143" s="9">
        <v>250</v>
      </c>
      <c r="Q143" s="9">
        <v>250</v>
      </c>
      <c r="R143" s="9">
        <v>0.38</v>
      </c>
      <c r="S143" s="9">
        <v>-6.0386632000000002</v>
      </c>
      <c r="T143" s="9">
        <v>106.51037839999999</v>
      </c>
      <c r="U143" s="9" t="s">
        <v>52</v>
      </c>
      <c r="V143" s="11" t="str">
        <f>VLOOKUP(L143,'[1]singkron data'!D:E,2,FALSE)</f>
        <v>CV. Putra Jaya Semesta</v>
      </c>
      <c r="W143" s="13">
        <f>VLOOKUP(L143,'[1]data 1129'!F:H,3,FALSE)</f>
        <v>1664437000</v>
      </c>
      <c r="X143" s="11" t="s">
        <v>55</v>
      </c>
      <c r="Y143" s="11" t="str">
        <f>VLOOKUP(L143,'[1]singkron data'!D:H,5,FALSE)</f>
        <v>Pangkalpinang</v>
      </c>
      <c r="Z143" s="11" t="str">
        <f>VLOOKUP(L143,'[1]singkron data'!D:I,6,FALSE)</f>
        <v>Online</v>
      </c>
      <c r="AA143" s="11" t="str">
        <f>VLOOKUP(L143,'[1]singkron data'!D:L,9,FALSE)</f>
        <v>81326939749/ putrajayapkp@gmail.com</v>
      </c>
      <c r="AB143" s="11" t="s">
        <v>54</v>
      </c>
      <c r="AC143" s="11">
        <f>VLOOKUP(L143,'[1]singkron data'!D:M,10,FALSE)</f>
        <v>0</v>
      </c>
      <c r="AD143" s="11" t="str">
        <f>VLOOKUP(L143,'[1]data 1129'!F:O,10,FALSE)</f>
        <v>Tahap III 166</v>
      </c>
      <c r="AE143" s="11" t="str">
        <f>VLOOKUP(L143,'[1]singkron data'!D:P,13,FALSE)</f>
        <v>sudah</v>
      </c>
      <c r="AF143" s="11" t="s">
        <v>55</v>
      </c>
      <c r="AG143" s="17">
        <f>VLOOKUP(L143,'[1]update kontrak'!E:K,6,FALSE)</f>
        <v>2336710000</v>
      </c>
      <c r="AH143" s="11" t="str">
        <f>VLOOKUP(L143,'[1]update kontrak'!E:K,7,FALSE)</f>
        <v>KONTRAK</v>
      </c>
      <c r="AI143" s="11" t="s">
        <v>41</v>
      </c>
      <c r="AJ143" s="11" t="str">
        <f>VLOOKUP(L143,[1]rekap!D:M,1,FALSE)</f>
        <v>Ketapang</v>
      </c>
      <c r="AK143" s="11" t="str">
        <f>VLOOKUP(L143,'[1]singkron data'!D:E,2,FALSE)</f>
        <v>CV. Putra Jaya Semesta</v>
      </c>
      <c r="AL143" s="11" t="str">
        <f>VLOOKUP(L143,'[1]update 521'!D:D,1,FALSE)</f>
        <v>Ketapang</v>
      </c>
      <c r="AM143" s="11" t="s">
        <v>57</v>
      </c>
      <c r="AN143" s="17">
        <f>VLOOKUP(L143,[1]Sheet19!E:L,8,FALSE)</f>
        <v>2336710000</v>
      </c>
      <c r="AO143" s="11" t="str">
        <f>VLOOKUP(L143,[1]Sheet19!E:K,7,FALSE)</f>
        <v>KONTRAK</v>
      </c>
      <c r="AP143" s="12" t="s">
        <v>41</v>
      </c>
    </row>
    <row r="144" spans="1:42" ht="15" x14ac:dyDescent="0.2">
      <c r="A144" s="8" t="s">
        <v>42</v>
      </c>
      <c r="B144" s="9" t="s">
        <v>43</v>
      </c>
      <c r="C144" s="9">
        <v>989</v>
      </c>
      <c r="D144" s="9" t="s">
        <v>284</v>
      </c>
      <c r="E144" s="9">
        <v>77</v>
      </c>
      <c r="F144" s="9" t="s">
        <v>409</v>
      </c>
      <c r="G144" s="9" t="s">
        <v>323</v>
      </c>
      <c r="H144" s="9" t="s">
        <v>287</v>
      </c>
      <c r="I144" s="9" t="s">
        <v>412</v>
      </c>
      <c r="J144" s="9" t="s">
        <v>415</v>
      </c>
      <c r="K144" s="9" t="s">
        <v>409</v>
      </c>
      <c r="L144" s="9" t="s">
        <v>409</v>
      </c>
      <c r="M144" s="9" t="s">
        <v>51</v>
      </c>
      <c r="N144" s="9">
        <v>500</v>
      </c>
      <c r="O144" s="9" t="s">
        <v>72</v>
      </c>
      <c r="P144" s="9">
        <v>95</v>
      </c>
      <c r="Q144" s="9">
        <v>95</v>
      </c>
      <c r="R144" s="9">
        <v>1</v>
      </c>
      <c r="S144" s="9">
        <v>-6.0611940000000004</v>
      </c>
      <c r="T144" s="9">
        <v>106.44974999999999</v>
      </c>
      <c r="U144" s="9" t="s">
        <v>52</v>
      </c>
      <c r="V144" s="11" t="str">
        <f>VLOOKUP(L144,'[1]singkron data'!D:E,2,FALSE)</f>
        <v>CV. Masa Barokah</v>
      </c>
      <c r="W144" s="13">
        <f>VLOOKUP(L144,'[1]data 1129'!F:H,3,FALSE)</f>
        <v>3043921000</v>
      </c>
      <c r="X144" s="11" t="s">
        <v>55</v>
      </c>
      <c r="Y144" s="11">
        <f>VLOOKUP(L144,'[1]singkron data'!D:H,5,FALSE)</f>
        <v>0</v>
      </c>
      <c r="Z144" s="11" t="str">
        <f>VLOOKUP(L144,'[1]singkron data'!D:I,6,FALSE)</f>
        <v>Online</v>
      </c>
      <c r="AA144" s="11" t="str">
        <f>VLOOKUP(L144,'[1]singkron data'!D:L,9,FALSE)</f>
        <v>081212846377/eko</v>
      </c>
      <c r="AB144" s="11" t="s">
        <v>54</v>
      </c>
      <c r="AC144" s="11" t="str">
        <f>VLOOKUP(L144,'[1]singkron data'!D:M,10,FALSE)</f>
        <v>TK ganti perusahaan kecil karena pagu dibawah 15 miliar</v>
      </c>
      <c r="AD144" s="11" t="str">
        <f>VLOOKUP(L144,'[1]data 1129'!F:O,10,FALSE)</f>
        <v>Tahap I 208</v>
      </c>
      <c r="AE144" s="11" t="str">
        <f>VLOOKUP(L144,'[1]singkron data'!D:P,13,FALSE)</f>
        <v>sudah</v>
      </c>
      <c r="AF144" s="11" t="s">
        <v>55</v>
      </c>
      <c r="AG144" s="11" t="e">
        <f>VLOOKUP(L144,'[1]update kontrak'!E:K,6,FALSE)</f>
        <v>#N/A</v>
      </c>
      <c r="AH144" s="11" t="e">
        <f>VLOOKUP(L144,'[1]update kontrak'!E:K,7,FALSE)</f>
        <v>#N/A</v>
      </c>
      <c r="AI144" s="11" t="s">
        <v>58</v>
      </c>
      <c r="AJ144" s="11" t="str">
        <f>VLOOKUP(L144,[1]rekap!D:M,1,FALSE)</f>
        <v>Lontar</v>
      </c>
      <c r="AK144" s="11" t="str">
        <f>VLOOKUP(L144,'[1]singkron data'!D:E,2,FALSE)</f>
        <v>CV. Masa Barokah</v>
      </c>
      <c r="AL144" s="11" t="str">
        <f>VLOOKUP(L144,'[1]update 521'!D:D,1,FALSE)</f>
        <v>Lontar</v>
      </c>
      <c r="AM144" s="11" t="s">
        <v>57</v>
      </c>
      <c r="AN144" s="11" t="e">
        <f>VLOOKUP(L144,[1]Sheet19!E:L,8,FALSE)</f>
        <v>#N/A</v>
      </c>
      <c r="AO144" s="11" t="s">
        <v>58</v>
      </c>
      <c r="AP144" s="12"/>
    </row>
    <row r="145" spans="1:42" ht="15" x14ac:dyDescent="0.2">
      <c r="A145" s="8" t="s">
        <v>42</v>
      </c>
      <c r="B145" s="9" t="s">
        <v>43</v>
      </c>
      <c r="C145" s="9">
        <v>990</v>
      </c>
      <c r="D145" s="9" t="s">
        <v>284</v>
      </c>
      <c r="E145" s="9">
        <v>78</v>
      </c>
      <c r="F145" s="9" t="s">
        <v>409</v>
      </c>
      <c r="G145" s="9" t="s">
        <v>323</v>
      </c>
      <c r="H145" s="9" t="s">
        <v>287</v>
      </c>
      <c r="I145" s="9" t="s">
        <v>412</v>
      </c>
      <c r="J145" s="9" t="s">
        <v>413</v>
      </c>
      <c r="K145" s="9" t="s">
        <v>416</v>
      </c>
      <c r="L145" s="9" t="s">
        <v>416</v>
      </c>
      <c r="M145" s="9" t="s">
        <v>51</v>
      </c>
      <c r="N145" s="9">
        <v>585</v>
      </c>
      <c r="O145" s="9" t="s">
        <v>72</v>
      </c>
      <c r="P145" s="9">
        <v>289</v>
      </c>
      <c r="Q145" s="9">
        <v>289</v>
      </c>
      <c r="R145" s="9">
        <v>0.27</v>
      </c>
      <c r="S145" s="9">
        <v>-6.0143162999999999</v>
      </c>
      <c r="T145" s="9">
        <v>106.5392119</v>
      </c>
      <c r="U145" s="9" t="s">
        <v>52</v>
      </c>
      <c r="V145" s="11" t="str">
        <f>VLOOKUP(L145,'[1]singkron data'!D:E,2,FALSE)</f>
        <v>CV. Inti Perkasa</v>
      </c>
      <c r="W145" s="13">
        <f>VLOOKUP(L145,'[1]data 1129'!F:H,3,FALSE)</f>
        <v>2367488000</v>
      </c>
      <c r="X145" s="11" t="s">
        <v>55</v>
      </c>
      <c r="Y145" s="11" t="str">
        <f>VLOOKUP(L145,'[1]singkron data'!D:H,5,FALSE)</f>
        <v>Tangerang (Kecil)</v>
      </c>
      <c r="Z145" s="11" t="str">
        <f>VLOOKUP(L145,'[1]singkron data'!D:I,6,FALSE)</f>
        <v>Online</v>
      </c>
      <c r="AA145" s="11">
        <f>VLOOKUP(L145,'[1]singkron data'!D:L,9,FALSE)</f>
        <v>82311097406</v>
      </c>
      <c r="AB145" s="11" t="s">
        <v>54</v>
      </c>
      <c r="AC145" s="11" t="str">
        <f>VLOOKUP(L145,'[1]singkron data'!D:M,10,FALSE)</f>
        <v>Pandu (Baru)</v>
      </c>
      <c r="AD145" s="11" t="str">
        <f>VLOOKUP(L145,'[1]data 1129'!F:O,10,FALSE)</f>
        <v>Tahap I 208</v>
      </c>
      <c r="AE145" s="11" t="str">
        <f>VLOOKUP(L145,'[1]singkron data'!D:P,13,FALSE)</f>
        <v>sudah</v>
      </c>
      <c r="AF145" s="11" t="s">
        <v>55</v>
      </c>
      <c r="AG145" s="11" t="e">
        <f>VLOOKUP(L145,'[1]update kontrak'!E:K,6,FALSE)</f>
        <v>#N/A</v>
      </c>
      <c r="AH145" s="11" t="e">
        <f>VLOOKUP(L145,'[1]update kontrak'!E:K,7,FALSE)</f>
        <v>#N/A</v>
      </c>
      <c r="AI145" s="11" t="s">
        <v>58</v>
      </c>
      <c r="AJ145" s="11" t="str">
        <f>VLOOKUP(L145,[1]rekap!D:M,1,FALSE)</f>
        <v>Tanjung Anom</v>
      </c>
      <c r="AK145" s="11" t="str">
        <f>VLOOKUP(L145,'[1]singkron data'!D:E,2,FALSE)</f>
        <v>CV. Inti Perkasa</v>
      </c>
      <c r="AL145" s="11" t="str">
        <f>VLOOKUP(L145,'[1]update 521'!D:D,1,FALSE)</f>
        <v>Tanjung Anom</v>
      </c>
      <c r="AM145" s="11" t="s">
        <v>57</v>
      </c>
      <c r="AN145" s="11" t="e">
        <f>VLOOKUP(L145,[1]Sheet19!E:L,8,FALSE)</f>
        <v>#N/A</v>
      </c>
      <c r="AO145" s="11" t="s">
        <v>58</v>
      </c>
      <c r="AP145" s="12"/>
    </row>
    <row r="146" spans="1:42" ht="15" x14ac:dyDescent="0.2">
      <c r="A146" s="8" t="s">
        <v>42</v>
      </c>
      <c r="B146" s="9" t="s">
        <v>43</v>
      </c>
      <c r="C146" s="9">
        <v>991</v>
      </c>
      <c r="D146" s="9" t="s">
        <v>284</v>
      </c>
      <c r="E146" s="9">
        <v>79</v>
      </c>
      <c r="F146" s="9" t="s">
        <v>409</v>
      </c>
      <c r="G146" s="9" t="s">
        <v>323</v>
      </c>
      <c r="H146" s="9" t="s">
        <v>287</v>
      </c>
      <c r="I146" s="9" t="s">
        <v>410</v>
      </c>
      <c r="J146" s="9" t="s">
        <v>411</v>
      </c>
      <c r="K146" s="9" t="s">
        <v>417</v>
      </c>
      <c r="L146" s="9" t="s">
        <v>417</v>
      </c>
      <c r="M146" s="9" t="s">
        <v>51</v>
      </c>
      <c r="N146" s="9">
        <v>650</v>
      </c>
      <c r="O146" s="9" t="s">
        <v>72</v>
      </c>
      <c r="P146" s="9">
        <v>78</v>
      </c>
      <c r="Q146" s="9">
        <v>78</v>
      </c>
      <c r="R146" s="9">
        <v>1</v>
      </c>
      <c r="S146" s="9">
        <v>-5.9977777999999997</v>
      </c>
      <c r="T146" s="9">
        <v>106.3480556</v>
      </c>
      <c r="U146" s="9" t="s">
        <v>52</v>
      </c>
      <c r="V146" s="11" t="str">
        <f>VLOOKUP(L146,'[1]singkron data'!D:E,2,FALSE)</f>
        <v>CV. Masa Barokah</v>
      </c>
      <c r="W146" s="13">
        <f>VLOOKUP(L146,'[1]data 1129'!F:H,3,FALSE)</f>
        <v>3682852000</v>
      </c>
      <c r="X146" s="11" t="s">
        <v>55</v>
      </c>
      <c r="Y146" s="11">
        <f>VLOOKUP(L146,'[1]singkron data'!D:H,5,FALSE)</f>
        <v>0</v>
      </c>
      <c r="Z146" s="11" t="str">
        <f>VLOOKUP(L146,'[1]singkron data'!D:I,6,FALSE)</f>
        <v>Online</v>
      </c>
      <c r="AA146" s="11" t="str">
        <f>VLOOKUP(L146,'[1]singkron data'!D:L,9,FALSE)</f>
        <v>081212846377/eko</v>
      </c>
      <c r="AB146" s="11" t="s">
        <v>54</v>
      </c>
      <c r="AC146" s="11" t="str">
        <f>VLOOKUP(L146,'[1]singkron data'!D:M,10,FALSE)</f>
        <v>TK ganti perusahaan kecil karena pagu dibawah 15 miliar</v>
      </c>
      <c r="AD146" s="11" t="str">
        <f>VLOOKUP(L146,'[1]data 1129'!F:O,10,FALSE)</f>
        <v>Tahap I 208</v>
      </c>
      <c r="AE146" s="11" t="str">
        <f>VLOOKUP(L146,'[1]singkron data'!D:P,13,FALSE)</f>
        <v>sudah</v>
      </c>
      <c r="AF146" s="11" t="s">
        <v>55</v>
      </c>
      <c r="AG146" s="11" t="e">
        <f>VLOOKUP(L146,'[1]update kontrak'!E:K,6,FALSE)</f>
        <v>#N/A</v>
      </c>
      <c r="AH146" s="11" t="e">
        <f>VLOOKUP(L146,'[1]update kontrak'!E:K,7,FALSE)</f>
        <v>#N/A</v>
      </c>
      <c r="AI146" s="11" t="s">
        <v>58</v>
      </c>
      <c r="AJ146" s="11" t="str">
        <f>VLOOKUP(L146,[1]rekap!D:M,1,FALSE)</f>
        <v>Tengkurak</v>
      </c>
      <c r="AK146" s="11" t="str">
        <f>VLOOKUP(L146,'[1]singkron data'!D:E,2,FALSE)</f>
        <v>CV. Masa Barokah</v>
      </c>
      <c r="AL146" s="11" t="str">
        <f>VLOOKUP(L146,'[1]update 521'!D:D,1,FALSE)</f>
        <v>Tengkurak</v>
      </c>
      <c r="AM146" s="11" t="s">
        <v>57</v>
      </c>
      <c r="AN146" s="11" t="e">
        <f>VLOOKUP(L146,[1]Sheet19!E:L,8,FALSE)</f>
        <v>#N/A</v>
      </c>
      <c r="AO146" s="11" t="s">
        <v>58</v>
      </c>
      <c r="AP146" s="12"/>
    </row>
    <row r="147" spans="1:42" ht="15" x14ac:dyDescent="0.2">
      <c r="A147" s="8" t="s">
        <v>42</v>
      </c>
      <c r="B147" s="9" t="s">
        <v>43</v>
      </c>
      <c r="C147" s="9">
        <v>992</v>
      </c>
      <c r="D147" s="9" t="s">
        <v>284</v>
      </c>
      <c r="E147" s="9">
        <v>80</v>
      </c>
      <c r="F147" s="9" t="s">
        <v>418</v>
      </c>
      <c r="G147" s="9" t="s">
        <v>286</v>
      </c>
      <c r="H147" s="9" t="s">
        <v>287</v>
      </c>
      <c r="I147" s="9" t="s">
        <v>419</v>
      </c>
      <c r="J147" s="9" t="s">
        <v>419</v>
      </c>
      <c r="K147" s="9" t="s">
        <v>418</v>
      </c>
      <c r="L147" s="10" t="s">
        <v>418</v>
      </c>
      <c r="M147" s="9" t="s">
        <v>65</v>
      </c>
      <c r="N147" s="9">
        <v>2910</v>
      </c>
      <c r="O147" s="9" t="s">
        <v>72</v>
      </c>
      <c r="P147" s="9">
        <v>800</v>
      </c>
      <c r="Q147" s="9">
        <v>800</v>
      </c>
      <c r="R147" s="9">
        <v>1</v>
      </c>
      <c r="S147" s="9">
        <v>-6.3082200000000004</v>
      </c>
      <c r="T147" s="9">
        <v>108.35474000000001</v>
      </c>
      <c r="U147" s="9" t="s">
        <v>52</v>
      </c>
      <c r="V147" s="11" t="str">
        <f>VLOOKUP(L147,'[1]singkron data'!D:E,2,FALSE)</f>
        <v>PT. Citra Mutiara Bangun Persada</v>
      </c>
      <c r="W147" s="13">
        <f>VLOOKUP(L147,'[1]data 1129'!F:H,3,FALSE)</f>
        <v>5742556000</v>
      </c>
      <c r="X147" s="11" t="s">
        <v>55</v>
      </c>
      <c r="Y147" s="11" t="str">
        <f>VLOOKUP(L147,'[1]singkron data'!D:H,5,FALSE)</f>
        <v>Bandung</v>
      </c>
      <c r="Z147" s="11">
        <f>VLOOKUP(L147,'[1]singkron data'!D:I,6,FALSE)</f>
        <v>0</v>
      </c>
      <c r="AA147" s="11">
        <f>VLOOKUP(L147,'[1]singkron data'!D:L,9,FALSE)</f>
        <v>82116261526</v>
      </c>
      <c r="AB147" s="11" t="s">
        <v>54</v>
      </c>
      <c r="AC147" s="11" t="str">
        <f>VLOOKUP(L147,'[1]singkron data'!D:M,10,FALSE)</f>
        <v>Sandi</v>
      </c>
      <c r="AD147" s="11" t="str">
        <f>VLOOKUP(L147,'[1]data 1129'!F:O,10,FALSE)</f>
        <v>Tahap I 208</v>
      </c>
      <c r="AE147" s="11" t="str">
        <f>VLOOKUP(L147,'[1]singkron data'!D:P,13,FALSE)</f>
        <v>sudah</v>
      </c>
      <c r="AF147" s="11" t="s">
        <v>55</v>
      </c>
      <c r="AG147" s="17">
        <f>VLOOKUP(L147,'[1]update kontrak'!E:K,6,FALSE)</f>
        <v>5441342966.8000002</v>
      </c>
      <c r="AH147" s="11" t="str">
        <f>VLOOKUP(L147,'[1]update kontrak'!E:K,7,FALSE)</f>
        <v>KONTRAK</v>
      </c>
      <c r="AI147" s="11" t="s">
        <v>41</v>
      </c>
      <c r="AJ147" s="11" t="str">
        <f>VLOOKUP(L147,[1]rekap!D:M,1,FALSE)</f>
        <v>Pabeanudik</v>
      </c>
      <c r="AK147" s="11" t="str">
        <f>VLOOKUP(L147,'[1]singkron data'!D:E,2,FALSE)</f>
        <v>PT. Citra Mutiara Bangun Persada</v>
      </c>
      <c r="AL147" s="11" t="str">
        <f>VLOOKUP(L147,'[1]update 521'!D:D,1,FALSE)</f>
        <v>Pabeanudik</v>
      </c>
      <c r="AM147" s="11" t="s">
        <v>57</v>
      </c>
      <c r="AN147" s="17">
        <f>VLOOKUP(L147,[1]Sheet19!E:L,8,FALSE)</f>
        <v>5441342966.8000002</v>
      </c>
      <c r="AO147" s="11" t="str">
        <f>VLOOKUP(L147,[1]Sheet19!E:K,7,FALSE)</f>
        <v>KONTRAK</v>
      </c>
      <c r="AP147" s="12" t="s">
        <v>41</v>
      </c>
    </row>
    <row r="148" spans="1:42" ht="15" x14ac:dyDescent="0.2">
      <c r="A148" s="8" t="s">
        <v>42</v>
      </c>
      <c r="B148" s="9" t="s">
        <v>43</v>
      </c>
      <c r="C148" s="9">
        <v>993</v>
      </c>
      <c r="D148" s="9" t="s">
        <v>284</v>
      </c>
      <c r="E148" s="9">
        <v>81</v>
      </c>
      <c r="F148" s="9" t="s">
        <v>418</v>
      </c>
      <c r="G148" s="9" t="s">
        <v>286</v>
      </c>
      <c r="H148" s="9" t="s">
        <v>287</v>
      </c>
      <c r="I148" s="9" t="s">
        <v>419</v>
      </c>
      <c r="J148" s="9" t="s">
        <v>420</v>
      </c>
      <c r="K148" s="9" t="s">
        <v>421</v>
      </c>
      <c r="L148" s="10" t="s">
        <v>421</v>
      </c>
      <c r="M148" s="9" t="s">
        <v>51</v>
      </c>
      <c r="N148" s="9">
        <v>355</v>
      </c>
      <c r="O148" s="9" t="s">
        <v>72</v>
      </c>
      <c r="P148" s="9">
        <v>120</v>
      </c>
      <c r="Q148" s="9">
        <v>120</v>
      </c>
      <c r="R148" s="9">
        <v>1</v>
      </c>
      <c r="S148" s="9">
        <v>-6.3396150000000002</v>
      </c>
      <c r="T148" s="9">
        <v>108.18485800000001</v>
      </c>
      <c r="U148" s="9" t="s">
        <v>52</v>
      </c>
      <c r="V148" s="11" t="str">
        <f>VLOOKUP(L148,'[1]singkron data'!D:E,2,FALSE)</f>
        <v>PT. Citra Mutiara Bangun Persada</v>
      </c>
      <c r="W148" s="13">
        <f>VLOOKUP(L148,'[1]data 1129'!F:H,3,FALSE)</f>
        <v>2930325000</v>
      </c>
      <c r="X148" s="11" t="s">
        <v>55</v>
      </c>
      <c r="Y148" s="11" t="str">
        <f>VLOOKUP(L148,'[1]singkron data'!D:H,5,FALSE)</f>
        <v>Bandung</v>
      </c>
      <c r="Z148" s="11">
        <f>VLOOKUP(L148,'[1]singkron data'!D:I,6,FALSE)</f>
        <v>0</v>
      </c>
      <c r="AA148" s="11">
        <f>VLOOKUP(L148,'[1]singkron data'!D:L,9,FALSE)</f>
        <v>82116261526</v>
      </c>
      <c r="AB148" s="11" t="s">
        <v>54</v>
      </c>
      <c r="AC148" s="11" t="str">
        <f>VLOOKUP(L148,'[1]singkron data'!D:M,10,FALSE)</f>
        <v>Sandi</v>
      </c>
      <c r="AD148" s="11" t="str">
        <f>VLOOKUP(L148,'[1]data 1129'!F:O,10,FALSE)</f>
        <v>Tahap I 208</v>
      </c>
      <c r="AE148" s="11" t="str">
        <f>VLOOKUP(L148,'[1]singkron data'!D:P,13,FALSE)</f>
        <v>sudah</v>
      </c>
      <c r="AF148" s="11" t="s">
        <v>55</v>
      </c>
      <c r="AG148" s="17">
        <f>VLOOKUP(L148,'[1]update kontrak'!E:K,6,FALSE)</f>
        <v>1748330958.71</v>
      </c>
      <c r="AH148" s="11" t="str">
        <f>VLOOKUP(L148,'[1]update kontrak'!E:K,7,FALSE)</f>
        <v>KONTRAK</v>
      </c>
      <c r="AI148" s="11" t="s">
        <v>41</v>
      </c>
      <c r="AJ148" s="11" t="str">
        <f>VLOOKUP(L148,[1]rekap!D:M,1,FALSE)</f>
        <v>Cemara kulon</v>
      </c>
      <c r="AK148" s="11" t="str">
        <f>VLOOKUP(L148,'[1]singkron data'!D:E,2,FALSE)</f>
        <v>PT. Citra Mutiara Bangun Persada</v>
      </c>
      <c r="AL148" s="11" t="str">
        <f>VLOOKUP(L148,'[1]update 521'!D:D,1,FALSE)</f>
        <v>Cemara kulon</v>
      </c>
      <c r="AM148" s="11" t="s">
        <v>57</v>
      </c>
      <c r="AN148" s="17">
        <f>VLOOKUP(L148,[1]Sheet19!E:L,8,FALSE)</f>
        <v>1748330958.71</v>
      </c>
      <c r="AO148" s="11" t="str">
        <f>VLOOKUP(L148,[1]Sheet19!E:K,7,FALSE)</f>
        <v>KONTRAK</v>
      </c>
      <c r="AP148" s="12" t="s">
        <v>41</v>
      </c>
    </row>
    <row r="149" spans="1:42" ht="15" x14ac:dyDescent="0.2">
      <c r="A149" s="8" t="s">
        <v>42</v>
      </c>
      <c r="B149" s="9" t="s">
        <v>43</v>
      </c>
      <c r="C149" s="9">
        <v>994</v>
      </c>
      <c r="D149" s="9" t="s">
        <v>284</v>
      </c>
      <c r="E149" s="9">
        <v>82</v>
      </c>
      <c r="F149" s="9" t="s">
        <v>418</v>
      </c>
      <c r="G149" s="9" t="s">
        <v>286</v>
      </c>
      <c r="H149" s="9" t="s">
        <v>287</v>
      </c>
      <c r="I149" s="9" t="s">
        <v>419</v>
      </c>
      <c r="J149" s="9" t="s">
        <v>422</v>
      </c>
      <c r="K149" s="9" t="s">
        <v>423</v>
      </c>
      <c r="L149" s="10" t="s">
        <v>423</v>
      </c>
      <c r="M149" s="9" t="s">
        <v>51</v>
      </c>
      <c r="N149" s="9">
        <v>1000</v>
      </c>
      <c r="O149" s="9">
        <v>3</v>
      </c>
      <c r="P149" s="9">
        <v>200</v>
      </c>
      <c r="Q149" s="9">
        <v>203</v>
      </c>
      <c r="R149" s="9">
        <v>2</v>
      </c>
      <c r="S149" s="9">
        <v>-6.3556100000000004</v>
      </c>
      <c r="T149" s="9">
        <v>108.10647</v>
      </c>
      <c r="U149" s="9" t="s">
        <v>52</v>
      </c>
      <c r="V149" s="11" t="str">
        <f>VLOOKUP(L149,'[1]singkron data'!D:E,2,FALSE)</f>
        <v>PT. Citra Mutiara Bangun Persada</v>
      </c>
      <c r="W149" s="13">
        <f>VLOOKUP(L149,'[1]data 1129'!F:H,3,FALSE)</f>
        <v>2314000000</v>
      </c>
      <c r="X149" s="11" t="s">
        <v>55</v>
      </c>
      <c r="Y149" s="11" t="str">
        <f>VLOOKUP(L149,'[1]singkron data'!D:H,5,FALSE)</f>
        <v>Bandung</v>
      </c>
      <c r="Z149" s="11">
        <f>VLOOKUP(L149,'[1]singkron data'!D:I,6,FALSE)</f>
        <v>0</v>
      </c>
      <c r="AA149" s="11">
        <f>VLOOKUP(L149,'[1]singkron data'!D:L,9,FALSE)</f>
        <v>82116261526</v>
      </c>
      <c r="AB149" s="11" t="s">
        <v>54</v>
      </c>
      <c r="AC149" s="11" t="str">
        <f>VLOOKUP(L149,'[1]singkron data'!D:M,10,FALSE)</f>
        <v>Sandi</v>
      </c>
      <c r="AD149" s="11" t="str">
        <f>VLOOKUP(L149,'[1]data 1129'!F:O,10,FALSE)</f>
        <v>Tahap I 208</v>
      </c>
      <c r="AE149" s="11" t="str">
        <f>VLOOKUP(L149,'[1]singkron data'!D:P,13,FALSE)</f>
        <v>sudah</v>
      </c>
      <c r="AF149" s="11" t="s">
        <v>55</v>
      </c>
      <c r="AG149" s="17">
        <f>VLOOKUP(L149,'[1]update kontrak'!E:K,6,FALSE)</f>
        <v>2200608552.5</v>
      </c>
      <c r="AH149" s="11" t="str">
        <f>VLOOKUP(L149,'[1]update kontrak'!E:K,7,FALSE)</f>
        <v>KONTRAK</v>
      </c>
      <c r="AI149" s="11" t="s">
        <v>41</v>
      </c>
      <c r="AJ149" s="11" t="str">
        <f>VLOOKUP(L149,[1]rekap!D:M,1,FALSE)</f>
        <v>Pareangirang</v>
      </c>
      <c r="AK149" s="11" t="str">
        <f>VLOOKUP(L149,'[1]singkron data'!D:E,2,FALSE)</f>
        <v>PT. Citra Mutiara Bangun Persada</v>
      </c>
      <c r="AL149" s="11" t="str">
        <f>VLOOKUP(L149,'[1]update 521'!D:D,1,FALSE)</f>
        <v>Pareangirang</v>
      </c>
      <c r="AM149" s="11" t="s">
        <v>57</v>
      </c>
      <c r="AN149" s="17">
        <f>VLOOKUP(L149,[1]Sheet19!E:L,8,FALSE)</f>
        <v>2200608552.5</v>
      </c>
      <c r="AO149" s="11" t="str">
        <f>VLOOKUP(L149,[1]Sheet19!E:K,7,FALSE)</f>
        <v>KONTRAK</v>
      </c>
      <c r="AP149" s="12" t="s">
        <v>41</v>
      </c>
    </row>
    <row r="150" spans="1:42" ht="15" x14ac:dyDescent="0.2">
      <c r="A150" s="8" t="s">
        <v>42</v>
      </c>
      <c r="B150" s="9" t="s">
        <v>43</v>
      </c>
      <c r="C150" s="9">
        <v>995</v>
      </c>
      <c r="D150" s="9" t="s">
        <v>284</v>
      </c>
      <c r="E150" s="9">
        <v>83</v>
      </c>
      <c r="F150" s="9" t="s">
        <v>418</v>
      </c>
      <c r="G150" s="9" t="s">
        <v>286</v>
      </c>
      <c r="H150" s="9" t="s">
        <v>287</v>
      </c>
      <c r="I150" s="9" t="s">
        <v>419</v>
      </c>
      <c r="J150" s="9" t="s">
        <v>419</v>
      </c>
      <c r="K150" s="9" t="s">
        <v>424</v>
      </c>
      <c r="L150" s="10" t="s">
        <v>424</v>
      </c>
      <c r="M150" s="9" t="s">
        <v>51</v>
      </c>
      <c r="N150" s="9">
        <v>108</v>
      </c>
      <c r="O150" s="9" t="s">
        <v>72</v>
      </c>
      <c r="P150" s="9">
        <v>93</v>
      </c>
      <c r="Q150" s="9">
        <v>93</v>
      </c>
      <c r="R150" s="9">
        <v>0.7</v>
      </c>
      <c r="S150" s="9">
        <v>-6.3483700000000001</v>
      </c>
      <c r="T150" s="9">
        <v>108.35823000000001</v>
      </c>
      <c r="U150" s="9" t="s">
        <v>52</v>
      </c>
      <c r="V150" s="11" t="str">
        <f>VLOOKUP(L150,'[1]singkron data'!D:E,2,FALSE)</f>
        <v>PT. Karina Prima Utama (Kecil)</v>
      </c>
      <c r="W150" s="13">
        <f>VLOOKUP(L150,'[1]data 1129'!F:H,3,FALSE)</f>
        <v>2314000000</v>
      </c>
      <c r="X150" s="11" t="s">
        <v>55</v>
      </c>
      <c r="Y150" s="11" t="str">
        <f>VLOOKUP(L150,'[1]singkron data'!D:H,5,FALSE)</f>
        <v>Cimahi (Kecil)</v>
      </c>
      <c r="Z150" s="11" t="str">
        <f>VLOOKUP(L150,'[1]singkron data'!D:I,6,FALSE)</f>
        <v>Online</v>
      </c>
      <c r="AA150" s="11" t="str">
        <f>VLOOKUP(L150,'[1]singkron data'!D:L,9,FALSE)</f>
        <v>0822-1914-4044/rizal</v>
      </c>
      <c r="AB150" s="11" t="s">
        <v>54</v>
      </c>
      <c r="AC150" s="11" t="str">
        <f>VLOOKUP(L150,'[1]singkron data'!D:M,10,FALSE)</f>
        <v>Rohmi</v>
      </c>
      <c r="AD150" s="11" t="str">
        <f>VLOOKUP(L150,'[1]data 1129'!F:O,10,FALSE)</f>
        <v>Tahap I 208</v>
      </c>
      <c r="AE150" s="11" t="str">
        <f>VLOOKUP(L150,'[1]singkron data'!D:P,13,FALSE)</f>
        <v>tidak ada lahan</v>
      </c>
      <c r="AF150" s="11"/>
      <c r="AG150" s="11" t="e">
        <f>VLOOKUP(L150,'[1]update kontrak'!E:K,6,FALSE)</f>
        <v>#N/A</v>
      </c>
      <c r="AH150" s="11" t="e">
        <f>VLOOKUP(L150,'[1]update kontrak'!E:K,7,FALSE)</f>
        <v>#N/A</v>
      </c>
      <c r="AI150" s="11"/>
      <c r="AJ150" s="11" t="str">
        <f>VLOOKUP(L150,[1]rekap!D:M,1,FALSE)</f>
        <v>Singaraja</v>
      </c>
      <c r="AK150" s="11" t="str">
        <f>VLOOKUP(L150,'[1]singkron data'!D:E,2,FALSE)</f>
        <v>PT. Karina Prima Utama (Kecil)</v>
      </c>
      <c r="AL150" s="11" t="str">
        <f>VLOOKUP(L150,'[1]update 521'!D:D,1,FALSE)</f>
        <v>Singaraja</v>
      </c>
      <c r="AM150" s="11" t="s">
        <v>337</v>
      </c>
      <c r="AN150" s="11" t="e">
        <f>VLOOKUP(L150,[1]Sheet19!E:L,8,FALSE)</f>
        <v>#N/A</v>
      </c>
      <c r="AO150" s="11" t="s">
        <v>58</v>
      </c>
      <c r="AP150" s="12"/>
    </row>
    <row r="151" spans="1:42" ht="15" x14ac:dyDescent="0.2">
      <c r="A151" s="8" t="s">
        <v>42</v>
      </c>
      <c r="B151" s="9" t="s">
        <v>43</v>
      </c>
      <c r="C151" s="9">
        <v>996</v>
      </c>
      <c r="D151" s="9" t="s">
        <v>284</v>
      </c>
      <c r="E151" s="9">
        <v>84</v>
      </c>
      <c r="F151" s="9" t="s">
        <v>418</v>
      </c>
      <c r="G151" s="9" t="s">
        <v>286</v>
      </c>
      <c r="H151" s="9" t="s">
        <v>287</v>
      </c>
      <c r="I151" s="9" t="s">
        <v>419</v>
      </c>
      <c r="J151" s="9" t="s">
        <v>425</v>
      </c>
      <c r="K151" s="9" t="s">
        <v>426</v>
      </c>
      <c r="L151" s="10" t="s">
        <v>426</v>
      </c>
      <c r="M151" s="9" t="s">
        <v>51</v>
      </c>
      <c r="N151" s="9">
        <v>350</v>
      </c>
      <c r="O151" s="9" t="s">
        <v>72</v>
      </c>
      <c r="P151" s="9">
        <v>130</v>
      </c>
      <c r="Q151" s="9">
        <v>130</v>
      </c>
      <c r="R151" s="9">
        <v>2</v>
      </c>
      <c r="S151" s="9">
        <v>-6.2527160000000004</v>
      </c>
      <c r="T151" s="9">
        <v>107.924667</v>
      </c>
      <c r="U151" s="9" t="s">
        <v>52</v>
      </c>
      <c r="V151" s="11" t="str">
        <f>VLOOKUP(L151,'[1]singkron data'!D:E,2,FALSE)</f>
        <v>CV. Aufa Cikal Pasundan (Kecil)</v>
      </c>
      <c r="W151" s="13">
        <f>VLOOKUP(L151,'[1]data 1129'!F:H,3,FALSE)</f>
        <v>4596448000</v>
      </c>
      <c r="X151" s="11" t="s">
        <v>55</v>
      </c>
      <c r="Y151" s="11">
        <f>VLOOKUP(L151,'[1]singkron data'!D:H,5,FALSE)</f>
        <v>0</v>
      </c>
      <c r="Z151" s="11">
        <f>VLOOKUP(L151,'[1]singkron data'!D:I,6,FALSE)</f>
        <v>0</v>
      </c>
      <c r="AA151" s="11" t="str">
        <f>VLOOKUP(L151,'[1]singkron data'!D:L,9,FALSE)</f>
        <v>081320935494/risca</v>
      </c>
      <c r="AB151" s="11" t="s">
        <v>54</v>
      </c>
      <c r="AC151" s="11" t="str">
        <f>VLOOKUP(L151,'[1]singkron data'!D:M,10,FALSE)</f>
        <v>Rohmi</v>
      </c>
      <c r="AD151" s="11" t="str">
        <f>VLOOKUP(L151,'[1]data 1129'!F:O,10,FALSE)</f>
        <v>Tahap III 166</v>
      </c>
      <c r="AE151" s="11" t="str">
        <f>VLOOKUP(L151,'[1]singkron data'!D:P,13,FALSE)</f>
        <v>sudah</v>
      </c>
      <c r="AF151" s="11"/>
      <c r="AG151" s="11" t="e">
        <f>VLOOKUP(L151,'[1]update kontrak'!E:K,6,FALSE)</f>
        <v>#N/A</v>
      </c>
      <c r="AH151" s="11" t="e">
        <f>VLOOKUP(L151,'[1]update kontrak'!E:K,7,FALSE)</f>
        <v>#N/A</v>
      </c>
      <c r="AI151" s="11"/>
      <c r="AJ151" s="11" t="str">
        <f>VLOOKUP(L151,[1]rekap!D:M,1,FALSE)</f>
        <v>Ujunggebang</v>
      </c>
      <c r="AK151" s="11" t="str">
        <f>VLOOKUP(L151,'[1]singkron data'!D:E,2,FALSE)</f>
        <v>CV. Aufa Cikal Pasundan (Kecil)</v>
      </c>
      <c r="AL151" s="11" t="str">
        <f>VLOOKUP(L151,'[1]update 521'!D:D,1,FALSE)</f>
        <v>Ujunggebang</v>
      </c>
      <c r="AM151" s="11" t="s">
        <v>57</v>
      </c>
      <c r="AN151" s="11" t="e">
        <f>VLOOKUP(L151,[1]Sheet19!E:L,8,FALSE)</f>
        <v>#N/A</v>
      </c>
      <c r="AO151" s="11" t="s">
        <v>58</v>
      </c>
      <c r="AP151" s="12"/>
    </row>
    <row r="152" spans="1:42" ht="15" x14ac:dyDescent="0.2">
      <c r="A152" s="8" t="s">
        <v>42</v>
      </c>
      <c r="B152" s="9" t="s">
        <v>43</v>
      </c>
      <c r="C152" s="9">
        <v>997</v>
      </c>
      <c r="D152" s="9" t="s">
        <v>284</v>
      </c>
      <c r="E152" s="9">
        <v>85</v>
      </c>
      <c r="F152" s="9" t="s">
        <v>418</v>
      </c>
      <c r="G152" s="9" t="s">
        <v>286</v>
      </c>
      <c r="H152" s="9" t="s">
        <v>287</v>
      </c>
      <c r="I152" s="9" t="s">
        <v>419</v>
      </c>
      <c r="J152" s="9" t="s">
        <v>427</v>
      </c>
      <c r="K152" s="9" t="s">
        <v>428</v>
      </c>
      <c r="L152" s="10" t="s">
        <v>428</v>
      </c>
      <c r="M152" s="9" t="s">
        <v>81</v>
      </c>
      <c r="N152" s="9">
        <v>5870</v>
      </c>
      <c r="O152" s="9" t="s">
        <v>72</v>
      </c>
      <c r="P152" s="9">
        <v>630</v>
      </c>
      <c r="Q152" s="9">
        <v>630</v>
      </c>
      <c r="R152" s="9">
        <v>2.84</v>
      </c>
      <c r="S152" s="9">
        <v>-6.4407160000000001</v>
      </c>
      <c r="T152" s="9">
        <v>108.45598099999999</v>
      </c>
      <c r="U152" s="9" t="s">
        <v>52</v>
      </c>
      <c r="V152" s="11" t="str">
        <f>VLOOKUP(L152,'[1]singkron data'!D:E,2,FALSE)</f>
        <v>PT. Citra Mutiara Bangun Persada</v>
      </c>
      <c r="W152" s="13">
        <f>VLOOKUP(L152,'[1]data 1129'!F:H,3,FALSE)</f>
        <v>3458805000</v>
      </c>
      <c r="X152" s="11" t="s">
        <v>55</v>
      </c>
      <c r="Y152" s="11" t="str">
        <f>VLOOKUP(L152,'[1]singkron data'!D:H,5,FALSE)</f>
        <v>Bandung</v>
      </c>
      <c r="Z152" s="11">
        <f>VLOOKUP(L152,'[1]singkron data'!D:I,6,FALSE)</f>
        <v>0</v>
      </c>
      <c r="AA152" s="11">
        <f>VLOOKUP(L152,'[1]singkron data'!D:L,9,FALSE)</f>
        <v>82116261526</v>
      </c>
      <c r="AB152" s="11" t="s">
        <v>54</v>
      </c>
      <c r="AC152" s="11" t="str">
        <f>VLOOKUP(L152,'[1]singkron data'!D:M,10,FALSE)</f>
        <v>Sandi</v>
      </c>
      <c r="AD152" s="11" t="str">
        <f>VLOOKUP(L152,'[1]data 1129'!F:O,10,FALSE)</f>
        <v>Tahap I 208</v>
      </c>
      <c r="AE152" s="11" t="str">
        <f>VLOOKUP(L152,'[1]singkron data'!D:P,13,FALSE)</f>
        <v>sudah</v>
      </c>
      <c r="AF152" s="11" t="s">
        <v>55</v>
      </c>
      <c r="AG152" s="17">
        <f>VLOOKUP(L152,'[1]update kontrak'!E:K,6,FALSE)</f>
        <v>2628529772.5700002</v>
      </c>
      <c r="AH152" s="11" t="str">
        <f>VLOOKUP(L152,'[1]update kontrak'!E:K,7,FALSE)</f>
        <v>KONTRAK</v>
      </c>
      <c r="AI152" s="11" t="s">
        <v>41</v>
      </c>
      <c r="AJ152" s="11" t="str">
        <f>VLOOKUP(L152,[1]rekap!D:M,1,FALSE)</f>
        <v>Dadap</v>
      </c>
      <c r="AK152" s="11" t="str">
        <f>VLOOKUP(L152,'[1]singkron data'!D:E,2,FALSE)</f>
        <v>PT. Citra Mutiara Bangun Persada</v>
      </c>
      <c r="AL152" s="11" t="str">
        <f>VLOOKUP(L152,'[1]update 521'!D:D,1,FALSE)</f>
        <v>Dadap</v>
      </c>
      <c r="AM152" s="11" t="s">
        <v>57</v>
      </c>
      <c r="AN152" s="17">
        <f>VLOOKUP(L152,[1]Sheet19!E:L,8,FALSE)</f>
        <v>2628529772.5700002</v>
      </c>
      <c r="AO152" s="11" t="str">
        <f>VLOOKUP(L152,[1]Sheet19!E:K,7,FALSE)</f>
        <v>KONTRAK</v>
      </c>
      <c r="AP152" s="12" t="s">
        <v>41</v>
      </c>
    </row>
    <row r="153" spans="1:42" ht="15" x14ac:dyDescent="0.2">
      <c r="A153" s="8" t="s">
        <v>42</v>
      </c>
      <c r="B153" s="9" t="s">
        <v>43</v>
      </c>
      <c r="C153" s="9">
        <v>941</v>
      </c>
      <c r="D153" s="9" t="s">
        <v>284</v>
      </c>
      <c r="E153" s="9">
        <v>29</v>
      </c>
      <c r="F153" s="9" t="s">
        <v>429</v>
      </c>
      <c r="G153" s="9" t="s">
        <v>286</v>
      </c>
      <c r="H153" s="9" t="s">
        <v>287</v>
      </c>
      <c r="I153" s="9" t="s">
        <v>430</v>
      </c>
      <c r="J153" s="9" t="s">
        <v>431</v>
      </c>
      <c r="K153" s="9" t="s">
        <v>432</v>
      </c>
      <c r="L153" s="10" t="s">
        <v>432</v>
      </c>
      <c r="M153" s="9" t="s">
        <v>51</v>
      </c>
      <c r="N153" s="9">
        <v>3898</v>
      </c>
      <c r="O153" s="9" t="s">
        <v>72</v>
      </c>
      <c r="P153" s="9">
        <v>124</v>
      </c>
      <c r="Q153" s="9">
        <v>124</v>
      </c>
      <c r="R153" s="9">
        <v>1.02</v>
      </c>
      <c r="S153" s="9">
        <v>-7.7704329919999999</v>
      </c>
      <c r="T153" s="9">
        <v>108.0972541</v>
      </c>
      <c r="U153" s="9" t="s">
        <v>52</v>
      </c>
      <c r="V153" s="11" t="str">
        <f>VLOOKUP(L153,'[1]singkron data'!D:E,2,FALSE)</f>
        <v>PT. Leviana Abadi Jaya</v>
      </c>
      <c r="W153" s="13">
        <f>VLOOKUP(L153,'[1]data 1129'!F:H,3,FALSE)</f>
        <v>5116149000</v>
      </c>
      <c r="X153" s="11" t="s">
        <v>55</v>
      </c>
      <c r="Y153" s="11" t="str">
        <f>VLOOKUP(L153,'[1]singkron data'!D:H,5,FALSE)</f>
        <v>Bandung</v>
      </c>
      <c r="Z153" s="11" t="str">
        <f>VLOOKUP(L153,'[1]singkron data'!D:I,6,FALSE)</f>
        <v>Offline</v>
      </c>
      <c r="AA153" s="11" t="str">
        <f>VLOOKUP(L153,'[1]singkron data'!D:L,9,FALSE)</f>
        <v>082216903325/ujang</v>
      </c>
      <c r="AB153" s="11" t="s">
        <v>54</v>
      </c>
      <c r="AC153" s="11" t="str">
        <f>VLOOKUP(L153,'[1]singkron data'!D:M,10,FALSE)</f>
        <v>Sandi</v>
      </c>
      <c r="AD153" s="11" t="str">
        <f>VLOOKUP(L153,'[1]data 1129'!F:O,10,FALSE)</f>
        <v>Tahap I 208</v>
      </c>
      <c r="AE153" s="11" t="str">
        <f>VLOOKUP(L153,'[1]singkron data'!D:P,13,FALSE)</f>
        <v>sudah</v>
      </c>
      <c r="AF153" s="11" t="s">
        <v>55</v>
      </c>
      <c r="AG153" s="17">
        <f>VLOOKUP(L153,'[1]update kontrak'!E:K,6,FALSE)</f>
        <v>2358287000</v>
      </c>
      <c r="AH153" s="11" t="str">
        <f>VLOOKUP(L153,'[1]update kontrak'!E:K,7,FALSE)</f>
        <v>KONTRAK</v>
      </c>
      <c r="AI153" s="11" t="s">
        <v>41</v>
      </c>
      <c r="AJ153" s="11" t="str">
        <f>VLOOKUP(L153,[1]rekap!D:M,1,FALSE)</f>
        <v>Cikawungading</v>
      </c>
      <c r="AK153" s="11" t="str">
        <f>VLOOKUP(L153,'[1]singkron data'!D:E,2,FALSE)</f>
        <v>PT. Leviana Abadi Jaya</v>
      </c>
      <c r="AL153" s="11" t="str">
        <f>VLOOKUP(L153,'[1]update 521'!D:D,1,FALSE)</f>
        <v>Cikawungading</v>
      </c>
      <c r="AM153" s="11" t="s">
        <v>57</v>
      </c>
      <c r="AN153" s="17">
        <f>VLOOKUP(L153,[1]Sheet19!E:L,8,FALSE)</f>
        <v>2358287000</v>
      </c>
      <c r="AO153" s="11" t="str">
        <f>VLOOKUP(L153,[1]Sheet19!E:K,7,FALSE)</f>
        <v>KONTRAK</v>
      </c>
      <c r="AP153" s="12" t="s">
        <v>41</v>
      </c>
    </row>
    <row r="154" spans="1:42" ht="15" x14ac:dyDescent="0.2">
      <c r="A154" s="8" t="s">
        <v>42</v>
      </c>
      <c r="B154" s="9" t="s">
        <v>43</v>
      </c>
      <c r="C154" s="9">
        <v>998</v>
      </c>
      <c r="D154" s="9" t="s">
        <v>284</v>
      </c>
      <c r="E154" s="9">
        <v>86</v>
      </c>
      <c r="F154" s="9" t="s">
        <v>429</v>
      </c>
      <c r="G154" s="9" t="s">
        <v>286</v>
      </c>
      <c r="H154" s="9" t="s">
        <v>287</v>
      </c>
      <c r="I154" s="9" t="s">
        <v>433</v>
      </c>
      <c r="J154" s="9" t="s">
        <v>434</v>
      </c>
      <c r="K154" s="9" t="s">
        <v>435</v>
      </c>
      <c r="L154" s="10" t="s">
        <v>435</v>
      </c>
      <c r="M154" s="9" t="s">
        <v>65</v>
      </c>
      <c r="N154" s="9">
        <v>400</v>
      </c>
      <c r="O154" s="9" t="s">
        <v>72</v>
      </c>
      <c r="P154" s="9">
        <v>157</v>
      </c>
      <c r="Q154" s="9">
        <v>157</v>
      </c>
      <c r="R154" s="9">
        <v>1</v>
      </c>
      <c r="S154" s="9">
        <v>-7.6742999999999997</v>
      </c>
      <c r="T154" s="9">
        <v>108.79746</v>
      </c>
      <c r="U154" s="9" t="s">
        <v>52</v>
      </c>
      <c r="V154" s="11" t="str">
        <f>VLOOKUP(L154,'[1]singkron data'!D:E,2,FALSE)</f>
        <v>PT. AMI Kamena Jaya</v>
      </c>
      <c r="W154" s="13">
        <f>VLOOKUP(L154,'[1]data 1129'!F:H,3,FALSE)</f>
        <v>3132099000</v>
      </c>
      <c r="X154" s="11" t="s">
        <v>55</v>
      </c>
      <c r="Y154" s="11" t="str">
        <f>VLOOKUP(L154,'[1]singkron data'!D:H,5,FALSE)</f>
        <v>Bandung</v>
      </c>
      <c r="Z154" s="11" t="str">
        <f>VLOOKUP(L154,'[1]singkron data'!D:I,6,FALSE)</f>
        <v>Offline</v>
      </c>
      <c r="AA154" s="11" t="str">
        <f>VLOOKUP(L154,'[1]singkron data'!D:L,9,FALSE)</f>
        <v>081210805888/agus tobing</v>
      </c>
      <c r="AB154" s="11" t="s">
        <v>54</v>
      </c>
      <c r="AC154" s="11" t="str">
        <f>VLOOKUP(L154,'[1]singkron data'!D:M,10,FALSE)</f>
        <v>TK</v>
      </c>
      <c r="AD154" s="11" t="str">
        <f>VLOOKUP(L154,'[1]data 1129'!F:O,10,FALSE)</f>
        <v>Tahap I 208</v>
      </c>
      <c r="AE154" s="11" t="str">
        <f>VLOOKUP(L154,'[1]singkron data'!D:P,13,FALSE)</f>
        <v>sudah</v>
      </c>
      <c r="AF154" s="11" t="s">
        <v>55</v>
      </c>
      <c r="AG154" s="11" t="e">
        <f>VLOOKUP(L154,'[1]update kontrak'!E:K,6,FALSE)</f>
        <v>#N/A</v>
      </c>
      <c r="AH154" s="11" t="e">
        <f>VLOOKUP(L154,'[1]update kontrak'!E:K,7,FALSE)</f>
        <v>#N/A</v>
      </c>
      <c r="AI154" s="11"/>
      <c r="AJ154" s="11" t="str">
        <f>VLOOKUP(L154,[1]rekap!D:M,1,FALSE)</f>
        <v>Pamotan</v>
      </c>
      <c r="AK154" s="11" t="str">
        <f>VLOOKUP(L154,'[1]singkron data'!D:E,2,FALSE)</f>
        <v>PT. AMI Kamena Jaya</v>
      </c>
      <c r="AL154" s="11" t="str">
        <f>VLOOKUP(L154,'[1]update 521'!D:D,1,FALSE)</f>
        <v>Pamotan</v>
      </c>
      <c r="AM154" s="11" t="s">
        <v>57</v>
      </c>
      <c r="AN154" s="11" t="e">
        <f>VLOOKUP(L154,[1]Sheet19!E:L,8,FALSE)</f>
        <v>#N/A</v>
      </c>
      <c r="AO154" s="11" t="s">
        <v>58</v>
      </c>
      <c r="AP154" s="12"/>
    </row>
    <row r="155" spans="1:42" ht="15" x14ac:dyDescent="0.2">
      <c r="A155" s="27" t="s">
        <v>42</v>
      </c>
      <c r="B155" s="28" t="s">
        <v>43</v>
      </c>
      <c r="C155" s="28">
        <v>999</v>
      </c>
      <c r="D155" s="28" t="s">
        <v>284</v>
      </c>
      <c r="E155" s="28">
        <v>87</v>
      </c>
      <c r="F155" s="28" t="s">
        <v>429</v>
      </c>
      <c r="G155" s="28" t="s">
        <v>286</v>
      </c>
      <c r="H155" s="28" t="s">
        <v>287</v>
      </c>
      <c r="I155" s="28" t="s">
        <v>433</v>
      </c>
      <c r="J155" s="28" t="s">
        <v>436</v>
      </c>
      <c r="K155" s="28" t="s">
        <v>341</v>
      </c>
      <c r="L155" s="28" t="s">
        <v>437</v>
      </c>
      <c r="M155" s="28" t="s">
        <v>51</v>
      </c>
      <c r="N155" s="28">
        <v>124</v>
      </c>
      <c r="O155" s="28" t="s">
        <v>72</v>
      </c>
      <c r="P155" s="28">
        <v>33</v>
      </c>
      <c r="Q155" s="28">
        <v>33</v>
      </c>
      <c r="R155" s="28">
        <v>1</v>
      </c>
      <c r="S155" s="28">
        <v>-7.814724</v>
      </c>
      <c r="T155" s="28">
        <v>108.36962</v>
      </c>
      <c r="U155" s="28" t="s">
        <v>52</v>
      </c>
      <c r="V155" s="29"/>
      <c r="W155" s="29"/>
      <c r="X155" s="29"/>
      <c r="Y155" s="29"/>
      <c r="Z155" s="29"/>
      <c r="AA155" s="29"/>
      <c r="AB155" s="29" t="s">
        <v>54</v>
      </c>
      <c r="AC155" s="29" t="s">
        <v>438</v>
      </c>
      <c r="AD155" s="29" t="e">
        <f>VLOOKUP(L155,'[1]data 1129'!F:O,10,FALSE)</f>
        <v>#N/A</v>
      </c>
      <c r="AE155" s="29" t="e">
        <f>VLOOKUP(L155,'[1]singkron data'!D:P,13,FALSE)</f>
        <v>#N/A</v>
      </c>
      <c r="AF155" s="11" t="s">
        <v>55</v>
      </c>
      <c r="AG155" s="29" t="e">
        <f>VLOOKUP(L155,'[1]update kontrak'!E:K,6,FALSE)</f>
        <v>#N/A</v>
      </c>
      <c r="AH155" s="29" t="e">
        <f>VLOOKUP(L155,'[1]update kontrak'!E:K,7,FALSE)</f>
        <v>#N/A</v>
      </c>
      <c r="AI155" s="29" t="s">
        <v>58</v>
      </c>
      <c r="AJ155" s="29" t="e">
        <f>VLOOKUP(L155,[1]rekap!D:M,1,FALSE)</f>
        <v>#N/A</v>
      </c>
      <c r="AK155" s="29" t="str">
        <f>VLOOKUP(L155,'[1]singkron data'!D:E,2,FALSE)</f>
        <v>CV. Mirsel</v>
      </c>
      <c r="AL155" s="29" t="str">
        <f>VLOOKUP(L155,'[1]update 521'!D:D,1,FALSE)</f>
        <v>Kertamukti_2</v>
      </c>
      <c r="AM155" s="11" t="s">
        <v>57</v>
      </c>
      <c r="AN155" s="11" t="e">
        <f>VLOOKUP(L155,[1]Sheet19!E:L,8,FALSE)</f>
        <v>#N/A</v>
      </c>
      <c r="AO155" s="11" t="e">
        <f>VLOOKUP(L155,[1]Sheet19!E:K,7,FALSE)</f>
        <v>#N/A</v>
      </c>
      <c r="AP155" s="12"/>
    </row>
    <row r="156" spans="1:42" ht="15" x14ac:dyDescent="0.2">
      <c r="A156" s="8" t="s">
        <v>42</v>
      </c>
      <c r="B156" s="9" t="s">
        <v>43</v>
      </c>
      <c r="C156" s="9">
        <v>1000</v>
      </c>
      <c r="D156" s="9" t="s">
        <v>284</v>
      </c>
      <c r="E156" s="9">
        <v>88</v>
      </c>
      <c r="F156" s="9" t="s">
        <v>429</v>
      </c>
      <c r="G156" s="9" t="s">
        <v>286</v>
      </c>
      <c r="H156" s="9" t="s">
        <v>287</v>
      </c>
      <c r="I156" s="9" t="s">
        <v>433</v>
      </c>
      <c r="J156" s="9" t="s">
        <v>436</v>
      </c>
      <c r="K156" s="9" t="s">
        <v>439</v>
      </c>
      <c r="L156" s="10" t="s">
        <v>439</v>
      </c>
      <c r="M156" s="9" t="s">
        <v>51</v>
      </c>
      <c r="N156" s="9">
        <v>160</v>
      </c>
      <c r="O156" s="9" t="s">
        <v>72</v>
      </c>
      <c r="P156" s="9">
        <v>95</v>
      </c>
      <c r="Q156" s="9">
        <v>95</v>
      </c>
      <c r="R156" s="9">
        <v>1</v>
      </c>
      <c r="S156" s="9">
        <v>-7.8169089999999999</v>
      </c>
      <c r="T156" s="9">
        <v>108.410719</v>
      </c>
      <c r="U156" s="9" t="s">
        <v>52</v>
      </c>
      <c r="V156" s="11" t="str">
        <f>VLOOKUP(L156,'[1]singkron data'!D:E,2,FALSE)</f>
        <v>PT. Leviana Abadi Jaya</v>
      </c>
      <c r="W156" s="13">
        <f>VLOOKUP(L156,'[1]data 1129'!F:H,3,FALSE)</f>
        <v>3195098000</v>
      </c>
      <c r="X156" s="11" t="s">
        <v>55</v>
      </c>
      <c r="Y156" s="11" t="str">
        <f>VLOOKUP(L156,'[1]singkron data'!D:H,5,FALSE)</f>
        <v>Bandung</v>
      </c>
      <c r="Z156" s="11" t="str">
        <f>VLOOKUP(L156,'[1]singkron data'!D:I,6,FALSE)</f>
        <v>Offline</v>
      </c>
      <c r="AA156" s="11" t="str">
        <f>VLOOKUP(L156,'[1]singkron data'!D:L,9,FALSE)</f>
        <v>082216903325/ujang</v>
      </c>
      <c r="AB156" s="11" t="s">
        <v>54</v>
      </c>
      <c r="AC156" s="11" t="str">
        <f>VLOOKUP(L156,'[1]singkron data'!D:M,10,FALSE)</f>
        <v>Sandi</v>
      </c>
      <c r="AD156" s="11" t="str">
        <f>VLOOKUP(L156,'[1]data 1129'!F:O,10,FALSE)</f>
        <v>Tahap I 208</v>
      </c>
      <c r="AE156" s="11" t="str">
        <f>VLOOKUP(L156,'[1]singkron data'!D:P,13,FALSE)</f>
        <v>sudah</v>
      </c>
      <c r="AF156" s="11" t="s">
        <v>55</v>
      </c>
      <c r="AG156" s="17">
        <f>VLOOKUP(L156,'[1]update kontrak'!E:K,6,FALSE)</f>
        <v>2809591000</v>
      </c>
      <c r="AH156" s="11" t="str">
        <f>VLOOKUP(L156,'[1]update kontrak'!E:K,7,FALSE)</f>
        <v>KONTRAK</v>
      </c>
      <c r="AI156" s="11" t="s">
        <v>41</v>
      </c>
      <c r="AJ156" s="11" t="str">
        <f>VLOOKUP(L156,[1]rekap!D:M,1,FALSE)</f>
        <v>Legokjawa</v>
      </c>
      <c r="AK156" s="11" t="str">
        <f>VLOOKUP(L156,'[1]singkron data'!D:E,2,FALSE)</f>
        <v>PT. Leviana Abadi Jaya</v>
      </c>
      <c r="AL156" s="11" t="str">
        <f>VLOOKUP(L156,'[1]update 521'!D:D,1,FALSE)</f>
        <v>Legokjawa</v>
      </c>
      <c r="AM156" s="11" t="s">
        <v>57</v>
      </c>
      <c r="AN156" s="17">
        <f>VLOOKUP(L156,[1]Sheet19!E:L,8,FALSE)</f>
        <v>2809591000</v>
      </c>
      <c r="AO156" s="11" t="str">
        <f>VLOOKUP(L156,[1]Sheet19!E:K,7,FALSE)</f>
        <v>KONTRAK</v>
      </c>
      <c r="AP156" s="12" t="s">
        <v>41</v>
      </c>
    </row>
    <row r="157" spans="1:42" ht="15" x14ac:dyDescent="0.2">
      <c r="A157" s="8" t="s">
        <v>42</v>
      </c>
      <c r="B157" s="9" t="s">
        <v>43</v>
      </c>
      <c r="C157" s="9">
        <v>1001</v>
      </c>
      <c r="D157" s="9" t="s">
        <v>284</v>
      </c>
      <c r="E157" s="9">
        <v>89</v>
      </c>
      <c r="F157" s="9" t="s">
        <v>440</v>
      </c>
      <c r="G157" s="9" t="s">
        <v>441</v>
      </c>
      <c r="H157" s="9" t="s">
        <v>287</v>
      </c>
      <c r="I157" s="9" t="s">
        <v>442</v>
      </c>
      <c r="J157" s="9" t="s">
        <v>443</v>
      </c>
      <c r="K157" s="9" t="s">
        <v>444</v>
      </c>
      <c r="L157" s="9" t="s">
        <v>444</v>
      </c>
      <c r="M157" s="9" t="s">
        <v>51</v>
      </c>
      <c r="N157" s="9">
        <v>400</v>
      </c>
      <c r="O157" s="9" t="s">
        <v>72</v>
      </c>
      <c r="P157" s="9">
        <v>102</v>
      </c>
      <c r="Q157" s="9">
        <v>102</v>
      </c>
      <c r="R157" s="9">
        <v>0.8</v>
      </c>
      <c r="S157" s="9">
        <v>-5.7392099999999999</v>
      </c>
      <c r="T157" s="9">
        <v>106.59699999999999</v>
      </c>
      <c r="U157" s="9" t="s">
        <v>52</v>
      </c>
      <c r="V157" s="11" t="str">
        <f>VLOOKUP(L157,'[1]singkron data'!D:E,2,FALSE)</f>
        <v>PT. Sabablik Jipang International</v>
      </c>
      <c r="W157" s="13">
        <f>VLOOKUP(L157,'[1]data 1129'!F:H,3,FALSE)</f>
        <v>2730019000</v>
      </c>
      <c r="X157" s="11" t="s">
        <v>55</v>
      </c>
      <c r="Y157" s="11" t="str">
        <f>VLOOKUP(L157,'[1]singkron data'!D:H,5,FALSE)</f>
        <v>Jakarta (Kecil)</v>
      </c>
      <c r="Z157" s="11" t="str">
        <f>VLOOKUP(L157,'[1]singkron data'!D:I,6,FALSE)</f>
        <v>Online</v>
      </c>
      <c r="AA157" s="11" t="str">
        <f>VLOOKUP(L157,'[1]singkron data'!D:L,9,FALSE)</f>
        <v>087887547626/andi</v>
      </c>
      <c r="AB157" s="11" t="s">
        <v>54</v>
      </c>
      <c r="AC157" s="11" t="str">
        <f>VLOOKUP(L157,'[1]singkron data'!D:M,10,FALSE)</f>
        <v>Pandu (Baru)</v>
      </c>
      <c r="AD157" s="11" t="str">
        <f>VLOOKUP(L157,'[1]data 1129'!F:O,10,FALSE)</f>
        <v>Tahap III 166</v>
      </c>
      <c r="AE157" s="11" t="str">
        <f>VLOOKUP(L157,'[1]singkron data'!D:P,13,FALSE)</f>
        <v>sudah</v>
      </c>
      <c r="AF157" s="11" t="s">
        <v>55</v>
      </c>
      <c r="AG157" s="11" t="e">
        <f>VLOOKUP(L157,'[1]update kontrak'!E:K,6,FALSE)</f>
        <v>#N/A</v>
      </c>
      <c r="AH157" s="11" t="e">
        <f>VLOOKUP(L157,'[1]update kontrak'!E:K,7,FALSE)</f>
        <v>#N/A</v>
      </c>
      <c r="AI157" s="11" t="s">
        <v>58</v>
      </c>
      <c r="AJ157" s="11" t="str">
        <f>VLOOKUP(L157,[1]rekap!D:M,1,FALSE)</f>
        <v>Pulau Panggang</v>
      </c>
      <c r="AK157" s="11" t="str">
        <f>VLOOKUP(L157,'[1]singkron data'!D:E,2,FALSE)</f>
        <v>PT. Sabablik Jipang International</v>
      </c>
      <c r="AL157" s="11" t="str">
        <f>VLOOKUP(L157,'[1]update 521'!D:D,1,FALSE)</f>
        <v>Pulau Panggang</v>
      </c>
      <c r="AM157" s="11" t="s">
        <v>57</v>
      </c>
      <c r="AN157" s="11" t="e">
        <f>VLOOKUP(L157,[1]Sheet19!E:L,8,FALSE)</f>
        <v>#N/A</v>
      </c>
      <c r="AO157" s="11" t="s">
        <v>58</v>
      </c>
      <c r="AP157" s="12"/>
    </row>
    <row r="158" spans="1:42" ht="15" x14ac:dyDescent="0.2">
      <c r="A158" s="8" t="s">
        <v>42</v>
      </c>
      <c r="B158" s="9" t="s">
        <v>43</v>
      </c>
      <c r="C158" s="9">
        <v>1007</v>
      </c>
      <c r="D158" s="9" t="s">
        <v>284</v>
      </c>
      <c r="E158" s="9">
        <v>95</v>
      </c>
      <c r="F158" s="9" t="s">
        <v>445</v>
      </c>
      <c r="G158" s="9" t="s">
        <v>286</v>
      </c>
      <c r="H158" s="9" t="s">
        <v>287</v>
      </c>
      <c r="I158" s="9" t="s">
        <v>355</v>
      </c>
      <c r="J158" s="9" t="s">
        <v>446</v>
      </c>
      <c r="K158" s="9" t="s">
        <v>445</v>
      </c>
      <c r="L158" s="10" t="s">
        <v>445</v>
      </c>
      <c r="M158" s="9" t="s">
        <v>65</v>
      </c>
      <c r="N158" s="9">
        <v>287</v>
      </c>
      <c r="O158" s="9">
        <v>203</v>
      </c>
      <c r="P158" s="9">
        <v>84</v>
      </c>
      <c r="Q158" s="9">
        <v>287</v>
      </c>
      <c r="R158" s="9">
        <v>0.38</v>
      </c>
      <c r="S158" s="9">
        <v>-6.7057000000000002</v>
      </c>
      <c r="T158" s="9">
        <v>108.56780000000001</v>
      </c>
      <c r="U158" s="9" t="s">
        <v>52</v>
      </c>
      <c r="V158" s="11" t="str">
        <f>VLOOKUP(L158,'[1]singkron data'!D:E,2,FALSE)</f>
        <v>CV. Mekar Jaya</v>
      </c>
      <c r="W158" s="13">
        <f>VLOOKUP(L158,'[1]data 1129'!F:H,3,FALSE)</f>
        <v>6105695000</v>
      </c>
      <c r="X158" s="11" t="s">
        <v>55</v>
      </c>
      <c r="Y158" s="11" t="str">
        <f>VLOOKUP(L158,'[1]singkron data'!D:H,5,FALSE)</f>
        <v>Cirebeon</v>
      </c>
      <c r="Z158" s="11">
        <f>VLOOKUP(L158,'[1]singkron data'!D:I,6,FALSE)</f>
        <v>0</v>
      </c>
      <c r="AA158" s="11" t="str">
        <f>VLOOKUP(L158,'[1]singkron data'!D:L,9,FALSE)</f>
        <v>0853-1665-8884</v>
      </c>
      <c r="AB158" s="11" t="s">
        <v>54</v>
      </c>
      <c r="AC158" s="11" t="str">
        <f>VLOOKUP(L158,'[1]singkron data'!D:M,10,FALSE)</f>
        <v>Rohmi</v>
      </c>
      <c r="AD158" s="11" t="str">
        <f>VLOOKUP(L158,'[1]data 1129'!F:O,10,FALSE)</f>
        <v>Tahap IV 200</v>
      </c>
      <c r="AE158" s="11" t="str">
        <f>VLOOKUP(L158,'[1]singkron data'!D:P,13,FALSE)</f>
        <v>sudah</v>
      </c>
      <c r="AF158" s="11" t="s">
        <v>55</v>
      </c>
      <c r="AG158" s="11" t="e">
        <f>VLOOKUP(L158,'[1]update kontrak'!E:K,6,FALSE)</f>
        <v>#N/A</v>
      </c>
      <c r="AH158" s="11" t="e">
        <f>VLOOKUP(L158,'[1]update kontrak'!E:K,7,FALSE)</f>
        <v>#N/A</v>
      </c>
      <c r="AI158" s="11" t="s">
        <v>58</v>
      </c>
      <c r="AJ158" s="11" t="str">
        <f>VLOOKUP(L158,[1]rekap!D:M,1,FALSE)</f>
        <v>Panjunan</v>
      </c>
      <c r="AK158" s="11" t="str">
        <f>VLOOKUP(L158,'[1]singkron data'!D:E,2,FALSE)</f>
        <v>CV. Mekar Jaya</v>
      </c>
      <c r="AL158" s="11" t="str">
        <f>VLOOKUP(L158,'[1]update 521'!D:D,1,FALSE)</f>
        <v>Panjunan</v>
      </c>
      <c r="AM158" s="11" t="s">
        <v>57</v>
      </c>
      <c r="AN158" s="11" t="e">
        <f>VLOOKUP(L158,[1]Sheet19!E:L,8,FALSE)</f>
        <v>#N/A</v>
      </c>
      <c r="AO158" s="11" t="s">
        <v>58</v>
      </c>
      <c r="AP158" s="12"/>
    </row>
    <row r="159" spans="1:42" ht="15" x14ac:dyDescent="0.2">
      <c r="A159" s="8" t="s">
        <v>42</v>
      </c>
      <c r="B159" s="9" t="s">
        <v>43</v>
      </c>
      <c r="C159" s="9">
        <v>1008</v>
      </c>
      <c r="D159" s="9" t="s">
        <v>284</v>
      </c>
      <c r="E159" s="9">
        <v>96</v>
      </c>
      <c r="F159" s="9" t="s">
        <v>445</v>
      </c>
      <c r="G159" s="9" t="s">
        <v>286</v>
      </c>
      <c r="H159" s="9" t="s">
        <v>287</v>
      </c>
      <c r="I159" s="9" t="s">
        <v>355</v>
      </c>
      <c r="J159" s="9" t="s">
        <v>446</v>
      </c>
      <c r="K159" s="9" t="s">
        <v>446</v>
      </c>
      <c r="L159" s="10" t="s">
        <v>446</v>
      </c>
      <c r="M159" s="9" t="s">
        <v>51</v>
      </c>
      <c r="N159" s="9">
        <v>37</v>
      </c>
      <c r="O159" s="9" t="s">
        <v>72</v>
      </c>
      <c r="P159" s="9">
        <v>27</v>
      </c>
      <c r="Q159" s="9">
        <v>27</v>
      </c>
      <c r="R159" s="9">
        <v>0.33</v>
      </c>
      <c r="S159" s="9">
        <v>-6.72140089</v>
      </c>
      <c r="T159" s="9">
        <v>108.5723076</v>
      </c>
      <c r="U159" s="9" t="s">
        <v>52</v>
      </c>
      <c r="V159" s="11" t="str">
        <f>VLOOKUP(L159,'[1]singkron data'!D:E,2,FALSE)</f>
        <v>CV. Mekar Jaya</v>
      </c>
      <c r="W159" s="13">
        <f>VLOOKUP(L159,'[1]data 1129'!F:H,3,FALSE)</f>
        <v>3549926000</v>
      </c>
      <c r="X159" s="11" t="s">
        <v>55</v>
      </c>
      <c r="Y159" s="11" t="str">
        <f>VLOOKUP(L159,'[1]singkron data'!D:H,5,FALSE)</f>
        <v>Cirbeon</v>
      </c>
      <c r="Z159" s="11">
        <f>VLOOKUP(L159,'[1]singkron data'!D:I,6,FALSE)</f>
        <v>0</v>
      </c>
      <c r="AA159" s="11" t="str">
        <f>VLOOKUP(L159,'[1]singkron data'!D:L,9,FALSE)</f>
        <v>0853-1665-8884</v>
      </c>
      <c r="AB159" s="11" t="s">
        <v>54</v>
      </c>
      <c r="AC159" s="11" t="str">
        <f>VLOOKUP(L159,'[1]singkron data'!D:M,10,FALSE)</f>
        <v>Rohmi</v>
      </c>
      <c r="AD159" s="11" t="str">
        <f>VLOOKUP(L159,'[1]data 1129'!F:O,10,FALSE)</f>
        <v>Tahap I 208</v>
      </c>
      <c r="AE159" s="11" t="str">
        <f>VLOOKUP(L159,'[1]singkron data'!D:P,13,FALSE)</f>
        <v>sudah</v>
      </c>
      <c r="AF159" s="11" t="s">
        <v>55</v>
      </c>
      <c r="AG159" s="17">
        <f>VLOOKUP(L159,'[1]update kontrak'!E:K,6,FALSE)</f>
        <v>3664313000</v>
      </c>
      <c r="AH159" s="11" t="str">
        <f>VLOOKUP(L159,'[1]update kontrak'!E:K,7,FALSE)</f>
        <v>KONTRAK</v>
      </c>
      <c r="AI159" s="11" t="s">
        <v>41</v>
      </c>
      <c r="AJ159" s="11" t="str">
        <f>VLOOKUP(L159,[1]rekap!D:M,1,FALSE)</f>
        <v>Lemahwungkuk</v>
      </c>
      <c r="AK159" s="11" t="str">
        <f>VLOOKUP(L159,'[1]singkron data'!D:E,2,FALSE)</f>
        <v>CV. Mekar Jaya</v>
      </c>
      <c r="AL159" s="11" t="str">
        <f>VLOOKUP(L159,'[1]update 521'!D:D,1,FALSE)</f>
        <v>Lemahwungkuk</v>
      </c>
      <c r="AM159" s="11" t="s">
        <v>57</v>
      </c>
      <c r="AN159" s="17">
        <f>VLOOKUP(L159,[1]Sheet19!E:L,8,FALSE)</f>
        <v>3664313000</v>
      </c>
      <c r="AO159" s="11" t="str">
        <f>VLOOKUP(L159,[1]Sheet19!E:K,7,FALSE)</f>
        <v>KONTRAK</v>
      </c>
      <c r="AP159" s="12" t="s">
        <v>41</v>
      </c>
    </row>
    <row r="160" spans="1:42" ht="15" x14ac:dyDescent="0.2">
      <c r="A160" s="8" t="s">
        <v>42</v>
      </c>
      <c r="B160" s="9" t="s">
        <v>43</v>
      </c>
      <c r="C160" s="9">
        <v>1009</v>
      </c>
      <c r="D160" s="9" t="s">
        <v>284</v>
      </c>
      <c r="E160" s="9">
        <v>97</v>
      </c>
      <c r="F160" s="9" t="s">
        <v>447</v>
      </c>
      <c r="G160" s="9" t="s">
        <v>301</v>
      </c>
      <c r="H160" s="9" t="s">
        <v>287</v>
      </c>
      <c r="I160" s="9" t="s">
        <v>448</v>
      </c>
      <c r="J160" s="9" t="s">
        <v>448</v>
      </c>
      <c r="K160" s="9" t="s">
        <v>449</v>
      </c>
      <c r="L160" s="10" t="s">
        <v>449</v>
      </c>
      <c r="M160" s="9" t="s">
        <v>65</v>
      </c>
      <c r="N160" s="9">
        <v>903</v>
      </c>
      <c r="O160" s="9" t="s">
        <v>72</v>
      </c>
      <c r="P160" s="9">
        <v>192</v>
      </c>
      <c r="Q160" s="9">
        <v>192</v>
      </c>
      <c r="R160" s="9">
        <v>2.06</v>
      </c>
      <c r="S160" s="9">
        <v>-6.6940439999999999</v>
      </c>
      <c r="T160" s="9">
        <v>111.393102</v>
      </c>
      <c r="U160" s="9" t="s">
        <v>52</v>
      </c>
      <c r="V160" s="11" t="str">
        <f>VLOOKUP(L160,'[1]singkron data'!D:E,2,FALSE)</f>
        <v>PT. Kurnia Alam Sentosa</v>
      </c>
      <c r="W160" s="13">
        <f>VLOOKUP(L160,'[1]data 1129'!F:H,3,FALSE)</f>
        <v>6658554506</v>
      </c>
      <c r="X160" s="11" t="s">
        <v>55</v>
      </c>
      <c r="Y160" s="11" t="str">
        <f>VLOOKUP(L160,'[1]singkron data'!D:H,5,FALSE)</f>
        <v>Jakarta</v>
      </c>
      <c r="Z160" s="11" t="str">
        <f>VLOOKUP(L160,'[1]singkron data'!D:I,6,FALSE)</f>
        <v>Online</v>
      </c>
      <c r="AA160" s="11">
        <f>VLOOKUP(L160,'[1]singkron data'!D:L,9,FALSE)</f>
        <v>0</v>
      </c>
      <c r="AB160" s="11" t="s">
        <v>54</v>
      </c>
      <c r="AC160" s="11" t="str">
        <f>VLOOKUP(L160,'[1]singkron data'!D:M,10,FALSE)</f>
        <v>g</v>
      </c>
      <c r="AD160" s="11" t="str">
        <f>VLOOKUP(L160,'[1]data 1129'!F:O,10,FALSE)</f>
        <v>Tahap I 208</v>
      </c>
      <c r="AE160" s="11" t="str">
        <f>VLOOKUP(L160,'[1]singkron data'!D:P,13,FALSE)</f>
        <v>sudah</v>
      </c>
      <c r="AF160" s="11" t="s">
        <v>55</v>
      </c>
      <c r="AG160" s="17">
        <f>VLOOKUP(L160,'[1]update kontrak'!E:K,6,FALSE)</f>
        <v>6518300567.3000002</v>
      </c>
      <c r="AH160" s="11" t="str">
        <f>VLOOKUP(L160,'[1]update kontrak'!E:K,7,FALSE)</f>
        <v>KONTRAK</v>
      </c>
      <c r="AI160" s="11" t="s">
        <v>41</v>
      </c>
      <c r="AJ160" s="11" t="str">
        <f>VLOOKUP(L160,[1]rekap!D:M,1,FALSE)</f>
        <v>Pasar Banggi</v>
      </c>
      <c r="AK160" s="11" t="str">
        <f>VLOOKUP(L160,'[1]singkron data'!D:E,2,FALSE)</f>
        <v>PT. Kurnia Alam Sentosa</v>
      </c>
      <c r="AL160" s="11" t="str">
        <f>VLOOKUP(L160,'[1]update 521'!D:D,1,FALSE)</f>
        <v>Pasar Banggi</v>
      </c>
      <c r="AM160" s="11" t="s">
        <v>57</v>
      </c>
      <c r="AN160" s="17">
        <f>VLOOKUP(L160,[1]Sheet19!E:L,8,FALSE)</f>
        <v>6518300567.3000002</v>
      </c>
      <c r="AO160" s="11" t="str">
        <f>VLOOKUP(L160,[1]Sheet19!E:K,7,FALSE)</f>
        <v>KONTRAK</v>
      </c>
      <c r="AP160" s="12" t="s">
        <v>41</v>
      </c>
    </row>
    <row r="161" spans="1:42" ht="15" x14ac:dyDescent="0.2">
      <c r="A161" s="8" t="s">
        <v>42</v>
      </c>
      <c r="B161" s="9" t="s">
        <v>43</v>
      </c>
      <c r="C161" s="9">
        <v>1010</v>
      </c>
      <c r="D161" s="9" t="s">
        <v>284</v>
      </c>
      <c r="E161" s="9">
        <v>98</v>
      </c>
      <c r="F161" s="9" t="s">
        <v>447</v>
      </c>
      <c r="G161" s="9" t="s">
        <v>301</v>
      </c>
      <c r="H161" s="9" t="s">
        <v>287</v>
      </c>
      <c r="I161" s="9" t="s">
        <v>448</v>
      </c>
      <c r="J161" s="9" t="s">
        <v>450</v>
      </c>
      <c r="K161" s="9" t="s">
        <v>451</v>
      </c>
      <c r="L161" s="10" t="s">
        <v>451</v>
      </c>
      <c r="M161" s="9" t="s">
        <v>51</v>
      </c>
      <c r="N161" s="9">
        <v>1046</v>
      </c>
      <c r="O161" s="9" t="s">
        <v>72</v>
      </c>
      <c r="P161" s="9">
        <v>180</v>
      </c>
      <c r="Q161" s="9">
        <v>180</v>
      </c>
      <c r="R161" s="9">
        <v>0.11</v>
      </c>
      <c r="S161" s="9">
        <v>-6.7421129999999998</v>
      </c>
      <c r="T161" s="9">
        <v>111.67706099999999</v>
      </c>
      <c r="U161" s="9" t="s">
        <v>52</v>
      </c>
      <c r="V161" s="11" t="str">
        <f>VLOOKUP(L161,'[1]singkron data'!D:E,2,FALSE)</f>
        <v>PT. Kurnia Alam Sentosa</v>
      </c>
      <c r="W161" s="13">
        <f>VLOOKUP(L161,'[1]data 1129'!F:H,3,FALSE)</f>
        <v>2314000000</v>
      </c>
      <c r="X161" s="11" t="s">
        <v>55</v>
      </c>
      <c r="Y161" s="11" t="str">
        <f>VLOOKUP(L161,'[1]singkron data'!D:H,5,FALSE)</f>
        <v>Jakarta</v>
      </c>
      <c r="Z161" s="11" t="str">
        <f>VLOOKUP(L161,'[1]singkron data'!D:I,6,FALSE)</f>
        <v>Online</v>
      </c>
      <c r="AA161" s="11">
        <f>VLOOKUP(L161,'[1]singkron data'!D:L,9,FALSE)</f>
        <v>0</v>
      </c>
      <c r="AB161" s="11" t="s">
        <v>54</v>
      </c>
      <c r="AC161" s="11" t="str">
        <f>VLOOKUP(L161,'[1]singkron data'!D:M,10,FALSE)</f>
        <v>g</v>
      </c>
      <c r="AD161" s="11" t="str">
        <f>VLOOKUP(L161,'[1]data 1129'!F:O,10,FALSE)</f>
        <v>Tahap I 208</v>
      </c>
      <c r="AE161" s="11" t="str">
        <f>VLOOKUP(L161,'[1]singkron data'!D:P,13,FALSE)</f>
        <v>sudah</v>
      </c>
      <c r="AF161" s="11" t="s">
        <v>55</v>
      </c>
      <c r="AG161" s="17">
        <f>VLOOKUP(L161,'[1]update kontrak'!E:K,6,FALSE)</f>
        <v>4257719141.3200002</v>
      </c>
      <c r="AH161" s="11" t="str">
        <f>VLOOKUP(L161,'[1]update kontrak'!E:K,7,FALSE)</f>
        <v>KONTRAK</v>
      </c>
      <c r="AI161" s="11" t="s">
        <v>41</v>
      </c>
      <c r="AJ161" s="11" t="str">
        <f>VLOOKUP(L161,[1]rekap!D:M,1,FALSE)</f>
        <v>Karangmangu</v>
      </c>
      <c r="AK161" s="11" t="str">
        <f>VLOOKUP(L161,'[1]singkron data'!D:E,2,FALSE)</f>
        <v>PT. Kurnia Alam Sentosa</v>
      </c>
      <c r="AL161" s="11" t="str">
        <f>VLOOKUP(L161,'[1]update 521'!D:D,1,FALSE)</f>
        <v>Karangmangu</v>
      </c>
      <c r="AM161" s="11" t="s">
        <v>57</v>
      </c>
      <c r="AN161" s="17">
        <f>VLOOKUP(L161,[1]Sheet19!E:L,8,FALSE)</f>
        <v>4257719141.3200002</v>
      </c>
      <c r="AO161" s="11" t="str">
        <f>VLOOKUP(L161,[1]Sheet19!E:K,7,FALSE)</f>
        <v>KONTRAK</v>
      </c>
      <c r="AP161" s="12" t="s">
        <v>41</v>
      </c>
    </row>
    <row r="162" spans="1:42" ht="15" x14ac:dyDescent="0.2">
      <c r="A162" s="8" t="s">
        <v>42</v>
      </c>
      <c r="B162" s="9" t="s">
        <v>43</v>
      </c>
      <c r="C162" s="9">
        <v>1014</v>
      </c>
      <c r="D162" s="9" t="s">
        <v>284</v>
      </c>
      <c r="E162" s="9">
        <v>102</v>
      </c>
      <c r="F162" s="9" t="s">
        <v>447</v>
      </c>
      <c r="G162" s="9" t="s">
        <v>301</v>
      </c>
      <c r="H162" s="9" t="s">
        <v>287</v>
      </c>
      <c r="I162" s="9" t="s">
        <v>448</v>
      </c>
      <c r="J162" s="9" t="s">
        <v>452</v>
      </c>
      <c r="K162" s="9" t="s">
        <v>453</v>
      </c>
      <c r="L162" s="10" t="s">
        <v>453</v>
      </c>
      <c r="M162" s="9" t="s">
        <v>51</v>
      </c>
      <c r="N162" s="9">
        <v>249</v>
      </c>
      <c r="O162" s="9" t="s">
        <v>72</v>
      </c>
      <c r="P162" s="9">
        <v>60</v>
      </c>
      <c r="Q162" s="9">
        <v>60</v>
      </c>
      <c r="R162" s="9">
        <v>0.18</v>
      </c>
      <c r="S162" s="9">
        <v>-6.6981270000000004</v>
      </c>
      <c r="T162" s="9">
        <v>111.237881</v>
      </c>
      <c r="U162" s="9" t="s">
        <v>52</v>
      </c>
      <c r="V162" s="11" t="str">
        <f>VLOOKUP(L162,'[1]singkron data'!D:E,2,FALSE)</f>
        <v>PT. Kurnia Alam Sentosa</v>
      </c>
      <c r="W162" s="13">
        <f>VLOOKUP(L162,'[1]data 1129'!F:H,3,FALSE)</f>
        <v>2613033872</v>
      </c>
      <c r="X162" s="11" t="s">
        <v>55</v>
      </c>
      <c r="Y162" s="11" t="str">
        <f>VLOOKUP(L162,'[1]singkron data'!D:H,5,FALSE)</f>
        <v>Jakarta</v>
      </c>
      <c r="Z162" s="11" t="str">
        <f>VLOOKUP(L162,'[1]singkron data'!D:I,6,FALSE)</f>
        <v>Online</v>
      </c>
      <c r="AA162" s="11">
        <f>VLOOKUP(L162,'[1]singkron data'!D:L,9,FALSE)</f>
        <v>0</v>
      </c>
      <c r="AB162" s="11" t="s">
        <v>54</v>
      </c>
      <c r="AC162" s="11" t="str">
        <f>VLOOKUP(L162,'[1]singkron data'!D:M,10,FALSE)</f>
        <v>g</v>
      </c>
      <c r="AD162" s="11" t="str">
        <f>VLOOKUP(L162,'[1]data 1129'!F:O,10,FALSE)</f>
        <v>Tahap I 208</v>
      </c>
      <c r="AE162" s="11" t="str">
        <f>VLOOKUP(L162,'[1]singkron data'!D:P,13,FALSE)</f>
        <v>sudah</v>
      </c>
      <c r="AF162" s="11" t="s">
        <v>55</v>
      </c>
      <c r="AG162" s="17">
        <f>VLOOKUP(L162,'[1]update kontrak'!E:K,6,FALSE)</f>
        <v>2541084639.5100002</v>
      </c>
      <c r="AH162" s="11" t="str">
        <f>VLOOKUP(L162,'[1]update kontrak'!E:K,7,FALSE)</f>
        <v>KONTRAK</v>
      </c>
      <c r="AI162" s="11" t="s">
        <v>41</v>
      </c>
      <c r="AJ162" s="11" t="str">
        <f>VLOOKUP(L162,[1]rekap!D:M,1,FALSE)</f>
        <v>Tambakagung</v>
      </c>
      <c r="AK162" s="11" t="str">
        <f>VLOOKUP(L162,'[1]singkron data'!D:E,2,FALSE)</f>
        <v>PT. Kurnia Alam Sentosa</v>
      </c>
      <c r="AL162" s="11" t="str">
        <f>VLOOKUP(L162,'[1]update 521'!D:D,1,FALSE)</f>
        <v>Tambakagung</v>
      </c>
      <c r="AM162" s="11" t="s">
        <v>57</v>
      </c>
      <c r="AN162" s="17">
        <f>VLOOKUP(L162,[1]Sheet19!E:L,8,FALSE)</f>
        <v>2541084639.5100002</v>
      </c>
      <c r="AO162" s="11" t="str">
        <f>VLOOKUP(L162,[1]Sheet19!E:K,7,FALSE)</f>
        <v>KONTRAK</v>
      </c>
      <c r="AP162" s="12" t="s">
        <v>41</v>
      </c>
    </row>
    <row r="163" spans="1:42" ht="15" x14ac:dyDescent="0.2">
      <c r="A163" s="8" t="s">
        <v>42</v>
      </c>
      <c r="B163" s="9" t="s">
        <v>43</v>
      </c>
      <c r="C163" s="9">
        <v>969</v>
      </c>
      <c r="D163" s="9" t="s">
        <v>284</v>
      </c>
      <c r="E163" s="9">
        <v>57</v>
      </c>
      <c r="F163" s="9" t="s">
        <v>454</v>
      </c>
      <c r="G163" s="9" t="s">
        <v>297</v>
      </c>
      <c r="H163" s="9" t="s">
        <v>287</v>
      </c>
      <c r="I163" s="9" t="s">
        <v>454</v>
      </c>
      <c r="J163" s="9" t="s">
        <v>455</v>
      </c>
      <c r="K163" s="9" t="s">
        <v>456</v>
      </c>
      <c r="L163" s="10" t="s">
        <v>456</v>
      </c>
      <c r="M163" s="9" t="s">
        <v>51</v>
      </c>
      <c r="N163" s="9">
        <v>342</v>
      </c>
      <c r="O163" s="9" t="s">
        <v>72</v>
      </c>
      <c r="P163" s="9">
        <v>144</v>
      </c>
      <c r="Q163" s="9">
        <v>144</v>
      </c>
      <c r="R163" s="9">
        <v>0.89</v>
      </c>
      <c r="S163" s="9">
        <v>-7.6057689999999996</v>
      </c>
      <c r="T163" s="9">
        <v>112.84828899999999</v>
      </c>
      <c r="U163" s="9" t="s">
        <v>52</v>
      </c>
      <c r="V163" s="11" t="str">
        <f>VLOOKUP(L163,'[1]singkron data'!D:E,2,FALSE)</f>
        <v>PT. Mandalika Indah Pratama</v>
      </c>
      <c r="W163" s="13">
        <f>VLOOKUP(L163,'[1]data 1129'!F:H,3,FALSE)</f>
        <v>4441806000</v>
      </c>
      <c r="X163" s="11" t="s">
        <v>55</v>
      </c>
      <c r="Y163" s="11">
        <f>VLOOKUP(L163,'[1]singkron data'!D:H,5,FALSE)</f>
        <v>0</v>
      </c>
      <c r="Z163" s="11" t="str">
        <f>VLOOKUP(L163,'[1]singkron data'!D:I,6,FALSE)</f>
        <v>Online</v>
      </c>
      <c r="AA163" s="11" t="str">
        <f>VLOOKUP(L163,'[1]singkron data'!D:L,9,FALSE)</f>
        <v>081315297888/amir</v>
      </c>
      <c r="AB163" s="11" t="s">
        <v>54</v>
      </c>
      <c r="AC163" s="11" t="str">
        <f>VLOOKUP(L163,'[1]singkron data'!D:M,10,FALSE)</f>
        <v>V</v>
      </c>
      <c r="AD163" s="11" t="str">
        <f>VLOOKUP(L163,'[1]data 1129'!F:O,10,FALSE)</f>
        <v>Tahap IV 200</v>
      </c>
      <c r="AE163" s="11" t="str">
        <f>VLOOKUP(L163,'[1]singkron data'!D:P,13,FALSE)</f>
        <v>sudah</v>
      </c>
      <c r="AF163" s="11" t="s">
        <v>55</v>
      </c>
      <c r="AG163" s="11" t="e">
        <f>VLOOKUP(L163,'[1]update kontrak'!E:K,6,FALSE)</f>
        <v>#N/A</v>
      </c>
      <c r="AH163" s="11" t="e">
        <f>VLOOKUP(L163,'[1]update kontrak'!E:K,7,FALSE)</f>
        <v>#N/A</v>
      </c>
      <c r="AI163" s="11"/>
      <c r="AJ163" s="11" t="str">
        <f>VLOOKUP(L163,[1]rekap!D:M,1,FALSE)</f>
        <v>Gerongan</v>
      </c>
      <c r="AK163" s="11" t="str">
        <f>VLOOKUP(L163,'[1]singkron data'!D:E,2,FALSE)</f>
        <v>PT. Mandalika Indah Pratama</v>
      </c>
      <c r="AL163" s="11" t="str">
        <f>VLOOKUP(L163,'[1]update 521'!D:D,1,FALSE)</f>
        <v>Gerongan</v>
      </c>
      <c r="AM163" s="11" t="s">
        <v>57</v>
      </c>
      <c r="AN163" s="17">
        <f>VLOOKUP(L163,[1]Sheet19!E:L,8,FALSE)</f>
        <v>3173170000</v>
      </c>
      <c r="AO163" s="11" t="str">
        <f>VLOOKUP(L163,[1]Sheet19!E:K,7,FALSE)</f>
        <v>SPPBJ</v>
      </c>
      <c r="AP163" s="12"/>
    </row>
    <row r="164" spans="1:42" ht="15" x14ac:dyDescent="0.2">
      <c r="A164" s="8" t="s">
        <v>42</v>
      </c>
      <c r="B164" s="9" t="s">
        <v>43</v>
      </c>
      <c r="C164" s="9">
        <v>970</v>
      </c>
      <c r="D164" s="9" t="s">
        <v>284</v>
      </c>
      <c r="E164" s="9">
        <v>58</v>
      </c>
      <c r="F164" s="9" t="s">
        <v>454</v>
      </c>
      <c r="G164" s="9" t="s">
        <v>297</v>
      </c>
      <c r="H164" s="9" t="s">
        <v>287</v>
      </c>
      <c r="I164" s="9" t="s">
        <v>454</v>
      </c>
      <c r="J164" s="9" t="s">
        <v>457</v>
      </c>
      <c r="K164" s="9" t="s">
        <v>458</v>
      </c>
      <c r="L164" s="10" t="s">
        <v>458</v>
      </c>
      <c r="M164" s="9" t="s">
        <v>51</v>
      </c>
      <c r="N164" s="9">
        <v>700</v>
      </c>
      <c r="O164" s="9" t="s">
        <v>72</v>
      </c>
      <c r="P164" s="9">
        <v>100</v>
      </c>
      <c r="Q164" s="9">
        <v>100</v>
      </c>
      <c r="R164" s="9">
        <v>1.73</v>
      </c>
      <c r="S164" s="9">
        <v>-7.7014120000000004</v>
      </c>
      <c r="T164" s="9">
        <v>113.085858</v>
      </c>
      <c r="U164" s="9" t="s">
        <v>52</v>
      </c>
      <c r="V164" s="11" t="str">
        <f>VLOOKUP(L164,'[1]singkron data'!D:E,2,FALSE)</f>
        <v>CV. Sanjaya Makmur</v>
      </c>
      <c r="W164" s="13">
        <f>VLOOKUP(L164,'[1]data 1129'!F:H,3,FALSE)</f>
        <v>4441806000</v>
      </c>
      <c r="X164" s="11" t="s">
        <v>55</v>
      </c>
      <c r="Y164" s="11" t="str">
        <f>VLOOKUP(L164,'[1]singkron data'!D:H,5,FALSE)</f>
        <v>Sidoarjo</v>
      </c>
      <c r="Z164" s="11" t="str">
        <f>VLOOKUP(L164,'[1]singkron data'!D:I,6,FALSE)</f>
        <v>Online</v>
      </c>
      <c r="AA164" s="11" t="str">
        <f>VLOOKUP(L164,'[1]singkron data'!D:L,9,FALSE)</f>
        <v>081357900812/sujadi</v>
      </c>
      <c r="AB164" s="11" t="s">
        <v>54</v>
      </c>
      <c r="AC164" s="11" t="str">
        <f>VLOOKUP(L164,'[1]singkron data'!D:M,10,FALSE)</f>
        <v>Put - Diganti penyedia skala kecil</v>
      </c>
      <c r="AD164" s="11" t="str">
        <f>VLOOKUP(L164,'[1]data 1129'!F:O,10,FALSE)</f>
        <v>Tahap IV 200</v>
      </c>
      <c r="AE164" s="11" t="str">
        <f>VLOOKUP(L164,'[1]singkron data'!D:P,13,FALSE)</f>
        <v>sudah</v>
      </c>
      <c r="AF164" s="11" t="s">
        <v>55</v>
      </c>
      <c r="AG164" s="11" t="e">
        <f>VLOOKUP(L164,'[1]update kontrak'!E:K,6,FALSE)</f>
        <v>#N/A</v>
      </c>
      <c r="AH164" s="11" t="e">
        <f>VLOOKUP(L164,'[1]update kontrak'!E:K,7,FALSE)</f>
        <v>#N/A</v>
      </c>
      <c r="AI164" s="11" t="s">
        <v>58</v>
      </c>
      <c r="AJ164" s="11" t="str">
        <f>VLOOKUP(L164,[1]rekap!D:M,1,FALSE)</f>
        <v>Mlaten</v>
      </c>
      <c r="AK164" s="11" t="str">
        <f>VLOOKUP(L164,'[1]singkron data'!D:E,2,FALSE)</f>
        <v>CV. Sanjaya Makmur</v>
      </c>
      <c r="AL164" s="11" t="str">
        <f>VLOOKUP(L164,'[1]update 521'!D:D,1,FALSE)</f>
        <v>Mlaten</v>
      </c>
      <c r="AM164" s="11" t="s">
        <v>57</v>
      </c>
      <c r="AN164" s="11" t="e">
        <f>VLOOKUP(L164,[1]Sheet19!E:L,8,FALSE)</f>
        <v>#N/A</v>
      </c>
      <c r="AO164" s="11" t="s">
        <v>58</v>
      </c>
      <c r="AP164" s="12"/>
    </row>
    <row r="165" spans="1:42" ht="15" x14ac:dyDescent="0.2">
      <c r="A165" s="8" t="s">
        <v>42</v>
      </c>
      <c r="B165" s="9" t="s">
        <v>43</v>
      </c>
      <c r="C165" s="9">
        <v>1018</v>
      </c>
      <c r="D165" s="9" t="s">
        <v>284</v>
      </c>
      <c r="E165" s="9">
        <v>106</v>
      </c>
      <c r="F165" s="9" t="s">
        <v>459</v>
      </c>
      <c r="G165" s="9" t="s">
        <v>297</v>
      </c>
      <c r="H165" s="9" t="s">
        <v>287</v>
      </c>
      <c r="I165" s="9" t="s">
        <v>460</v>
      </c>
      <c r="J165" s="9" t="s">
        <v>299</v>
      </c>
      <c r="K165" s="9" t="s">
        <v>459</v>
      </c>
      <c r="L165" s="10" t="s">
        <v>459</v>
      </c>
      <c r="M165" s="9" t="s">
        <v>65</v>
      </c>
      <c r="N165" s="9">
        <v>1456</v>
      </c>
      <c r="O165" s="9" t="s">
        <v>72</v>
      </c>
      <c r="P165" s="14">
        <v>1456</v>
      </c>
      <c r="Q165" s="14">
        <v>1456</v>
      </c>
      <c r="R165" s="9">
        <v>0.3</v>
      </c>
      <c r="S165" s="9">
        <v>-7.7276018000000004</v>
      </c>
      <c r="T165" s="9">
        <v>113.6833622</v>
      </c>
      <c r="U165" s="9" t="s">
        <v>52</v>
      </c>
      <c r="V165" s="11" t="str">
        <f>VLOOKUP(L165,'[1]singkron data'!D:E,2,FALSE)</f>
        <v>CV. Tosan</v>
      </c>
      <c r="W165" s="13">
        <f>VLOOKUP(L165,'[1]data 1129'!F:H,3,FALSE)</f>
        <v>4322097086</v>
      </c>
      <c r="X165" s="11" t="s">
        <v>55</v>
      </c>
      <c r="Y165" s="11" t="str">
        <f>VLOOKUP(L165,'[1]singkron data'!D:H,5,FALSE)</f>
        <v>Sumenep</v>
      </c>
      <c r="Z165" s="11" t="str">
        <f>VLOOKUP(L165,'[1]singkron data'!D:I,6,FALSE)</f>
        <v>Offline</v>
      </c>
      <c r="AA165" s="11">
        <f>VLOOKUP(L165,'[1]singkron data'!D:L,9,FALSE)</f>
        <v>0</v>
      </c>
      <c r="AB165" s="11" t="s">
        <v>54</v>
      </c>
      <c r="AC165" s="11" t="str">
        <f>VLOOKUP(L165,'[1]singkron data'!D:M,10,FALSE)</f>
        <v>g</v>
      </c>
      <c r="AD165" s="11" t="str">
        <f>VLOOKUP(L165,'[1]data 1129'!F:O,10,FALSE)</f>
        <v>Tahap I 208</v>
      </c>
      <c r="AE165" s="11" t="str">
        <f>VLOOKUP(L165,'[1]singkron data'!D:P,13,FALSE)</f>
        <v>sudah</v>
      </c>
      <c r="AF165" s="11" t="s">
        <v>55</v>
      </c>
      <c r="AG165" s="17">
        <f>VLOOKUP(L165,'[1]update kontrak'!E:K,6,FALSE)</f>
        <v>4132828840.8600001</v>
      </c>
      <c r="AH165" s="11" t="str">
        <f>VLOOKUP(L165,'[1]update kontrak'!E:K,7,FALSE)</f>
        <v>KONTRAK</v>
      </c>
      <c r="AI165" s="11" t="s">
        <v>41</v>
      </c>
      <c r="AJ165" s="11" t="str">
        <f>VLOOKUP(L165,[1]rekap!D:M,1,FALSE)</f>
        <v>Pesisir</v>
      </c>
      <c r="AK165" s="11" t="str">
        <f>VLOOKUP(L165,'[1]singkron data'!D:E,2,FALSE)</f>
        <v>CV. Tosan</v>
      </c>
      <c r="AL165" s="11" t="str">
        <f>VLOOKUP(L165,'[1]update 521'!D:D,1,FALSE)</f>
        <v>Pesisir</v>
      </c>
      <c r="AM165" s="11" t="s">
        <v>57</v>
      </c>
      <c r="AN165" s="17">
        <f>VLOOKUP(L165,[1]Sheet19!E:L,8,FALSE)</f>
        <v>4132828840.8600001</v>
      </c>
      <c r="AO165" s="11" t="str">
        <f>VLOOKUP(L165,[1]Sheet19!E:K,7,FALSE)</f>
        <v>KONTRAK</v>
      </c>
      <c r="AP165" s="12" t="s">
        <v>41</v>
      </c>
    </row>
    <row r="166" spans="1:42" ht="15" x14ac:dyDescent="0.2">
      <c r="A166" s="8" t="s">
        <v>42</v>
      </c>
      <c r="B166" s="9" t="s">
        <v>43</v>
      </c>
      <c r="C166" s="9">
        <v>1019</v>
      </c>
      <c r="D166" s="9" t="s">
        <v>284</v>
      </c>
      <c r="E166" s="9">
        <v>107</v>
      </c>
      <c r="F166" s="9" t="s">
        <v>459</v>
      </c>
      <c r="G166" s="9" t="s">
        <v>297</v>
      </c>
      <c r="H166" s="9" t="s">
        <v>287</v>
      </c>
      <c r="I166" s="9" t="s">
        <v>461</v>
      </c>
      <c r="J166" s="9" t="s">
        <v>462</v>
      </c>
      <c r="K166" s="9" t="s">
        <v>463</v>
      </c>
      <c r="L166" s="10" t="s">
        <v>463</v>
      </c>
      <c r="M166" s="9" t="s">
        <v>51</v>
      </c>
      <c r="N166" s="9">
        <v>1474</v>
      </c>
      <c r="O166" s="9" t="s">
        <v>72</v>
      </c>
      <c r="P166" s="9">
        <v>180</v>
      </c>
      <c r="Q166" s="9">
        <v>180</v>
      </c>
      <c r="R166" s="9">
        <v>0.12</v>
      </c>
      <c r="S166" s="9">
        <v>-7.7341420999999997</v>
      </c>
      <c r="T166" s="9">
        <v>113.4170926</v>
      </c>
      <c r="U166" s="9" t="s">
        <v>52</v>
      </c>
      <c r="V166" s="11" t="str">
        <f>VLOOKUP(L166,'[1]singkron data'!D:E,2,FALSE)</f>
        <v>CV. Mayang Jaya</v>
      </c>
      <c r="W166" s="13">
        <f>VLOOKUP(L166,'[1]data 1129'!F:H,3,FALSE)</f>
        <v>2084493000</v>
      </c>
      <c r="X166" s="11" t="s">
        <v>55</v>
      </c>
      <c r="Y166" s="11">
        <f>VLOOKUP(L166,'[1]singkron data'!D:H,5,FALSE)</f>
        <v>0</v>
      </c>
      <c r="Z166" s="11">
        <f>VLOOKUP(L166,'[1]singkron data'!D:I,6,FALSE)</f>
        <v>0</v>
      </c>
      <c r="AA166" s="11">
        <f>VLOOKUP(L166,'[1]singkron data'!D:L,9,FALSE)</f>
        <v>0</v>
      </c>
      <c r="AB166" s="11" t="s">
        <v>54</v>
      </c>
      <c r="AC166" s="11" t="str">
        <f>VLOOKUP(L166,'[1]singkron data'!D:M,10,FALSE)</f>
        <v>Put</v>
      </c>
      <c r="AD166" s="11" t="str">
        <f>VLOOKUP(L166,'[1]data 1129'!F:O,10,FALSE)</f>
        <v>Tahap I 208</v>
      </c>
      <c r="AE166" s="11">
        <f>VLOOKUP(L166,'[1]singkron data'!D:P,13,FALSE)</f>
        <v>0</v>
      </c>
      <c r="AF166" s="11"/>
      <c r="AG166" s="11" t="e">
        <f>VLOOKUP(L166,'[1]update kontrak'!E:K,6,FALSE)</f>
        <v>#N/A</v>
      </c>
      <c r="AH166" s="11" t="e">
        <f>VLOOKUP(L166,'[1]update kontrak'!E:K,7,FALSE)</f>
        <v>#N/A</v>
      </c>
      <c r="AI166" s="11" t="s">
        <v>58</v>
      </c>
      <c r="AJ166" s="11" t="str">
        <f>VLOOKUP(L166,[1]rekap!D:M,1,FALSE)</f>
        <v>Kalibuntu</v>
      </c>
      <c r="AK166" s="11" t="str">
        <f>VLOOKUP(L166,'[1]singkron data'!D:E,2,FALSE)</f>
        <v>CV. Mayang Jaya</v>
      </c>
      <c r="AL166" s="11" t="str">
        <f>VLOOKUP(L166,'[1]update 521'!D:D,1,FALSE)</f>
        <v>Kalibuntu</v>
      </c>
      <c r="AM166" s="11" t="s">
        <v>57</v>
      </c>
      <c r="AN166" s="17">
        <f>VLOOKUP(L166,[1]Sheet19!E:L,8,FALSE)</f>
        <v>2354374000</v>
      </c>
      <c r="AO166" s="11" t="str">
        <f>VLOOKUP(L166,[1]Sheet19!E:K,7,FALSE)</f>
        <v>SPPBJ</v>
      </c>
      <c r="AP166" s="12"/>
    </row>
    <row r="167" spans="1:42" ht="15" x14ac:dyDescent="0.2">
      <c r="A167" s="8" t="s">
        <v>42</v>
      </c>
      <c r="B167" s="9" t="s">
        <v>43</v>
      </c>
      <c r="C167" s="9">
        <v>1020</v>
      </c>
      <c r="D167" s="9" t="s">
        <v>284</v>
      </c>
      <c r="E167" s="9">
        <v>108</v>
      </c>
      <c r="F167" s="9" t="s">
        <v>459</v>
      </c>
      <c r="G167" s="9" t="s">
        <v>297</v>
      </c>
      <c r="H167" s="9" t="s">
        <v>287</v>
      </c>
      <c r="I167" s="9" t="s">
        <v>461</v>
      </c>
      <c r="J167" s="9" t="s">
        <v>464</v>
      </c>
      <c r="K167" s="9" t="s">
        <v>465</v>
      </c>
      <c r="L167" s="10" t="s">
        <v>465</v>
      </c>
      <c r="M167" s="9" t="s">
        <v>51</v>
      </c>
      <c r="N167" s="9">
        <v>361</v>
      </c>
      <c r="O167" s="9" t="s">
        <v>72</v>
      </c>
      <c r="P167" s="9">
        <v>361</v>
      </c>
      <c r="Q167" s="9">
        <v>361</v>
      </c>
      <c r="R167" s="9">
        <v>0.5</v>
      </c>
      <c r="S167" s="9">
        <v>-7.7028610000000004</v>
      </c>
      <c r="T167" s="9">
        <v>113.479625</v>
      </c>
      <c r="U167" s="9" t="s">
        <v>52</v>
      </c>
      <c r="V167" s="11" t="str">
        <f>VLOOKUP(L167,'[1]singkron data'!D:E,2,FALSE)</f>
        <v>CV. Wapike Bali</v>
      </c>
      <c r="W167" s="13">
        <f>VLOOKUP(L167,'[1]data 1129'!F:H,3,FALSE)</f>
        <v>4878821000</v>
      </c>
      <c r="X167" s="11" t="s">
        <v>55</v>
      </c>
      <c r="Y167" s="11">
        <f>VLOOKUP(L167,'[1]singkron data'!D:H,5,FALSE)</f>
        <v>0</v>
      </c>
      <c r="Z167" s="11">
        <f>VLOOKUP(L167,'[1]singkron data'!D:I,6,FALSE)</f>
        <v>0</v>
      </c>
      <c r="AA167" s="11" t="str">
        <f>VLOOKUP(L167,'[1]singkron data'!D:L,9,FALSE)</f>
        <v>813-3035-4355/Siroj</v>
      </c>
      <c r="AB167" s="11" t="s">
        <v>54</v>
      </c>
      <c r="AC167" s="11" t="str">
        <f>VLOOKUP(L167,'[1]singkron data'!D:M,10,FALSE)</f>
        <v>g</v>
      </c>
      <c r="AD167" s="11" t="str">
        <f>VLOOKUP(L167,'[1]data 1129'!F:O,10,FALSE)</f>
        <v>Tahap I 208</v>
      </c>
      <c r="AE167" s="11" t="str">
        <f>VLOOKUP(L167,'[1]singkron data'!D:P,13,FALSE)</f>
        <v>sudah</v>
      </c>
      <c r="AF167" s="11" t="s">
        <v>55</v>
      </c>
      <c r="AG167" s="11" t="e">
        <f>VLOOKUP(L167,'[1]update kontrak'!E:K,6,FALSE)</f>
        <v>#N/A</v>
      </c>
      <c r="AH167" s="11" t="e">
        <f>VLOOKUP(L167,'[1]update kontrak'!E:K,7,FALSE)</f>
        <v>#N/A</v>
      </c>
      <c r="AI167" s="11" t="s">
        <v>58</v>
      </c>
      <c r="AJ167" s="11" t="str">
        <f>VLOOKUP(L167,[1]rekap!D:M,1,FALSE)</f>
        <v>Randuputih</v>
      </c>
      <c r="AK167" s="11" t="str">
        <f>VLOOKUP(L167,'[1]singkron data'!D:E,2,FALSE)</f>
        <v>CV. Wapike Bali</v>
      </c>
      <c r="AL167" s="11" t="str">
        <f>VLOOKUP(L167,'[1]update 521'!D:D,1,FALSE)</f>
        <v>Randuputih</v>
      </c>
      <c r="AM167" s="11" t="s">
        <v>57</v>
      </c>
      <c r="AN167" s="17">
        <f>VLOOKUP(L167,[1]Sheet19!E:L,8,FALSE)</f>
        <v>3360416414.5900002</v>
      </c>
      <c r="AO167" s="11" t="str">
        <f>VLOOKUP(L167,[1]Sheet19!E:K,7,FALSE)</f>
        <v>SPPBJ</v>
      </c>
      <c r="AP167" s="12"/>
    </row>
    <row r="168" spans="1:42" ht="15" x14ac:dyDescent="0.2">
      <c r="A168" s="8" t="s">
        <v>42</v>
      </c>
      <c r="B168" s="9" t="s">
        <v>43</v>
      </c>
      <c r="C168" s="9">
        <v>1022</v>
      </c>
      <c r="D168" s="9" t="s">
        <v>284</v>
      </c>
      <c r="E168" s="9">
        <v>110</v>
      </c>
      <c r="F168" s="9" t="s">
        <v>459</v>
      </c>
      <c r="G168" s="9" t="s">
        <v>297</v>
      </c>
      <c r="H168" s="9" t="s">
        <v>287</v>
      </c>
      <c r="I168" s="9" t="s">
        <v>460</v>
      </c>
      <c r="J168" s="9" t="s">
        <v>466</v>
      </c>
      <c r="K168" s="9" t="s">
        <v>467</v>
      </c>
      <c r="L168" s="10" t="s">
        <v>467</v>
      </c>
      <c r="M168" s="9" t="s">
        <v>81</v>
      </c>
      <c r="N168" s="9">
        <v>300</v>
      </c>
      <c r="O168" s="9" t="s">
        <v>72</v>
      </c>
      <c r="P168" s="9">
        <v>850</v>
      </c>
      <c r="Q168" s="9">
        <v>850</v>
      </c>
      <c r="R168" s="9">
        <v>2.11</v>
      </c>
      <c r="S168" s="9">
        <v>-7.9280216000000001</v>
      </c>
      <c r="T168" s="9">
        <v>114.4183276</v>
      </c>
      <c r="U168" s="9" t="s">
        <v>52</v>
      </c>
      <c r="V168" s="11" t="str">
        <f>VLOOKUP(L168,'[1]singkron data'!D:E,2,FALSE)</f>
        <v>CV. Tosan</v>
      </c>
      <c r="W168" s="13">
        <f>VLOOKUP(L168,'[1]data 1129'!F:H,3,FALSE)</f>
        <v>4791933000</v>
      </c>
      <c r="X168" s="11" t="s">
        <v>55</v>
      </c>
      <c r="Y168" s="11" t="str">
        <f>VLOOKUP(L168,'[1]singkron data'!D:H,5,FALSE)</f>
        <v>Sumenep</v>
      </c>
      <c r="Z168" s="11" t="str">
        <f>VLOOKUP(L168,'[1]singkron data'!D:I,6,FALSE)</f>
        <v>Offline</v>
      </c>
      <c r="AA168" s="11">
        <f>VLOOKUP(L168,'[1]singkron data'!D:L,9,FALSE)</f>
        <v>0</v>
      </c>
      <c r="AB168" s="11" t="s">
        <v>54</v>
      </c>
      <c r="AC168" s="11" t="str">
        <f>VLOOKUP(L168,'[1]singkron data'!D:M,10,FALSE)</f>
        <v>g</v>
      </c>
      <c r="AD168" s="11" t="str">
        <f>VLOOKUP(L168,'[1]data 1129'!F:O,10,FALSE)</f>
        <v>Tahap I 208</v>
      </c>
      <c r="AE168" s="11" t="str">
        <f>VLOOKUP(L168,'[1]singkron data'!D:P,13,FALSE)</f>
        <v>sudah</v>
      </c>
      <c r="AF168" s="11" t="s">
        <v>55</v>
      </c>
      <c r="AG168" s="17">
        <f>VLOOKUP(L168,'[1]update kontrak'!E:K,6,FALSE)</f>
        <v>2372252311.9499998</v>
      </c>
      <c r="AH168" s="11" t="str">
        <f>VLOOKUP(L168,'[1]update kontrak'!E:K,7,FALSE)</f>
        <v>KONTRAK</v>
      </c>
      <c r="AI168" s="11" t="s">
        <v>41</v>
      </c>
      <c r="AJ168" s="11" t="str">
        <f>VLOOKUP(L168,[1]rekap!D:M,1,FALSE)</f>
        <v>Wonorejo</v>
      </c>
      <c r="AK168" s="11" t="str">
        <f>VLOOKUP(L168,'[1]singkron data'!D:E,2,FALSE)</f>
        <v>CV. Tosan</v>
      </c>
      <c r="AL168" s="11" t="str">
        <f>VLOOKUP(L168,'[1]update 521'!D:D,1,FALSE)</f>
        <v>Wonorejo</v>
      </c>
      <c r="AM168" s="11" t="s">
        <v>57</v>
      </c>
      <c r="AN168" s="17">
        <f>VLOOKUP(L168,[1]Sheet19!E:L,8,FALSE)</f>
        <v>2372252311.9499998</v>
      </c>
      <c r="AO168" s="11" t="str">
        <f>VLOOKUP(L168,[1]Sheet19!E:K,7,FALSE)</f>
        <v>KONTRAK</v>
      </c>
      <c r="AP168" s="12" t="s">
        <v>41</v>
      </c>
    </row>
    <row r="169" spans="1:42" ht="15" x14ac:dyDescent="0.2">
      <c r="A169" s="8" t="s">
        <v>42</v>
      </c>
      <c r="B169" s="9" t="s">
        <v>43</v>
      </c>
      <c r="C169" s="9">
        <v>1023</v>
      </c>
      <c r="D169" s="9" t="s">
        <v>284</v>
      </c>
      <c r="E169" s="9">
        <v>111</v>
      </c>
      <c r="F169" s="9" t="s">
        <v>468</v>
      </c>
      <c r="G169" s="9" t="s">
        <v>297</v>
      </c>
      <c r="H169" s="9" t="s">
        <v>287</v>
      </c>
      <c r="I169" s="9" t="s">
        <v>469</v>
      </c>
      <c r="J169" s="9" t="s">
        <v>470</v>
      </c>
      <c r="K169" s="9" t="s">
        <v>471</v>
      </c>
      <c r="L169" s="10" t="s">
        <v>471</v>
      </c>
      <c r="M169" s="9" t="s">
        <v>65</v>
      </c>
      <c r="N169" s="9">
        <v>9000</v>
      </c>
      <c r="O169" s="9" t="s">
        <v>72</v>
      </c>
      <c r="P169" s="14">
        <v>3000</v>
      </c>
      <c r="Q169" s="14">
        <v>3000</v>
      </c>
      <c r="R169" s="9">
        <v>1</v>
      </c>
      <c r="S169" s="9">
        <v>-8.3834531000000005</v>
      </c>
      <c r="T169" s="9">
        <v>113.4737106</v>
      </c>
      <c r="U169" s="9" t="s">
        <v>52</v>
      </c>
      <c r="V169" s="11" t="str">
        <f>VLOOKUP(L169,'[1]singkron data'!D:E,2,FALSE)</f>
        <v>CV. Pandunawi</v>
      </c>
      <c r="W169" s="13">
        <f>VLOOKUP(L169,'[1]data 1129'!F:H,3,FALSE)</f>
        <v>4849599000</v>
      </c>
      <c r="X169" s="11" t="s">
        <v>55</v>
      </c>
      <c r="Y169" s="11">
        <f>VLOOKUP(L169,'[1]singkron data'!D:H,5,FALSE)</f>
        <v>0</v>
      </c>
      <c r="Z169" s="11">
        <f>VLOOKUP(L169,'[1]singkron data'!D:I,6,FALSE)</f>
        <v>0</v>
      </c>
      <c r="AA169" s="11" t="str">
        <f>VLOOKUP(L169,'[1]singkron data'!D:L,9,FALSE)</f>
        <v>085232356269/ghosi</v>
      </c>
      <c r="AB169" s="11" t="s">
        <v>54</v>
      </c>
      <c r="AC169" s="11" t="str">
        <f>VLOOKUP(L169,'[1]singkron data'!D:M,10,FALSE)</f>
        <v>Put</v>
      </c>
      <c r="AD169" s="11" t="str">
        <f>VLOOKUP(L169,'[1]data 1129'!F:O,10,FALSE)</f>
        <v>Tahap I 208</v>
      </c>
      <c r="AE169" s="11" t="str">
        <f>VLOOKUP(L169,'[1]singkron data'!D:P,13,FALSE)</f>
        <v>sudah</v>
      </c>
      <c r="AF169" s="11" t="s">
        <v>55</v>
      </c>
      <c r="AG169" s="11" t="e">
        <f>VLOOKUP(L169,'[1]update kontrak'!E:K,6,FALSE)</f>
        <v>#N/A</v>
      </c>
      <c r="AH169" s="11" t="e">
        <f>VLOOKUP(L169,'[1]update kontrak'!E:K,7,FALSE)</f>
        <v>#N/A</v>
      </c>
      <c r="AI169" s="11" t="s">
        <v>58</v>
      </c>
      <c r="AJ169" s="11" t="str">
        <f>VLOOKUP(L169,[1]rekap!D:M,1,FALSE)</f>
        <v>Pugerkulon</v>
      </c>
      <c r="AK169" s="11" t="str">
        <f>VLOOKUP(L169,'[1]singkron data'!D:E,2,FALSE)</f>
        <v>CV. Pandunawi</v>
      </c>
      <c r="AL169" s="11" t="str">
        <f>VLOOKUP(L169,'[1]update 521'!D:D,1,FALSE)</f>
        <v>Pugerkulon</v>
      </c>
      <c r="AM169" s="11" t="s">
        <v>57</v>
      </c>
      <c r="AN169" s="11" t="e">
        <f>VLOOKUP(L169,[1]Sheet19!E:L,8,FALSE)</f>
        <v>#N/A</v>
      </c>
      <c r="AO169" s="11" t="s">
        <v>58</v>
      </c>
      <c r="AP169" s="12"/>
    </row>
    <row r="170" spans="1:42" ht="15" x14ac:dyDescent="0.2">
      <c r="A170" s="8" t="s">
        <v>42</v>
      </c>
      <c r="B170" s="9" t="s">
        <v>43</v>
      </c>
      <c r="C170" s="9">
        <v>1024</v>
      </c>
      <c r="D170" s="9" t="s">
        <v>284</v>
      </c>
      <c r="E170" s="9">
        <v>112</v>
      </c>
      <c r="F170" s="9" t="s">
        <v>468</v>
      </c>
      <c r="G170" s="9" t="s">
        <v>297</v>
      </c>
      <c r="H170" s="9" t="s">
        <v>287</v>
      </c>
      <c r="I170" s="9" t="s">
        <v>469</v>
      </c>
      <c r="J170" s="9" t="s">
        <v>472</v>
      </c>
      <c r="K170" s="9" t="s">
        <v>473</v>
      </c>
      <c r="L170" s="10" t="s">
        <v>473</v>
      </c>
      <c r="M170" s="9" t="s">
        <v>51</v>
      </c>
      <c r="N170" s="9">
        <v>330</v>
      </c>
      <c r="O170" s="9" t="s">
        <v>72</v>
      </c>
      <c r="P170" s="9">
        <v>116</v>
      </c>
      <c r="Q170" s="9">
        <v>116</v>
      </c>
      <c r="R170" s="19">
        <v>46235</v>
      </c>
      <c r="S170" s="9">
        <v>-8.3290465000000005</v>
      </c>
      <c r="T170" s="9">
        <v>113.337692</v>
      </c>
      <c r="U170" s="9" t="s">
        <v>52</v>
      </c>
      <c r="V170" s="11" t="str">
        <f>VLOOKUP(L170,'[1]singkron data'!D:E,2,FALSE)</f>
        <v>CV. Wapike Bali</v>
      </c>
      <c r="W170" s="13">
        <f>VLOOKUP(L170,'[1]data 1129'!F:H,3,FALSE)</f>
        <v>2314000000</v>
      </c>
      <c r="X170" s="11" t="s">
        <v>55</v>
      </c>
      <c r="Y170" s="11" t="str">
        <f>VLOOKUP(L170,'[1]singkron data'!D:H,5,FALSE)</f>
        <v>Jakarta (Besar)</v>
      </c>
      <c r="Z170" s="11" t="str">
        <f>VLOOKUP(L170,'[1]singkron data'!D:I,6,FALSE)</f>
        <v>Online</v>
      </c>
      <c r="AA170" s="11" t="str">
        <f>VLOOKUP(L170,'[1]singkron data'!D:L,9,FALSE)</f>
        <v>813-3035-4355/Siroj</v>
      </c>
      <c r="AB170" s="11" t="s">
        <v>54</v>
      </c>
      <c r="AC170" s="11" t="str">
        <f>VLOOKUP(L170,'[1]singkron data'!D:M,10,FALSE)</f>
        <v>g</v>
      </c>
      <c r="AD170" s="11" t="str">
        <f>VLOOKUP(L170,'[1]data 1129'!F:O,10,FALSE)</f>
        <v>Tahap I 208</v>
      </c>
      <c r="AE170" s="11" t="str">
        <f>VLOOKUP(L170,'[1]singkron data'!D:P,13,FALSE)</f>
        <v>sudah</v>
      </c>
      <c r="AF170" s="11" t="s">
        <v>55</v>
      </c>
      <c r="AG170" s="11" t="e">
        <f>VLOOKUP(L170,'[1]update kontrak'!E:K,6,FALSE)</f>
        <v>#N/A</v>
      </c>
      <c r="AH170" s="11" t="e">
        <f>VLOOKUP(L170,'[1]update kontrak'!E:K,7,FALSE)</f>
        <v>#N/A</v>
      </c>
      <c r="AI170" s="11" t="s">
        <v>58</v>
      </c>
      <c r="AJ170" s="11" t="str">
        <f>VLOOKUP(L170,[1]rekap!D:M,1,FALSE)</f>
        <v>Paseban</v>
      </c>
      <c r="AK170" s="11" t="str">
        <f>VLOOKUP(L170,'[1]singkron data'!D:E,2,FALSE)</f>
        <v>CV. Wapike Bali</v>
      </c>
      <c r="AL170" s="11" t="str">
        <f>VLOOKUP(L170,'[1]update 521'!D:D,1,FALSE)</f>
        <v>Paseban</v>
      </c>
      <c r="AM170" s="11" t="s">
        <v>57</v>
      </c>
      <c r="AN170" s="17">
        <f>VLOOKUP(L170,[1]Sheet19!E:L,8,FALSE)</f>
        <v>2330669162.3600001</v>
      </c>
      <c r="AO170" s="11" t="str">
        <f>VLOOKUP(L170,[1]Sheet19!E:K,7,FALSE)</f>
        <v>SPPBJ</v>
      </c>
      <c r="AP170" s="12"/>
    </row>
    <row r="171" spans="1:42" ht="15" x14ac:dyDescent="0.2">
      <c r="A171" s="8" t="s">
        <v>42</v>
      </c>
      <c r="B171" s="9" t="s">
        <v>43</v>
      </c>
      <c r="C171" s="9">
        <v>1025</v>
      </c>
      <c r="D171" s="9" t="s">
        <v>284</v>
      </c>
      <c r="E171" s="9">
        <v>113</v>
      </c>
      <c r="F171" s="9" t="s">
        <v>468</v>
      </c>
      <c r="G171" s="9" t="s">
        <v>297</v>
      </c>
      <c r="H171" s="9" t="s">
        <v>287</v>
      </c>
      <c r="I171" s="9" t="s">
        <v>469</v>
      </c>
      <c r="J171" s="9" t="s">
        <v>474</v>
      </c>
      <c r="K171" s="9" t="s">
        <v>475</v>
      </c>
      <c r="L171" s="10" t="s">
        <v>475</v>
      </c>
      <c r="M171" s="9" t="s">
        <v>81</v>
      </c>
      <c r="N171" s="9">
        <v>1870</v>
      </c>
      <c r="O171" s="9" t="s">
        <v>72</v>
      </c>
      <c r="P171" s="9">
        <v>455</v>
      </c>
      <c r="Q171" s="9">
        <v>455</v>
      </c>
      <c r="R171" s="9" t="s">
        <v>476</v>
      </c>
      <c r="S171" s="9">
        <v>-8.4383292000000001</v>
      </c>
      <c r="T171" s="9">
        <v>113.5837641</v>
      </c>
      <c r="U171" s="9" t="s">
        <v>52</v>
      </c>
      <c r="V171" s="11" t="str">
        <f>VLOOKUP(L171,'[1]singkron data'!D:E,2,FALSE)</f>
        <v>CV. Wapike Bali</v>
      </c>
      <c r="W171" s="13">
        <f>VLOOKUP(L171,'[1]data 1129'!F:H,3,FALSE)</f>
        <v>2432317000</v>
      </c>
      <c r="X171" s="11" t="s">
        <v>55</v>
      </c>
      <c r="Y171" s="11" t="str">
        <f>VLOOKUP(L171,'[1]singkron data'!D:H,5,FALSE)</f>
        <v>Sidoarjo (Kecil)</v>
      </c>
      <c r="Z171" s="11" t="str">
        <f>VLOOKUP(L171,'[1]singkron data'!D:I,6,FALSE)</f>
        <v>Online</v>
      </c>
      <c r="AA171" s="11" t="str">
        <f>VLOOKUP(L171,'[1]singkron data'!D:L,9,FALSE)</f>
        <v>813-3035-4355/Siroj</v>
      </c>
      <c r="AB171" s="11" t="s">
        <v>54</v>
      </c>
      <c r="AC171" s="11" t="str">
        <f>VLOOKUP(L171,'[1]singkron data'!D:M,10,FALSE)</f>
        <v>g</v>
      </c>
      <c r="AD171" s="11" t="str">
        <f>VLOOKUP(L171,'[1]data 1129'!F:O,10,FALSE)</f>
        <v>Tahap I 208</v>
      </c>
      <c r="AE171" s="11" t="str">
        <f>VLOOKUP(L171,'[1]singkron data'!D:P,13,FALSE)</f>
        <v>sudah</v>
      </c>
      <c r="AF171" s="11" t="s">
        <v>55</v>
      </c>
      <c r="AG171" s="11" t="e">
        <f>VLOOKUP(L171,'[1]update kontrak'!E:K,6,FALSE)</f>
        <v>#N/A</v>
      </c>
      <c r="AH171" s="11" t="e">
        <f>VLOOKUP(L171,'[1]update kontrak'!E:K,7,FALSE)</f>
        <v>#N/A</v>
      </c>
      <c r="AI171" s="11" t="s">
        <v>58</v>
      </c>
      <c r="AJ171" s="11" t="str">
        <f>VLOOKUP(L171,[1]rekap!D:M,1,FALSE)</f>
        <v>Sumberejo</v>
      </c>
      <c r="AK171" s="11" t="str">
        <f>VLOOKUP(L171,'[1]singkron data'!D:E,2,FALSE)</f>
        <v>CV. Wapike Bali</v>
      </c>
      <c r="AL171" s="11" t="str">
        <f>VLOOKUP(L171,'[1]update 521'!D:D,1,FALSE)</f>
        <v>Sumberejo</v>
      </c>
      <c r="AM171" s="11" t="s">
        <v>57</v>
      </c>
      <c r="AN171" s="17">
        <f>VLOOKUP(L171,[1]Sheet19!E:L,8,FALSE)</f>
        <v>2202521529.3400002</v>
      </c>
      <c r="AO171" s="11" t="str">
        <f>VLOOKUP(L171,[1]Sheet19!E:K,7,FALSE)</f>
        <v>SPPBJ</v>
      </c>
      <c r="AP171" s="12"/>
    </row>
    <row r="172" spans="1:42" ht="15" x14ac:dyDescent="0.2">
      <c r="A172" s="8" t="s">
        <v>42</v>
      </c>
      <c r="B172" s="9" t="s">
        <v>43</v>
      </c>
      <c r="C172" s="9">
        <v>1026</v>
      </c>
      <c r="D172" s="9" t="s">
        <v>284</v>
      </c>
      <c r="E172" s="9">
        <v>114</v>
      </c>
      <c r="F172" s="9" t="s">
        <v>477</v>
      </c>
      <c r="G172" s="9" t="s">
        <v>297</v>
      </c>
      <c r="H172" s="9" t="s">
        <v>287</v>
      </c>
      <c r="I172" s="9" t="s">
        <v>478</v>
      </c>
      <c r="J172" s="9" t="s">
        <v>479</v>
      </c>
      <c r="K172" s="9" t="s">
        <v>480</v>
      </c>
      <c r="L172" s="10" t="s">
        <v>480</v>
      </c>
      <c r="M172" s="9" t="s">
        <v>51</v>
      </c>
      <c r="N172" s="9">
        <v>420</v>
      </c>
      <c r="O172" s="9">
        <v>5</v>
      </c>
      <c r="P172" s="9">
        <v>28</v>
      </c>
      <c r="Q172" s="9">
        <v>33</v>
      </c>
      <c r="R172" s="9">
        <v>1.5</v>
      </c>
      <c r="S172" s="9">
        <v>-8.3808330000000009</v>
      </c>
      <c r="T172" s="9">
        <v>112.419444</v>
      </c>
      <c r="U172" s="9" t="s">
        <v>52</v>
      </c>
      <c r="V172" s="11" t="str">
        <f>VLOOKUP(L172,'[1]singkron data'!D:E,2,FALSE)</f>
        <v>CV. Astana Mas</v>
      </c>
      <c r="W172" s="13">
        <f>VLOOKUP(L172,'[1]data 1129'!F:H,3,FALSE)</f>
        <v>2314000000</v>
      </c>
      <c r="X172" s="11" t="s">
        <v>55</v>
      </c>
      <c r="Y172" s="11">
        <f>VLOOKUP(L172,'[1]singkron data'!D:H,5,FALSE)</f>
        <v>0</v>
      </c>
      <c r="Z172" s="11" t="str">
        <f>VLOOKUP(L172,'[1]singkron data'!D:I,6,FALSE)</f>
        <v>Online</v>
      </c>
      <c r="AA172" s="11" t="str">
        <f>VLOOKUP(L172,'[1]singkron data'!D:L,9,FALSE)</f>
        <v>081330065040/ARI</v>
      </c>
      <c r="AB172" s="11" t="s">
        <v>54</v>
      </c>
      <c r="AC172" s="11" t="str">
        <f>VLOOKUP(L172,'[1]singkron data'!D:M,10,FALSE)</f>
        <v>g</v>
      </c>
      <c r="AD172" s="11" t="str">
        <f>VLOOKUP(L172,'[1]data 1129'!F:O,10,FALSE)</f>
        <v>Tahap III 166</v>
      </c>
      <c r="AE172" s="11" t="str">
        <f>VLOOKUP(L172,'[1]singkron data'!D:P,13,FALSE)</f>
        <v>sudah</v>
      </c>
      <c r="AF172" s="11" t="s">
        <v>55</v>
      </c>
      <c r="AG172" s="11" t="e">
        <f>VLOOKUP(L172,'[1]update kontrak'!E:K,6,FALSE)</f>
        <v>#N/A</v>
      </c>
      <c r="AH172" s="11" t="e">
        <f>VLOOKUP(L172,'[1]update kontrak'!E:K,7,FALSE)</f>
        <v>#N/A</v>
      </c>
      <c r="AI172" s="11" t="s">
        <v>58</v>
      </c>
      <c r="AJ172" s="11" t="str">
        <f>VLOOKUP(L172,[1]rekap!D:M,1,FALSE)</f>
        <v>Kedungsalam</v>
      </c>
      <c r="AK172" s="11" t="str">
        <f>VLOOKUP(L172,'[1]singkron data'!D:E,2,FALSE)</f>
        <v>CV. Astana Mas</v>
      </c>
      <c r="AL172" s="11" t="str">
        <f>VLOOKUP(L172,'[1]update 521'!D:D,1,FALSE)</f>
        <v>Kedungsalam</v>
      </c>
      <c r="AM172" s="11" t="s">
        <v>57</v>
      </c>
      <c r="AN172" s="11" t="e">
        <f>VLOOKUP(L172,[1]Sheet19!E:L,8,FALSE)</f>
        <v>#N/A</v>
      </c>
      <c r="AO172" s="11" t="s">
        <v>58</v>
      </c>
      <c r="AP172" s="12"/>
    </row>
    <row r="173" spans="1:42" ht="15" x14ac:dyDescent="0.2">
      <c r="A173" s="8" t="s">
        <v>42</v>
      </c>
      <c r="B173" s="9" t="s">
        <v>43</v>
      </c>
      <c r="C173" s="9">
        <v>1029</v>
      </c>
      <c r="D173" s="9" t="s">
        <v>284</v>
      </c>
      <c r="E173" s="9">
        <v>117</v>
      </c>
      <c r="F173" s="9" t="s">
        <v>481</v>
      </c>
      <c r="G173" s="9" t="s">
        <v>482</v>
      </c>
      <c r="H173" s="9" t="s">
        <v>287</v>
      </c>
      <c r="I173" s="9" t="s">
        <v>483</v>
      </c>
      <c r="J173" s="9" t="s">
        <v>484</v>
      </c>
      <c r="K173" s="9" t="s">
        <v>481</v>
      </c>
      <c r="L173" s="10" t="s">
        <v>481</v>
      </c>
      <c r="M173" s="9" t="s">
        <v>65</v>
      </c>
      <c r="N173" s="9">
        <v>399</v>
      </c>
      <c r="O173" s="9">
        <v>2</v>
      </c>
      <c r="P173" s="9">
        <v>221</v>
      </c>
      <c r="Q173" s="9">
        <v>223</v>
      </c>
      <c r="R173" s="9">
        <v>0.65</v>
      </c>
      <c r="S173" s="9">
        <v>-8.1870499999999993</v>
      </c>
      <c r="T173" s="9">
        <v>110.801225</v>
      </c>
      <c r="U173" s="9" t="s">
        <v>52</v>
      </c>
      <c r="V173" s="11" t="str">
        <f>VLOOKUP(L173,'[1]singkron data'!D:E,2,FALSE)</f>
        <v>PT. Kurnia Alam Sentosa</v>
      </c>
      <c r="W173" s="13">
        <f>VLOOKUP(L173,'[1]data 1129'!F:H,3,FALSE)</f>
        <v>5500000000</v>
      </c>
      <c r="X173" s="11" t="s">
        <v>55</v>
      </c>
      <c r="Y173" s="11" t="str">
        <f>VLOOKUP(L173,'[1]singkron data'!D:H,5,FALSE)</f>
        <v>Jakarta</v>
      </c>
      <c r="Z173" s="11" t="str">
        <f>VLOOKUP(L173,'[1]singkron data'!D:I,6,FALSE)</f>
        <v>Online</v>
      </c>
      <c r="AA173" s="11">
        <f>VLOOKUP(L173,'[1]singkron data'!D:L,9,FALSE)</f>
        <v>0</v>
      </c>
      <c r="AB173" s="11" t="s">
        <v>54</v>
      </c>
      <c r="AC173" s="11" t="str">
        <f>VLOOKUP(L173,'[1]singkron data'!D:M,10,FALSE)</f>
        <v>g</v>
      </c>
      <c r="AD173" s="11" t="str">
        <f>VLOOKUP(L173,'[1]data 1129'!F:O,10,FALSE)</f>
        <v>Tahap I 208</v>
      </c>
      <c r="AE173" s="11" t="str">
        <f>VLOOKUP(L173,'[1]singkron data'!D:P,13,FALSE)</f>
        <v>sudah</v>
      </c>
      <c r="AF173" s="11" t="s">
        <v>55</v>
      </c>
      <c r="AG173" s="17">
        <f>VLOOKUP(L173,'[1]update kontrak'!E:K,6,FALSE)</f>
        <v>6411877642.3999996</v>
      </c>
      <c r="AH173" s="11" t="str">
        <f>VLOOKUP(L173,'[1]update kontrak'!E:K,7,FALSE)</f>
        <v>KONTRAK</v>
      </c>
      <c r="AI173" s="11" t="s">
        <v>41</v>
      </c>
      <c r="AJ173" s="11" t="str">
        <f>VLOOKUP(L173,[1]rekap!D:M,1,FALSE)</f>
        <v>Songbanyu</v>
      </c>
      <c r="AK173" s="11" t="str">
        <f>VLOOKUP(L173,'[1]singkron data'!D:E,2,FALSE)</f>
        <v>PT. Kurnia Alam Sentosa</v>
      </c>
      <c r="AL173" s="11" t="str">
        <f>VLOOKUP(L173,'[1]update 521'!D:D,1,FALSE)</f>
        <v>Songbanyu</v>
      </c>
      <c r="AM173" s="11" t="s">
        <v>57</v>
      </c>
      <c r="AN173" s="17">
        <f>VLOOKUP(L173,[1]Sheet19!E:L,8,FALSE)</f>
        <v>6411877642.3999996</v>
      </c>
      <c r="AO173" s="11" t="str">
        <f>VLOOKUP(L173,[1]Sheet19!E:K,7,FALSE)</f>
        <v>KONTRAK</v>
      </c>
      <c r="AP173" s="12" t="s">
        <v>41</v>
      </c>
    </row>
    <row r="174" spans="1:42" ht="15" x14ac:dyDescent="0.2">
      <c r="A174" s="8" t="s">
        <v>42</v>
      </c>
      <c r="B174" s="9" t="s">
        <v>43</v>
      </c>
      <c r="C174" s="9">
        <v>1030</v>
      </c>
      <c r="D174" s="9" t="s">
        <v>284</v>
      </c>
      <c r="E174" s="9">
        <v>118</v>
      </c>
      <c r="F174" s="9" t="s">
        <v>481</v>
      </c>
      <c r="G174" s="9" t="s">
        <v>482</v>
      </c>
      <c r="H174" s="9" t="s">
        <v>287</v>
      </c>
      <c r="I174" s="9" t="s">
        <v>483</v>
      </c>
      <c r="J174" s="9" t="s">
        <v>485</v>
      </c>
      <c r="K174" s="9" t="s">
        <v>486</v>
      </c>
      <c r="L174" s="10" t="s">
        <v>486</v>
      </c>
      <c r="M174" s="9" t="s">
        <v>51</v>
      </c>
      <c r="N174" s="9">
        <v>160</v>
      </c>
      <c r="O174" s="9">
        <v>35</v>
      </c>
      <c r="P174" s="9">
        <v>40</v>
      </c>
      <c r="Q174" s="9">
        <v>75</v>
      </c>
      <c r="R174" s="9">
        <v>0.83</v>
      </c>
      <c r="S174" s="9">
        <v>-8.1321154</v>
      </c>
      <c r="T174" s="9">
        <v>110.5810168</v>
      </c>
      <c r="U174" s="9" t="s">
        <v>52</v>
      </c>
      <c r="V174" s="11" t="str">
        <f>VLOOKUP(L174,'[1]singkron data'!D:E,2,FALSE)</f>
        <v>PT. Kurnia Alam Sentosa</v>
      </c>
      <c r="W174" s="13">
        <f>VLOOKUP(L174,'[1]data 1129'!F:H,3,FALSE)</f>
        <v>2314000000</v>
      </c>
      <c r="X174" s="11" t="s">
        <v>55</v>
      </c>
      <c r="Y174" s="11" t="str">
        <f>VLOOKUP(L174,'[1]singkron data'!D:H,5,FALSE)</f>
        <v>Jakarta</v>
      </c>
      <c r="Z174" s="11" t="str">
        <f>VLOOKUP(L174,'[1]singkron data'!D:I,6,FALSE)</f>
        <v>Online</v>
      </c>
      <c r="AA174" s="11">
        <f>VLOOKUP(L174,'[1]singkron data'!D:L,9,FALSE)</f>
        <v>0</v>
      </c>
      <c r="AB174" s="11" t="s">
        <v>54</v>
      </c>
      <c r="AC174" s="11" t="str">
        <f>VLOOKUP(L174,'[1]singkron data'!D:M,10,FALSE)</f>
        <v>g</v>
      </c>
      <c r="AD174" s="11" t="str">
        <f>VLOOKUP(L174,'[1]data 1129'!F:O,10,FALSE)</f>
        <v>Tahap I 208</v>
      </c>
      <c r="AE174" s="11" t="str">
        <f>VLOOKUP(L174,'[1]singkron data'!D:P,13,FALSE)</f>
        <v>sudah</v>
      </c>
      <c r="AF174" s="11" t="s">
        <v>55</v>
      </c>
      <c r="AG174" s="17">
        <f>VLOOKUP(L174,'[1]update kontrak'!E:K,6,FALSE)</f>
        <v>2675594022.6300001</v>
      </c>
      <c r="AH174" s="11" t="str">
        <f>VLOOKUP(L174,'[1]update kontrak'!E:K,7,FALSE)</f>
        <v>KONTRAK</v>
      </c>
      <c r="AI174" s="11" t="s">
        <v>41</v>
      </c>
      <c r="AJ174" s="11" t="str">
        <f>VLOOKUP(L174,[1]rekap!D:M,1,FALSE)</f>
        <v>Banjarejo</v>
      </c>
      <c r="AK174" s="11" t="str">
        <f>VLOOKUP(L174,'[1]singkron data'!D:E,2,FALSE)</f>
        <v>PT. Kurnia Alam Sentosa</v>
      </c>
      <c r="AL174" s="11" t="str">
        <f>VLOOKUP(L174,'[1]update 521'!D:D,1,FALSE)</f>
        <v>Banjarejo</v>
      </c>
      <c r="AM174" s="11" t="s">
        <v>57</v>
      </c>
      <c r="AN174" s="17">
        <f>VLOOKUP(L174,[1]Sheet19!E:L,8,FALSE)</f>
        <v>2675594022.6300001</v>
      </c>
      <c r="AO174" s="11" t="str">
        <f>VLOOKUP(L174,[1]Sheet19!E:K,7,FALSE)</f>
        <v>KONTRAK</v>
      </c>
      <c r="AP174" s="12" t="s">
        <v>41</v>
      </c>
    </row>
    <row r="175" spans="1:42" ht="15" x14ac:dyDescent="0.2">
      <c r="A175" s="8" t="s">
        <v>42</v>
      </c>
      <c r="B175" s="9" t="s">
        <v>43</v>
      </c>
      <c r="C175" s="9">
        <v>1031</v>
      </c>
      <c r="D175" s="9" t="s">
        <v>284</v>
      </c>
      <c r="E175" s="9">
        <v>119</v>
      </c>
      <c r="F175" s="9" t="s">
        <v>481</v>
      </c>
      <c r="G175" s="9" t="s">
        <v>482</v>
      </c>
      <c r="H175" s="9" t="s">
        <v>287</v>
      </c>
      <c r="I175" s="9" t="s">
        <v>483</v>
      </c>
      <c r="J175" s="9" t="s">
        <v>487</v>
      </c>
      <c r="K175" s="9" t="s">
        <v>488</v>
      </c>
      <c r="L175" s="10" t="s">
        <v>488</v>
      </c>
      <c r="M175" s="9" t="s">
        <v>51</v>
      </c>
      <c r="N175" s="9">
        <v>176</v>
      </c>
      <c r="O175" s="9">
        <v>25</v>
      </c>
      <c r="P175" s="9">
        <v>88</v>
      </c>
      <c r="Q175" s="9">
        <v>113</v>
      </c>
      <c r="R175" s="9" t="s">
        <v>489</v>
      </c>
      <c r="S175" s="9">
        <v>-8.1198080000000008</v>
      </c>
      <c r="T175" s="9">
        <v>110.5143413</v>
      </c>
      <c r="U175" s="9" t="s">
        <v>52</v>
      </c>
      <c r="V175" s="11" t="str">
        <f>VLOOKUP(L175,'[1]singkron data'!D:E,2,FALSE)</f>
        <v>PT. Kurnia Alam Sentosa</v>
      </c>
      <c r="W175" s="13">
        <f>VLOOKUP(L175,'[1]data 1129'!F:H,3,FALSE)</f>
        <v>2314000000</v>
      </c>
      <c r="X175" s="11" t="s">
        <v>55</v>
      </c>
      <c r="Y175" s="11" t="str">
        <f>VLOOKUP(L175,'[1]singkron data'!D:H,5,FALSE)</f>
        <v>Jakarta</v>
      </c>
      <c r="Z175" s="11" t="str">
        <f>VLOOKUP(L175,'[1]singkron data'!D:I,6,FALSE)</f>
        <v>Online</v>
      </c>
      <c r="AA175" s="11">
        <f>VLOOKUP(L175,'[1]singkron data'!D:L,9,FALSE)</f>
        <v>0</v>
      </c>
      <c r="AB175" s="11" t="s">
        <v>54</v>
      </c>
      <c r="AC175" s="11" t="str">
        <f>VLOOKUP(L175,'[1]singkron data'!D:M,10,FALSE)</f>
        <v>g</v>
      </c>
      <c r="AD175" s="11" t="str">
        <f>VLOOKUP(L175,'[1]data 1129'!F:O,10,FALSE)</f>
        <v>Tahap I 208</v>
      </c>
      <c r="AE175" s="11" t="str">
        <f>VLOOKUP(L175,'[1]singkron data'!D:P,13,FALSE)</f>
        <v>sudah</v>
      </c>
      <c r="AF175" s="11" t="s">
        <v>55</v>
      </c>
      <c r="AG175" s="17">
        <f>VLOOKUP(L175,'[1]update kontrak'!E:K,6,FALSE)</f>
        <v>2643337649.3200002</v>
      </c>
      <c r="AH175" s="11" t="str">
        <f>VLOOKUP(L175,'[1]update kontrak'!E:K,7,FALSE)</f>
        <v>KONTRAK</v>
      </c>
      <c r="AI175" s="11" t="s">
        <v>41</v>
      </c>
      <c r="AJ175" s="11" t="str">
        <f>VLOOKUP(L175,[1]rekap!D:M,1,FALSE)</f>
        <v>Kanigoro</v>
      </c>
      <c r="AK175" s="11" t="str">
        <f>VLOOKUP(L175,'[1]singkron data'!D:E,2,FALSE)</f>
        <v>PT. Kurnia Alam Sentosa</v>
      </c>
      <c r="AL175" s="11" t="str">
        <f>VLOOKUP(L175,'[1]update 521'!D:D,1,FALSE)</f>
        <v>Kanigoro</v>
      </c>
      <c r="AM175" s="11" t="s">
        <v>57</v>
      </c>
      <c r="AN175" s="17">
        <f>VLOOKUP(L175,[1]Sheet19!E:L,8,FALSE)</f>
        <v>2643337649.3200002</v>
      </c>
      <c r="AO175" s="11" t="str">
        <f>VLOOKUP(L175,[1]Sheet19!E:K,7,FALSE)</f>
        <v>KONTRAK</v>
      </c>
      <c r="AP175" s="12" t="s">
        <v>41</v>
      </c>
    </row>
    <row r="176" spans="1:42" ht="15" x14ac:dyDescent="0.2">
      <c r="A176" s="8" t="s">
        <v>42</v>
      </c>
      <c r="B176" s="9" t="s">
        <v>43</v>
      </c>
      <c r="C176" s="9">
        <v>1032</v>
      </c>
      <c r="D176" s="9" t="s">
        <v>284</v>
      </c>
      <c r="E176" s="9">
        <v>120</v>
      </c>
      <c r="F176" s="9" t="s">
        <v>481</v>
      </c>
      <c r="G176" s="9" t="s">
        <v>482</v>
      </c>
      <c r="H176" s="9" t="s">
        <v>287</v>
      </c>
      <c r="I176" s="9" t="s">
        <v>483</v>
      </c>
      <c r="J176" s="9" t="s">
        <v>485</v>
      </c>
      <c r="K176" s="9" t="s">
        <v>490</v>
      </c>
      <c r="L176" s="10" t="s">
        <v>490</v>
      </c>
      <c r="M176" s="9" t="s">
        <v>51</v>
      </c>
      <c r="N176" s="9">
        <v>156</v>
      </c>
      <c r="O176" s="9" t="s">
        <v>72</v>
      </c>
      <c r="P176" s="9">
        <v>64</v>
      </c>
      <c r="Q176" s="9">
        <v>64</v>
      </c>
      <c r="R176" s="9" t="s">
        <v>489</v>
      </c>
      <c r="S176" s="9">
        <v>-8.1286763000000004</v>
      </c>
      <c r="T176" s="9">
        <v>110.5494743</v>
      </c>
      <c r="U176" s="9" t="s">
        <v>52</v>
      </c>
      <c r="V176" s="11" t="str">
        <f>VLOOKUP(L176,'[1]singkron data'!D:E,2,FALSE)</f>
        <v>PT. Kurnia Alam Sentosa</v>
      </c>
      <c r="W176" s="13">
        <f>VLOOKUP(L176,'[1]data 1129'!F:H,3,FALSE)</f>
        <v>2314000000</v>
      </c>
      <c r="X176" s="11" t="s">
        <v>55</v>
      </c>
      <c r="Y176" s="11" t="str">
        <f>VLOOKUP(L176,'[1]singkron data'!D:H,5,FALSE)</f>
        <v>Jakarta</v>
      </c>
      <c r="Z176" s="11" t="str">
        <f>VLOOKUP(L176,'[1]singkron data'!D:I,6,FALSE)</f>
        <v>Online</v>
      </c>
      <c r="AA176" s="11">
        <f>VLOOKUP(L176,'[1]singkron data'!D:L,9,FALSE)</f>
        <v>0</v>
      </c>
      <c r="AB176" s="11" t="s">
        <v>54</v>
      </c>
      <c r="AC176" s="11" t="str">
        <f>VLOOKUP(L176,'[1]singkron data'!D:M,10,FALSE)</f>
        <v>g</v>
      </c>
      <c r="AD176" s="11" t="str">
        <f>VLOOKUP(L176,'[1]data 1129'!F:O,10,FALSE)</f>
        <v>Tahap I 208</v>
      </c>
      <c r="AE176" s="11" t="str">
        <f>VLOOKUP(L176,'[1]singkron data'!D:P,13,FALSE)</f>
        <v>sudah</v>
      </c>
      <c r="AF176" s="11" t="s">
        <v>55</v>
      </c>
      <c r="AG176" s="17">
        <f>VLOOKUP(L176,'[1]update kontrak'!E:K,6,FALSE)</f>
        <v>4246015437.2800002</v>
      </c>
      <c r="AH176" s="11" t="str">
        <f>VLOOKUP(L176,'[1]update kontrak'!E:K,7,FALSE)</f>
        <v>KONTRAK</v>
      </c>
      <c r="AI176" s="11" t="s">
        <v>41</v>
      </c>
      <c r="AJ176" s="11" t="str">
        <f>VLOOKUP(L176,[1]rekap!D:M,1,FALSE)</f>
        <v>Kemadang</v>
      </c>
      <c r="AK176" s="11" t="str">
        <f>VLOOKUP(L176,'[1]singkron data'!D:E,2,FALSE)</f>
        <v>PT. Kurnia Alam Sentosa</v>
      </c>
      <c r="AL176" s="11" t="str">
        <f>VLOOKUP(L176,'[1]update 521'!D:D,1,FALSE)</f>
        <v>Kemadang</v>
      </c>
      <c r="AM176" s="11" t="s">
        <v>57</v>
      </c>
      <c r="AN176" s="17">
        <f>VLOOKUP(L176,[1]Sheet19!E:L,8,FALSE)</f>
        <v>4246015437.2800002</v>
      </c>
      <c r="AO176" s="11" t="str">
        <f>VLOOKUP(L176,[1]Sheet19!E:K,7,FALSE)</f>
        <v>KONTRAK</v>
      </c>
      <c r="AP176" s="12" t="s">
        <v>41</v>
      </c>
    </row>
    <row r="177" spans="1:42" ht="15" x14ac:dyDescent="0.2">
      <c r="A177" s="8" t="s">
        <v>42</v>
      </c>
      <c r="B177" s="9" t="s">
        <v>43</v>
      </c>
      <c r="C177" s="9">
        <v>1033</v>
      </c>
      <c r="D177" s="9" t="s">
        <v>284</v>
      </c>
      <c r="E177" s="9">
        <v>121</v>
      </c>
      <c r="F177" s="9" t="s">
        <v>481</v>
      </c>
      <c r="G177" s="9" t="s">
        <v>482</v>
      </c>
      <c r="H177" s="9" t="s">
        <v>287</v>
      </c>
      <c r="I177" s="9" t="s">
        <v>483</v>
      </c>
      <c r="J177" s="9" t="s">
        <v>491</v>
      </c>
      <c r="K177" s="9" t="s">
        <v>492</v>
      </c>
      <c r="L177" s="10" t="s">
        <v>492</v>
      </c>
      <c r="M177" s="9" t="s">
        <v>51</v>
      </c>
      <c r="N177" s="9">
        <v>73</v>
      </c>
      <c r="O177" s="9">
        <v>13</v>
      </c>
      <c r="P177" s="9">
        <v>13</v>
      </c>
      <c r="Q177" s="9">
        <v>26</v>
      </c>
      <c r="R177" s="9">
        <v>0.12</v>
      </c>
      <c r="S177" s="9">
        <v>-8.1429211000000006</v>
      </c>
      <c r="T177" s="9">
        <v>110.60446899999999</v>
      </c>
      <c r="U177" s="9" t="s">
        <v>52</v>
      </c>
      <c r="V177" s="11" t="str">
        <f>VLOOKUP(L177,'[1]singkron data'!D:E,2,FALSE)</f>
        <v>PT. Kurnia Alam Sentosa</v>
      </c>
      <c r="W177" s="13">
        <f>VLOOKUP(L177,'[1]data 1129'!F:H,3,FALSE)</f>
        <v>2314000000</v>
      </c>
      <c r="X177" s="11" t="s">
        <v>55</v>
      </c>
      <c r="Y177" s="11" t="str">
        <f>VLOOKUP(L177,'[1]singkron data'!D:H,5,FALSE)</f>
        <v>Jakarta</v>
      </c>
      <c r="Z177" s="11" t="str">
        <f>VLOOKUP(L177,'[1]singkron data'!D:I,6,FALSE)</f>
        <v>Online</v>
      </c>
      <c r="AA177" s="11">
        <f>VLOOKUP(L177,'[1]singkron data'!D:L,9,FALSE)</f>
        <v>0</v>
      </c>
      <c r="AB177" s="11" t="s">
        <v>54</v>
      </c>
      <c r="AC177" s="11" t="str">
        <f>VLOOKUP(L177,'[1]singkron data'!D:M,10,FALSE)</f>
        <v>g</v>
      </c>
      <c r="AD177" s="11" t="str">
        <f>VLOOKUP(L177,'[1]data 1129'!F:O,10,FALSE)</f>
        <v>Tahap I 208</v>
      </c>
      <c r="AE177" s="11" t="str">
        <f>VLOOKUP(L177,'[1]singkron data'!D:P,13,FALSE)</f>
        <v>sudah</v>
      </c>
      <c r="AF177" s="11" t="s">
        <v>55</v>
      </c>
      <c r="AG177" s="17">
        <f>VLOOKUP(L177,'[1]update kontrak'!E:K,6,FALSE)</f>
        <v>2776672422.1799998</v>
      </c>
      <c r="AH177" s="11" t="str">
        <f>VLOOKUP(L177,'[1]update kontrak'!E:K,7,FALSE)</f>
        <v>KONTRAK</v>
      </c>
      <c r="AI177" s="11" t="s">
        <v>41</v>
      </c>
      <c r="AJ177" s="11" t="str">
        <f>VLOOKUP(L177,[1]rekap!D:M,1,FALSE)</f>
        <v>Sidoharjo</v>
      </c>
      <c r="AK177" s="11" t="str">
        <f>VLOOKUP(L177,'[1]singkron data'!D:E,2,FALSE)</f>
        <v>PT. Kurnia Alam Sentosa</v>
      </c>
      <c r="AL177" s="11" t="str">
        <f>VLOOKUP(L177,'[1]update 521'!D:D,1,FALSE)</f>
        <v>Sidoharjo</v>
      </c>
      <c r="AM177" s="11" t="s">
        <v>57</v>
      </c>
      <c r="AN177" s="17">
        <f>VLOOKUP(L177,[1]Sheet19!E:L,8,FALSE)</f>
        <v>2776672422.1799998</v>
      </c>
      <c r="AO177" s="11" t="str">
        <f>VLOOKUP(L177,[1]Sheet19!E:K,7,FALSE)</f>
        <v>KONTRAK</v>
      </c>
      <c r="AP177" s="12" t="s">
        <v>41</v>
      </c>
    </row>
    <row r="178" spans="1:42" ht="15" x14ac:dyDescent="0.2">
      <c r="A178" s="8" t="s">
        <v>42</v>
      </c>
      <c r="B178" s="9" t="s">
        <v>43</v>
      </c>
      <c r="C178" s="9">
        <v>1034</v>
      </c>
      <c r="D178" s="9" t="s">
        <v>284</v>
      </c>
      <c r="E178" s="9">
        <v>122</v>
      </c>
      <c r="F178" s="9" t="s">
        <v>493</v>
      </c>
      <c r="G178" s="9" t="s">
        <v>301</v>
      </c>
      <c r="H178" s="9" t="s">
        <v>287</v>
      </c>
      <c r="I178" s="9" t="s">
        <v>494</v>
      </c>
      <c r="J178" s="9" t="s">
        <v>494</v>
      </c>
      <c r="K178" s="9" t="s">
        <v>493</v>
      </c>
      <c r="L178" s="10" t="s">
        <v>493</v>
      </c>
      <c r="M178" s="9" t="s">
        <v>65</v>
      </c>
      <c r="N178" s="9">
        <v>3793</v>
      </c>
      <c r="O178" s="9" t="s">
        <v>72</v>
      </c>
      <c r="P178" s="9">
        <v>759</v>
      </c>
      <c r="Q178" s="9">
        <v>759</v>
      </c>
      <c r="R178" s="9">
        <v>0.68</v>
      </c>
      <c r="S178" s="9">
        <v>-6.8626399999999999</v>
      </c>
      <c r="T178" s="9">
        <v>109.368043</v>
      </c>
      <c r="U178" s="9" t="s">
        <v>52</v>
      </c>
      <c r="V178" s="11" t="str">
        <f>VLOOKUP(L178,'[1]singkron data'!D:E,2,FALSE)</f>
        <v>PT. Kurnia Alam Sentosa</v>
      </c>
      <c r="W178" s="13">
        <f>VLOOKUP(L178,'[1]data 1129'!F:H,3,FALSE)</f>
        <v>4385682527</v>
      </c>
      <c r="X178" s="11" t="s">
        <v>55</v>
      </c>
      <c r="Y178" s="11" t="str">
        <f>VLOOKUP(L178,'[1]singkron data'!D:H,5,FALSE)</f>
        <v>Jakarta</v>
      </c>
      <c r="Z178" s="11" t="str">
        <f>VLOOKUP(L178,'[1]singkron data'!D:I,6,FALSE)</f>
        <v>Online</v>
      </c>
      <c r="AA178" s="11">
        <f>VLOOKUP(L178,'[1]singkron data'!D:L,9,FALSE)</f>
        <v>0</v>
      </c>
      <c r="AB178" s="11" t="s">
        <v>54</v>
      </c>
      <c r="AC178" s="11" t="str">
        <f>VLOOKUP(L178,'[1]singkron data'!D:M,10,FALSE)</f>
        <v>g</v>
      </c>
      <c r="AD178" s="11" t="str">
        <f>VLOOKUP(L178,'[1]data 1129'!F:O,10,FALSE)</f>
        <v>Tahap I 208</v>
      </c>
      <c r="AE178" s="11" t="str">
        <f>VLOOKUP(L178,'[1]singkron data'!D:P,13,FALSE)</f>
        <v>sudah</v>
      </c>
      <c r="AF178" s="11" t="s">
        <v>55</v>
      </c>
      <c r="AG178" s="17">
        <f>VLOOKUP(L178,'[1]update kontrak'!E:K,6,FALSE)</f>
        <v>6539135191.5900002</v>
      </c>
      <c r="AH178" s="11" t="str">
        <f>VLOOKUP(L178,'[1]update kontrak'!E:K,7,FALSE)</f>
        <v>KONTRAK</v>
      </c>
      <c r="AI178" s="11" t="s">
        <v>41</v>
      </c>
      <c r="AJ178" s="11" t="str">
        <f>VLOOKUP(L178,[1]rekap!D:M,1,FALSE)</f>
        <v>Sugihwaras</v>
      </c>
      <c r="AK178" s="11" t="str">
        <f>VLOOKUP(L178,'[1]singkron data'!D:E,2,FALSE)</f>
        <v>PT. Kurnia Alam Sentosa</v>
      </c>
      <c r="AL178" s="11" t="str">
        <f>VLOOKUP(L178,'[1]update 521'!D:D,1,FALSE)</f>
        <v>Sugihwaras</v>
      </c>
      <c r="AM178" s="11" t="s">
        <v>57</v>
      </c>
      <c r="AN178" s="17">
        <f>VLOOKUP(L178,[1]Sheet19!E:L,8,FALSE)</f>
        <v>6539135191.5900002</v>
      </c>
      <c r="AO178" s="11" t="str">
        <f>VLOOKUP(L178,[1]Sheet19!E:K,7,FALSE)</f>
        <v>KONTRAK</v>
      </c>
      <c r="AP178" s="12" t="s">
        <v>41</v>
      </c>
    </row>
    <row r="179" spans="1:42" ht="15" x14ac:dyDescent="0.2">
      <c r="A179" s="8" t="s">
        <v>42</v>
      </c>
      <c r="B179" s="9" t="s">
        <v>43</v>
      </c>
      <c r="C179" s="9">
        <v>1035</v>
      </c>
      <c r="D179" s="9" t="s">
        <v>284</v>
      </c>
      <c r="E179" s="9">
        <v>123</v>
      </c>
      <c r="F179" s="9" t="s">
        <v>493</v>
      </c>
      <c r="G179" s="9" t="s">
        <v>301</v>
      </c>
      <c r="H179" s="9" t="s">
        <v>287</v>
      </c>
      <c r="I179" s="9" t="s">
        <v>495</v>
      </c>
      <c r="J179" s="9" t="s">
        <v>496</v>
      </c>
      <c r="K179" s="9" t="s">
        <v>497</v>
      </c>
      <c r="L179" s="10" t="s">
        <v>497</v>
      </c>
      <c r="M179" s="9" t="s">
        <v>51</v>
      </c>
      <c r="N179" s="9">
        <v>3000</v>
      </c>
      <c r="O179" s="9" t="s">
        <v>72</v>
      </c>
      <c r="P179" s="14">
        <v>1700</v>
      </c>
      <c r="Q179" s="14">
        <v>1700</v>
      </c>
      <c r="R179" s="9">
        <v>0.24</v>
      </c>
      <c r="S179" s="9">
        <v>-6.9052778999999997</v>
      </c>
      <c r="T179" s="9">
        <v>110.0431284</v>
      </c>
      <c r="U179" s="9" t="s">
        <v>52</v>
      </c>
      <c r="V179" s="11" t="str">
        <f>VLOOKUP(L179,'[1]singkron data'!D:E,2,FALSE)</f>
        <v>CV. Sinar Mulya</v>
      </c>
      <c r="W179" s="13">
        <f>VLOOKUP(L179,'[1]data 1129'!F:H,3,FALSE)</f>
        <v>4139572890</v>
      </c>
      <c r="X179" s="11" t="s">
        <v>55</v>
      </c>
      <c r="Y179" s="11" t="str">
        <f>VLOOKUP(L179,'[1]singkron data'!D:H,5,FALSE)</f>
        <v>Surabaya</v>
      </c>
      <c r="Z179" s="11" t="str">
        <f>VLOOKUP(L179,'[1]singkron data'!D:I,6,FALSE)</f>
        <v>Online</v>
      </c>
      <c r="AA179" s="11" t="str">
        <f>VLOOKUP(L179,'[1]singkron data'!D:L,9,FALSE)</f>
        <v>081330470795/kharis</v>
      </c>
      <c r="AB179" s="11" t="s">
        <v>54</v>
      </c>
      <c r="AC179" s="11" t="str">
        <f>VLOOKUP(L179,'[1]singkron data'!D:M,10,FALSE)</f>
        <v>g</v>
      </c>
      <c r="AD179" s="11" t="str">
        <f>VLOOKUP(L179,'[1]data 1129'!F:O,10,FALSE)</f>
        <v>Tahap I 208</v>
      </c>
      <c r="AE179" s="11" t="str">
        <f>VLOOKUP(L179,'[1]singkron data'!D:P,13,FALSE)</f>
        <v>sudah</v>
      </c>
      <c r="AF179" s="11" t="s">
        <v>55</v>
      </c>
      <c r="AG179" s="11" t="e">
        <f>VLOOKUP(L179,'[1]update kontrak'!E:K,6,FALSE)</f>
        <v>#N/A</v>
      </c>
      <c r="AH179" s="11" t="e">
        <f>VLOOKUP(L179,'[1]update kontrak'!E:K,7,FALSE)</f>
        <v>#N/A</v>
      </c>
      <c r="AI179" s="11" t="s">
        <v>58</v>
      </c>
      <c r="AJ179" s="11" t="str">
        <f>VLOOKUP(L179,[1]rekap!D:M,1,FALSE)</f>
        <v>Gempolsewu</v>
      </c>
      <c r="AK179" s="11" t="str">
        <f>VLOOKUP(L179,'[1]singkron data'!D:E,2,FALSE)</f>
        <v>CV. Sinar Mulya</v>
      </c>
      <c r="AL179" s="11" t="str">
        <f>VLOOKUP(L179,'[1]update 521'!D:D,1,FALSE)</f>
        <v>Gempolsewu</v>
      </c>
      <c r="AM179" s="11" t="s">
        <v>57</v>
      </c>
      <c r="AN179" s="17">
        <f>VLOOKUP(L179,[1]Sheet19!E:L,8,FALSE)</f>
        <v>4073472317.9099998</v>
      </c>
      <c r="AO179" s="11" t="str">
        <f>VLOOKUP(L179,[1]Sheet19!E:K,7,FALSE)</f>
        <v>SPPBJ</v>
      </c>
      <c r="AP179" s="12"/>
    </row>
    <row r="180" spans="1:42" ht="15" x14ac:dyDescent="0.2">
      <c r="A180" s="8" t="s">
        <v>42</v>
      </c>
      <c r="B180" s="9" t="s">
        <v>43</v>
      </c>
      <c r="C180" s="9">
        <v>1036</v>
      </c>
      <c r="D180" s="9" t="s">
        <v>284</v>
      </c>
      <c r="E180" s="9">
        <v>124</v>
      </c>
      <c r="F180" s="9" t="s">
        <v>493</v>
      </c>
      <c r="G180" s="9" t="s">
        <v>301</v>
      </c>
      <c r="H180" s="9" t="s">
        <v>287</v>
      </c>
      <c r="I180" s="9" t="s">
        <v>494</v>
      </c>
      <c r="J180" s="9" t="s">
        <v>498</v>
      </c>
      <c r="K180" s="9" t="s">
        <v>499</v>
      </c>
      <c r="L180" s="10" t="s">
        <v>499</v>
      </c>
      <c r="M180" s="9" t="s">
        <v>51</v>
      </c>
      <c r="N180" s="9">
        <v>869</v>
      </c>
      <c r="O180" s="9" t="s">
        <v>72</v>
      </c>
      <c r="P180" s="9">
        <v>469</v>
      </c>
      <c r="Q180" s="9">
        <v>469</v>
      </c>
      <c r="R180" s="9">
        <v>0.3</v>
      </c>
      <c r="S180" s="9">
        <v>-6.8119350000000001</v>
      </c>
      <c r="T180" s="9">
        <v>109.52266</v>
      </c>
      <c r="U180" s="9" t="s">
        <v>52</v>
      </c>
      <c r="V180" s="11" t="str">
        <f>VLOOKUP(L180,'[1]singkron data'!D:E,2,FALSE)</f>
        <v>PT. Kurnia Alam Sentosa</v>
      </c>
      <c r="W180" s="13">
        <f>VLOOKUP(L180,'[1]data 1129'!F:H,3,FALSE)</f>
        <v>4385682527</v>
      </c>
      <c r="X180" s="11" t="s">
        <v>55</v>
      </c>
      <c r="Y180" s="11" t="str">
        <f>VLOOKUP(L180,'[1]singkron data'!D:H,5,FALSE)</f>
        <v>Jakarta</v>
      </c>
      <c r="Z180" s="11" t="str">
        <f>VLOOKUP(L180,'[1]singkron data'!D:I,6,FALSE)</f>
        <v>Online</v>
      </c>
      <c r="AA180" s="11">
        <f>VLOOKUP(L180,'[1]singkron data'!D:L,9,FALSE)</f>
        <v>0</v>
      </c>
      <c r="AB180" s="11" t="s">
        <v>54</v>
      </c>
      <c r="AC180" s="11" t="str">
        <f>VLOOKUP(L180,'[1]singkron data'!D:M,10,FALSE)</f>
        <v>g</v>
      </c>
      <c r="AD180" s="11" t="str">
        <f>VLOOKUP(L180,'[1]data 1129'!F:O,10,FALSE)</f>
        <v>Tahap I 208</v>
      </c>
      <c r="AE180" s="11" t="str">
        <f>VLOOKUP(L180,'[1]singkron data'!D:P,13,FALSE)</f>
        <v>sudah</v>
      </c>
      <c r="AF180" s="11" t="s">
        <v>55</v>
      </c>
      <c r="AG180" s="17">
        <f>VLOOKUP(L180,'[1]update kontrak'!E:K,6,FALSE)</f>
        <v>3105942861.02</v>
      </c>
      <c r="AH180" s="11" t="str">
        <f>VLOOKUP(L180,'[1]update kontrak'!E:K,7,FALSE)</f>
        <v>KONTRAK</v>
      </c>
      <c r="AI180" s="11" t="s">
        <v>41</v>
      </c>
      <c r="AJ180" s="11" t="str">
        <f>VLOOKUP(L180,[1]rekap!D:M,1,FALSE)</f>
        <v>Mojo</v>
      </c>
      <c r="AK180" s="11" t="str">
        <f>VLOOKUP(L180,'[1]singkron data'!D:E,2,FALSE)</f>
        <v>PT. Kurnia Alam Sentosa</v>
      </c>
      <c r="AL180" s="11" t="str">
        <f>VLOOKUP(L180,'[1]update 521'!D:D,1,FALSE)</f>
        <v>Mojo</v>
      </c>
      <c r="AM180" s="11" t="s">
        <v>57</v>
      </c>
      <c r="AN180" s="17">
        <f>VLOOKUP(L180,[1]Sheet19!E:L,8,FALSE)</f>
        <v>3105942861.02</v>
      </c>
      <c r="AO180" s="11" t="str">
        <f>VLOOKUP(L180,[1]Sheet19!E:K,7,FALSE)</f>
        <v>KONTRAK</v>
      </c>
      <c r="AP180" s="12" t="s">
        <v>41</v>
      </c>
    </row>
    <row r="181" spans="1:42" ht="15" x14ac:dyDescent="0.2">
      <c r="A181" s="8" t="s">
        <v>42</v>
      </c>
      <c r="B181" s="9" t="s">
        <v>43</v>
      </c>
      <c r="C181" s="9">
        <v>1037</v>
      </c>
      <c r="D181" s="9" t="s">
        <v>284</v>
      </c>
      <c r="E181" s="9">
        <v>125</v>
      </c>
      <c r="F181" s="9" t="s">
        <v>493</v>
      </c>
      <c r="G181" s="9" t="s">
        <v>301</v>
      </c>
      <c r="H181" s="9" t="s">
        <v>287</v>
      </c>
      <c r="I181" s="9" t="s">
        <v>494</v>
      </c>
      <c r="J181" s="9" t="s">
        <v>500</v>
      </c>
      <c r="K181" s="9" t="s">
        <v>501</v>
      </c>
      <c r="L181" s="10" t="s">
        <v>501</v>
      </c>
      <c r="M181" s="9" t="s">
        <v>51</v>
      </c>
      <c r="N181" s="9">
        <v>120</v>
      </c>
      <c r="O181" s="9" t="s">
        <v>72</v>
      </c>
      <c r="P181" s="9">
        <v>120</v>
      </c>
      <c r="Q181" s="9">
        <v>120</v>
      </c>
      <c r="R181" s="9">
        <v>0.5</v>
      </c>
      <c r="S181" s="9">
        <v>-6.8408329999999999</v>
      </c>
      <c r="T181" s="9">
        <v>109.443985</v>
      </c>
      <c r="U181" s="9" t="s">
        <v>52</v>
      </c>
      <c r="V181" s="11" t="str">
        <f>VLOOKUP(L181,'[1]singkron data'!D:E,2,FALSE)</f>
        <v>PT. Kurnia Alam Sentosa</v>
      </c>
      <c r="W181" s="13">
        <f>VLOOKUP(L181,'[1]data 1129'!F:H,3,FALSE)</f>
        <v>2774065679</v>
      </c>
      <c r="X181" s="11" t="s">
        <v>55</v>
      </c>
      <c r="Y181" s="11" t="str">
        <f>VLOOKUP(L181,'[1]singkron data'!D:H,5,FALSE)</f>
        <v>Jakarta</v>
      </c>
      <c r="Z181" s="11" t="str">
        <f>VLOOKUP(L181,'[1]singkron data'!D:I,6,FALSE)</f>
        <v>Online</v>
      </c>
      <c r="AA181" s="11">
        <f>VLOOKUP(L181,'[1]singkron data'!D:L,9,FALSE)</f>
        <v>0</v>
      </c>
      <c r="AB181" s="11" t="s">
        <v>54</v>
      </c>
      <c r="AC181" s="11" t="str">
        <f>VLOOKUP(L181,'[1]singkron data'!D:M,10,FALSE)</f>
        <v>g</v>
      </c>
      <c r="AD181" s="11" t="str">
        <f>VLOOKUP(L181,'[1]data 1129'!F:O,10,FALSE)</f>
        <v>Tahap I 208</v>
      </c>
      <c r="AE181" s="11" t="str">
        <f>VLOOKUP(L181,'[1]singkron data'!D:P,13,FALSE)</f>
        <v>sudah</v>
      </c>
      <c r="AF181" s="11" t="s">
        <v>55</v>
      </c>
      <c r="AG181" s="17">
        <f>VLOOKUP(L181,'[1]update kontrak'!E:K,6,FALSE)</f>
        <v>2643970726.8200002</v>
      </c>
      <c r="AH181" s="11" t="str">
        <f>VLOOKUP(L181,'[1]update kontrak'!E:K,7,FALSE)</f>
        <v>KONTRAK</v>
      </c>
      <c r="AI181" s="11" t="s">
        <v>41</v>
      </c>
      <c r="AJ181" s="11" t="str">
        <f>VLOOKUP(L181,[1]rekap!D:M,1,FALSE)</f>
        <v>Nyamplungsari</v>
      </c>
      <c r="AK181" s="11" t="str">
        <f>VLOOKUP(L181,'[1]singkron data'!D:E,2,FALSE)</f>
        <v>PT. Kurnia Alam Sentosa</v>
      </c>
      <c r="AL181" s="11" t="str">
        <f>VLOOKUP(L181,'[1]update 521'!D:D,1,FALSE)</f>
        <v>Nyamplungsari</v>
      </c>
      <c r="AM181" s="11" t="s">
        <v>57</v>
      </c>
      <c r="AN181" s="17">
        <f>VLOOKUP(L181,[1]Sheet19!E:L,8,FALSE)</f>
        <v>2643970726.8200002</v>
      </c>
      <c r="AO181" s="11" t="str">
        <f>VLOOKUP(L181,[1]Sheet19!E:K,7,FALSE)</f>
        <v>KONTRAK</v>
      </c>
      <c r="AP181" s="12" t="s">
        <v>41</v>
      </c>
    </row>
    <row r="182" spans="1:42" ht="15" x14ac:dyDescent="0.2">
      <c r="A182" s="8" t="s">
        <v>42</v>
      </c>
      <c r="B182" s="9" t="s">
        <v>43</v>
      </c>
      <c r="C182" s="9">
        <v>1040</v>
      </c>
      <c r="D182" s="9" t="s">
        <v>284</v>
      </c>
      <c r="E182" s="9">
        <v>128</v>
      </c>
      <c r="F182" s="9" t="s">
        <v>493</v>
      </c>
      <c r="G182" s="9" t="s">
        <v>301</v>
      </c>
      <c r="H182" s="9" t="s">
        <v>287</v>
      </c>
      <c r="I182" s="9" t="s">
        <v>502</v>
      </c>
      <c r="J182" s="9" t="s">
        <v>503</v>
      </c>
      <c r="K182" s="9" t="s">
        <v>503</v>
      </c>
      <c r="L182" s="10" t="s">
        <v>503</v>
      </c>
      <c r="M182" s="9" t="s">
        <v>51</v>
      </c>
      <c r="N182" s="9">
        <v>750</v>
      </c>
      <c r="O182" s="9" t="s">
        <v>72</v>
      </c>
      <c r="P182" s="9">
        <v>245</v>
      </c>
      <c r="Q182" s="9">
        <v>245</v>
      </c>
      <c r="R182" s="9" t="s">
        <v>504</v>
      </c>
      <c r="S182" s="9">
        <v>-6.8737240000000002</v>
      </c>
      <c r="T182" s="9">
        <v>109.26870599999999</v>
      </c>
      <c r="U182" s="9" t="s">
        <v>52</v>
      </c>
      <c r="V182" s="11" t="str">
        <f>VLOOKUP(L182,'[1]singkron data'!D:E,2,FALSE)</f>
        <v>CV. Alkomber Karya</v>
      </c>
      <c r="W182" s="13">
        <f>VLOOKUP(L182,'[1]data 1129'!F:H,3,FALSE)</f>
        <v>2314000000</v>
      </c>
      <c r="X182" s="11" t="s">
        <v>55</v>
      </c>
      <c r="Y182" s="11">
        <f>VLOOKUP(L182,'[1]singkron data'!D:H,5,FALSE)</f>
        <v>0</v>
      </c>
      <c r="Z182" s="11">
        <f>VLOOKUP(L182,'[1]singkron data'!D:I,6,FALSE)</f>
        <v>0</v>
      </c>
      <c r="AA182" s="11" t="str">
        <f>VLOOKUP(L182,'[1]singkron data'!D:L,9,FALSE)</f>
        <v>081286452407/prio</v>
      </c>
      <c r="AB182" s="11" t="s">
        <v>54</v>
      </c>
      <c r="AC182" s="11" t="str">
        <f>VLOOKUP(L182,'[1]singkron data'!D:M,10,FALSE)</f>
        <v>g</v>
      </c>
      <c r="AD182" s="11" t="str">
        <f>VLOOKUP(L182,'[1]data 1129'!F:O,10,FALSE)</f>
        <v>Tahap I 208</v>
      </c>
      <c r="AE182" s="11" t="str">
        <f>VLOOKUP(L182,'[1]singkron data'!D:P,13,FALSE)</f>
        <v>sudah</v>
      </c>
      <c r="AF182" s="11" t="s">
        <v>55</v>
      </c>
      <c r="AG182" s="11" t="e">
        <f>VLOOKUP(L182,'[1]update kontrak'!E:K,6,FALSE)</f>
        <v>#N/A</v>
      </c>
      <c r="AH182" s="11" t="e">
        <f>VLOOKUP(L182,'[1]update kontrak'!E:K,7,FALSE)</f>
        <v>#N/A</v>
      </c>
      <c r="AI182" s="11"/>
      <c r="AJ182" s="11" t="str">
        <f>VLOOKUP(L182,[1]rekap!D:M,1,FALSE)</f>
        <v>Suradadi</v>
      </c>
      <c r="AK182" s="11" t="str">
        <f>VLOOKUP(L182,'[1]singkron data'!D:E,2,FALSE)</f>
        <v>CV. Alkomber Karya</v>
      </c>
      <c r="AL182" s="11" t="str">
        <f>VLOOKUP(L182,'[1]update 521'!D:D,1,FALSE)</f>
        <v>Suradadi</v>
      </c>
      <c r="AM182" s="11" t="s">
        <v>57</v>
      </c>
      <c r="AN182" s="11" t="e">
        <f>VLOOKUP(L182,[1]Sheet19!E:L,8,FALSE)</f>
        <v>#N/A</v>
      </c>
      <c r="AO182" s="11" t="s">
        <v>58</v>
      </c>
      <c r="AP182" s="12"/>
    </row>
    <row r="183" spans="1:42" ht="15" x14ac:dyDescent="0.2">
      <c r="A183" s="8" t="s">
        <v>42</v>
      </c>
      <c r="B183" s="9" t="s">
        <v>43</v>
      </c>
      <c r="C183" s="9">
        <v>1043</v>
      </c>
      <c r="D183" s="9" t="s">
        <v>284</v>
      </c>
      <c r="E183" s="9">
        <v>131</v>
      </c>
      <c r="F183" s="9" t="s">
        <v>505</v>
      </c>
      <c r="G183" s="9" t="s">
        <v>297</v>
      </c>
      <c r="H183" s="9" t="s">
        <v>287</v>
      </c>
      <c r="I183" s="9" t="s">
        <v>506</v>
      </c>
      <c r="J183" s="9" t="s">
        <v>507</v>
      </c>
      <c r="K183" s="9" t="s">
        <v>505</v>
      </c>
      <c r="L183" s="10" t="s">
        <v>505</v>
      </c>
      <c r="M183" s="9" t="s">
        <v>65</v>
      </c>
      <c r="N183" s="9">
        <v>450</v>
      </c>
      <c r="O183" s="9">
        <v>20</v>
      </c>
      <c r="P183" s="9">
        <v>150</v>
      </c>
      <c r="Q183" s="9">
        <v>170</v>
      </c>
      <c r="R183" s="9">
        <v>1</v>
      </c>
      <c r="S183" s="9">
        <v>-6.9392189999999996</v>
      </c>
      <c r="T183" s="9">
        <v>112.830416</v>
      </c>
      <c r="U183" s="9" t="s">
        <v>52</v>
      </c>
      <c r="V183" s="11" t="str">
        <f>VLOOKUP(L183,'[1]singkron data'!D:E,2,FALSE)</f>
        <v>PT. Elang Mas Berdikari</v>
      </c>
      <c r="W183" s="13">
        <f>VLOOKUP(L183,'[1]data 1129'!F:H,3,FALSE)</f>
        <v>8500000000</v>
      </c>
      <c r="X183" s="11" t="s">
        <v>55</v>
      </c>
      <c r="Y183" s="11">
        <f>VLOOKUP(L183,'[1]singkron data'!D:H,5,FALSE)</f>
        <v>0</v>
      </c>
      <c r="Z183" s="11" t="str">
        <f>VLOOKUP(L183,'[1]singkron data'!D:I,6,FALSE)</f>
        <v>Offline</v>
      </c>
      <c r="AA183" s="11" t="str">
        <f>VLOOKUP(L183,'[1]singkron data'!D:L,9,FALSE)</f>
        <v>085203533456/jibo</v>
      </c>
      <c r="AB183" s="11" t="s">
        <v>54</v>
      </c>
      <c r="AC183" s="11" t="str">
        <f>VLOOKUP(L183,'[1]singkron data'!D:M,10,FALSE)</f>
        <v>g</v>
      </c>
      <c r="AD183" s="11" t="str">
        <f>VLOOKUP(L183,'[1]data 1129'!F:O,10,FALSE)</f>
        <v>Tahap IV 200</v>
      </c>
      <c r="AE183" s="11" t="str">
        <f>VLOOKUP(L183,'[1]singkron data'!D:P,13,FALSE)</f>
        <v>sudah</v>
      </c>
      <c r="AF183" s="11" t="s">
        <v>55</v>
      </c>
      <c r="AG183" s="11" t="e">
        <f>VLOOKUP(L183,'[1]update kontrak'!E:K,6,FALSE)</f>
        <v>#N/A</v>
      </c>
      <c r="AH183" s="11" t="e">
        <f>VLOOKUP(L183,'[1]update kontrak'!E:K,7,FALSE)</f>
        <v>#N/A</v>
      </c>
      <c r="AI183" s="11" t="s">
        <v>58</v>
      </c>
      <c r="AJ183" s="11" t="str">
        <f>VLOOKUP(L183,[1]rekap!D:M,1,FALSE)</f>
        <v>Tengket</v>
      </c>
      <c r="AK183" s="11" t="str">
        <f>VLOOKUP(L183,'[1]singkron data'!D:E,2,FALSE)</f>
        <v>PT. Elang Mas Berdikari</v>
      </c>
      <c r="AL183" s="11" t="str">
        <f>VLOOKUP(L183,'[1]update 521'!D:D,1,FALSE)</f>
        <v>Tengket</v>
      </c>
      <c r="AM183" s="11" t="s">
        <v>57</v>
      </c>
      <c r="AN183" s="17">
        <f>VLOOKUP(L183,[1]Sheet19!E:L,8,FALSE)</f>
        <v>6249618145.9799995</v>
      </c>
      <c r="AO183" s="11" t="str">
        <f>VLOOKUP(L183,[1]Sheet19!E:K,7,FALSE)</f>
        <v>SPPBJ</v>
      </c>
      <c r="AP183" s="12"/>
    </row>
    <row r="184" spans="1:42" ht="15" x14ac:dyDescent="0.2">
      <c r="A184" s="8" t="s">
        <v>42</v>
      </c>
      <c r="B184" s="9" t="s">
        <v>43</v>
      </c>
      <c r="C184" s="9">
        <v>933</v>
      </c>
      <c r="D184" s="9" t="s">
        <v>284</v>
      </c>
      <c r="E184" s="9">
        <v>21</v>
      </c>
      <c r="F184" s="9" t="s">
        <v>508</v>
      </c>
      <c r="G184" s="9" t="s">
        <v>286</v>
      </c>
      <c r="H184" s="9" t="s">
        <v>287</v>
      </c>
      <c r="I184" s="9" t="s">
        <v>509</v>
      </c>
      <c r="J184" s="9" t="s">
        <v>510</v>
      </c>
      <c r="K184" s="9" t="s">
        <v>511</v>
      </c>
      <c r="L184" s="10" t="s">
        <v>511</v>
      </c>
      <c r="M184" s="9" t="s">
        <v>51</v>
      </c>
      <c r="N184" s="9">
        <v>200</v>
      </c>
      <c r="O184" s="9">
        <v>200</v>
      </c>
      <c r="P184" s="9">
        <v>10</v>
      </c>
      <c r="Q184" s="9">
        <v>210</v>
      </c>
      <c r="R184" s="9">
        <v>1</v>
      </c>
      <c r="S184" s="9">
        <v>-7.4808919999999999</v>
      </c>
      <c r="T184" s="9">
        <v>107.215616</v>
      </c>
      <c r="U184" s="9" t="s">
        <v>52</v>
      </c>
      <c r="V184" s="11" t="str">
        <f>VLOOKUP(L184,'[1]singkron data'!D:E,2,FALSE)</f>
        <v>PT. AMI Kamena Jaya</v>
      </c>
      <c r="W184" s="13">
        <f>VLOOKUP(L184,'[1]data 1129'!F:H,3,FALSE)</f>
        <v>1977014000</v>
      </c>
      <c r="X184" s="11" t="s">
        <v>55</v>
      </c>
      <c r="Y184" s="11" t="str">
        <f>VLOOKUP(L184,'[1]singkron data'!D:H,5,FALSE)</f>
        <v>Lampung</v>
      </c>
      <c r="Z184" s="11" t="str">
        <f>VLOOKUP(L184,'[1]singkron data'!D:I,6,FALSE)</f>
        <v>Online</v>
      </c>
      <c r="AA184" s="11" t="str">
        <f>VLOOKUP(L184,'[1]singkron data'!D:L,9,FALSE)</f>
        <v>081210805888/agus tobing</v>
      </c>
      <c r="AB184" s="11" t="s">
        <v>54</v>
      </c>
      <c r="AC184" s="11" t="str">
        <f>VLOOKUP(L184,'[1]singkron data'!D:M,10,FALSE)</f>
        <v>TK - diusulkan ganti penyedia</v>
      </c>
      <c r="AD184" s="11" t="str">
        <f>VLOOKUP(L184,'[1]data 1129'!F:O,10,FALSE)</f>
        <v>Tahap II 146</v>
      </c>
      <c r="AE184" s="11" t="str">
        <f>VLOOKUP(L184,'[1]singkron data'!D:P,13,FALSE)</f>
        <v>sudah</v>
      </c>
      <c r="AF184" s="11" t="s">
        <v>55</v>
      </c>
      <c r="AG184" s="11" t="e">
        <f>VLOOKUP(L184,'[1]update kontrak'!E:K,6,FALSE)</f>
        <v>#N/A</v>
      </c>
      <c r="AH184" s="11" t="e">
        <f>VLOOKUP(L184,'[1]update kontrak'!E:K,7,FALSE)</f>
        <v>#N/A</v>
      </c>
      <c r="AI184" s="11" t="s">
        <v>58</v>
      </c>
      <c r="AJ184" s="11" t="str">
        <f>VLOOKUP(L184,[1]rekap!D:M,1,FALSE)</f>
        <v>Jayagiri</v>
      </c>
      <c r="AK184" s="11" t="str">
        <f>VLOOKUP(L184,'[1]singkron data'!D:E,2,FALSE)</f>
        <v>PT. AMI Kamena Jaya</v>
      </c>
      <c r="AL184" s="11" t="str">
        <f>VLOOKUP(L184,'[1]update 521'!D:D,1,FALSE)</f>
        <v>Jayagiri</v>
      </c>
      <c r="AM184" s="11" t="s">
        <v>57</v>
      </c>
      <c r="AN184" s="11" t="e">
        <f>VLOOKUP(L184,[1]Sheet19!E:L,8,FALSE)</f>
        <v>#N/A</v>
      </c>
      <c r="AO184" s="11" t="s">
        <v>58</v>
      </c>
      <c r="AP184" s="12"/>
    </row>
    <row r="185" spans="1:42" ht="15" x14ac:dyDescent="0.2">
      <c r="A185" s="8" t="s">
        <v>42</v>
      </c>
      <c r="B185" s="9" t="s">
        <v>43</v>
      </c>
      <c r="C185" s="9">
        <v>934</v>
      </c>
      <c r="D185" s="9" t="s">
        <v>284</v>
      </c>
      <c r="E185" s="9">
        <v>22</v>
      </c>
      <c r="F185" s="9" t="s">
        <v>508</v>
      </c>
      <c r="G185" s="9" t="s">
        <v>286</v>
      </c>
      <c r="H185" s="9" t="s">
        <v>287</v>
      </c>
      <c r="I185" s="9" t="s">
        <v>509</v>
      </c>
      <c r="J185" s="9" t="s">
        <v>512</v>
      </c>
      <c r="K185" s="9" t="s">
        <v>513</v>
      </c>
      <c r="L185" s="10" t="s">
        <v>513</v>
      </c>
      <c r="M185" s="9" t="s">
        <v>51</v>
      </c>
      <c r="N185" s="9">
        <v>300</v>
      </c>
      <c r="O185" s="9">
        <v>100</v>
      </c>
      <c r="P185" s="9" t="s">
        <v>72</v>
      </c>
      <c r="Q185" s="9">
        <v>100</v>
      </c>
      <c r="R185" s="9">
        <v>1</v>
      </c>
      <c r="S185" s="9">
        <v>-7.493036</v>
      </c>
      <c r="T185" s="9">
        <v>107.291022</v>
      </c>
      <c r="U185" s="9" t="s">
        <v>52</v>
      </c>
      <c r="V185" s="11" t="str">
        <f>VLOOKUP(L185,'[1]singkron data'!D:E,2,FALSE)</f>
        <v>PT. AMI Kamena Jaya</v>
      </c>
      <c r="W185" s="13">
        <f>VLOOKUP(L185,'[1]data 1129'!F:H,3,FALSE)</f>
        <v>2252162000</v>
      </c>
      <c r="X185" s="11" t="s">
        <v>55</v>
      </c>
      <c r="Y185" s="11" t="str">
        <f>VLOOKUP(L185,'[1]singkron data'!D:H,5,FALSE)</f>
        <v>Lampung</v>
      </c>
      <c r="Z185" s="11" t="str">
        <f>VLOOKUP(L185,'[1]singkron data'!D:I,6,FALSE)</f>
        <v>Online</v>
      </c>
      <c r="AA185" s="11" t="str">
        <f>VLOOKUP(L185,'[1]singkron data'!D:L,9,FALSE)</f>
        <v>081210805888/agus tobing</v>
      </c>
      <c r="AB185" s="11" t="s">
        <v>54</v>
      </c>
      <c r="AC185" s="11" t="str">
        <f>VLOOKUP(L185,'[1]singkron data'!D:M,10,FALSE)</f>
        <v>TK - diusulkan ganti penyedia</v>
      </c>
      <c r="AD185" s="11" t="str">
        <f>VLOOKUP(L185,'[1]data 1129'!F:O,10,FALSE)</f>
        <v>Tahap II 146</v>
      </c>
      <c r="AE185" s="11" t="str">
        <f>VLOOKUP(L185,'[1]singkron data'!D:P,13,FALSE)</f>
        <v>sudah</v>
      </c>
      <c r="AF185" s="11" t="s">
        <v>55</v>
      </c>
      <c r="AG185" s="11" t="e">
        <f>VLOOKUP(L185,'[1]update kontrak'!E:K,6,FALSE)</f>
        <v>#N/A</v>
      </c>
      <c r="AH185" s="11" t="e">
        <f>VLOOKUP(L185,'[1]update kontrak'!E:K,7,FALSE)</f>
        <v>#N/A</v>
      </c>
      <c r="AI185" s="11" t="s">
        <v>58</v>
      </c>
      <c r="AJ185" s="11" t="str">
        <f>VLOOKUP(L185,[1]rekap!D:M,1,FALSE)</f>
        <v>Jayapura</v>
      </c>
      <c r="AK185" s="11" t="str">
        <f>VLOOKUP(L185,'[1]singkron data'!D:E,2,FALSE)</f>
        <v>PT. AMI Kamena Jaya</v>
      </c>
      <c r="AL185" s="11" t="str">
        <f>VLOOKUP(L185,'[1]update 521'!D:D,1,FALSE)</f>
        <v>Jayapura</v>
      </c>
      <c r="AM185" s="11" t="s">
        <v>57</v>
      </c>
      <c r="AN185" s="11" t="e">
        <f>VLOOKUP(L185,[1]Sheet19!E:L,8,FALSE)</f>
        <v>#N/A</v>
      </c>
      <c r="AO185" s="11" t="s">
        <v>58</v>
      </c>
      <c r="AP185" s="12"/>
    </row>
    <row r="186" spans="1:42" ht="15" x14ac:dyDescent="0.2">
      <c r="A186" s="8" t="s">
        <v>42</v>
      </c>
      <c r="B186" s="9" t="s">
        <v>43</v>
      </c>
      <c r="C186" s="9">
        <v>215</v>
      </c>
      <c r="D186" s="9" t="s">
        <v>514</v>
      </c>
      <c r="E186" s="9">
        <v>1</v>
      </c>
      <c r="F186" s="9" t="s">
        <v>515</v>
      </c>
      <c r="G186" s="9" t="s">
        <v>516</v>
      </c>
      <c r="H186" s="9" t="s">
        <v>47</v>
      </c>
      <c r="I186" s="9" t="s">
        <v>517</v>
      </c>
      <c r="J186" s="9" t="s">
        <v>518</v>
      </c>
      <c r="K186" s="9" t="s">
        <v>519</v>
      </c>
      <c r="L186" s="10" t="s">
        <v>519</v>
      </c>
      <c r="M186" s="9" t="s">
        <v>51</v>
      </c>
      <c r="N186" s="9">
        <v>70</v>
      </c>
      <c r="O186" s="9">
        <v>5</v>
      </c>
      <c r="P186" s="9">
        <v>35</v>
      </c>
      <c r="Q186" s="9">
        <v>40</v>
      </c>
      <c r="R186" s="9">
        <v>0.84</v>
      </c>
      <c r="S186" s="9">
        <v>-1.948807</v>
      </c>
      <c r="T186" s="9">
        <v>114.91028799999999</v>
      </c>
      <c r="U186" s="9" t="s">
        <v>52</v>
      </c>
      <c r="V186" s="11" t="str">
        <f>VLOOKUP(L186,'[1]singkron data'!D:E,2,FALSE)</f>
        <v>PT. Nusa Indah Permai</v>
      </c>
      <c r="W186" s="11"/>
      <c r="X186" s="11"/>
      <c r="Y186" s="11" t="str">
        <f>VLOOKUP(L186,'[1]singkron data'!D:H,5,FALSE)</f>
        <v>Barito Selatan</v>
      </c>
      <c r="Z186" s="11" t="str">
        <f>VLOOKUP(L186,'[1]singkron data'!D:I,6,FALSE)</f>
        <v>Offline</v>
      </c>
      <c r="AA186" s="11" t="str">
        <f>VLOOKUP(L186,'[1]singkron data'!D:L,9,FALSE)</f>
        <v>81350989801/ rizal_nip@yahoo.co.id</v>
      </c>
      <c r="AB186" s="11" t="s">
        <v>54</v>
      </c>
      <c r="AC186" s="11" t="s">
        <v>520</v>
      </c>
      <c r="AD186" s="11" t="str">
        <f>VLOOKUP(L186,'[1]data 1129'!F:O,10,FALSE)</f>
        <v>Tahap III 166</v>
      </c>
      <c r="AE186" s="11">
        <f>VLOOKUP(L186,'[1]singkron data'!D:P,13,FALSE)</f>
        <v>0</v>
      </c>
      <c r="AF186" s="11"/>
      <c r="AG186" s="11" t="e">
        <f>VLOOKUP(L186,'[1]update kontrak'!E:K,6,FALSE)</f>
        <v>#N/A</v>
      </c>
      <c r="AH186" s="11" t="e">
        <f>VLOOKUP(L186,'[1]update kontrak'!E:K,7,FALSE)</f>
        <v>#N/A</v>
      </c>
      <c r="AI186" s="11"/>
      <c r="AJ186" s="11" t="str">
        <f>VLOOKUP(L186,[1]rekap!D:M,1,FALSE)</f>
        <v>Janggi</v>
      </c>
      <c r="AK186" s="11" t="str">
        <f>VLOOKUP(L186,'[1]singkron data'!D:E,2,FALSE)</f>
        <v>PT. Nusa Indah Permai</v>
      </c>
      <c r="AL186" s="11" t="str">
        <f>VLOOKUP(L186,'[1]update 521'!D:D,1,FALSE)</f>
        <v>Janggi</v>
      </c>
      <c r="AM186" s="11" t="s">
        <v>96</v>
      </c>
      <c r="AN186" s="11" t="e">
        <f>VLOOKUP(L186,[1]Sheet19!E:L,8,FALSE)</f>
        <v>#N/A</v>
      </c>
      <c r="AO186" s="11" t="e">
        <f>VLOOKUP(L186,[1]Sheet19!E:K,7,FALSE)</f>
        <v>#N/A</v>
      </c>
      <c r="AP186" s="12"/>
    </row>
    <row r="187" spans="1:42" ht="15" x14ac:dyDescent="0.2">
      <c r="A187" s="8" t="s">
        <v>42</v>
      </c>
      <c r="B187" s="9" t="s">
        <v>43</v>
      </c>
      <c r="C187" s="9">
        <v>216</v>
      </c>
      <c r="D187" s="9" t="s">
        <v>514</v>
      </c>
      <c r="E187" s="9">
        <v>2</v>
      </c>
      <c r="F187" s="9" t="s">
        <v>515</v>
      </c>
      <c r="G187" s="9" t="s">
        <v>516</v>
      </c>
      <c r="H187" s="9" t="s">
        <v>47</v>
      </c>
      <c r="I187" s="9" t="s">
        <v>517</v>
      </c>
      <c r="J187" s="9" t="s">
        <v>518</v>
      </c>
      <c r="K187" s="9" t="s">
        <v>515</v>
      </c>
      <c r="L187" s="10" t="s">
        <v>515</v>
      </c>
      <c r="M187" s="9" t="s">
        <v>51</v>
      </c>
      <c r="N187" s="9">
        <v>72</v>
      </c>
      <c r="O187" s="9">
        <v>10</v>
      </c>
      <c r="P187" s="9">
        <v>290</v>
      </c>
      <c r="Q187" s="9">
        <v>300</v>
      </c>
      <c r="R187" s="9">
        <v>0.24</v>
      </c>
      <c r="S187" s="9">
        <v>-2.0397660000000002</v>
      </c>
      <c r="T187" s="9">
        <v>114.88965399999999</v>
      </c>
      <c r="U187" s="9" t="s">
        <v>52</v>
      </c>
      <c r="V187" s="11">
        <f>VLOOKUP(L187,'[1]singkron data'!D:E,2,FALSE)</f>
        <v>0</v>
      </c>
      <c r="W187" s="11"/>
      <c r="X187" s="11"/>
      <c r="Y187" s="11" t="str">
        <f>VLOOKUP(L187,'[1]singkron data'!D:H,5,FALSE)</f>
        <v>Barito Selatan</v>
      </c>
      <c r="Z187" s="11" t="str">
        <f>VLOOKUP(L187,'[1]singkron data'!D:I,6,FALSE)</f>
        <v>Offline</v>
      </c>
      <c r="AA187" s="11" t="str">
        <f>VLOOKUP(L187,'[1]singkron data'!D:L,9,FALSE)</f>
        <v>81350989801/ rizal_nip@yahoo.co.id</v>
      </c>
      <c r="AB187" s="11" t="s">
        <v>54</v>
      </c>
      <c r="AC187" s="11" t="s">
        <v>520</v>
      </c>
      <c r="AD187" s="11" t="str">
        <f>VLOOKUP(L187,'[1]data 1129'!F:O,10,FALSE)</f>
        <v>Tahap III 166</v>
      </c>
      <c r="AE187" s="11">
        <f>VLOOKUP(L187,'[1]singkron data'!D:P,13,FALSE)</f>
        <v>0</v>
      </c>
      <c r="AF187" s="11"/>
      <c r="AG187" s="11" t="e">
        <f>VLOOKUP(L187,'[1]update kontrak'!E:K,6,FALSE)</f>
        <v>#N/A</v>
      </c>
      <c r="AH187" s="11" t="e">
        <f>VLOOKUP(L187,'[1]update kontrak'!E:K,7,FALSE)</f>
        <v>#N/A</v>
      </c>
      <c r="AI187" s="11"/>
      <c r="AJ187" s="11" t="str">
        <f>VLOOKUP(L187,[1]rekap!D:M,1,FALSE)</f>
        <v>Bangkuang</v>
      </c>
      <c r="AK187" s="11">
        <f>VLOOKUP(L187,'[1]singkron data'!D:E,2,FALSE)</f>
        <v>0</v>
      </c>
      <c r="AL187" s="11" t="str">
        <f>VLOOKUP(L187,'[1]update 521'!D:D,1,FALSE)</f>
        <v>Bangkuang</v>
      </c>
      <c r="AM187" s="11" t="s">
        <v>96</v>
      </c>
      <c r="AN187" s="11" t="e">
        <f>VLOOKUP(L187,[1]Sheet19!E:L,8,FALSE)</f>
        <v>#N/A</v>
      </c>
      <c r="AO187" s="11" t="e">
        <f>VLOOKUP(L187,[1]Sheet19!E:K,7,FALSE)</f>
        <v>#N/A</v>
      </c>
      <c r="AP187" s="12"/>
    </row>
    <row r="188" spans="1:42" ht="15" x14ac:dyDescent="0.2">
      <c r="A188" s="8" t="s">
        <v>42</v>
      </c>
      <c r="B188" s="9" t="s">
        <v>43</v>
      </c>
      <c r="C188" s="9">
        <v>217</v>
      </c>
      <c r="D188" s="9" t="s">
        <v>514</v>
      </c>
      <c r="E188" s="9">
        <v>3</v>
      </c>
      <c r="F188" s="9" t="s">
        <v>515</v>
      </c>
      <c r="G188" s="9" t="s">
        <v>516</v>
      </c>
      <c r="H188" s="9" t="s">
        <v>47</v>
      </c>
      <c r="I188" s="9" t="s">
        <v>521</v>
      </c>
      <c r="J188" s="9" t="s">
        <v>522</v>
      </c>
      <c r="K188" s="9" t="s">
        <v>523</v>
      </c>
      <c r="L188" s="10" t="s">
        <v>523</v>
      </c>
      <c r="M188" s="9" t="s">
        <v>51</v>
      </c>
      <c r="N188" s="9">
        <v>107</v>
      </c>
      <c r="O188" s="9" t="s">
        <v>72</v>
      </c>
      <c r="P188" s="9">
        <v>25</v>
      </c>
      <c r="Q188" s="9">
        <v>25</v>
      </c>
      <c r="R188" s="9">
        <v>0.27</v>
      </c>
      <c r="S188" s="9">
        <v>-1.102255</v>
      </c>
      <c r="T188" s="9">
        <v>114.881377</v>
      </c>
      <c r="U188" s="9" t="s">
        <v>52</v>
      </c>
      <c r="V188" s="11" t="str">
        <f>VLOOKUP(L188,'[1]singkron data'!D:E,2,FALSE)</f>
        <v>PT. Nusa Indah Permai</v>
      </c>
      <c r="W188" s="11"/>
      <c r="X188" s="11"/>
      <c r="Y188" s="11" t="str">
        <f>VLOOKUP(L188,'[1]singkron data'!D:H,5,FALSE)</f>
        <v>Barito Selatan</v>
      </c>
      <c r="Z188" s="11" t="str">
        <f>VLOOKUP(L188,'[1]singkron data'!D:I,6,FALSE)</f>
        <v>Offline</v>
      </c>
      <c r="AA188" s="11" t="str">
        <f>VLOOKUP(L188,'[1]singkron data'!D:L,9,FALSE)</f>
        <v>81350989801/ rizal_nip@yahoo.co.id</v>
      </c>
      <c r="AB188" s="11" t="s">
        <v>54</v>
      </c>
      <c r="AC188" s="11" t="s">
        <v>520</v>
      </c>
      <c r="AD188" s="11" t="str">
        <f>VLOOKUP(L188,'[1]data 1129'!F:O,10,FALSE)</f>
        <v>Tahap III 166</v>
      </c>
      <c r="AE188" s="11">
        <f>VLOOKUP(L188,'[1]singkron data'!D:P,13,FALSE)</f>
        <v>0</v>
      </c>
      <c r="AF188" s="11"/>
      <c r="AG188" s="11" t="e">
        <f>VLOOKUP(L188,'[1]update kontrak'!E:K,6,FALSE)</f>
        <v>#N/A</v>
      </c>
      <c r="AH188" s="11" t="e">
        <f>VLOOKUP(L188,'[1]update kontrak'!E:K,7,FALSE)</f>
        <v>#N/A</v>
      </c>
      <c r="AI188" s="11"/>
      <c r="AJ188" s="11" t="str">
        <f>VLOOKUP(L188,[1]rekap!D:M,1,FALSE)</f>
        <v>Butong</v>
      </c>
      <c r="AK188" s="11" t="str">
        <f>VLOOKUP(L188,'[1]singkron data'!D:E,2,FALSE)</f>
        <v>PT. Nusa Indah Permai</v>
      </c>
      <c r="AL188" s="11" t="str">
        <f>VLOOKUP(L188,'[1]update 521'!D:D,1,FALSE)</f>
        <v>Butong</v>
      </c>
      <c r="AM188" s="11" t="s">
        <v>96</v>
      </c>
      <c r="AN188" s="11" t="e">
        <f>VLOOKUP(L188,[1]Sheet19!E:L,8,FALSE)</f>
        <v>#N/A</v>
      </c>
      <c r="AO188" s="11" t="e">
        <f>VLOOKUP(L188,[1]Sheet19!E:K,7,FALSE)</f>
        <v>#N/A</v>
      </c>
      <c r="AP188" s="12"/>
    </row>
    <row r="189" spans="1:42" ht="15" x14ac:dyDescent="0.2">
      <c r="A189" s="8" t="s">
        <v>42</v>
      </c>
      <c r="B189" s="9" t="s">
        <v>43</v>
      </c>
      <c r="C189" s="9">
        <v>218</v>
      </c>
      <c r="D189" s="9" t="s">
        <v>514</v>
      </c>
      <c r="E189" s="9">
        <v>4</v>
      </c>
      <c r="F189" s="9" t="s">
        <v>524</v>
      </c>
      <c r="G189" s="9" t="s">
        <v>516</v>
      </c>
      <c r="H189" s="9" t="s">
        <v>47</v>
      </c>
      <c r="I189" s="9" t="s">
        <v>525</v>
      </c>
      <c r="J189" s="9" t="s">
        <v>526</v>
      </c>
      <c r="K189" s="9" t="s">
        <v>527</v>
      </c>
      <c r="L189" s="10" t="s">
        <v>527</v>
      </c>
      <c r="M189" s="9" t="s">
        <v>65</v>
      </c>
      <c r="N189" s="9">
        <v>716</v>
      </c>
      <c r="O189" s="9" t="s">
        <v>72</v>
      </c>
      <c r="P189" s="9">
        <v>411</v>
      </c>
      <c r="Q189" s="9">
        <v>411</v>
      </c>
      <c r="R189" s="9">
        <v>0.49</v>
      </c>
      <c r="S189" s="9">
        <v>-3.303153</v>
      </c>
      <c r="T189" s="9">
        <v>114.044588</v>
      </c>
      <c r="U189" s="9" t="s">
        <v>52</v>
      </c>
      <c r="V189" s="11" t="s">
        <v>528</v>
      </c>
      <c r="W189" s="11"/>
      <c r="X189" s="11"/>
      <c r="Y189" s="11">
        <f>VLOOKUP(L189,'[1]singkron data'!D:H,5,FALSE)</f>
        <v>0</v>
      </c>
      <c r="Z189" s="11">
        <f>VLOOKUP(L189,'[1]singkron data'!D:I,6,FALSE)</f>
        <v>0</v>
      </c>
      <c r="AA189" s="11" t="s">
        <v>529</v>
      </c>
      <c r="AB189" s="11" t="s">
        <v>54</v>
      </c>
      <c r="AC189" s="11" t="s">
        <v>322</v>
      </c>
      <c r="AD189" s="11" t="str">
        <f>VLOOKUP(L189,'[1]data 1129'!F:O,10,FALSE)</f>
        <v>Tahap IV 200</v>
      </c>
      <c r="AE189" s="11">
        <f>VLOOKUP(L189,'[1]singkron data'!D:P,13,FALSE)</f>
        <v>0</v>
      </c>
      <c r="AF189" s="11"/>
      <c r="AG189" s="11" t="e">
        <f>VLOOKUP(L189,'[1]update kontrak'!E:K,6,FALSE)</f>
        <v>#N/A</v>
      </c>
      <c r="AH189" s="11" t="e">
        <f>VLOOKUP(L189,'[1]update kontrak'!E:K,7,FALSE)</f>
        <v>#N/A</v>
      </c>
      <c r="AI189" s="11"/>
      <c r="AJ189" s="11" t="str">
        <f>VLOOKUP(L189,[1]rekap!D:M,1,FALSE)</f>
        <v>Papuyu Iii Sei. Pudak</v>
      </c>
      <c r="AK189" s="11" t="str">
        <f>VLOOKUP(L189,'[1]singkron data'!D:E,2,FALSE)</f>
        <v>PT. ............</v>
      </c>
      <c r="AL189" s="11" t="str">
        <f>VLOOKUP(L189,'[1]update 521'!D:D,1,FALSE)</f>
        <v>Papuyu Iii Sei. Pudak</v>
      </c>
      <c r="AM189" s="11" t="s">
        <v>96</v>
      </c>
      <c r="AN189" s="11" t="e">
        <f>VLOOKUP(L189,[1]Sheet19!E:L,8,FALSE)</f>
        <v>#N/A</v>
      </c>
      <c r="AO189" s="11" t="e">
        <f>VLOOKUP(L189,[1]Sheet19!E:K,7,FALSE)</f>
        <v>#N/A</v>
      </c>
      <c r="AP189" s="12"/>
    </row>
    <row r="190" spans="1:42" ht="15" x14ac:dyDescent="0.2">
      <c r="A190" s="8" t="s">
        <v>42</v>
      </c>
      <c r="B190" s="9" t="s">
        <v>43</v>
      </c>
      <c r="C190" s="9">
        <v>219</v>
      </c>
      <c r="D190" s="9" t="s">
        <v>514</v>
      </c>
      <c r="E190" s="9">
        <v>5</v>
      </c>
      <c r="F190" s="9" t="s">
        <v>524</v>
      </c>
      <c r="G190" s="9" t="s">
        <v>516</v>
      </c>
      <c r="H190" s="9" t="s">
        <v>47</v>
      </c>
      <c r="I190" s="9" t="s">
        <v>530</v>
      </c>
      <c r="J190" s="9" t="s">
        <v>531</v>
      </c>
      <c r="K190" s="9" t="s">
        <v>524</v>
      </c>
      <c r="L190" s="10" t="s">
        <v>524</v>
      </c>
      <c r="M190" s="9" t="s">
        <v>51</v>
      </c>
      <c r="N190" s="9">
        <v>345</v>
      </c>
      <c r="O190" s="9" t="s">
        <v>72</v>
      </c>
      <c r="P190" s="9">
        <v>235</v>
      </c>
      <c r="Q190" s="9">
        <v>235</v>
      </c>
      <c r="R190" s="9">
        <v>0.48</v>
      </c>
      <c r="S190" s="9">
        <v>-3.351289</v>
      </c>
      <c r="T190" s="9">
        <v>114.24508400000001</v>
      </c>
      <c r="U190" s="9" t="s">
        <v>52</v>
      </c>
      <c r="V190" s="11" t="s">
        <v>528</v>
      </c>
      <c r="W190" s="11"/>
      <c r="X190" s="11"/>
      <c r="Y190" s="11">
        <f>VLOOKUP(L190,'[1]singkron data'!D:H,5,FALSE)</f>
        <v>0</v>
      </c>
      <c r="Z190" s="11">
        <f>VLOOKUP(L190,'[1]singkron data'!D:I,6,FALSE)</f>
        <v>0</v>
      </c>
      <c r="AA190" s="11" t="s">
        <v>529</v>
      </c>
      <c r="AB190" s="11" t="s">
        <v>54</v>
      </c>
      <c r="AC190" s="11" t="s">
        <v>322</v>
      </c>
      <c r="AD190" s="11" t="str">
        <f>VLOOKUP(L190,'[1]data 1129'!F:O,10,FALSE)</f>
        <v>Tahap III 166</v>
      </c>
      <c r="AE190" s="11">
        <f>VLOOKUP(L190,'[1]singkron data'!D:P,13,FALSE)</f>
        <v>0</v>
      </c>
      <c r="AF190" s="11"/>
      <c r="AG190" s="11" t="e">
        <f>VLOOKUP(L190,'[1]update kontrak'!E:K,6,FALSE)</f>
        <v>#N/A</v>
      </c>
      <c r="AH190" s="11" t="e">
        <f>VLOOKUP(L190,'[1]update kontrak'!E:K,7,FALSE)</f>
        <v>#N/A</v>
      </c>
      <c r="AI190" s="11"/>
      <c r="AJ190" s="11" t="str">
        <f>VLOOKUP(L190,[1]rekap!D:M,1,FALSE)</f>
        <v>Batanjung</v>
      </c>
      <c r="AK190" s="11" t="str">
        <f>VLOOKUP(L190,'[1]singkron data'!D:E,2,FALSE)</f>
        <v>CV. Davindo Putra Perkasa</v>
      </c>
      <c r="AL190" s="11" t="str">
        <f>VLOOKUP(L190,'[1]update 521'!D:D,1,FALSE)</f>
        <v>Batanjung</v>
      </c>
      <c r="AM190" s="11" t="s">
        <v>96</v>
      </c>
      <c r="AN190" s="11" t="e">
        <f>VLOOKUP(L190,[1]Sheet19!E:L,8,FALSE)</f>
        <v>#N/A</v>
      </c>
      <c r="AO190" s="11" t="e">
        <f>VLOOKUP(L190,[1]Sheet19!E:K,7,FALSE)</f>
        <v>#N/A</v>
      </c>
      <c r="AP190" s="12"/>
    </row>
    <row r="191" spans="1:42" ht="15" x14ac:dyDescent="0.2">
      <c r="A191" s="8" t="s">
        <v>42</v>
      </c>
      <c r="B191" s="9" t="s">
        <v>43</v>
      </c>
      <c r="C191" s="9">
        <v>220</v>
      </c>
      <c r="D191" s="9" t="s">
        <v>514</v>
      </c>
      <c r="E191" s="9">
        <v>6</v>
      </c>
      <c r="F191" s="9" t="s">
        <v>524</v>
      </c>
      <c r="G191" s="9" t="s">
        <v>516</v>
      </c>
      <c r="H191" s="9" t="s">
        <v>47</v>
      </c>
      <c r="I191" s="9" t="s">
        <v>530</v>
      </c>
      <c r="J191" s="9" t="s">
        <v>531</v>
      </c>
      <c r="K191" s="9" t="s">
        <v>532</v>
      </c>
      <c r="L191" s="10" t="s">
        <v>532</v>
      </c>
      <c r="M191" s="9" t="s">
        <v>51</v>
      </c>
      <c r="N191" s="9">
        <v>212</v>
      </c>
      <c r="O191" s="9">
        <v>30</v>
      </c>
      <c r="P191" s="9">
        <v>178</v>
      </c>
      <c r="Q191" s="9">
        <v>208</v>
      </c>
      <c r="R191" s="9">
        <v>0.3</v>
      </c>
      <c r="S191" s="9">
        <v>-3.444928</v>
      </c>
      <c r="T191" s="9">
        <v>114.344189</v>
      </c>
      <c r="U191" s="9" t="s">
        <v>52</v>
      </c>
      <c r="V191" s="11" t="s">
        <v>528</v>
      </c>
      <c r="W191" s="11"/>
      <c r="X191" s="11"/>
      <c r="Y191" s="11">
        <f>VLOOKUP(L191,'[1]singkron data'!D:H,5,FALSE)</f>
        <v>0</v>
      </c>
      <c r="Z191" s="11">
        <f>VLOOKUP(L191,'[1]singkron data'!D:I,6,FALSE)</f>
        <v>0</v>
      </c>
      <c r="AA191" s="11" t="s">
        <v>529</v>
      </c>
      <c r="AB191" s="11" t="s">
        <v>54</v>
      </c>
      <c r="AC191" s="11" t="s">
        <v>322</v>
      </c>
      <c r="AD191" s="11" t="str">
        <f>VLOOKUP(L191,'[1]data 1129'!F:O,10,FALSE)</f>
        <v>Tahap III 166</v>
      </c>
      <c r="AE191" s="11">
        <f>VLOOKUP(L191,'[1]singkron data'!D:P,13,FALSE)</f>
        <v>0</v>
      </c>
      <c r="AF191" s="11"/>
      <c r="AG191" s="11" t="e">
        <f>VLOOKUP(L191,'[1]update kontrak'!E:K,6,FALSE)</f>
        <v>#N/A</v>
      </c>
      <c r="AH191" s="11" t="e">
        <f>VLOOKUP(L191,'[1]update kontrak'!E:K,7,FALSE)</f>
        <v>#N/A</v>
      </c>
      <c r="AI191" s="11"/>
      <c r="AJ191" s="11" t="str">
        <f>VLOOKUP(L191,[1]rekap!D:M,1,FALSE)</f>
        <v>Palampai</v>
      </c>
      <c r="AK191" s="11" t="str">
        <f>VLOOKUP(L191,'[1]singkron data'!D:E,2,FALSE)</f>
        <v>CV. Davindo Putra Perkasa</v>
      </c>
      <c r="AL191" s="11" t="str">
        <f>VLOOKUP(L191,'[1]update 521'!D:D,1,FALSE)</f>
        <v>Palampai</v>
      </c>
      <c r="AM191" s="11" t="s">
        <v>96</v>
      </c>
      <c r="AN191" s="11" t="e">
        <f>VLOOKUP(L191,[1]Sheet19!E:L,8,FALSE)</f>
        <v>#N/A</v>
      </c>
      <c r="AO191" s="11" t="e">
        <f>VLOOKUP(L191,[1]Sheet19!E:K,7,FALSE)</f>
        <v>#N/A</v>
      </c>
      <c r="AP191" s="12"/>
    </row>
    <row r="192" spans="1:42" ht="15" x14ac:dyDescent="0.2">
      <c r="A192" s="8" t="s">
        <v>42</v>
      </c>
      <c r="B192" s="9" t="s">
        <v>43</v>
      </c>
      <c r="C192" s="9">
        <v>221</v>
      </c>
      <c r="D192" s="9" t="s">
        <v>514</v>
      </c>
      <c r="E192" s="9">
        <v>7</v>
      </c>
      <c r="F192" s="9" t="s">
        <v>524</v>
      </c>
      <c r="G192" s="9" t="s">
        <v>516</v>
      </c>
      <c r="H192" s="9" t="s">
        <v>47</v>
      </c>
      <c r="I192" s="9" t="s">
        <v>530</v>
      </c>
      <c r="J192" s="9" t="s">
        <v>531</v>
      </c>
      <c r="K192" s="9" t="s">
        <v>533</v>
      </c>
      <c r="L192" s="10" t="s">
        <v>533</v>
      </c>
      <c r="M192" s="9" t="s">
        <v>51</v>
      </c>
      <c r="N192" s="9">
        <v>280</v>
      </c>
      <c r="O192" s="9">
        <v>100</v>
      </c>
      <c r="P192" s="9">
        <v>70</v>
      </c>
      <c r="Q192" s="9">
        <v>170</v>
      </c>
      <c r="R192" s="9">
        <v>0.5</v>
      </c>
      <c r="S192" s="9">
        <v>-3.3499150000000002</v>
      </c>
      <c r="T192" s="9">
        <v>114.321776</v>
      </c>
      <c r="U192" s="9" t="s">
        <v>52</v>
      </c>
      <c r="V192" s="11" t="s">
        <v>528</v>
      </c>
      <c r="W192" s="11"/>
      <c r="X192" s="11"/>
      <c r="Y192" s="11">
        <f>VLOOKUP(L192,'[1]singkron data'!D:H,5,FALSE)</f>
        <v>0</v>
      </c>
      <c r="Z192" s="11">
        <f>VLOOKUP(L192,'[1]singkron data'!D:I,6,FALSE)</f>
        <v>0</v>
      </c>
      <c r="AA192" s="11" t="s">
        <v>529</v>
      </c>
      <c r="AB192" s="11" t="s">
        <v>54</v>
      </c>
      <c r="AC192" s="11" t="s">
        <v>322</v>
      </c>
      <c r="AD192" s="11" t="str">
        <f>VLOOKUP(L192,'[1]data 1129'!F:O,10,FALSE)</f>
        <v>Tahap III 166</v>
      </c>
      <c r="AE192" s="11">
        <f>VLOOKUP(L192,'[1]singkron data'!D:P,13,FALSE)</f>
        <v>0</v>
      </c>
      <c r="AF192" s="11"/>
      <c r="AG192" s="11" t="e">
        <f>VLOOKUP(L192,'[1]update kontrak'!E:K,6,FALSE)</f>
        <v>#N/A</v>
      </c>
      <c r="AH192" s="11" t="e">
        <f>VLOOKUP(L192,'[1]update kontrak'!E:K,7,FALSE)</f>
        <v>#N/A</v>
      </c>
      <c r="AI192" s="11"/>
      <c r="AJ192" s="11" t="str">
        <f>VLOOKUP(L192,[1]rekap!D:M,1,FALSE)</f>
        <v>Sei Teras</v>
      </c>
      <c r="AK192" s="11" t="str">
        <f>VLOOKUP(L192,'[1]singkron data'!D:E,2,FALSE)</f>
        <v>CV. Davindo Putra Perkasa</v>
      </c>
      <c r="AL192" s="11" t="str">
        <f>VLOOKUP(L192,'[1]update 521'!D:D,1,FALSE)</f>
        <v>Sei Teras</v>
      </c>
      <c r="AM192" s="11" t="s">
        <v>96</v>
      </c>
      <c r="AN192" s="11" t="e">
        <f>VLOOKUP(L192,[1]Sheet19!E:L,8,FALSE)</f>
        <v>#N/A</v>
      </c>
      <c r="AO192" s="11" t="e">
        <f>VLOOKUP(L192,[1]Sheet19!E:K,7,FALSE)</f>
        <v>#N/A</v>
      </c>
      <c r="AP192" s="12"/>
    </row>
    <row r="193" spans="1:42" ht="15" x14ac:dyDescent="0.2">
      <c r="A193" s="8" t="s">
        <v>42</v>
      </c>
      <c r="B193" s="9" t="s">
        <v>43</v>
      </c>
      <c r="C193" s="9">
        <v>222</v>
      </c>
      <c r="D193" s="9" t="s">
        <v>514</v>
      </c>
      <c r="E193" s="9">
        <v>8</v>
      </c>
      <c r="F193" s="9" t="s">
        <v>524</v>
      </c>
      <c r="G193" s="9" t="s">
        <v>516</v>
      </c>
      <c r="H193" s="9" t="s">
        <v>47</v>
      </c>
      <c r="I193" s="9" t="s">
        <v>525</v>
      </c>
      <c r="J193" s="9" t="s">
        <v>526</v>
      </c>
      <c r="K193" s="9" t="s">
        <v>534</v>
      </c>
      <c r="L193" s="10" t="s">
        <v>534</v>
      </c>
      <c r="M193" s="9" t="s">
        <v>51</v>
      </c>
      <c r="N193" s="9">
        <v>414</v>
      </c>
      <c r="O193" s="9" t="s">
        <v>72</v>
      </c>
      <c r="P193" s="9">
        <v>258</v>
      </c>
      <c r="Q193" s="9">
        <v>258</v>
      </c>
      <c r="R193" s="9">
        <v>0.28999999999999998</v>
      </c>
      <c r="S193" s="9">
        <v>-3.300446</v>
      </c>
      <c r="T193" s="9">
        <v>114.066102</v>
      </c>
      <c r="U193" s="9" t="s">
        <v>52</v>
      </c>
      <c r="V193" s="11" t="s">
        <v>528</v>
      </c>
      <c r="W193" s="11"/>
      <c r="X193" s="11"/>
      <c r="Y193" s="11">
        <f>VLOOKUP(L193,'[1]singkron data'!D:H,5,FALSE)</f>
        <v>0</v>
      </c>
      <c r="Z193" s="11">
        <f>VLOOKUP(L193,'[1]singkron data'!D:I,6,FALSE)</f>
        <v>0</v>
      </c>
      <c r="AA193" s="11" t="s">
        <v>529</v>
      </c>
      <c r="AB193" s="11" t="s">
        <v>54</v>
      </c>
      <c r="AC193" s="11" t="s">
        <v>322</v>
      </c>
      <c r="AD193" s="11" t="str">
        <f>VLOOKUP(L193,'[1]data 1129'!F:O,10,FALSE)</f>
        <v>Tahap IV 200</v>
      </c>
      <c r="AE193" s="11">
        <f>VLOOKUP(L193,'[1]singkron data'!D:P,13,FALSE)</f>
        <v>0</v>
      </c>
      <c r="AF193" s="11" t="s">
        <v>55</v>
      </c>
      <c r="AG193" s="11" t="e">
        <f>VLOOKUP(L193,'[1]update kontrak'!E:K,6,FALSE)</f>
        <v>#N/A</v>
      </c>
      <c r="AH193" s="11" t="e">
        <f>VLOOKUP(L193,'[1]update kontrak'!E:K,7,FALSE)</f>
        <v>#N/A</v>
      </c>
      <c r="AI193" s="11"/>
      <c r="AJ193" s="11" t="str">
        <f>VLOOKUP(L193,[1]rekap!D:M,1,FALSE)</f>
        <v>Papuyu I Sei. Pasanan</v>
      </c>
      <c r="AK193" s="11" t="str">
        <f>VLOOKUP(L193,'[1]singkron data'!D:E,2,FALSE)</f>
        <v>PT. ............</v>
      </c>
      <c r="AL193" s="11" t="str">
        <f>VLOOKUP(L193,'[1]update 521'!D:D,1,FALSE)</f>
        <v>Papuyu I Sei. Pasanan</v>
      </c>
      <c r="AM193" s="11" t="s">
        <v>96</v>
      </c>
      <c r="AN193" s="11" t="e">
        <f>VLOOKUP(L193,[1]Sheet19!E:L,8,FALSE)</f>
        <v>#N/A</v>
      </c>
      <c r="AO193" s="11" t="e">
        <f>VLOOKUP(L193,[1]Sheet19!E:K,7,FALSE)</f>
        <v>#N/A</v>
      </c>
      <c r="AP193" s="12"/>
    </row>
    <row r="194" spans="1:42" ht="15" x14ac:dyDescent="0.2">
      <c r="A194" s="8" t="s">
        <v>42</v>
      </c>
      <c r="B194" s="9" t="s">
        <v>43</v>
      </c>
      <c r="C194" s="9">
        <v>223</v>
      </c>
      <c r="D194" s="9" t="s">
        <v>514</v>
      </c>
      <c r="E194" s="9">
        <v>9</v>
      </c>
      <c r="F194" s="9" t="s">
        <v>535</v>
      </c>
      <c r="G194" s="9" t="s">
        <v>516</v>
      </c>
      <c r="H194" s="9" t="s">
        <v>47</v>
      </c>
      <c r="I194" s="9" t="s">
        <v>536</v>
      </c>
      <c r="J194" s="9" t="s">
        <v>537</v>
      </c>
      <c r="K194" s="9" t="s">
        <v>538</v>
      </c>
      <c r="L194" s="10" t="s">
        <v>538</v>
      </c>
      <c r="M194" s="9" t="s">
        <v>51</v>
      </c>
      <c r="N194" s="9">
        <v>165</v>
      </c>
      <c r="O194" s="9">
        <v>15</v>
      </c>
      <c r="P194" s="9">
        <v>150</v>
      </c>
      <c r="Q194" s="9">
        <v>165</v>
      </c>
      <c r="R194" s="9">
        <v>1.2</v>
      </c>
      <c r="S194" s="9">
        <v>-2.2680722000000002</v>
      </c>
      <c r="T194" s="9">
        <v>111.4531111</v>
      </c>
      <c r="U194" s="9" t="s">
        <v>52</v>
      </c>
      <c r="V194" s="11" t="str">
        <f>VLOOKUP(L194,'[1]singkron data'!D:E,2,FALSE)</f>
        <v>PT. Borneo Mitra Strategis</v>
      </c>
      <c r="W194" s="11"/>
      <c r="X194" s="11"/>
      <c r="Y194" s="11">
        <f>VLOOKUP(L194,'[1]singkron data'!D:H,5,FALSE)</f>
        <v>0</v>
      </c>
      <c r="Z194" s="11">
        <f>VLOOKUP(L194,'[1]singkron data'!D:I,6,FALSE)</f>
        <v>0</v>
      </c>
      <c r="AA194" s="11" t="str">
        <f>VLOOKUP(L194,'[1]singkron data'!D:L,9,FALSE)</f>
        <v>081293305027/iqbal</v>
      </c>
      <c r="AB194" s="11" t="s">
        <v>54</v>
      </c>
      <c r="AC194" s="11" t="str">
        <f>VLOOKUP(L194,'[1]singkron data'!D:M,10,FALSE)</f>
        <v>Iqbal/AM</v>
      </c>
      <c r="AD194" s="11" t="str">
        <f>VLOOKUP(L194,'[1]data 1129'!F:O,10,FALSE)</f>
        <v>Tahap III 166</v>
      </c>
      <c r="AE194" s="11">
        <f>VLOOKUP(L194,'[1]singkron data'!D:P,13,FALSE)</f>
        <v>0</v>
      </c>
      <c r="AF194" s="11"/>
      <c r="AG194" s="11" t="e">
        <f>VLOOKUP(L194,'[1]update kontrak'!E:K,6,FALSE)</f>
        <v>#N/A</v>
      </c>
      <c r="AH194" s="11" t="e">
        <f>VLOOKUP(L194,'[1]update kontrak'!E:K,7,FALSE)</f>
        <v>#N/A</v>
      </c>
      <c r="AI194" s="11"/>
      <c r="AJ194" s="11" t="str">
        <f>VLOOKUP(L194,[1]rekap!D:M,1,FALSE)</f>
        <v>Batu Kotam</v>
      </c>
      <c r="AK194" s="11" t="str">
        <f>VLOOKUP(L194,'[1]singkron data'!D:E,2,FALSE)</f>
        <v>PT. Borneo Mitra Strategis</v>
      </c>
      <c r="AL194" s="11" t="str">
        <f>VLOOKUP(L194,'[1]update 521'!D:D,1,FALSE)</f>
        <v>Batu Kotam</v>
      </c>
      <c r="AM194" s="11" t="s">
        <v>96</v>
      </c>
      <c r="AN194" s="11" t="e">
        <f>VLOOKUP(L194,[1]Sheet19!E:L,8,FALSE)</f>
        <v>#N/A</v>
      </c>
      <c r="AO194" s="11" t="e">
        <f>VLOOKUP(L194,[1]Sheet19!E:K,7,FALSE)</f>
        <v>#N/A</v>
      </c>
      <c r="AP194" s="12"/>
    </row>
    <row r="195" spans="1:42" ht="15" x14ac:dyDescent="0.2">
      <c r="A195" s="8" t="s">
        <v>42</v>
      </c>
      <c r="B195" s="9" t="s">
        <v>43</v>
      </c>
      <c r="C195" s="9">
        <v>224</v>
      </c>
      <c r="D195" s="9" t="s">
        <v>514</v>
      </c>
      <c r="E195" s="9">
        <v>10</v>
      </c>
      <c r="F195" s="9" t="s">
        <v>539</v>
      </c>
      <c r="G195" s="9" t="s">
        <v>540</v>
      </c>
      <c r="H195" s="9" t="s">
        <v>47</v>
      </c>
      <c r="I195" s="9" t="s">
        <v>541</v>
      </c>
      <c r="J195" s="9" t="s">
        <v>542</v>
      </c>
      <c r="K195" s="9" t="s">
        <v>539</v>
      </c>
      <c r="L195" s="10" t="s">
        <v>539</v>
      </c>
      <c r="M195" s="9" t="s">
        <v>65</v>
      </c>
      <c r="N195" s="9">
        <v>131</v>
      </c>
      <c r="O195" s="9">
        <v>23</v>
      </c>
      <c r="P195" s="9">
        <v>108</v>
      </c>
      <c r="Q195" s="9">
        <v>131</v>
      </c>
      <c r="R195" s="9">
        <v>0.79</v>
      </c>
      <c r="S195" s="9">
        <v>-3.6179443999999998</v>
      </c>
      <c r="T195" s="9">
        <v>115.8888056</v>
      </c>
      <c r="U195" s="9" t="s">
        <v>52</v>
      </c>
      <c r="V195" s="11" t="str">
        <f>VLOOKUP(L195,'[1]singkron data'!D:E,2,FALSE)</f>
        <v>PT. Cita Prasada Konstruksi</v>
      </c>
      <c r="W195" s="13">
        <f>VLOOKUP(L195,'[1]update tim 2'!D:F,3,FALSE)</f>
        <v>10477480000</v>
      </c>
      <c r="X195" s="11" t="s">
        <v>55</v>
      </c>
      <c r="Y195" s="11" t="str">
        <f>VLOOKUP(L195,'[1]singkron data'!D:H,5,FALSE)</f>
        <v>Tanah Bumbu</v>
      </c>
      <c r="Z195" s="11" t="str">
        <f>VLOOKUP(L195,'[1]singkron data'!D:I,6,FALSE)</f>
        <v>Online</v>
      </c>
      <c r="AA195" s="11" t="str">
        <f>VLOOKUP(L195,'[1]singkron data'!D:L,9,FALSE)</f>
        <v>082141344885/ Reika</v>
      </c>
      <c r="AB195" s="11" t="s">
        <v>54</v>
      </c>
      <c r="AC195" s="11" t="s">
        <v>520</v>
      </c>
      <c r="AD195" s="11" t="str">
        <f>VLOOKUP(L195,'[1]data 1129'!F:O,10,FALSE)</f>
        <v>Tahap III 166</v>
      </c>
      <c r="AE195" s="11">
        <f>VLOOKUP(L195,'[1]singkron data'!D:P,13,FALSE)</f>
        <v>0</v>
      </c>
      <c r="AF195" s="11" t="s">
        <v>55</v>
      </c>
      <c r="AG195" s="11" t="e">
        <f>VLOOKUP(L195,'[1]update kontrak'!E:K,6,FALSE)</f>
        <v>#N/A</v>
      </c>
      <c r="AH195" s="11" t="e">
        <f>VLOOKUP(L195,'[1]update kontrak'!E:K,7,FALSE)</f>
        <v>#N/A</v>
      </c>
      <c r="AI195" s="11"/>
      <c r="AJ195" s="11" t="str">
        <f>VLOOKUP(L195,[1]rekap!D:M,1,FALSE)</f>
        <v>Beringin</v>
      </c>
      <c r="AK195" s="11" t="str">
        <f>VLOOKUP(L195,'[1]singkron data'!D:E,2,FALSE)</f>
        <v>PT. Cita Prasada Konstruksi</v>
      </c>
      <c r="AL195" s="11" t="str">
        <f>VLOOKUP(L195,'[1]update 521'!D:D,1,FALSE)</f>
        <v>Beringin</v>
      </c>
      <c r="AM195" s="11" t="s">
        <v>57</v>
      </c>
      <c r="AN195" s="11" t="e">
        <f>VLOOKUP(L195,[1]Sheet19!E:L,8,FALSE)</f>
        <v>#N/A</v>
      </c>
      <c r="AO195" s="11" t="s">
        <v>58</v>
      </c>
      <c r="AP195" s="12"/>
    </row>
    <row r="196" spans="1:42" ht="15" x14ac:dyDescent="0.2">
      <c r="A196" s="8" t="s">
        <v>42</v>
      </c>
      <c r="B196" s="9" t="s">
        <v>43</v>
      </c>
      <c r="C196" s="9">
        <v>225</v>
      </c>
      <c r="D196" s="9" t="s">
        <v>514</v>
      </c>
      <c r="E196" s="9">
        <v>11</v>
      </c>
      <c r="F196" s="9" t="s">
        <v>539</v>
      </c>
      <c r="G196" s="9" t="s">
        <v>540</v>
      </c>
      <c r="H196" s="9" t="s">
        <v>47</v>
      </c>
      <c r="I196" s="9" t="s">
        <v>541</v>
      </c>
      <c r="J196" s="9" t="s">
        <v>542</v>
      </c>
      <c r="K196" s="9" t="s">
        <v>543</v>
      </c>
      <c r="L196" s="10" t="s">
        <v>543</v>
      </c>
      <c r="M196" s="9" t="s">
        <v>51</v>
      </c>
      <c r="N196" s="9">
        <v>113</v>
      </c>
      <c r="O196" s="9">
        <v>40</v>
      </c>
      <c r="P196" s="9">
        <v>95</v>
      </c>
      <c r="Q196" s="9">
        <v>135</v>
      </c>
      <c r="R196" s="9">
        <v>1.33</v>
      </c>
      <c r="S196" s="9">
        <v>-3.5617123999999998</v>
      </c>
      <c r="T196" s="9">
        <v>115.9889979</v>
      </c>
      <c r="U196" s="9" t="s">
        <v>52</v>
      </c>
      <c r="V196" s="11" t="str">
        <f>VLOOKUP(L196,'[1]singkron data'!D:E,2,FALSE)</f>
        <v>CV. Andalan Putra Bone Perkasa</v>
      </c>
      <c r="W196" s="13">
        <f>VLOOKUP(L196,'[1]update tim 2'!D:F,3,FALSE)</f>
        <v>5125894000</v>
      </c>
      <c r="X196" s="11" t="s">
        <v>55</v>
      </c>
      <c r="Y196" s="11" t="str">
        <f>VLOOKUP(L196,'[1]singkron data'!D:H,5,FALSE)</f>
        <v>Tanah Bumbu</v>
      </c>
      <c r="Z196" s="11" t="str">
        <f>VLOOKUP(L196,'[1]singkron data'!D:I,6,FALSE)</f>
        <v>Online</v>
      </c>
      <c r="AA196" s="11">
        <f>VLOOKUP(L196,'[1]singkron data'!D:L,9,FALSE)</f>
        <v>81345167215</v>
      </c>
      <c r="AB196" s="11" t="s">
        <v>54</v>
      </c>
      <c r="AC196" s="11" t="str">
        <f>VLOOKUP(L196,'[1]singkron data'!D:M,10,FALSE)</f>
        <v>St</v>
      </c>
      <c r="AD196" s="11" t="str">
        <f>VLOOKUP(L196,'[1]data 1129'!F:O,10,FALSE)</f>
        <v>Tahap III 166</v>
      </c>
      <c r="AE196" s="11">
        <f>VLOOKUP(L196,'[1]singkron data'!D:P,13,FALSE)</f>
        <v>0</v>
      </c>
      <c r="AF196" s="11" t="s">
        <v>55</v>
      </c>
      <c r="AG196" s="11" t="e">
        <f>VLOOKUP(L196,'[1]update kontrak'!E:K,6,FALSE)</f>
        <v>#N/A</v>
      </c>
      <c r="AH196" s="11" t="e">
        <f>VLOOKUP(L196,'[1]update kontrak'!E:K,7,FALSE)</f>
        <v>#N/A</v>
      </c>
      <c r="AI196" s="11"/>
      <c r="AJ196" s="11" t="str">
        <f>VLOOKUP(L196,[1]rekap!D:M,1,FALSE)</f>
        <v>Muara Pagatan</v>
      </c>
      <c r="AK196" s="11" t="str">
        <f>VLOOKUP(L196,'[1]singkron data'!D:E,2,FALSE)</f>
        <v>CV. Andalan Putra Bone Perkasa</v>
      </c>
      <c r="AL196" s="11" t="str">
        <f>VLOOKUP(L196,'[1]update 521'!D:D,1,FALSE)</f>
        <v>Muara Pagatan</v>
      </c>
      <c r="AM196" s="11" t="s">
        <v>57</v>
      </c>
      <c r="AN196" s="11" t="e">
        <f>VLOOKUP(L196,[1]Sheet19!E:L,8,FALSE)</f>
        <v>#N/A</v>
      </c>
      <c r="AO196" s="11" t="s">
        <v>58</v>
      </c>
      <c r="AP196" s="12"/>
    </row>
    <row r="197" spans="1:42" ht="15" x14ac:dyDescent="0.2">
      <c r="A197" s="8" t="s">
        <v>42</v>
      </c>
      <c r="B197" s="9" t="s">
        <v>43</v>
      </c>
      <c r="C197" s="9">
        <v>226</v>
      </c>
      <c r="D197" s="9" t="s">
        <v>514</v>
      </c>
      <c r="E197" s="9">
        <v>12</v>
      </c>
      <c r="F197" s="9" t="s">
        <v>544</v>
      </c>
      <c r="G197" s="9" t="s">
        <v>545</v>
      </c>
      <c r="H197" s="9" t="s">
        <v>47</v>
      </c>
      <c r="I197" s="9" t="s">
        <v>546</v>
      </c>
      <c r="J197" s="9" t="s">
        <v>547</v>
      </c>
      <c r="K197" s="9" t="s">
        <v>547</v>
      </c>
      <c r="L197" s="10" t="s">
        <v>547</v>
      </c>
      <c r="M197" s="9" t="s">
        <v>65</v>
      </c>
      <c r="N197" s="9">
        <v>190</v>
      </c>
      <c r="O197" s="9" t="s">
        <v>72</v>
      </c>
      <c r="P197" s="9">
        <v>70</v>
      </c>
      <c r="Q197" s="9">
        <v>70</v>
      </c>
      <c r="R197" s="9">
        <v>0.92</v>
      </c>
      <c r="S197" s="9">
        <v>1.263118</v>
      </c>
      <c r="T197" s="9">
        <v>118.68759799999999</v>
      </c>
      <c r="U197" s="9" t="s">
        <v>52</v>
      </c>
      <c r="V197" s="11" t="str">
        <f>VLOOKUP(L197,'[1]singkron data'!D:E,2,FALSE)</f>
        <v>PT. Manggusu Waru Nusantara</v>
      </c>
      <c r="W197" s="11"/>
      <c r="X197" s="11"/>
      <c r="Y197" s="11" t="str">
        <f>VLOOKUP(L197,'[1]singkron data'!D:H,5,FALSE)</f>
        <v>Kendari</v>
      </c>
      <c r="Z197" s="11" t="str">
        <f>VLOOKUP(L197,'[1]singkron data'!D:I,6,FALSE)</f>
        <v>Online</v>
      </c>
      <c r="AA197" s="11" t="str">
        <f>VLOOKUP(L197,'[1]singkron data'!D:L,9,FALSE)</f>
        <v>TK- 081802426770/hendar</v>
      </c>
      <c r="AB197" s="11" t="s">
        <v>54</v>
      </c>
      <c r="AC197" s="11" t="str">
        <f>VLOOKUP(L197,'[1]singkron data'!D:M,10,FALSE)</f>
        <v>TK</v>
      </c>
      <c r="AD197" s="11" t="str">
        <f>VLOOKUP(L197,'[1]data 1129'!F:O,10,FALSE)</f>
        <v>Tahap II 146</v>
      </c>
      <c r="AE197" s="11">
        <f>VLOOKUP(L197,'[1]singkron data'!D:P,13,FALSE)</f>
        <v>0</v>
      </c>
      <c r="AF197" s="11" t="s">
        <v>55</v>
      </c>
      <c r="AG197" s="11" t="e">
        <f>VLOOKUP(L197,'[1]update kontrak'!E:K,6,FALSE)</f>
        <v>#N/A</v>
      </c>
      <c r="AH197" s="11" t="e">
        <f>VLOOKUP(L197,'[1]update kontrak'!E:K,7,FALSE)</f>
        <v>#N/A</v>
      </c>
      <c r="AI197" s="11"/>
      <c r="AJ197" s="11" t="str">
        <f>VLOOKUP(L197,[1]rekap!D:M,1,FALSE)</f>
        <v>Biduk-Biduk</v>
      </c>
      <c r="AK197" s="11" t="str">
        <f>VLOOKUP(L197,'[1]singkron data'!D:E,2,FALSE)</f>
        <v>PT. Manggusu Waru Nusantara</v>
      </c>
      <c r="AL197" s="11" t="str">
        <f>VLOOKUP(L197,'[1]update 521'!D:D,1,FALSE)</f>
        <v>Biduk-Biduk</v>
      </c>
      <c r="AM197" s="11" t="s">
        <v>96</v>
      </c>
      <c r="AN197" s="11" t="e">
        <f>VLOOKUP(L197,[1]Sheet19!E:L,8,FALSE)</f>
        <v>#N/A</v>
      </c>
      <c r="AO197" s="11" t="e">
        <f>VLOOKUP(L197,[1]Sheet19!E:K,7,FALSE)</f>
        <v>#N/A</v>
      </c>
      <c r="AP197" s="12"/>
    </row>
    <row r="198" spans="1:42" ht="15" x14ac:dyDescent="0.2">
      <c r="A198" s="8" t="s">
        <v>42</v>
      </c>
      <c r="B198" s="9" t="s">
        <v>43</v>
      </c>
      <c r="C198" s="9">
        <v>227</v>
      </c>
      <c r="D198" s="9" t="s">
        <v>514</v>
      </c>
      <c r="E198" s="9">
        <v>13</v>
      </c>
      <c r="F198" s="9" t="s">
        <v>544</v>
      </c>
      <c r="G198" s="9" t="s">
        <v>545</v>
      </c>
      <c r="H198" s="9" t="s">
        <v>47</v>
      </c>
      <c r="I198" s="9" t="s">
        <v>546</v>
      </c>
      <c r="J198" s="9" t="s">
        <v>548</v>
      </c>
      <c r="K198" s="9" t="s">
        <v>549</v>
      </c>
      <c r="L198" s="10" t="s">
        <v>549</v>
      </c>
      <c r="M198" s="9" t="s">
        <v>51</v>
      </c>
      <c r="N198" s="9">
        <v>116</v>
      </c>
      <c r="O198" s="9" t="s">
        <v>72</v>
      </c>
      <c r="P198" s="9">
        <v>103</v>
      </c>
      <c r="Q198" s="9">
        <v>103</v>
      </c>
      <c r="R198" s="9">
        <v>0.96</v>
      </c>
      <c r="S198" s="9">
        <v>1.8803890000000001</v>
      </c>
      <c r="T198" s="9">
        <v>117.817556</v>
      </c>
      <c r="U198" s="9" t="s">
        <v>52</v>
      </c>
      <c r="V198" s="11" t="str">
        <f>VLOOKUP(L198,'[1]singkron data'!D:E,2,FALSE)</f>
        <v>PT. Manggusu Waru Nusantara</v>
      </c>
      <c r="W198" s="11"/>
      <c r="X198" s="11"/>
      <c r="Y198" s="11" t="str">
        <f>VLOOKUP(L198,'[1]singkron data'!D:H,5,FALSE)</f>
        <v>Kendari</v>
      </c>
      <c r="Z198" s="11" t="str">
        <f>VLOOKUP(L198,'[1]singkron data'!D:I,6,FALSE)</f>
        <v>Online</v>
      </c>
      <c r="AA198" s="11" t="str">
        <f>VLOOKUP(L198,'[1]singkron data'!D:L,9,FALSE)</f>
        <v>TK- 081802426770/hendar</v>
      </c>
      <c r="AB198" s="11" t="s">
        <v>54</v>
      </c>
      <c r="AC198" s="11" t="str">
        <f>VLOOKUP(L198,'[1]singkron data'!D:M,10,FALSE)</f>
        <v>TK</v>
      </c>
      <c r="AD198" s="11" t="str">
        <f>VLOOKUP(L198,'[1]data 1129'!F:O,10,FALSE)</f>
        <v>Tahap II 146</v>
      </c>
      <c r="AE198" s="11">
        <f>VLOOKUP(L198,'[1]singkron data'!D:P,13,FALSE)</f>
        <v>0</v>
      </c>
      <c r="AF198" s="11" t="s">
        <v>55</v>
      </c>
      <c r="AG198" s="11" t="e">
        <f>VLOOKUP(L198,'[1]update kontrak'!E:K,6,FALSE)</f>
        <v>#N/A</v>
      </c>
      <c r="AH198" s="11" t="e">
        <f>VLOOKUP(L198,'[1]update kontrak'!E:K,7,FALSE)</f>
        <v>#N/A</v>
      </c>
      <c r="AI198" s="11"/>
      <c r="AJ198" s="11" t="str">
        <f>VLOOKUP(L198,[1]rekap!D:M,1,FALSE)</f>
        <v>Buyung-Buyung</v>
      </c>
      <c r="AK198" s="11" t="str">
        <f>VLOOKUP(L198,'[1]singkron data'!D:E,2,FALSE)</f>
        <v>PT. Manggusu Waru Nusantara</v>
      </c>
      <c r="AL198" s="11" t="str">
        <f>VLOOKUP(L198,'[1]update 521'!D:D,1,FALSE)</f>
        <v>Buyung-Buyung</v>
      </c>
      <c r="AM198" s="11" t="s">
        <v>96</v>
      </c>
      <c r="AN198" s="11" t="e">
        <f>VLOOKUP(L198,[1]Sheet19!E:L,8,FALSE)</f>
        <v>#N/A</v>
      </c>
      <c r="AO198" s="11" t="e">
        <f>VLOOKUP(L198,[1]Sheet19!E:K,7,FALSE)</f>
        <v>#N/A</v>
      </c>
      <c r="AP198" s="12"/>
    </row>
    <row r="199" spans="1:42" ht="15" x14ac:dyDescent="0.2">
      <c r="A199" s="8" t="s">
        <v>42</v>
      </c>
      <c r="B199" s="9" t="s">
        <v>43</v>
      </c>
      <c r="C199" s="9">
        <v>228</v>
      </c>
      <c r="D199" s="9" t="s">
        <v>514</v>
      </c>
      <c r="E199" s="9">
        <v>14</v>
      </c>
      <c r="F199" s="9" t="s">
        <v>550</v>
      </c>
      <c r="G199" s="9" t="s">
        <v>551</v>
      </c>
      <c r="H199" s="9" t="s">
        <v>47</v>
      </c>
      <c r="I199" s="9" t="s">
        <v>552</v>
      </c>
      <c r="J199" s="9" t="s">
        <v>553</v>
      </c>
      <c r="K199" s="9" t="s">
        <v>554</v>
      </c>
      <c r="L199" s="9" t="s">
        <v>554</v>
      </c>
      <c r="M199" s="9" t="s">
        <v>51</v>
      </c>
      <c r="N199" s="9">
        <v>495</v>
      </c>
      <c r="O199" s="9">
        <v>20</v>
      </c>
      <c r="P199" s="9">
        <v>274</v>
      </c>
      <c r="Q199" s="9">
        <v>294</v>
      </c>
      <c r="R199" s="9">
        <v>2.16</v>
      </c>
      <c r="S199" s="9">
        <v>2.604368</v>
      </c>
      <c r="T199" s="9">
        <v>117.815304</v>
      </c>
      <c r="U199" s="9" t="s">
        <v>52</v>
      </c>
      <c r="V199" s="11" t="s">
        <v>555</v>
      </c>
      <c r="W199" s="11"/>
      <c r="X199" s="11"/>
      <c r="Y199" s="11">
        <f>VLOOKUP(L199,'[1]singkron data'!D:H,5,FALSE)</f>
        <v>0</v>
      </c>
      <c r="Z199" s="11">
        <f>VLOOKUP(L199,'[1]singkron data'!D:I,6,FALSE)</f>
        <v>0</v>
      </c>
      <c r="AA199" s="11" t="s">
        <v>556</v>
      </c>
      <c r="AB199" s="11" t="s">
        <v>54</v>
      </c>
      <c r="AC199" s="11" t="s">
        <v>557</v>
      </c>
      <c r="AD199" s="11" t="str">
        <f>VLOOKUP(L199,'[1]data 1129'!F:O,10,FALSE)</f>
        <v>Tahap III 166</v>
      </c>
      <c r="AE199" s="11">
        <f>VLOOKUP(L199,'[1]singkron data'!D:P,13,FALSE)</f>
        <v>0</v>
      </c>
      <c r="AF199" s="11"/>
      <c r="AG199" s="11" t="e">
        <f>VLOOKUP(L199,'[1]update kontrak'!E:K,6,FALSE)</f>
        <v>#N/A</v>
      </c>
      <c r="AH199" s="11" t="e">
        <f>VLOOKUP(L199,'[1]update kontrak'!E:K,7,FALSE)</f>
        <v>#N/A</v>
      </c>
      <c r="AI199" s="11"/>
      <c r="AJ199" s="11" t="str">
        <f>VLOOKUP(L199,[1]rekap!D:M,1,FALSE)</f>
        <v>Tanah Kuning</v>
      </c>
      <c r="AK199" s="11">
        <f>VLOOKUP(L199,'[1]singkron data'!D:E,2,FALSE)</f>
        <v>0</v>
      </c>
      <c r="AL199" s="11" t="str">
        <f>VLOOKUP(L199,'[1]update 521'!D:D,1,FALSE)</f>
        <v>Tanah Kuning</v>
      </c>
      <c r="AM199" s="11" t="s">
        <v>96</v>
      </c>
      <c r="AN199" s="11" t="e">
        <f>VLOOKUP(L199,[1]Sheet19!E:L,8,FALSE)</f>
        <v>#N/A</v>
      </c>
      <c r="AO199" s="11" t="e">
        <f>VLOOKUP(L199,[1]Sheet19!E:K,7,FALSE)</f>
        <v>#N/A</v>
      </c>
      <c r="AP199" s="12"/>
    </row>
    <row r="200" spans="1:42" ht="15" x14ac:dyDescent="0.2">
      <c r="A200" s="8" t="s">
        <v>42</v>
      </c>
      <c r="B200" s="9" t="s">
        <v>43</v>
      </c>
      <c r="C200" s="9">
        <v>229</v>
      </c>
      <c r="D200" s="9" t="s">
        <v>514</v>
      </c>
      <c r="E200" s="9">
        <v>15</v>
      </c>
      <c r="F200" s="9" t="s">
        <v>550</v>
      </c>
      <c r="G200" s="9" t="s">
        <v>551</v>
      </c>
      <c r="H200" s="9" t="s">
        <v>47</v>
      </c>
      <c r="I200" s="9" t="s">
        <v>558</v>
      </c>
      <c r="J200" s="9" t="s">
        <v>559</v>
      </c>
      <c r="K200" s="9" t="s">
        <v>560</v>
      </c>
      <c r="L200" s="9" t="s">
        <v>560</v>
      </c>
      <c r="M200" s="9" t="s">
        <v>51</v>
      </c>
      <c r="N200" s="9">
        <v>80</v>
      </c>
      <c r="O200" s="9" t="s">
        <v>72</v>
      </c>
      <c r="P200" s="9">
        <v>80</v>
      </c>
      <c r="Q200" s="9">
        <v>80</v>
      </c>
      <c r="R200" s="9">
        <v>1</v>
      </c>
      <c r="S200" s="9">
        <v>3.6664180000000002</v>
      </c>
      <c r="T200" s="9">
        <v>117.532507</v>
      </c>
      <c r="U200" s="9" t="s">
        <v>52</v>
      </c>
      <c r="V200" s="11">
        <f>VLOOKUP(L200,'[1]singkron data'!D:E,2,FALSE)</f>
        <v>0</v>
      </c>
      <c r="W200" s="13">
        <f>VLOOKUP(L200,'[1]update tim 2'!D:F,3,FALSE)</f>
        <v>5076394000</v>
      </c>
      <c r="X200" s="11" t="s">
        <v>55</v>
      </c>
      <c r="Y200" s="11">
        <f>VLOOKUP(L200,'[1]singkron data'!D:H,5,FALSE)</f>
        <v>0</v>
      </c>
      <c r="Z200" s="11">
        <f>VLOOKUP(L200,'[1]singkron data'!D:I,6,FALSE)</f>
        <v>0</v>
      </c>
      <c r="AA200" s="11"/>
      <c r="AB200" s="11" t="s">
        <v>54</v>
      </c>
      <c r="AC200" s="11">
        <f>VLOOKUP(L200,'[1]singkron data'!D:M,10,FALSE)</f>
        <v>0</v>
      </c>
      <c r="AD200" s="11" t="str">
        <f>VLOOKUP(L200,'[1]data 1129'!F:O,10,FALSE)</f>
        <v>Tahap III 166</v>
      </c>
      <c r="AE200" s="11">
        <f>VLOOKUP(L200,'[1]singkron data'!D:P,13,FALSE)</f>
        <v>0</v>
      </c>
      <c r="AF200" s="11"/>
      <c r="AG200" s="11" t="e">
        <f>VLOOKUP(L200,'[1]update kontrak'!E:K,6,FALSE)</f>
        <v>#N/A</v>
      </c>
      <c r="AH200" s="11" t="e">
        <f>VLOOKUP(L200,'[1]update kontrak'!E:K,7,FALSE)</f>
        <v>#N/A</v>
      </c>
      <c r="AI200" s="11"/>
      <c r="AJ200" s="11" t="str">
        <f>VLOOKUP(L200,[1]rekap!D:M,1,FALSE)</f>
        <v>Tanah Merah</v>
      </c>
      <c r="AK200" s="11">
        <f>VLOOKUP(L200,'[1]singkron data'!D:E,2,FALSE)</f>
        <v>0</v>
      </c>
      <c r="AL200" s="11" t="str">
        <f>VLOOKUP(L200,'[1]update 521'!D:D,1,FALSE)</f>
        <v>Tanah Merah</v>
      </c>
      <c r="AM200" s="11" t="s">
        <v>57</v>
      </c>
      <c r="AN200" s="11" t="e">
        <f>VLOOKUP(L200,[1]Sheet19!E:L,8,FALSE)</f>
        <v>#N/A</v>
      </c>
      <c r="AO200" s="11" t="s">
        <v>58</v>
      </c>
      <c r="AP200" s="12"/>
    </row>
    <row r="201" spans="1:42" ht="15" x14ac:dyDescent="0.2">
      <c r="A201" s="8" t="s">
        <v>42</v>
      </c>
      <c r="B201" s="9" t="s">
        <v>43</v>
      </c>
      <c r="C201" s="9">
        <v>230</v>
      </c>
      <c r="D201" s="9" t="s">
        <v>514</v>
      </c>
      <c r="E201" s="9">
        <v>16</v>
      </c>
      <c r="F201" s="9" t="s">
        <v>550</v>
      </c>
      <c r="G201" s="9" t="s">
        <v>551</v>
      </c>
      <c r="H201" s="9" t="s">
        <v>47</v>
      </c>
      <c r="I201" s="9" t="s">
        <v>561</v>
      </c>
      <c r="J201" s="9" t="s">
        <v>562</v>
      </c>
      <c r="K201" s="9" t="s">
        <v>563</v>
      </c>
      <c r="L201" s="9" t="s">
        <v>563</v>
      </c>
      <c r="M201" s="9" t="s">
        <v>81</v>
      </c>
      <c r="N201" s="9">
        <v>911</v>
      </c>
      <c r="O201" s="9" t="s">
        <v>72</v>
      </c>
      <c r="P201" s="9">
        <v>523</v>
      </c>
      <c r="Q201" s="9">
        <v>523</v>
      </c>
      <c r="R201" s="9">
        <v>1.1599999999999999</v>
      </c>
      <c r="S201" s="9">
        <v>3.3094739999999998</v>
      </c>
      <c r="T201" s="9">
        <v>117.570111</v>
      </c>
      <c r="U201" s="9" t="s">
        <v>52</v>
      </c>
      <c r="V201" s="11" t="s">
        <v>564</v>
      </c>
      <c r="W201" s="11"/>
      <c r="X201" s="11"/>
      <c r="Y201" s="11">
        <f>VLOOKUP(L201,'[1]singkron data'!D:H,5,FALSE)</f>
        <v>0</v>
      </c>
      <c r="Z201" s="11">
        <f>VLOOKUP(L201,'[1]singkron data'!D:I,6,FALSE)</f>
        <v>0</v>
      </c>
      <c r="AA201" s="11" t="s">
        <v>565</v>
      </c>
      <c r="AB201" s="11" t="s">
        <v>54</v>
      </c>
      <c r="AC201" s="11" t="s">
        <v>566</v>
      </c>
      <c r="AD201" s="11" t="str">
        <f>VLOOKUP(L201,'[1]data 1129'!F:O,10,FALSE)</f>
        <v>Tahap III 166</v>
      </c>
      <c r="AE201" s="11">
        <f>VLOOKUP(L201,'[1]singkron data'!D:P,13,FALSE)</f>
        <v>0</v>
      </c>
      <c r="AF201" s="11"/>
      <c r="AG201" s="11" t="e">
        <f>VLOOKUP(L201,'[1]update kontrak'!E:K,6,FALSE)</f>
        <v>#N/A</v>
      </c>
      <c r="AH201" s="11" t="e">
        <f>VLOOKUP(L201,'[1]update kontrak'!E:K,7,FALSE)</f>
        <v>#N/A</v>
      </c>
      <c r="AI201" s="11"/>
      <c r="AJ201" s="11" t="str">
        <f>VLOOKUP(L201,[1]rekap!D:M,1,FALSE)</f>
        <v>Karang Anyar Pantai</v>
      </c>
      <c r="AK201" s="11" t="str">
        <f>VLOOKUP(L201,'[1]singkron data'!D:E,2,FALSE)</f>
        <v>CV. Davindo Putra Perkasa</v>
      </c>
      <c r="AL201" s="11" t="str">
        <f>VLOOKUP(L201,'[1]update 521'!D:D,1,FALSE)</f>
        <v>Karang Anyar Pantai</v>
      </c>
      <c r="AM201" s="11" t="e">
        <v>#N/A</v>
      </c>
      <c r="AN201" s="11" t="e">
        <f>VLOOKUP(L201,[1]Sheet19!E:L,8,FALSE)</f>
        <v>#N/A</v>
      </c>
      <c r="AO201" s="11" t="e">
        <f>VLOOKUP(L201,[1]Sheet19!E:K,7,FALSE)</f>
        <v>#N/A</v>
      </c>
      <c r="AP201" s="12"/>
    </row>
    <row r="202" spans="1:42" ht="15" x14ac:dyDescent="0.2">
      <c r="A202" s="8" t="s">
        <v>42</v>
      </c>
      <c r="B202" s="9" t="s">
        <v>43</v>
      </c>
      <c r="C202" s="9">
        <v>231</v>
      </c>
      <c r="D202" s="9" t="s">
        <v>514</v>
      </c>
      <c r="E202" s="9">
        <v>17</v>
      </c>
      <c r="F202" s="9" t="s">
        <v>567</v>
      </c>
      <c r="G202" s="9" t="s">
        <v>568</v>
      </c>
      <c r="H202" s="9" t="s">
        <v>47</v>
      </c>
      <c r="I202" s="9" t="s">
        <v>569</v>
      </c>
      <c r="J202" s="9" t="s">
        <v>570</v>
      </c>
      <c r="K202" s="9" t="s">
        <v>567</v>
      </c>
      <c r="L202" s="10" t="s">
        <v>567</v>
      </c>
      <c r="M202" s="9" t="s">
        <v>65</v>
      </c>
      <c r="N202" s="9">
        <v>157</v>
      </c>
      <c r="O202" s="9" t="s">
        <v>72</v>
      </c>
      <c r="P202" s="9">
        <v>257</v>
      </c>
      <c r="Q202" s="9">
        <v>257</v>
      </c>
      <c r="R202" s="9">
        <v>1.2</v>
      </c>
      <c r="S202" s="9">
        <v>0.92092200000000002</v>
      </c>
      <c r="T202" s="9">
        <v>108.96364199999999</v>
      </c>
      <c r="U202" s="9" t="s">
        <v>52</v>
      </c>
      <c r="V202" s="11" t="s">
        <v>571</v>
      </c>
      <c r="W202" s="13">
        <f>VLOOKUP(L202,'[1]update tim 2'!D:F,3,FALSE)</f>
        <v>5289846000</v>
      </c>
      <c r="X202" s="11" t="s">
        <v>55</v>
      </c>
      <c r="Y202" s="11">
        <f>VLOOKUP(L202,'[1]singkron data'!D:H,5,FALSE)</f>
        <v>0</v>
      </c>
      <c r="Z202" s="11">
        <f>VLOOKUP(L202,'[1]singkron data'!D:I,6,FALSE)</f>
        <v>0</v>
      </c>
      <c r="AA202" s="11" t="s">
        <v>572</v>
      </c>
      <c r="AB202" s="11" t="s">
        <v>54</v>
      </c>
      <c r="AC202" s="11" t="s">
        <v>566</v>
      </c>
      <c r="AD202" s="11" t="str">
        <f>VLOOKUP(L202,'[1]data 1129'!F:O,10,FALSE)</f>
        <v>Tahap II 146</v>
      </c>
      <c r="AE202" s="11">
        <f>VLOOKUP(L202,'[1]singkron data'!D:P,13,FALSE)</f>
        <v>0</v>
      </c>
      <c r="AF202" s="11" t="s">
        <v>55</v>
      </c>
      <c r="AG202" s="11" t="e">
        <f>VLOOKUP(L202,'[1]update kontrak'!E:K,6,FALSE)</f>
        <v>#N/A</v>
      </c>
      <c r="AH202" s="11" t="e">
        <f>VLOOKUP(L202,'[1]update kontrak'!E:K,7,FALSE)</f>
        <v>#N/A</v>
      </c>
      <c r="AI202" s="11"/>
      <c r="AJ202" s="11" t="str">
        <f>VLOOKUP(L202,[1]rekap!D:M,1,FALSE)</f>
        <v>Kuala</v>
      </c>
      <c r="AK202" s="11" t="str">
        <f>VLOOKUP(L202,'[1]singkron data'!D:E,2,FALSE)</f>
        <v>PT. Profitindo Primatama Jaya Abadi (Menengah)</v>
      </c>
      <c r="AL202" s="11" t="str">
        <f>VLOOKUP(L202,'[1]update 521'!D:D,1,FALSE)</f>
        <v>Kuala</v>
      </c>
      <c r="AM202" s="11" t="s">
        <v>57</v>
      </c>
      <c r="AN202" s="11" t="e">
        <f>VLOOKUP(L202,[1]Sheet19!E:L,8,FALSE)</f>
        <v>#N/A</v>
      </c>
      <c r="AO202" s="11" t="s">
        <v>58</v>
      </c>
      <c r="AP202" s="12"/>
    </row>
    <row r="203" spans="1:42" ht="15" x14ac:dyDescent="0.2">
      <c r="A203" s="8" t="s">
        <v>42</v>
      </c>
      <c r="B203" s="9" t="s">
        <v>43</v>
      </c>
      <c r="C203" s="9">
        <v>232</v>
      </c>
      <c r="D203" s="9" t="s">
        <v>514</v>
      </c>
      <c r="E203" s="9">
        <v>18</v>
      </c>
      <c r="F203" s="9" t="s">
        <v>567</v>
      </c>
      <c r="G203" s="9" t="s">
        <v>568</v>
      </c>
      <c r="H203" s="9" t="s">
        <v>47</v>
      </c>
      <c r="I203" s="9" t="s">
        <v>573</v>
      </c>
      <c r="J203" s="9" t="s">
        <v>574</v>
      </c>
      <c r="K203" s="9" t="s">
        <v>575</v>
      </c>
      <c r="L203" s="10" t="s">
        <v>575</v>
      </c>
      <c r="M203" s="9" t="s">
        <v>51</v>
      </c>
      <c r="N203" s="9">
        <v>301</v>
      </c>
      <c r="O203" s="9">
        <v>100</v>
      </c>
      <c r="P203" s="9">
        <v>50</v>
      </c>
      <c r="Q203" s="9">
        <v>150</v>
      </c>
      <c r="R203" s="9">
        <v>1.02</v>
      </c>
      <c r="S203" s="9">
        <v>0.74500299999999997</v>
      </c>
      <c r="T203" s="9">
        <v>108.72659</v>
      </c>
      <c r="U203" s="9" t="s">
        <v>52</v>
      </c>
      <c r="V203" s="11" t="s">
        <v>576</v>
      </c>
      <c r="W203" s="11"/>
      <c r="X203" s="11"/>
      <c r="Y203" s="11">
        <f>VLOOKUP(L203,'[1]singkron data'!D:H,5,FALSE)</f>
        <v>0</v>
      </c>
      <c r="Z203" s="11">
        <f>VLOOKUP(L203,'[1]singkron data'!D:I,6,FALSE)</f>
        <v>0</v>
      </c>
      <c r="AA203" s="11" t="s">
        <v>577</v>
      </c>
      <c r="AB203" s="11" t="s">
        <v>54</v>
      </c>
      <c r="AC203" s="11" t="s">
        <v>566</v>
      </c>
      <c r="AD203" s="11" t="str">
        <f>VLOOKUP(L203,'[1]data 1129'!F:O,10,FALSE)</f>
        <v>Tahap IV 200</v>
      </c>
      <c r="AE203" s="11">
        <f>VLOOKUP(L203,'[1]singkron data'!D:P,13,FALSE)</f>
        <v>0</v>
      </c>
      <c r="AF203" s="11"/>
      <c r="AG203" s="11" t="e">
        <f>VLOOKUP(L203,'[1]update kontrak'!E:K,6,FALSE)</f>
        <v>#N/A</v>
      </c>
      <c r="AH203" s="11" t="e">
        <f>VLOOKUP(L203,'[1]update kontrak'!E:K,7,FALSE)</f>
        <v>#N/A</v>
      </c>
      <c r="AI203" s="11"/>
      <c r="AJ203" s="11" t="str">
        <f>VLOOKUP(L203,[1]rekap!D:M,1,FALSE)</f>
        <v>Pulau Lemukutan</v>
      </c>
      <c r="AK203" s="11" t="str">
        <f>VLOOKUP(L203,'[1]singkron data'!D:E,2,FALSE)</f>
        <v>PT. Profitindo Primatama Jaya Abadi (Menengah)</v>
      </c>
      <c r="AL203" s="11" t="str">
        <f>VLOOKUP(L203,'[1]update 521'!D:D,1,FALSE)</f>
        <v>Pulau Lemukutan</v>
      </c>
      <c r="AM203" s="11" t="e">
        <v>#N/A</v>
      </c>
      <c r="AN203" s="11" t="e">
        <f>VLOOKUP(L203,[1]Sheet19!E:L,8,FALSE)</f>
        <v>#N/A</v>
      </c>
      <c r="AO203" s="11" t="e">
        <f>VLOOKUP(L203,[1]Sheet19!E:K,7,FALSE)</f>
        <v>#N/A</v>
      </c>
      <c r="AP203" s="12"/>
    </row>
    <row r="204" spans="1:42" ht="15" x14ac:dyDescent="0.2">
      <c r="A204" s="8" t="s">
        <v>42</v>
      </c>
      <c r="B204" s="9" t="s">
        <v>43</v>
      </c>
      <c r="C204" s="9">
        <v>233</v>
      </c>
      <c r="D204" s="9" t="s">
        <v>514</v>
      </c>
      <c r="E204" s="9">
        <v>19</v>
      </c>
      <c r="F204" s="9" t="s">
        <v>578</v>
      </c>
      <c r="G204" s="9" t="s">
        <v>568</v>
      </c>
      <c r="H204" s="9" t="s">
        <v>47</v>
      </c>
      <c r="I204" s="9" t="s">
        <v>579</v>
      </c>
      <c r="J204" s="9" t="s">
        <v>580</v>
      </c>
      <c r="K204" s="9" t="s">
        <v>581</v>
      </c>
      <c r="L204" s="10" t="s">
        <v>581</v>
      </c>
      <c r="M204" s="9" t="s">
        <v>65</v>
      </c>
      <c r="N204" s="9">
        <v>418</v>
      </c>
      <c r="O204" s="9">
        <v>100</v>
      </c>
      <c r="P204" s="9">
        <v>150</v>
      </c>
      <c r="Q204" s="9">
        <v>250</v>
      </c>
      <c r="R204" s="9">
        <v>2</v>
      </c>
      <c r="S204" s="9">
        <v>-0.44710299999999997</v>
      </c>
      <c r="T204" s="9">
        <v>109.123091</v>
      </c>
      <c r="U204" s="9" t="s">
        <v>52</v>
      </c>
      <c r="V204" s="11" t="s">
        <v>571</v>
      </c>
      <c r="W204" s="13">
        <f>VLOOKUP(L204,'[1]update tim 2'!D:F,3,FALSE)</f>
        <v>7240792000</v>
      </c>
      <c r="X204" s="11" t="s">
        <v>55</v>
      </c>
      <c r="Y204" s="11">
        <f>VLOOKUP(L204,'[1]singkron data'!D:H,5,FALSE)</f>
        <v>0</v>
      </c>
      <c r="Z204" s="11" t="str">
        <f>VLOOKUP(L204,'[1]singkron data'!D:I,6,FALSE)</f>
        <v>Online</v>
      </c>
      <c r="AA204" s="11" t="s">
        <v>572</v>
      </c>
      <c r="AB204" s="11" t="s">
        <v>54</v>
      </c>
      <c r="AC204" s="11" t="s">
        <v>566</v>
      </c>
      <c r="AD204" s="11" t="str">
        <f>VLOOKUP(L204,'[1]data 1129'!F:O,10,FALSE)</f>
        <v>Tahap III 166</v>
      </c>
      <c r="AE204" s="11">
        <f>VLOOKUP(L204,'[1]singkron data'!D:P,13,FALSE)</f>
        <v>0</v>
      </c>
      <c r="AF204" s="11" t="s">
        <v>55</v>
      </c>
      <c r="AG204" s="11" t="e">
        <f>VLOOKUP(L204,'[1]update kontrak'!E:K,6,FALSE)</f>
        <v>#N/A</v>
      </c>
      <c r="AH204" s="11" t="e">
        <f>VLOOKUP(L204,'[1]update kontrak'!E:K,7,FALSE)</f>
        <v>#N/A</v>
      </c>
      <c r="AI204" s="11"/>
      <c r="AJ204" s="11" t="str">
        <f>VLOOKUP(L204,[1]rekap!D:M,1,FALSE)</f>
        <v>Kuala Karang</v>
      </c>
      <c r="AK204" s="11" t="str">
        <f>VLOOKUP(L204,'[1]singkron data'!D:E,2,FALSE)</f>
        <v>PT. Elang Paksinusa</v>
      </c>
      <c r="AL204" s="11" t="str">
        <f>VLOOKUP(L204,'[1]update 521'!D:D,1,FALSE)</f>
        <v>Kuala Karang</v>
      </c>
      <c r="AM204" s="11" t="s">
        <v>57</v>
      </c>
      <c r="AN204" s="11" t="e">
        <f>VLOOKUP(L204,[1]Sheet19!E:L,8,FALSE)</f>
        <v>#N/A</v>
      </c>
      <c r="AO204" s="11" t="s">
        <v>58</v>
      </c>
      <c r="AP204" s="12"/>
    </row>
    <row r="205" spans="1:42" ht="15" x14ac:dyDescent="0.2">
      <c r="A205" s="8" t="s">
        <v>42</v>
      </c>
      <c r="B205" s="9" t="s">
        <v>43</v>
      </c>
      <c r="C205" s="9">
        <v>234</v>
      </c>
      <c r="D205" s="9" t="s">
        <v>514</v>
      </c>
      <c r="E205" s="9">
        <v>20</v>
      </c>
      <c r="F205" s="9" t="s">
        <v>578</v>
      </c>
      <c r="G205" s="9" t="s">
        <v>568</v>
      </c>
      <c r="H205" s="9" t="s">
        <v>47</v>
      </c>
      <c r="I205" s="9" t="s">
        <v>579</v>
      </c>
      <c r="J205" s="9" t="s">
        <v>582</v>
      </c>
      <c r="K205" s="9" t="s">
        <v>583</v>
      </c>
      <c r="L205" s="10" t="s">
        <v>583</v>
      </c>
      <c r="M205" s="9" t="s">
        <v>51</v>
      </c>
      <c r="N205" s="9">
        <v>60</v>
      </c>
      <c r="O205" s="9" t="s">
        <v>72</v>
      </c>
      <c r="P205" s="9">
        <v>60</v>
      </c>
      <c r="Q205" s="9">
        <v>60</v>
      </c>
      <c r="R205" s="9">
        <v>0.4</v>
      </c>
      <c r="S205" s="9">
        <v>-0.67546899999999999</v>
      </c>
      <c r="T205" s="9">
        <v>109.27309</v>
      </c>
      <c r="U205" s="9" t="s">
        <v>52</v>
      </c>
      <c r="V205" s="11" t="s">
        <v>584</v>
      </c>
      <c r="W205" s="13">
        <f>VLOOKUP(L205,'[1]update tim 2'!D:F,3,FALSE)</f>
        <v>3284158000</v>
      </c>
      <c r="X205" s="11" t="s">
        <v>55</v>
      </c>
      <c r="Y205" s="11">
        <f>VLOOKUP(L205,'[1]singkron data'!D:H,5,FALSE)</f>
        <v>0</v>
      </c>
      <c r="Z205" s="11" t="str">
        <f>VLOOKUP(L205,'[1]singkron data'!D:I,6,FALSE)</f>
        <v>Online</v>
      </c>
      <c r="AA205" s="11" t="s">
        <v>585</v>
      </c>
      <c r="AB205" s="11" t="s">
        <v>54</v>
      </c>
      <c r="AC205" s="11" t="s">
        <v>566</v>
      </c>
      <c r="AD205" s="11" t="str">
        <f>VLOOKUP(L205,'[1]data 1129'!F:O,10,FALSE)</f>
        <v>Tahap III 166</v>
      </c>
      <c r="AE205" s="11">
        <f>VLOOKUP(L205,'[1]singkron data'!D:P,13,FALSE)</f>
        <v>0</v>
      </c>
      <c r="AF205" s="11" t="s">
        <v>55</v>
      </c>
      <c r="AG205" s="11" t="e">
        <f>VLOOKUP(L205,'[1]update kontrak'!E:K,6,FALSE)</f>
        <v>#N/A</v>
      </c>
      <c r="AH205" s="11" t="e">
        <f>VLOOKUP(L205,'[1]update kontrak'!E:K,7,FALSE)</f>
        <v>#N/A</v>
      </c>
      <c r="AI205" s="11"/>
      <c r="AJ205" s="11" t="str">
        <f>VLOOKUP(L205,[1]rekap!D:M,1,FALSE)</f>
        <v>Jeruju Besar</v>
      </c>
      <c r="AK205" s="11" t="str">
        <f>VLOOKUP(L205,'[1]singkron data'!D:E,2,FALSE)</f>
        <v>PT. Elang Paksinusa</v>
      </c>
      <c r="AL205" s="11" t="str">
        <f>VLOOKUP(L205,'[1]update 521'!D:D,1,FALSE)</f>
        <v>Jeruju Besar</v>
      </c>
      <c r="AM205" s="11" t="s">
        <v>57</v>
      </c>
      <c r="AN205" s="11" t="e">
        <f>VLOOKUP(L205,[1]Sheet19!E:L,8,FALSE)</f>
        <v>#N/A</v>
      </c>
      <c r="AO205" s="11" t="s">
        <v>58</v>
      </c>
      <c r="AP205" s="12"/>
    </row>
    <row r="206" spans="1:42" ht="15" x14ac:dyDescent="0.2">
      <c r="A206" s="8" t="s">
        <v>42</v>
      </c>
      <c r="B206" s="9" t="s">
        <v>43</v>
      </c>
      <c r="C206" s="9">
        <v>235</v>
      </c>
      <c r="D206" s="9" t="s">
        <v>514</v>
      </c>
      <c r="E206" s="9">
        <v>21</v>
      </c>
      <c r="F206" s="9" t="s">
        <v>578</v>
      </c>
      <c r="G206" s="9" t="s">
        <v>568</v>
      </c>
      <c r="H206" s="9" t="s">
        <v>47</v>
      </c>
      <c r="I206" s="9" t="s">
        <v>579</v>
      </c>
      <c r="J206" s="9" t="s">
        <v>586</v>
      </c>
      <c r="K206" s="9" t="s">
        <v>587</v>
      </c>
      <c r="L206" s="10" t="s">
        <v>587</v>
      </c>
      <c r="M206" s="9" t="s">
        <v>51</v>
      </c>
      <c r="N206" s="9">
        <v>225</v>
      </c>
      <c r="O206" s="9">
        <v>70</v>
      </c>
      <c r="P206" s="9">
        <v>50</v>
      </c>
      <c r="Q206" s="9">
        <v>120</v>
      </c>
      <c r="R206" s="9">
        <v>13.5</v>
      </c>
      <c r="S206" s="9">
        <v>-0.59565900000000005</v>
      </c>
      <c r="T206" s="9">
        <v>109.258668</v>
      </c>
      <c r="U206" s="9" t="s">
        <v>52</v>
      </c>
      <c r="V206" s="11" t="s">
        <v>576</v>
      </c>
      <c r="W206" s="13">
        <f>VLOOKUP(L206,'[1]update tim 2'!D:F,3,FALSE)</f>
        <v>3215274000</v>
      </c>
      <c r="X206" s="11" t="s">
        <v>55</v>
      </c>
      <c r="Y206" s="11">
        <f>VLOOKUP(L206,'[1]singkron data'!D:H,5,FALSE)</f>
        <v>0</v>
      </c>
      <c r="Z206" s="11" t="str">
        <f>VLOOKUP(L206,'[1]singkron data'!D:I,6,FALSE)</f>
        <v>Online</v>
      </c>
      <c r="AA206" s="11" t="s">
        <v>577</v>
      </c>
      <c r="AB206" s="11" t="s">
        <v>54</v>
      </c>
      <c r="AC206" s="11" t="s">
        <v>566</v>
      </c>
      <c r="AD206" s="11" t="str">
        <f>VLOOKUP(L206,'[1]data 1129'!F:O,10,FALSE)</f>
        <v>Tahap III 166</v>
      </c>
      <c r="AE206" s="11">
        <f>VLOOKUP(L206,'[1]singkron data'!D:P,13,FALSE)</f>
        <v>0</v>
      </c>
      <c r="AF206" s="11" t="s">
        <v>55</v>
      </c>
      <c r="AG206" s="11" t="e">
        <f>VLOOKUP(L206,'[1]update kontrak'!E:K,6,FALSE)</f>
        <v>#N/A</v>
      </c>
      <c r="AH206" s="11" t="e">
        <f>VLOOKUP(L206,'[1]update kontrak'!E:K,7,FALSE)</f>
        <v>#N/A</v>
      </c>
      <c r="AI206" s="11"/>
      <c r="AJ206" s="11" t="str">
        <f>VLOOKUP(L206,[1]rekap!D:M,1,FALSE)</f>
        <v>Dabong</v>
      </c>
      <c r="AK206" s="11" t="str">
        <f>VLOOKUP(L206,'[1]singkron data'!D:E,2,FALSE)</f>
        <v>PT. Elang Paksinusa</v>
      </c>
      <c r="AL206" s="11" t="str">
        <f>VLOOKUP(L206,'[1]update 521'!D:D,1,FALSE)</f>
        <v>Dabong</v>
      </c>
      <c r="AM206" s="11" t="s">
        <v>57</v>
      </c>
      <c r="AN206" s="11" t="e">
        <f>VLOOKUP(L206,[1]Sheet19!E:L,8,FALSE)</f>
        <v>#N/A</v>
      </c>
      <c r="AO206" s="11" t="s">
        <v>58</v>
      </c>
      <c r="AP206" s="12"/>
    </row>
    <row r="207" spans="1:42" ht="15" x14ac:dyDescent="0.2">
      <c r="A207" s="8" t="s">
        <v>42</v>
      </c>
      <c r="B207" s="9" t="s">
        <v>43</v>
      </c>
      <c r="C207" s="9">
        <v>236</v>
      </c>
      <c r="D207" s="9" t="s">
        <v>514</v>
      </c>
      <c r="E207" s="9">
        <v>23</v>
      </c>
      <c r="F207" s="9" t="s">
        <v>588</v>
      </c>
      <c r="G207" s="9" t="s">
        <v>568</v>
      </c>
      <c r="H207" s="9" t="s">
        <v>47</v>
      </c>
      <c r="I207" s="9" t="s">
        <v>589</v>
      </c>
      <c r="J207" s="9" t="s">
        <v>590</v>
      </c>
      <c r="K207" s="9" t="s">
        <v>591</v>
      </c>
      <c r="L207" s="10" t="s">
        <v>591</v>
      </c>
      <c r="M207" s="9" t="s">
        <v>65</v>
      </c>
      <c r="N207" s="9">
        <v>350</v>
      </c>
      <c r="O207" s="9">
        <v>54</v>
      </c>
      <c r="P207" s="9">
        <v>136</v>
      </c>
      <c r="Q207" s="9">
        <v>190</v>
      </c>
      <c r="R207" s="9">
        <v>1.2</v>
      </c>
      <c r="S207" s="9">
        <v>0.32183</v>
      </c>
      <c r="T207" s="9">
        <v>108.967467</v>
      </c>
      <c r="U207" s="9" t="s">
        <v>52</v>
      </c>
      <c r="V207" s="11" t="str">
        <f>VLOOKUP(L207,'[1]singkron data'!D:E,2,FALSE)</f>
        <v>PT. Falah Eka Cahya</v>
      </c>
      <c r="W207" s="11"/>
      <c r="X207" s="11"/>
      <c r="Y207" s="11" t="str">
        <f>VLOOKUP(L207,'[1]singkron data'!D:H,5,FALSE)</f>
        <v>Jakarta</v>
      </c>
      <c r="Z207" s="11" t="str">
        <f>VLOOKUP(L207,'[1]singkron data'!D:I,6,FALSE)</f>
        <v>Online</v>
      </c>
      <c r="AA207" s="11" t="str">
        <f>VLOOKUP(L207,'[1]singkron data'!D:L,9,FALSE)</f>
        <v>Dedy 08888347943</v>
      </c>
      <c r="AB207" s="11" t="s">
        <v>54</v>
      </c>
      <c r="AC207" s="11" t="s">
        <v>268</v>
      </c>
      <c r="AD207" s="11" t="str">
        <f>VLOOKUP(L207,'[1]data 1129'!F:O,10,FALSE)</f>
        <v>Tahap III 166</v>
      </c>
      <c r="AE207" s="11">
        <f>VLOOKUP(L207,'[1]singkron data'!D:P,13,FALSE)</f>
        <v>0</v>
      </c>
      <c r="AF207" s="11"/>
      <c r="AG207" s="11" t="e">
        <f>VLOOKUP(L207,'[1]update kontrak'!E:K,6,FALSE)</f>
        <v>#N/A</v>
      </c>
      <c r="AH207" s="11" t="e">
        <f>VLOOKUP(L207,'[1]update kontrak'!E:K,7,FALSE)</f>
        <v>#N/A</v>
      </c>
      <c r="AI207" s="11"/>
      <c r="AJ207" s="11" t="str">
        <f>VLOOKUP(L207,[1]rekap!D:M,1,FALSE)</f>
        <v>Kuala Secapah</v>
      </c>
      <c r="AK207" s="11" t="str">
        <f>VLOOKUP(L207,'[1]singkron data'!D:E,2,FALSE)</f>
        <v>PT. Falah Eka Cahya</v>
      </c>
      <c r="AL207" s="11" t="str">
        <f>VLOOKUP(L207,'[1]update 521'!D:D,1,FALSE)</f>
        <v>Kuala Secapah</v>
      </c>
      <c r="AM207" s="11" t="s">
        <v>96</v>
      </c>
      <c r="AN207" s="11" t="e">
        <f>VLOOKUP(L207,[1]Sheet19!E:L,8,FALSE)</f>
        <v>#N/A</v>
      </c>
      <c r="AO207" s="11" t="e">
        <f>VLOOKUP(L207,[1]Sheet19!E:K,7,FALSE)</f>
        <v>#N/A</v>
      </c>
      <c r="AP207" s="12"/>
    </row>
    <row r="208" spans="1:42" ht="15" x14ac:dyDescent="0.2">
      <c r="A208" s="8" t="s">
        <v>42</v>
      </c>
      <c r="B208" s="9" t="s">
        <v>43</v>
      </c>
      <c r="C208" s="9">
        <v>237</v>
      </c>
      <c r="D208" s="9" t="s">
        <v>514</v>
      </c>
      <c r="E208" s="9">
        <v>24</v>
      </c>
      <c r="F208" s="9" t="s">
        <v>588</v>
      </c>
      <c r="G208" s="9" t="s">
        <v>568</v>
      </c>
      <c r="H208" s="9" t="s">
        <v>47</v>
      </c>
      <c r="I208" s="9" t="s">
        <v>589</v>
      </c>
      <c r="J208" s="9" t="s">
        <v>590</v>
      </c>
      <c r="K208" s="9" t="s">
        <v>592</v>
      </c>
      <c r="L208" s="10" t="s">
        <v>592</v>
      </c>
      <c r="M208" s="9" t="s">
        <v>51</v>
      </c>
      <c r="N208" s="9">
        <v>80</v>
      </c>
      <c r="O208" s="9">
        <v>4</v>
      </c>
      <c r="P208" s="9">
        <v>72</v>
      </c>
      <c r="Q208" s="9">
        <v>76</v>
      </c>
      <c r="R208" s="9">
        <v>0.09</v>
      </c>
      <c r="S208" s="9">
        <v>0.40958600000000001</v>
      </c>
      <c r="T208" s="9">
        <v>108.946951</v>
      </c>
      <c r="U208" s="9" t="s">
        <v>52</v>
      </c>
      <c r="V208" s="11" t="str">
        <f>VLOOKUP(L208,'[1]singkron data'!D:E,2,FALSE)</f>
        <v>PT. Falah Eka Cahya</v>
      </c>
      <c r="W208" s="11"/>
      <c r="X208" s="11"/>
      <c r="Y208" s="11" t="str">
        <f>VLOOKUP(L208,'[1]singkron data'!D:H,5,FALSE)</f>
        <v>Jakarta</v>
      </c>
      <c r="Z208" s="11" t="str">
        <f>VLOOKUP(L208,'[1]singkron data'!D:I,6,FALSE)</f>
        <v>Online</v>
      </c>
      <c r="AA208" s="11" t="str">
        <f>VLOOKUP(L208,'[1]singkron data'!D:L,9,FALSE)</f>
        <v>Dedy 08888347943</v>
      </c>
      <c r="AB208" s="11" t="s">
        <v>54</v>
      </c>
      <c r="AC208" s="11" t="s">
        <v>268</v>
      </c>
      <c r="AD208" s="11" t="str">
        <f>VLOOKUP(L208,'[1]data 1129'!F:O,10,FALSE)</f>
        <v>Tahap III 166</v>
      </c>
      <c r="AE208" s="11">
        <f>VLOOKUP(L208,'[1]singkron data'!D:P,13,FALSE)</f>
        <v>0</v>
      </c>
      <c r="AF208" s="11"/>
      <c r="AG208" s="11" t="e">
        <f>VLOOKUP(L208,'[1]update kontrak'!E:K,6,FALSE)</f>
        <v>#N/A</v>
      </c>
      <c r="AH208" s="11" t="e">
        <f>VLOOKUP(L208,'[1]update kontrak'!E:K,7,FALSE)</f>
        <v>#N/A</v>
      </c>
      <c r="AI208" s="11"/>
      <c r="AJ208" s="11" t="str">
        <f>VLOOKUP(L208,[1]rekap!D:M,1,FALSE)</f>
        <v>Penibung</v>
      </c>
      <c r="AK208" s="11" t="str">
        <f>VLOOKUP(L208,'[1]singkron data'!D:E,2,FALSE)</f>
        <v>PT. Falah Eka Cahya</v>
      </c>
      <c r="AL208" s="11" t="str">
        <f>VLOOKUP(L208,'[1]update 521'!D:D,1,FALSE)</f>
        <v>Penibung</v>
      </c>
      <c r="AM208" s="11" t="s">
        <v>96</v>
      </c>
      <c r="AN208" s="11" t="e">
        <f>VLOOKUP(L208,[1]Sheet19!E:L,8,FALSE)</f>
        <v>#N/A</v>
      </c>
      <c r="AO208" s="11" t="e">
        <f>VLOOKUP(L208,[1]Sheet19!E:K,7,FALSE)</f>
        <v>#N/A</v>
      </c>
      <c r="AP208" s="12"/>
    </row>
    <row r="209" spans="1:42" ht="15" x14ac:dyDescent="0.2">
      <c r="A209" s="8" t="s">
        <v>42</v>
      </c>
      <c r="B209" s="9" t="s">
        <v>43</v>
      </c>
      <c r="C209" s="9">
        <v>238</v>
      </c>
      <c r="D209" s="9" t="s">
        <v>514</v>
      </c>
      <c r="E209" s="9">
        <v>25</v>
      </c>
      <c r="F209" s="9" t="s">
        <v>588</v>
      </c>
      <c r="G209" s="9" t="s">
        <v>568</v>
      </c>
      <c r="H209" s="9" t="s">
        <v>47</v>
      </c>
      <c r="I209" s="9" t="s">
        <v>589</v>
      </c>
      <c r="J209" s="9" t="s">
        <v>590</v>
      </c>
      <c r="K209" s="9" t="s">
        <v>593</v>
      </c>
      <c r="L209" s="10" t="s">
        <v>593</v>
      </c>
      <c r="M209" s="9" t="s">
        <v>51</v>
      </c>
      <c r="N209" s="9">
        <v>68</v>
      </c>
      <c r="O209" s="9">
        <v>6</v>
      </c>
      <c r="P209" s="9">
        <v>50</v>
      </c>
      <c r="Q209" s="9">
        <v>56</v>
      </c>
      <c r="R209" s="9">
        <v>0.05</v>
      </c>
      <c r="S209" s="9">
        <v>0.42981799999999998</v>
      </c>
      <c r="T209" s="9">
        <v>108.94565</v>
      </c>
      <c r="U209" s="9" t="s">
        <v>52</v>
      </c>
      <c r="V209" s="11" t="str">
        <f>VLOOKUP(L209,'[1]singkron data'!D:E,2,FALSE)</f>
        <v>PT. Falah Eka Cahya</v>
      </c>
      <c r="W209" s="11"/>
      <c r="X209" s="11"/>
      <c r="Y209" s="11" t="str">
        <f>VLOOKUP(L209,'[1]singkron data'!D:H,5,FALSE)</f>
        <v>Jakarta</v>
      </c>
      <c r="Z209" s="11" t="str">
        <f>VLOOKUP(L209,'[1]singkron data'!D:I,6,FALSE)</f>
        <v>Online</v>
      </c>
      <c r="AA209" s="11" t="str">
        <f>VLOOKUP(L209,'[1]singkron data'!D:L,9,FALSE)</f>
        <v>Dedy 08888347943</v>
      </c>
      <c r="AB209" s="11" t="s">
        <v>54</v>
      </c>
      <c r="AC209" s="11" t="s">
        <v>268</v>
      </c>
      <c r="AD209" s="11" t="str">
        <f>VLOOKUP(L209,'[1]data 1129'!F:O,10,FALSE)</f>
        <v>Tahap III 166</v>
      </c>
      <c r="AE209" s="11">
        <f>VLOOKUP(L209,'[1]singkron data'!D:P,13,FALSE)</f>
        <v>0</v>
      </c>
      <c r="AF209" s="11"/>
      <c r="AG209" s="11" t="e">
        <f>VLOOKUP(L209,'[1]update kontrak'!E:K,6,FALSE)</f>
        <v>#N/A</v>
      </c>
      <c r="AH209" s="11" t="e">
        <f>VLOOKUP(L209,'[1]update kontrak'!E:K,7,FALSE)</f>
        <v>#N/A</v>
      </c>
      <c r="AI209" s="11"/>
      <c r="AJ209" s="11" t="str">
        <f>VLOOKUP(L209,[1]rekap!D:M,1,FALSE)</f>
        <v>Sengkubang</v>
      </c>
      <c r="AK209" s="11" t="str">
        <f>VLOOKUP(L209,'[1]singkron data'!D:E,2,FALSE)</f>
        <v>PT. Falah Eka Cahya</v>
      </c>
      <c r="AL209" s="11" t="str">
        <f>VLOOKUP(L209,'[1]update 521'!D:D,1,FALSE)</f>
        <v>Sengkubang</v>
      </c>
      <c r="AM209" s="11" t="s">
        <v>96</v>
      </c>
      <c r="AN209" s="11" t="e">
        <f>VLOOKUP(L209,[1]Sheet19!E:L,8,FALSE)</f>
        <v>#N/A</v>
      </c>
      <c r="AO209" s="11" t="e">
        <f>VLOOKUP(L209,[1]Sheet19!E:K,7,FALSE)</f>
        <v>#N/A</v>
      </c>
      <c r="AP209" s="12"/>
    </row>
    <row r="210" spans="1:42" ht="15" x14ac:dyDescent="0.2">
      <c r="A210" s="8" t="s">
        <v>42</v>
      </c>
      <c r="B210" s="9" t="s">
        <v>43</v>
      </c>
      <c r="C210" s="9">
        <v>239</v>
      </c>
      <c r="D210" s="9" t="s">
        <v>514</v>
      </c>
      <c r="E210" s="9">
        <v>26</v>
      </c>
      <c r="F210" s="9" t="s">
        <v>588</v>
      </c>
      <c r="G210" s="9" t="s">
        <v>568</v>
      </c>
      <c r="H210" s="9" t="s">
        <v>47</v>
      </c>
      <c r="I210" s="9" t="s">
        <v>589</v>
      </c>
      <c r="J210" s="9" t="s">
        <v>594</v>
      </c>
      <c r="K210" s="9" t="s">
        <v>595</v>
      </c>
      <c r="L210" s="10" t="s">
        <v>595</v>
      </c>
      <c r="M210" s="9" t="s">
        <v>51</v>
      </c>
      <c r="N210" s="9">
        <v>80</v>
      </c>
      <c r="O210" s="9">
        <v>5</v>
      </c>
      <c r="P210" s="9">
        <v>80</v>
      </c>
      <c r="Q210" s="9">
        <v>85</v>
      </c>
      <c r="R210" s="9">
        <v>0.12</v>
      </c>
      <c r="S210" s="9">
        <v>0.54039300000000001</v>
      </c>
      <c r="T210" s="9">
        <v>108.919425</v>
      </c>
      <c r="U210" s="9" t="s">
        <v>52</v>
      </c>
      <c r="V210" s="11" t="str">
        <f>VLOOKUP(L210,'[1]singkron data'!D:E,2,FALSE)</f>
        <v>PT. Falah Eka Cahya</v>
      </c>
      <c r="W210" s="11"/>
      <c r="X210" s="11"/>
      <c r="Y210" s="11" t="str">
        <f>VLOOKUP(L210,'[1]singkron data'!D:H,5,FALSE)</f>
        <v>Jakarta</v>
      </c>
      <c r="Z210" s="11" t="str">
        <f>VLOOKUP(L210,'[1]singkron data'!D:I,6,FALSE)</f>
        <v>Online</v>
      </c>
      <c r="AA210" s="11" t="str">
        <f>VLOOKUP(L210,'[1]singkron data'!D:L,9,FALSE)</f>
        <v>Dedy 08888347943</v>
      </c>
      <c r="AB210" s="11" t="s">
        <v>54</v>
      </c>
      <c r="AC210" s="11" t="s">
        <v>268</v>
      </c>
      <c r="AD210" s="11" t="str">
        <f>VLOOKUP(L210,'[1]data 1129'!F:O,10,FALSE)</f>
        <v>Tahap III 166</v>
      </c>
      <c r="AE210" s="11">
        <f>VLOOKUP(L210,'[1]singkron data'!D:P,13,FALSE)</f>
        <v>0</v>
      </c>
      <c r="AF210" s="11"/>
      <c r="AG210" s="11" t="e">
        <f>VLOOKUP(L210,'[1]update kontrak'!E:K,6,FALSE)</f>
        <v>#N/A</v>
      </c>
      <c r="AH210" s="11" t="e">
        <f>VLOOKUP(L210,'[1]update kontrak'!E:K,7,FALSE)</f>
        <v>#N/A</v>
      </c>
      <c r="AI210" s="11"/>
      <c r="AJ210" s="11" t="str">
        <f>VLOOKUP(L210,[1]rekap!D:M,1,FALSE)</f>
        <v>Sungai Duri Ii</v>
      </c>
      <c r="AK210" s="11" t="str">
        <f>VLOOKUP(L210,'[1]singkron data'!D:E,2,FALSE)</f>
        <v>PT. Falah Eka Cahya</v>
      </c>
      <c r="AL210" s="11" t="str">
        <f>VLOOKUP(L210,'[1]update 521'!D:D,1,FALSE)</f>
        <v>Sungai Duri Ii</v>
      </c>
      <c r="AM210" s="11" t="s">
        <v>96</v>
      </c>
      <c r="AN210" s="11" t="e">
        <f>VLOOKUP(L210,[1]Sheet19!E:L,8,FALSE)</f>
        <v>#N/A</v>
      </c>
      <c r="AO210" s="11" t="e">
        <f>VLOOKUP(L210,[1]Sheet19!E:K,7,FALSE)</f>
        <v>#N/A</v>
      </c>
      <c r="AP210" s="12"/>
    </row>
    <row r="211" spans="1:42" ht="15" x14ac:dyDescent="0.2">
      <c r="A211" s="8" t="s">
        <v>42</v>
      </c>
      <c r="B211" s="9" t="s">
        <v>43</v>
      </c>
      <c r="C211" s="9">
        <v>240</v>
      </c>
      <c r="D211" s="9" t="s">
        <v>514</v>
      </c>
      <c r="E211" s="9">
        <v>27</v>
      </c>
      <c r="F211" s="9" t="s">
        <v>588</v>
      </c>
      <c r="G211" s="9" t="s">
        <v>568</v>
      </c>
      <c r="H211" s="9" t="s">
        <v>47</v>
      </c>
      <c r="I211" s="9" t="s">
        <v>579</v>
      </c>
      <c r="J211" s="9" t="s">
        <v>580</v>
      </c>
      <c r="K211" s="9" t="s">
        <v>596</v>
      </c>
      <c r="L211" s="10" t="s">
        <v>596</v>
      </c>
      <c r="M211" s="9" t="s">
        <v>51</v>
      </c>
      <c r="N211" s="9">
        <v>151</v>
      </c>
      <c r="O211" s="9" t="s">
        <v>72</v>
      </c>
      <c r="P211" s="9">
        <v>25</v>
      </c>
      <c r="Q211" s="9">
        <v>25</v>
      </c>
      <c r="R211" s="9">
        <v>3</v>
      </c>
      <c r="S211" s="9">
        <v>0.36631799999999998</v>
      </c>
      <c r="T211" s="9">
        <v>109.167047</v>
      </c>
      <c r="U211" s="9" t="s">
        <v>52</v>
      </c>
      <c r="V211" s="11" t="s">
        <v>571</v>
      </c>
      <c r="W211" s="13">
        <f>VLOOKUP(L211,'[1]update tim 2'!D:F,3,FALSE)</f>
        <v>3130358000</v>
      </c>
      <c r="X211" s="11" t="s">
        <v>55</v>
      </c>
      <c r="Y211" s="11">
        <f>VLOOKUP(L211,'[1]singkron data'!D:H,5,FALSE)</f>
        <v>0</v>
      </c>
      <c r="Z211" s="11" t="str">
        <f>VLOOKUP(L211,'[1]singkron data'!D:I,6,FALSE)</f>
        <v>Online</v>
      </c>
      <c r="AA211" s="11" t="s">
        <v>572</v>
      </c>
      <c r="AB211" s="11" t="s">
        <v>54</v>
      </c>
      <c r="AC211" s="11" t="s">
        <v>566</v>
      </c>
      <c r="AD211" s="11" t="str">
        <f>VLOOKUP(L211,'[1]data 1129'!F:O,10,FALSE)</f>
        <v>Tahap III 166</v>
      </c>
      <c r="AE211" s="11">
        <f>VLOOKUP(L211,'[1]singkron data'!D:P,13,FALSE)</f>
        <v>0</v>
      </c>
      <c r="AF211" s="11" t="s">
        <v>55</v>
      </c>
      <c r="AG211" s="11" t="e">
        <f>VLOOKUP(L211,'[1]update kontrak'!E:K,6,FALSE)</f>
        <v>#N/A</v>
      </c>
      <c r="AH211" s="11" t="e">
        <f>VLOOKUP(L211,'[1]update kontrak'!E:K,7,FALSE)</f>
        <v>#N/A</v>
      </c>
      <c r="AI211" s="11"/>
      <c r="AJ211" s="11" t="str">
        <f>VLOOKUP(L211,[1]rekap!D:M,1,FALSE)</f>
        <v>Teluk Gelam</v>
      </c>
      <c r="AK211" s="11" t="str">
        <f>VLOOKUP(L211,'[1]singkron data'!D:E,2,FALSE)</f>
        <v>PT. Elang Paksinusa</v>
      </c>
      <c r="AL211" s="11" t="str">
        <f>VLOOKUP(L211,'[1]update 521'!D:D,1,FALSE)</f>
        <v>Teluk Gelam</v>
      </c>
      <c r="AM211" s="11" t="s">
        <v>57</v>
      </c>
      <c r="AN211" s="11" t="e">
        <f>VLOOKUP(L211,[1]Sheet19!E:L,8,FALSE)</f>
        <v>#N/A</v>
      </c>
      <c r="AO211" s="11" t="s">
        <v>58</v>
      </c>
      <c r="AP211" s="12"/>
    </row>
    <row r="212" spans="1:42" ht="15" x14ac:dyDescent="0.2">
      <c r="A212" s="8" t="s">
        <v>42</v>
      </c>
      <c r="B212" s="9" t="s">
        <v>43</v>
      </c>
      <c r="C212" s="9">
        <v>241</v>
      </c>
      <c r="D212" s="9" t="s">
        <v>514</v>
      </c>
      <c r="E212" s="9">
        <v>28</v>
      </c>
      <c r="F212" s="9" t="s">
        <v>597</v>
      </c>
      <c r="G212" s="9" t="s">
        <v>540</v>
      </c>
      <c r="H212" s="9" t="s">
        <v>47</v>
      </c>
      <c r="I212" s="9" t="s">
        <v>598</v>
      </c>
      <c r="J212" s="9" t="s">
        <v>599</v>
      </c>
      <c r="K212" s="9" t="s">
        <v>600</v>
      </c>
      <c r="L212" s="10" t="s">
        <v>600</v>
      </c>
      <c r="M212" s="9" t="s">
        <v>65</v>
      </c>
      <c r="N212" s="9">
        <v>603</v>
      </c>
      <c r="O212" s="9">
        <v>228</v>
      </c>
      <c r="P212" s="9" t="s">
        <v>72</v>
      </c>
      <c r="Q212" s="9">
        <v>228</v>
      </c>
      <c r="R212" s="9">
        <v>1</v>
      </c>
      <c r="S212" s="9">
        <v>-3.973725</v>
      </c>
      <c r="T212" s="9">
        <v>114.628624</v>
      </c>
      <c r="U212" s="9" t="s">
        <v>52</v>
      </c>
      <c r="V212" s="11" t="str">
        <f>VLOOKUP(L212,'[1]singkron data'!D:E,2,FALSE)</f>
        <v>CV. Andalan Putra Bone Perkasa</v>
      </c>
      <c r="W212" s="13">
        <f>VLOOKUP(L212,'[1]update tim 2'!D:F,3,FALSE)</f>
        <v>11504121000</v>
      </c>
      <c r="X212" s="11" t="s">
        <v>55</v>
      </c>
      <c r="Y212" s="11">
        <f>VLOOKUP(L212,'[1]singkron data'!D:H,5,FALSE)</f>
        <v>0</v>
      </c>
      <c r="Z212" s="11">
        <f>VLOOKUP(L212,'[1]singkron data'!D:I,6,FALSE)</f>
        <v>0</v>
      </c>
      <c r="AA212" s="11">
        <f>VLOOKUP(L212,'[1]singkron data'!D:L,9,FALSE)</f>
        <v>0</v>
      </c>
      <c r="AB212" s="11" t="s">
        <v>54</v>
      </c>
      <c r="AC212" s="11">
        <f>VLOOKUP(L212,'[1]singkron data'!D:M,10,FALSE)</f>
        <v>0</v>
      </c>
      <c r="AD212" s="11" t="str">
        <f>VLOOKUP(L212,'[1]data 1129'!F:O,10,FALSE)</f>
        <v>Tahap II 146</v>
      </c>
      <c r="AE212" s="11">
        <f>VLOOKUP(L212,'[1]singkron data'!D:P,13,FALSE)</f>
        <v>0</v>
      </c>
      <c r="AF212" s="11" t="s">
        <v>55</v>
      </c>
      <c r="AG212" s="11" t="e">
        <f>VLOOKUP(L212,'[1]update kontrak'!E:K,6,FALSE)</f>
        <v>#N/A</v>
      </c>
      <c r="AH212" s="11" t="e">
        <f>VLOOKUP(L212,'[1]update kontrak'!E:K,7,FALSE)</f>
        <v>#N/A</v>
      </c>
      <c r="AI212" s="11"/>
      <c r="AJ212" s="11" t="str">
        <f>VLOOKUP(L212,[1]rekap!D:M,1,FALSE)</f>
        <v>Kuala Tambangan</v>
      </c>
      <c r="AK212" s="11" t="str">
        <f>VLOOKUP(L212,'[1]singkron data'!D:E,2,FALSE)</f>
        <v>CV. Andalan Putra Bone Perkasa</v>
      </c>
      <c r="AL212" s="11" t="str">
        <f>VLOOKUP(L212,'[1]update 521'!D:D,1,FALSE)</f>
        <v>Kuala Tambangan</v>
      </c>
      <c r="AM212" s="11" t="s">
        <v>57</v>
      </c>
      <c r="AN212" s="11" t="e">
        <f>VLOOKUP(L212,[1]Sheet19!E:L,8,FALSE)</f>
        <v>#N/A</v>
      </c>
      <c r="AO212" s="11" t="s">
        <v>58</v>
      </c>
      <c r="AP212" s="12"/>
    </row>
    <row r="213" spans="1:42" ht="15" x14ac:dyDescent="0.2">
      <c r="A213" s="8" t="s">
        <v>42</v>
      </c>
      <c r="B213" s="9" t="s">
        <v>43</v>
      </c>
      <c r="C213" s="9">
        <v>242</v>
      </c>
      <c r="D213" s="9" t="s">
        <v>514</v>
      </c>
      <c r="E213" s="9">
        <v>29</v>
      </c>
      <c r="F213" s="9" t="s">
        <v>597</v>
      </c>
      <c r="G213" s="9" t="s">
        <v>540</v>
      </c>
      <c r="H213" s="9" t="s">
        <v>47</v>
      </c>
      <c r="I213" s="9" t="s">
        <v>598</v>
      </c>
      <c r="J213" s="9" t="s">
        <v>599</v>
      </c>
      <c r="K213" s="9" t="s">
        <v>601</v>
      </c>
      <c r="L213" s="10" t="s">
        <v>601</v>
      </c>
      <c r="M213" s="9" t="s">
        <v>51</v>
      </c>
      <c r="N213" s="9">
        <v>736</v>
      </c>
      <c r="O213" s="9">
        <v>5</v>
      </c>
      <c r="P213" s="9">
        <v>218</v>
      </c>
      <c r="Q213" s="9">
        <v>223</v>
      </c>
      <c r="R213" s="9">
        <v>1.84</v>
      </c>
      <c r="S213" s="9">
        <v>-3.7634970000000001</v>
      </c>
      <c r="T213" s="9">
        <v>114.609677</v>
      </c>
      <c r="U213" s="9" t="s">
        <v>52</v>
      </c>
      <c r="V213" s="11" t="str">
        <f>VLOOKUP(L213,'[1]singkron data'!D:E,2,FALSE)</f>
        <v>CV. Dwi Cipta Wijaya</v>
      </c>
      <c r="W213" s="11"/>
      <c r="X213" s="11"/>
      <c r="Y213" s="11" t="str">
        <f>VLOOKUP(L213,'[1]singkron data'!D:H,5,FALSE)</f>
        <v>Tanah Bumbu</v>
      </c>
      <c r="Z213" s="11" t="str">
        <f>VLOOKUP(L213,'[1]singkron data'!D:I,6,FALSE)</f>
        <v>Offline</v>
      </c>
      <c r="AA213" s="11" t="str">
        <f>VLOOKUP(L213,'[1]singkron data'!D:L,9,FALSE)</f>
        <v>085160557788/ 082240000708</v>
      </c>
      <c r="AB213" s="11" t="s">
        <v>54</v>
      </c>
      <c r="AC213" s="11" t="s">
        <v>602</v>
      </c>
      <c r="AD213" s="11" t="str">
        <f>VLOOKUP(L213,'[1]data 1129'!F:O,10,FALSE)</f>
        <v>Tahap II 146</v>
      </c>
      <c r="AE213" s="11">
        <f>VLOOKUP(L213,'[1]singkron data'!D:P,13,FALSE)</f>
        <v>0</v>
      </c>
      <c r="AF213" s="11"/>
      <c r="AG213" s="11" t="e">
        <f>VLOOKUP(L213,'[1]update kontrak'!E:K,6,FALSE)</f>
        <v>#N/A</v>
      </c>
      <c r="AH213" s="11" t="e">
        <f>VLOOKUP(L213,'[1]update kontrak'!E:K,7,FALSE)</f>
        <v>#N/A</v>
      </c>
      <c r="AI213" s="11"/>
      <c r="AJ213" s="11" t="str">
        <f>VLOOKUP(L213,[1]rekap!D:M,1,FALSE)</f>
        <v>Tabanio</v>
      </c>
      <c r="AK213" s="11" t="str">
        <f>VLOOKUP(L213,'[1]singkron data'!D:E,2,FALSE)</f>
        <v>CV. Dwi Cipta Wijaya</v>
      </c>
      <c r="AL213" s="11" t="str">
        <f>VLOOKUP(L213,'[1]update 521'!D:D,1,FALSE)</f>
        <v>Tabanio</v>
      </c>
      <c r="AM213" s="11" t="e">
        <v>#N/A</v>
      </c>
      <c r="AN213" s="11" t="e">
        <f>VLOOKUP(L213,[1]Sheet19!E:L,8,FALSE)</f>
        <v>#N/A</v>
      </c>
      <c r="AO213" s="11" t="e">
        <f>VLOOKUP(L213,[1]Sheet19!E:K,7,FALSE)</f>
        <v>#N/A</v>
      </c>
      <c r="AP213" s="12"/>
    </row>
    <row r="214" spans="1:42" ht="15" x14ac:dyDescent="0.2">
      <c r="A214" s="8" t="s">
        <v>42</v>
      </c>
      <c r="B214" s="9" t="s">
        <v>43</v>
      </c>
      <c r="C214" s="9">
        <v>243</v>
      </c>
      <c r="D214" s="9" t="s">
        <v>514</v>
      </c>
      <c r="E214" s="9">
        <v>30</v>
      </c>
      <c r="F214" s="9" t="s">
        <v>597</v>
      </c>
      <c r="G214" s="9" t="s">
        <v>540</v>
      </c>
      <c r="H214" s="9" t="s">
        <v>47</v>
      </c>
      <c r="I214" s="9" t="s">
        <v>598</v>
      </c>
      <c r="J214" s="9" t="s">
        <v>603</v>
      </c>
      <c r="K214" s="9" t="s">
        <v>604</v>
      </c>
      <c r="L214" s="10" t="s">
        <v>604</v>
      </c>
      <c r="M214" s="9" t="s">
        <v>81</v>
      </c>
      <c r="N214" s="9">
        <v>400</v>
      </c>
      <c r="O214" s="9" t="s">
        <v>72</v>
      </c>
      <c r="P214" s="9">
        <v>200</v>
      </c>
      <c r="Q214" s="9">
        <v>200</v>
      </c>
      <c r="R214" s="9">
        <v>1.8</v>
      </c>
      <c r="S214" s="9">
        <v>-3.9654159999999998</v>
      </c>
      <c r="T214" s="9">
        <v>115.123516</v>
      </c>
      <c r="U214" s="9" t="s">
        <v>52</v>
      </c>
      <c r="V214" s="11" t="str">
        <f>VLOOKUP(L214,'[1]singkron data'!D:E,2,FALSE)</f>
        <v>CV. Andalan Putra Bone Perkasa</v>
      </c>
      <c r="W214" s="13">
        <f>VLOOKUP(L214,'[1]update tim 2'!D:F,3,FALSE)</f>
        <v>6454571000</v>
      </c>
      <c r="X214" s="11" t="s">
        <v>55</v>
      </c>
      <c r="Y214" s="11">
        <f>VLOOKUP(L214,'[1]singkron data'!D:H,5,FALSE)</f>
        <v>0</v>
      </c>
      <c r="Z214" s="11">
        <f>VLOOKUP(L214,'[1]singkron data'!D:I,6,FALSE)</f>
        <v>0</v>
      </c>
      <c r="AA214" s="11">
        <f>VLOOKUP(L214,'[1]singkron data'!D:L,9,FALSE)</f>
        <v>0</v>
      </c>
      <c r="AB214" s="11" t="s">
        <v>54</v>
      </c>
      <c r="AC214" s="11">
        <f>VLOOKUP(L214,'[1]singkron data'!D:M,10,FALSE)</f>
        <v>0</v>
      </c>
      <c r="AD214" s="11" t="str">
        <f>VLOOKUP(L214,'[1]data 1129'!F:O,10,FALSE)</f>
        <v>Tahap II 146</v>
      </c>
      <c r="AE214" s="11">
        <f>VLOOKUP(L214,'[1]singkron data'!D:P,13,FALSE)</f>
        <v>0</v>
      </c>
      <c r="AF214" s="11" t="s">
        <v>55</v>
      </c>
      <c r="AG214" s="11" t="e">
        <f>VLOOKUP(L214,'[1]update kontrak'!E:K,6,FALSE)</f>
        <v>#N/A</v>
      </c>
      <c r="AH214" s="11" t="e">
        <f>VLOOKUP(L214,'[1]update kontrak'!E:K,7,FALSE)</f>
        <v>#N/A</v>
      </c>
      <c r="AI214" s="11"/>
      <c r="AJ214" s="11" t="str">
        <f>VLOOKUP(L214,[1]rekap!D:M,1,FALSE)</f>
        <v>Muara Asam-Asam</v>
      </c>
      <c r="AK214" s="11" t="str">
        <f>VLOOKUP(L214,'[1]singkron data'!D:E,2,FALSE)</f>
        <v>CV. Andalan Putra Bone Perkasa</v>
      </c>
      <c r="AL214" s="11" t="str">
        <f>VLOOKUP(L214,'[1]update 521'!D:D,1,FALSE)</f>
        <v>Muara Asam-Asam</v>
      </c>
      <c r="AM214" s="11" t="s">
        <v>57</v>
      </c>
      <c r="AN214" s="11" t="e">
        <f>VLOOKUP(L214,[1]Sheet19!E:L,8,FALSE)</f>
        <v>#N/A</v>
      </c>
      <c r="AO214" s="11" t="s">
        <v>58</v>
      </c>
      <c r="AP214" s="12"/>
    </row>
    <row r="215" spans="1:42" ht="15" x14ac:dyDescent="0.2">
      <c r="A215" s="8" t="s">
        <v>42</v>
      </c>
      <c r="B215" s="9" t="s">
        <v>43</v>
      </c>
      <c r="C215" s="9">
        <v>244</v>
      </c>
      <c r="D215" s="9" t="s">
        <v>514</v>
      </c>
      <c r="E215" s="9">
        <v>31</v>
      </c>
      <c r="F215" s="9" t="s">
        <v>605</v>
      </c>
      <c r="G215" s="9" t="s">
        <v>545</v>
      </c>
      <c r="H215" s="9" t="s">
        <v>47</v>
      </c>
      <c r="I215" s="9" t="s">
        <v>606</v>
      </c>
      <c r="J215" s="9" t="s">
        <v>607</v>
      </c>
      <c r="K215" s="9" t="s">
        <v>605</v>
      </c>
      <c r="L215" s="10" t="s">
        <v>605</v>
      </c>
      <c r="M215" s="9" t="s">
        <v>65</v>
      </c>
      <c r="N215" s="9">
        <v>220</v>
      </c>
      <c r="O215" s="9">
        <v>4</v>
      </c>
      <c r="P215" s="9">
        <v>189</v>
      </c>
      <c r="Q215" s="9">
        <v>193</v>
      </c>
      <c r="R215" s="9">
        <v>1.1100000000000001</v>
      </c>
      <c r="S215" s="9">
        <v>-1.2897057000000001</v>
      </c>
      <c r="T215" s="9">
        <v>116.76091270000001</v>
      </c>
      <c r="U215" s="9" t="s">
        <v>52</v>
      </c>
      <c r="V215" s="11" t="str">
        <f>VLOOKUP(L215,'[1]singkron data'!D:E,2,FALSE)</f>
        <v>CV. Tobi Jaya Utama</v>
      </c>
      <c r="W215" s="11"/>
      <c r="X215" s="11"/>
      <c r="Y215" s="11" t="str">
        <f>VLOOKUP(L215,'[1]singkron data'!D:H,5,FALSE)</f>
        <v>Samarinda</v>
      </c>
      <c r="Z215" s="11" t="str">
        <f>VLOOKUP(L215,'[1]singkron data'!D:I,6,FALSE)</f>
        <v>Online</v>
      </c>
      <c r="AA215" s="11">
        <v>85349778440</v>
      </c>
      <c r="AB215" s="11" t="s">
        <v>54</v>
      </c>
      <c r="AC215" s="11" t="str">
        <f>VLOOKUP(L215,'[1]singkron data'!D:M,10,FALSE)</f>
        <v>hasan saleh</v>
      </c>
      <c r="AD215" s="11" t="str">
        <f>VLOOKUP(L215,'[1]data 1129'!F:O,10,FALSE)</f>
        <v>Tahap II 146</v>
      </c>
      <c r="AE215" s="11">
        <f>VLOOKUP(L215,'[1]singkron data'!D:P,13,FALSE)</f>
        <v>0</v>
      </c>
      <c r="AF215" s="11"/>
      <c r="AG215" s="11" t="e">
        <f>VLOOKUP(L215,'[1]update kontrak'!E:K,6,FALSE)</f>
        <v>#N/A</v>
      </c>
      <c r="AH215" s="11" t="e">
        <f>VLOOKUP(L215,'[1]update kontrak'!E:K,7,FALSE)</f>
        <v>#N/A</v>
      </c>
      <c r="AI215" s="11"/>
      <c r="AJ215" s="11" t="str">
        <f>VLOOKUP(L215,[1]rekap!D:M,1,FALSE)</f>
        <v>Nenang</v>
      </c>
      <c r="AK215" s="11" t="str">
        <f>VLOOKUP(L215,'[1]singkron data'!D:E,2,FALSE)</f>
        <v>CV. Tobi Jaya Utama</v>
      </c>
      <c r="AL215" s="11" t="str">
        <f>VLOOKUP(L215,'[1]update 521'!D:D,1,FALSE)</f>
        <v>Nenang</v>
      </c>
      <c r="AM215" s="11" t="s">
        <v>96</v>
      </c>
      <c r="AN215" s="11" t="e">
        <f>VLOOKUP(L215,[1]Sheet19!E:L,8,FALSE)</f>
        <v>#N/A</v>
      </c>
      <c r="AO215" s="11" t="e">
        <f>VLOOKUP(L215,[1]Sheet19!E:K,7,FALSE)</f>
        <v>#N/A</v>
      </c>
      <c r="AP215" s="12"/>
    </row>
    <row r="216" spans="1:42" ht="15" x14ac:dyDescent="0.2">
      <c r="A216" s="8" t="s">
        <v>42</v>
      </c>
      <c r="B216" s="9" t="s">
        <v>43</v>
      </c>
      <c r="C216" s="9">
        <v>245</v>
      </c>
      <c r="D216" s="9" t="s">
        <v>514</v>
      </c>
      <c r="E216" s="9">
        <v>32</v>
      </c>
      <c r="F216" s="9" t="s">
        <v>605</v>
      </c>
      <c r="G216" s="9" t="s">
        <v>545</v>
      </c>
      <c r="H216" s="9" t="s">
        <v>47</v>
      </c>
      <c r="I216" s="9" t="s">
        <v>606</v>
      </c>
      <c r="J216" s="9" t="s">
        <v>607</v>
      </c>
      <c r="K216" s="9" t="s">
        <v>608</v>
      </c>
      <c r="L216" s="10" t="s">
        <v>608</v>
      </c>
      <c r="M216" s="9" t="s">
        <v>51</v>
      </c>
      <c r="N216" s="9">
        <v>142</v>
      </c>
      <c r="O216" s="9">
        <v>10</v>
      </c>
      <c r="P216" s="9">
        <v>132</v>
      </c>
      <c r="Q216" s="9">
        <v>142</v>
      </c>
      <c r="R216" s="9">
        <v>0.61</v>
      </c>
      <c r="S216" s="9">
        <v>-1.4009417</v>
      </c>
      <c r="T216" s="9">
        <v>116.6423118</v>
      </c>
      <c r="U216" s="9" t="s">
        <v>52</v>
      </c>
      <c r="V216" s="11" t="str">
        <f>VLOOKUP(L216,'[1]singkron data'!D:E,2,FALSE)</f>
        <v>CV. Tobi Jaya Utama</v>
      </c>
      <c r="W216" s="11"/>
      <c r="X216" s="11"/>
      <c r="Y216" s="11" t="str">
        <f>VLOOKUP(L216,'[1]singkron data'!D:H,5,FALSE)</f>
        <v>Samarinda</v>
      </c>
      <c r="Z216" s="11" t="str">
        <f>VLOOKUP(L216,'[1]singkron data'!D:I,6,FALSE)</f>
        <v>Online</v>
      </c>
      <c r="AA216" s="11">
        <v>85349778440</v>
      </c>
      <c r="AB216" s="11" t="s">
        <v>54</v>
      </c>
      <c r="AC216" s="11" t="str">
        <f>VLOOKUP(L216,'[1]singkron data'!D:M,10,FALSE)</f>
        <v>hasan saleh</v>
      </c>
      <c r="AD216" s="11" t="str">
        <f>VLOOKUP(L216,'[1]data 1129'!F:O,10,FALSE)</f>
        <v>Tahap II 146</v>
      </c>
      <c r="AE216" s="11">
        <f>VLOOKUP(L216,'[1]singkron data'!D:P,13,FALSE)</f>
        <v>0</v>
      </c>
      <c r="AF216" s="11"/>
      <c r="AG216" s="11" t="e">
        <f>VLOOKUP(L216,'[1]update kontrak'!E:K,6,FALSE)</f>
        <v>#N/A</v>
      </c>
      <c r="AH216" s="11" t="e">
        <f>VLOOKUP(L216,'[1]update kontrak'!E:K,7,FALSE)</f>
        <v>#N/A</v>
      </c>
      <c r="AI216" s="11"/>
      <c r="AJ216" s="11" t="str">
        <f>VLOOKUP(L216,[1]rekap!D:M,1,FALSE)</f>
        <v>Tanjung Tengah</v>
      </c>
      <c r="AK216" s="11" t="str">
        <f>VLOOKUP(L216,'[1]singkron data'!D:E,2,FALSE)</f>
        <v>CV. Tobi Jaya Utama</v>
      </c>
      <c r="AL216" s="11" t="str">
        <f>VLOOKUP(L216,'[1]update 521'!D:D,1,FALSE)</f>
        <v>Tanjung Tengah</v>
      </c>
      <c r="AM216" s="11" t="s">
        <v>96</v>
      </c>
      <c r="AN216" s="11" t="e">
        <f>VLOOKUP(L216,[1]Sheet19!E:L,8,FALSE)</f>
        <v>#N/A</v>
      </c>
      <c r="AO216" s="11" t="e">
        <f>VLOOKUP(L216,[1]Sheet19!E:K,7,FALSE)</f>
        <v>#N/A</v>
      </c>
      <c r="AP216" s="12"/>
    </row>
    <row r="217" spans="1:42" ht="15" x14ac:dyDescent="0.2">
      <c r="A217" s="8" t="s">
        <v>42</v>
      </c>
      <c r="B217" s="9" t="s">
        <v>43</v>
      </c>
      <c r="C217" s="9">
        <v>246</v>
      </c>
      <c r="D217" s="9" t="s">
        <v>514</v>
      </c>
      <c r="E217" s="9">
        <v>33</v>
      </c>
      <c r="F217" s="9" t="s">
        <v>605</v>
      </c>
      <c r="G217" s="9" t="s">
        <v>545</v>
      </c>
      <c r="H217" s="9" t="s">
        <v>47</v>
      </c>
      <c r="I217" s="9" t="s">
        <v>606</v>
      </c>
      <c r="J217" s="9" t="s">
        <v>609</v>
      </c>
      <c r="K217" s="9" t="s">
        <v>610</v>
      </c>
      <c r="L217" s="10" t="s">
        <v>610</v>
      </c>
      <c r="M217" s="9" t="s">
        <v>51</v>
      </c>
      <c r="N217" s="9">
        <v>130</v>
      </c>
      <c r="O217" s="9" t="s">
        <v>72</v>
      </c>
      <c r="P217" s="9">
        <v>117</v>
      </c>
      <c r="Q217" s="9">
        <v>117</v>
      </c>
      <c r="R217" s="9">
        <v>0.5</v>
      </c>
      <c r="S217" s="9">
        <v>-1.437316</v>
      </c>
      <c r="T217" s="9">
        <v>116.57058069999999</v>
      </c>
      <c r="U217" s="9" t="s">
        <v>52</v>
      </c>
      <c r="V217" s="11" t="s">
        <v>611</v>
      </c>
      <c r="W217" s="11"/>
      <c r="X217" s="11"/>
      <c r="Y217" s="11" t="str">
        <f>VLOOKUP(L217,'[1]singkron data'!D:H,5,FALSE)</f>
        <v>Samarinda</v>
      </c>
      <c r="Z217" s="11" t="str">
        <f>VLOOKUP(L217,'[1]singkron data'!D:I,6,FALSE)</f>
        <v>Online</v>
      </c>
      <c r="AA217" s="11" t="s">
        <v>612</v>
      </c>
      <c r="AB217" s="11" t="s">
        <v>54</v>
      </c>
      <c r="AC217" s="11" t="s">
        <v>520</v>
      </c>
      <c r="AD217" s="11" t="str">
        <f>VLOOKUP(L217,'[1]data 1129'!F:O,10,FALSE)</f>
        <v>Tahap II 146</v>
      </c>
      <c r="AE217" s="11">
        <f>VLOOKUP(L217,'[1]singkron data'!D:P,13,FALSE)</f>
        <v>0</v>
      </c>
      <c r="AF217" s="11"/>
      <c r="AG217" s="11" t="e">
        <f>VLOOKUP(L217,'[1]update kontrak'!E:K,6,FALSE)</f>
        <v>#N/A</v>
      </c>
      <c r="AH217" s="11" t="e">
        <f>VLOOKUP(L217,'[1]update kontrak'!E:K,7,FALSE)</f>
        <v>#N/A</v>
      </c>
      <c r="AI217" s="11"/>
      <c r="AJ217" s="11" t="str">
        <f>VLOOKUP(L217,[1]rekap!D:M,1,FALSE)</f>
        <v>Api-Api</v>
      </c>
      <c r="AK217" s="11">
        <f>VLOOKUP(L217,'[1]singkron data'!D:E,2,FALSE)</f>
        <v>0</v>
      </c>
      <c r="AL217" s="11" t="str">
        <f>VLOOKUP(L217,'[1]update 521'!D:D,1,FALSE)</f>
        <v>Api-Api</v>
      </c>
      <c r="AM217" s="11" t="s">
        <v>96</v>
      </c>
      <c r="AN217" s="11" t="e">
        <f>VLOOKUP(L217,[1]Sheet19!E:L,8,FALSE)</f>
        <v>#N/A</v>
      </c>
      <c r="AO217" s="11" t="e">
        <f>VLOOKUP(L217,[1]Sheet19!E:K,7,FALSE)</f>
        <v>#N/A</v>
      </c>
      <c r="AP217" s="12"/>
    </row>
    <row r="218" spans="1:42" ht="15" x14ac:dyDescent="0.2">
      <c r="A218" s="8" t="s">
        <v>42</v>
      </c>
      <c r="B218" s="9" t="s">
        <v>43</v>
      </c>
      <c r="C218" s="9">
        <v>247</v>
      </c>
      <c r="D218" s="9" t="s">
        <v>514</v>
      </c>
      <c r="E218" s="9">
        <v>34</v>
      </c>
      <c r="F218" s="9" t="s">
        <v>613</v>
      </c>
      <c r="G218" s="9" t="s">
        <v>568</v>
      </c>
      <c r="H218" s="9" t="s">
        <v>47</v>
      </c>
      <c r="I218" s="9" t="s">
        <v>579</v>
      </c>
      <c r="J218" s="9" t="s">
        <v>614</v>
      </c>
      <c r="K218" s="9" t="s">
        <v>615</v>
      </c>
      <c r="L218" s="10" t="s">
        <v>615</v>
      </c>
      <c r="M218" s="9" t="s">
        <v>65</v>
      </c>
      <c r="N218" s="9">
        <v>525</v>
      </c>
      <c r="O218" s="9" t="s">
        <v>72</v>
      </c>
      <c r="P218" s="9">
        <v>375</v>
      </c>
      <c r="Q218" s="9">
        <v>375</v>
      </c>
      <c r="R218" s="9">
        <v>0.81</v>
      </c>
      <c r="S218" s="9">
        <v>-0.67546899999999999</v>
      </c>
      <c r="T218" s="9">
        <v>109.27309</v>
      </c>
      <c r="U218" s="9" t="s">
        <v>52</v>
      </c>
      <c r="V218" s="11" t="str">
        <f>VLOOKUP(L218,'[1]singkron data'!D:E,2,FALSE)</f>
        <v>PT. Mina Transindo Totabuan</v>
      </c>
      <c r="W218" s="11"/>
      <c r="X218" s="11"/>
      <c r="Y218" s="11">
        <f>VLOOKUP(L218,'[1]singkron data'!D:H,5,FALSE)</f>
        <v>0</v>
      </c>
      <c r="Z218" s="11" t="str">
        <f>VLOOKUP(L218,'[1]singkron data'!D:I,6,FALSE)</f>
        <v>Online</v>
      </c>
      <c r="AA218" s="11" t="str">
        <f>VLOOKUP(L218,'[1]singkron data'!D:L,9,FALSE)</f>
        <v>081130570777/radinal</v>
      </c>
      <c r="AB218" s="11" t="s">
        <v>54</v>
      </c>
      <c r="AC218" s="11" t="str">
        <f>VLOOKUP(L218,'[1]singkron data'!D:M,10,FALSE)</f>
        <v>Dedd</v>
      </c>
      <c r="AD218" s="11" t="str">
        <f>VLOOKUP(L218,'[1]data 1129'!F:O,10,FALSE)</f>
        <v>Tahap III 166</v>
      </c>
      <c r="AE218" s="11">
        <f>VLOOKUP(L218,'[1]singkron data'!D:P,13,FALSE)</f>
        <v>0</v>
      </c>
      <c r="AF218" s="11" t="s">
        <v>55</v>
      </c>
      <c r="AG218" s="11" t="e">
        <f>VLOOKUP(L218,'[1]update kontrak'!E:K,6,FALSE)</f>
        <v>#N/A</v>
      </c>
      <c r="AH218" s="11" t="e">
        <f>VLOOKUP(L218,'[1]update kontrak'!E:K,7,FALSE)</f>
        <v>#N/A</v>
      </c>
      <c r="AI218" s="11"/>
      <c r="AJ218" s="11" t="str">
        <f>VLOOKUP(L218,[1]rekap!D:M,1,FALSE)</f>
        <v>Padang Tikar Dua</v>
      </c>
      <c r="AK218" s="11" t="str">
        <f>VLOOKUP(L218,'[1]singkron data'!D:E,2,FALSE)</f>
        <v>PT. Mina Transindo Totabuan</v>
      </c>
      <c r="AL218" s="11" t="str">
        <f>VLOOKUP(L218,'[1]update 521'!D:D,1,FALSE)</f>
        <v>Padang Tikar Dua</v>
      </c>
      <c r="AM218" s="11" t="s">
        <v>96</v>
      </c>
      <c r="AN218" s="11" t="e">
        <f>VLOOKUP(L218,[1]Sheet19!E:L,8,FALSE)</f>
        <v>#N/A</v>
      </c>
      <c r="AO218" s="11" t="e">
        <f>VLOOKUP(L218,[1]Sheet19!E:K,7,FALSE)</f>
        <v>#N/A</v>
      </c>
      <c r="AP218" s="12"/>
    </row>
    <row r="219" spans="1:42" ht="15" x14ac:dyDescent="0.2">
      <c r="A219" s="8" t="s">
        <v>42</v>
      </c>
      <c r="B219" s="9" t="s">
        <v>43</v>
      </c>
      <c r="C219" s="9">
        <v>248</v>
      </c>
      <c r="D219" s="9" t="s">
        <v>514</v>
      </c>
      <c r="E219" s="9">
        <v>35</v>
      </c>
      <c r="F219" s="9" t="s">
        <v>613</v>
      </c>
      <c r="G219" s="9" t="s">
        <v>568</v>
      </c>
      <c r="H219" s="9" t="s">
        <v>47</v>
      </c>
      <c r="I219" s="9" t="s">
        <v>579</v>
      </c>
      <c r="J219" s="9" t="s">
        <v>614</v>
      </c>
      <c r="K219" s="9" t="s">
        <v>616</v>
      </c>
      <c r="L219" s="10" t="s">
        <v>616</v>
      </c>
      <c r="M219" s="9" t="s">
        <v>51</v>
      </c>
      <c r="N219" s="9">
        <v>315</v>
      </c>
      <c r="O219" s="9" t="s">
        <v>72</v>
      </c>
      <c r="P219" s="9">
        <v>139</v>
      </c>
      <c r="Q219" s="9">
        <v>139</v>
      </c>
      <c r="R219" s="9">
        <v>0.09</v>
      </c>
      <c r="S219" s="9">
        <v>-0.67312799999999995</v>
      </c>
      <c r="T219" s="9">
        <v>109.26077600000001</v>
      </c>
      <c r="U219" s="9" t="s">
        <v>52</v>
      </c>
      <c r="V219" s="11" t="str">
        <f>VLOOKUP(L219,'[1]singkron data'!D:E,2,FALSE)</f>
        <v>PT. Mina Transindo Totabuan</v>
      </c>
      <c r="W219" s="11"/>
      <c r="X219" s="11"/>
      <c r="Y219" s="11">
        <f>VLOOKUP(L219,'[1]singkron data'!D:H,5,FALSE)</f>
        <v>0</v>
      </c>
      <c r="Z219" s="11" t="str">
        <f>VLOOKUP(L219,'[1]singkron data'!D:I,6,FALSE)</f>
        <v>Online</v>
      </c>
      <c r="AA219" s="11" t="str">
        <f>VLOOKUP(L219,'[1]singkron data'!D:L,9,FALSE)</f>
        <v>081130570777/radinal</v>
      </c>
      <c r="AB219" s="11" t="s">
        <v>54</v>
      </c>
      <c r="AC219" s="11" t="str">
        <f>VLOOKUP(L219,'[1]singkron data'!D:M,10,FALSE)</f>
        <v>Dedd</v>
      </c>
      <c r="AD219" s="11" t="str">
        <f>VLOOKUP(L219,'[1]data 1129'!F:O,10,FALSE)</f>
        <v>Tahap III 166</v>
      </c>
      <c r="AE219" s="11">
        <f>VLOOKUP(L219,'[1]singkron data'!D:P,13,FALSE)</f>
        <v>0</v>
      </c>
      <c r="AF219" s="11"/>
      <c r="AG219" s="11" t="e">
        <f>VLOOKUP(L219,'[1]update kontrak'!E:K,6,FALSE)</f>
        <v>#N/A</v>
      </c>
      <c r="AH219" s="11" t="e">
        <f>VLOOKUP(L219,'[1]update kontrak'!E:K,7,FALSE)</f>
        <v>#N/A</v>
      </c>
      <c r="AI219" s="11"/>
      <c r="AJ219" s="11" t="str">
        <f>VLOOKUP(L219,[1]rekap!D:M,1,FALSE)</f>
        <v>Padang Tikar Satu</v>
      </c>
      <c r="AK219" s="11" t="str">
        <f>VLOOKUP(L219,'[1]singkron data'!D:E,2,FALSE)</f>
        <v>PT. Mina Transindo Totabuan</v>
      </c>
      <c r="AL219" s="11" t="str">
        <f>VLOOKUP(L219,'[1]update 521'!D:D,1,FALSE)</f>
        <v>Padang Tikar Satu</v>
      </c>
      <c r="AM219" s="11" t="s">
        <v>96</v>
      </c>
      <c r="AN219" s="11" t="e">
        <f>VLOOKUP(L219,[1]Sheet19!E:L,8,FALSE)</f>
        <v>#N/A</v>
      </c>
      <c r="AO219" s="11" t="e">
        <f>VLOOKUP(L219,[1]Sheet19!E:K,7,FALSE)</f>
        <v>#N/A</v>
      </c>
      <c r="AP219" s="12"/>
    </row>
    <row r="220" spans="1:42" ht="15" x14ac:dyDescent="0.2">
      <c r="A220" s="8" t="s">
        <v>42</v>
      </c>
      <c r="B220" s="9" t="s">
        <v>43</v>
      </c>
      <c r="C220" s="9">
        <v>249</v>
      </c>
      <c r="D220" s="9" t="s">
        <v>514</v>
      </c>
      <c r="E220" s="9">
        <v>36</v>
      </c>
      <c r="F220" s="9" t="s">
        <v>613</v>
      </c>
      <c r="G220" s="9" t="s">
        <v>568</v>
      </c>
      <c r="H220" s="9" t="s">
        <v>47</v>
      </c>
      <c r="I220" s="9" t="s">
        <v>579</v>
      </c>
      <c r="J220" s="9" t="s">
        <v>614</v>
      </c>
      <c r="K220" s="9" t="s">
        <v>617</v>
      </c>
      <c r="L220" s="10" t="s">
        <v>617</v>
      </c>
      <c r="M220" s="9" t="s">
        <v>51</v>
      </c>
      <c r="N220" s="9">
        <v>111</v>
      </c>
      <c r="O220" s="9">
        <v>1</v>
      </c>
      <c r="P220" s="9">
        <v>36</v>
      </c>
      <c r="Q220" s="9">
        <v>37</v>
      </c>
      <c r="R220" s="9">
        <v>0.05</v>
      </c>
      <c r="S220" s="9">
        <v>-0.74070599999999998</v>
      </c>
      <c r="T220" s="9">
        <v>109.246419</v>
      </c>
      <c r="U220" s="9" t="s">
        <v>52</v>
      </c>
      <c r="V220" s="11" t="str">
        <f>VLOOKUP(L220,'[1]singkron data'!D:E,2,FALSE)</f>
        <v>PT. Mina Transindo Totabuan</v>
      </c>
      <c r="W220" s="13">
        <f>VLOOKUP(L220,'[1]update tim 2'!D:F,3,FALSE)</f>
        <v>2809081000</v>
      </c>
      <c r="X220" s="11" t="s">
        <v>55</v>
      </c>
      <c r="Y220" s="11">
        <f>VLOOKUP(L220,'[1]singkron data'!D:H,5,FALSE)</f>
        <v>0</v>
      </c>
      <c r="Z220" s="11" t="str">
        <f>VLOOKUP(L220,'[1]singkron data'!D:I,6,FALSE)</f>
        <v>Online</v>
      </c>
      <c r="AA220" s="11" t="str">
        <f>VLOOKUP(L220,'[1]singkron data'!D:L,9,FALSE)</f>
        <v>081130570777/radinal</v>
      </c>
      <c r="AB220" s="11" t="s">
        <v>54</v>
      </c>
      <c r="AC220" s="11" t="str">
        <f>VLOOKUP(L220,'[1]singkron data'!D:M,10,FALSE)</f>
        <v>Dedd</v>
      </c>
      <c r="AD220" s="11" t="str">
        <f>VLOOKUP(L220,'[1]data 1129'!F:O,10,FALSE)</f>
        <v>Tahap IV 200</v>
      </c>
      <c r="AE220" s="11">
        <f>VLOOKUP(L220,'[1]singkron data'!D:P,13,FALSE)</f>
        <v>0</v>
      </c>
      <c r="AF220" s="11" t="s">
        <v>55</v>
      </c>
      <c r="AG220" s="11" t="e">
        <f>VLOOKUP(L220,'[1]update kontrak'!E:K,6,FALSE)</f>
        <v>#N/A</v>
      </c>
      <c r="AH220" s="11" t="e">
        <f>VLOOKUP(L220,'[1]update kontrak'!E:K,7,FALSE)</f>
        <v>#N/A</v>
      </c>
      <c r="AI220" s="11"/>
      <c r="AJ220" s="11" t="str">
        <f>VLOOKUP(L220,[1]rekap!D:M,1,FALSE)</f>
        <v>Tasik Malaya</v>
      </c>
      <c r="AK220" s="11" t="str">
        <f>VLOOKUP(L220,'[1]singkron data'!D:E,2,FALSE)</f>
        <v>PT. Mina Transindo Totabuan</v>
      </c>
      <c r="AL220" s="11" t="str">
        <f>VLOOKUP(L220,'[1]update 521'!D:D,1,FALSE)</f>
        <v>Tasik Malaya</v>
      </c>
      <c r="AM220" s="11" t="s">
        <v>57</v>
      </c>
      <c r="AN220" s="11" t="e">
        <f>VLOOKUP(L220,[1]Sheet19!E:L,8,FALSE)</f>
        <v>#N/A</v>
      </c>
      <c r="AO220" s="11" t="s">
        <v>58</v>
      </c>
      <c r="AP220" s="12"/>
    </row>
    <row r="221" spans="1:42" ht="15" x14ac:dyDescent="0.2">
      <c r="A221" s="8" t="s">
        <v>42</v>
      </c>
      <c r="B221" s="9" t="s">
        <v>43</v>
      </c>
      <c r="C221" s="9">
        <v>250</v>
      </c>
      <c r="D221" s="9" t="s">
        <v>514</v>
      </c>
      <c r="E221" s="9">
        <v>37</v>
      </c>
      <c r="F221" s="9" t="s">
        <v>618</v>
      </c>
      <c r="G221" s="9" t="s">
        <v>516</v>
      </c>
      <c r="H221" s="9" t="s">
        <v>47</v>
      </c>
      <c r="I221" s="9" t="s">
        <v>619</v>
      </c>
      <c r="J221" s="9" t="s">
        <v>620</v>
      </c>
      <c r="K221" s="9" t="s">
        <v>621</v>
      </c>
      <c r="L221" s="10" t="s">
        <v>621</v>
      </c>
      <c r="M221" s="9" t="s">
        <v>65</v>
      </c>
      <c r="N221" s="9">
        <v>694</v>
      </c>
      <c r="O221" s="9" t="s">
        <v>72</v>
      </c>
      <c r="P221" s="9">
        <v>421</v>
      </c>
      <c r="Q221" s="9">
        <v>421</v>
      </c>
      <c r="R221" s="9">
        <v>4.6100000000000003</v>
      </c>
      <c r="S221" s="9">
        <v>-3.2785769999999999</v>
      </c>
      <c r="T221" s="9">
        <v>113.345753</v>
      </c>
      <c r="U221" s="9" t="s">
        <v>52</v>
      </c>
      <c r="V221" s="11" t="str">
        <f>VLOOKUP(L221,'[1]singkron data'!D:E,2,FALSE)</f>
        <v>PT. Borneo Mitra Strategis</v>
      </c>
      <c r="W221" s="11"/>
      <c r="X221" s="11"/>
      <c r="Y221" s="11">
        <f>VLOOKUP(L221,'[1]singkron data'!D:H,5,FALSE)</f>
        <v>0</v>
      </c>
      <c r="Z221" s="11">
        <f>VLOOKUP(L221,'[1]singkron data'!D:I,6,FALSE)</f>
        <v>0</v>
      </c>
      <c r="AA221" s="11" t="str">
        <f>VLOOKUP(L221,'[1]singkron data'!D:L,9,FALSE)</f>
        <v>081293305027/iqbal</v>
      </c>
      <c r="AB221" s="11" t="s">
        <v>54</v>
      </c>
      <c r="AC221" s="11" t="str">
        <f>VLOOKUP(L221,'[1]singkron data'!D:M,10,FALSE)</f>
        <v>Iqbal/AM</v>
      </c>
      <c r="AD221" s="11" t="str">
        <f>VLOOKUP(L221,'[1]data 1129'!F:O,10,FALSE)</f>
        <v>Tahap IV 200</v>
      </c>
      <c r="AE221" s="11">
        <f>VLOOKUP(L221,'[1]singkron data'!D:P,13,FALSE)</f>
        <v>0</v>
      </c>
      <c r="AF221" s="11" t="s">
        <v>55</v>
      </c>
      <c r="AG221" s="11" t="e">
        <f>VLOOKUP(L221,'[1]update kontrak'!E:K,6,FALSE)</f>
        <v>#N/A</v>
      </c>
      <c r="AH221" s="11" t="e">
        <f>VLOOKUP(L221,'[1]update kontrak'!E:K,7,FALSE)</f>
        <v>#N/A</v>
      </c>
      <c r="AI221" s="11"/>
      <c r="AJ221" s="11" t="str">
        <f>VLOOKUP(L221,[1]rekap!D:M,1,FALSE)</f>
        <v>Pagatan Hilir</v>
      </c>
      <c r="AK221" s="11" t="str">
        <f>VLOOKUP(L221,'[1]singkron data'!D:E,2,FALSE)</f>
        <v>PT. Borneo Mitra Strategis</v>
      </c>
      <c r="AL221" s="11" t="str">
        <f>VLOOKUP(L221,'[1]update 521'!D:D,1,FALSE)</f>
        <v>Pagatan Hilir</v>
      </c>
      <c r="AM221" s="11" t="s">
        <v>96</v>
      </c>
      <c r="AN221" s="11" t="e">
        <f>VLOOKUP(L221,[1]Sheet19!E:L,8,FALSE)</f>
        <v>#N/A</v>
      </c>
      <c r="AO221" s="11" t="e">
        <f>VLOOKUP(L221,[1]Sheet19!E:K,7,FALSE)</f>
        <v>#N/A</v>
      </c>
      <c r="AP221" s="12"/>
    </row>
    <row r="222" spans="1:42" ht="15" x14ac:dyDescent="0.2">
      <c r="A222" s="8" t="s">
        <v>42</v>
      </c>
      <c r="B222" s="9" t="s">
        <v>43</v>
      </c>
      <c r="C222" s="9">
        <v>251</v>
      </c>
      <c r="D222" s="9" t="s">
        <v>514</v>
      </c>
      <c r="E222" s="9">
        <v>38</v>
      </c>
      <c r="F222" s="9" t="s">
        <v>618</v>
      </c>
      <c r="G222" s="9" t="s">
        <v>516</v>
      </c>
      <c r="H222" s="9" t="s">
        <v>47</v>
      </c>
      <c r="I222" s="9" t="s">
        <v>619</v>
      </c>
      <c r="J222" s="9" t="s">
        <v>620</v>
      </c>
      <c r="K222" s="9" t="s">
        <v>622</v>
      </c>
      <c r="L222" s="10" t="s">
        <v>622</v>
      </c>
      <c r="M222" s="9" t="s">
        <v>51</v>
      </c>
      <c r="N222" s="9">
        <v>100</v>
      </c>
      <c r="O222" s="9" t="s">
        <v>72</v>
      </c>
      <c r="P222" s="9">
        <v>100</v>
      </c>
      <c r="Q222" s="9">
        <v>100</v>
      </c>
      <c r="R222" s="9">
        <v>0.25</v>
      </c>
      <c r="S222" s="9">
        <v>-3.2429543999999999</v>
      </c>
      <c r="T222" s="9">
        <v>113.3246901</v>
      </c>
      <c r="U222" s="9" t="s">
        <v>52</v>
      </c>
      <c r="V222" s="11" t="str">
        <f>VLOOKUP(L222,'[1]singkron data'!D:E,2,FALSE)</f>
        <v>PT. Borneo Mitra Strategis</v>
      </c>
      <c r="W222" s="11"/>
      <c r="X222" s="11"/>
      <c r="Y222" s="11">
        <f>VLOOKUP(L222,'[1]singkron data'!D:H,5,FALSE)</f>
        <v>0</v>
      </c>
      <c r="Z222" s="11">
        <f>VLOOKUP(L222,'[1]singkron data'!D:I,6,FALSE)</f>
        <v>0</v>
      </c>
      <c r="AA222" s="11" t="str">
        <f>VLOOKUP(L222,'[1]singkron data'!D:L,9,FALSE)</f>
        <v>081293305027/iqbal</v>
      </c>
      <c r="AB222" s="11" t="s">
        <v>54</v>
      </c>
      <c r="AC222" s="11" t="str">
        <f>VLOOKUP(L222,'[1]singkron data'!D:M,10,FALSE)</f>
        <v>Iqbal/AM</v>
      </c>
      <c r="AD222" s="11" t="str">
        <f>VLOOKUP(L222,'[1]data 1129'!F:O,10,FALSE)</f>
        <v>Tahap III 166</v>
      </c>
      <c r="AE222" s="11">
        <f>VLOOKUP(L222,'[1]singkron data'!D:P,13,FALSE)</f>
        <v>0</v>
      </c>
      <c r="AF222" s="11"/>
      <c r="AG222" s="11" t="e">
        <f>VLOOKUP(L222,'[1]update kontrak'!E:K,6,FALSE)</f>
        <v>#N/A</v>
      </c>
      <c r="AH222" s="11" t="e">
        <f>VLOOKUP(L222,'[1]update kontrak'!E:K,7,FALSE)</f>
        <v>#N/A</v>
      </c>
      <c r="AI222" s="11"/>
      <c r="AJ222" s="11" t="str">
        <f>VLOOKUP(L222,[1]rekap!D:M,1,FALSE)</f>
        <v>Kampung Keramat</v>
      </c>
      <c r="AK222" s="11" t="str">
        <f>VLOOKUP(L222,'[1]singkron data'!D:E,2,FALSE)</f>
        <v>PT. Borneo Mitra Strategis</v>
      </c>
      <c r="AL222" s="11" t="str">
        <f>VLOOKUP(L222,'[1]update 521'!D:D,1,FALSE)</f>
        <v>Kampung Keramat</v>
      </c>
      <c r="AM222" s="11" t="s">
        <v>96</v>
      </c>
      <c r="AN222" s="11" t="e">
        <f>VLOOKUP(L222,[1]Sheet19!E:L,8,FALSE)</f>
        <v>#N/A</v>
      </c>
      <c r="AO222" s="11" t="e">
        <f>VLOOKUP(L222,[1]Sheet19!E:K,7,FALSE)</f>
        <v>#N/A</v>
      </c>
      <c r="AP222" s="12"/>
    </row>
    <row r="223" spans="1:42" ht="15" x14ac:dyDescent="0.2">
      <c r="A223" s="8" t="s">
        <v>42</v>
      </c>
      <c r="B223" s="9" t="s">
        <v>43</v>
      </c>
      <c r="C223" s="9">
        <v>252</v>
      </c>
      <c r="D223" s="9" t="s">
        <v>514</v>
      </c>
      <c r="E223" s="9">
        <v>39</v>
      </c>
      <c r="F223" s="9" t="s">
        <v>618</v>
      </c>
      <c r="G223" s="9" t="s">
        <v>516</v>
      </c>
      <c r="H223" s="9" t="s">
        <v>47</v>
      </c>
      <c r="I223" s="9" t="s">
        <v>623</v>
      </c>
      <c r="J223" s="9" t="s">
        <v>624</v>
      </c>
      <c r="K223" s="9" t="s">
        <v>625</v>
      </c>
      <c r="L223" s="10" t="s">
        <v>625</v>
      </c>
      <c r="M223" s="9" t="s">
        <v>51</v>
      </c>
      <c r="N223" s="9">
        <v>153</v>
      </c>
      <c r="O223" s="9" t="s">
        <v>72</v>
      </c>
      <c r="P223" s="9">
        <v>79</v>
      </c>
      <c r="Q223" s="9">
        <v>79</v>
      </c>
      <c r="R223" s="9">
        <v>1.8</v>
      </c>
      <c r="S223" s="9">
        <v>-2.9074979999999999</v>
      </c>
      <c r="T223" s="9">
        <v>113.00467</v>
      </c>
      <c r="U223" s="9" t="s">
        <v>52</v>
      </c>
      <c r="V223" s="11" t="str">
        <f>VLOOKUP(L223,'[1]singkron data'!D:E,2,FALSE)</f>
        <v>PT. Borneo Mitra Strategis</v>
      </c>
      <c r="W223" s="11"/>
      <c r="X223" s="11"/>
      <c r="Y223" s="11">
        <f>VLOOKUP(L223,'[1]singkron data'!D:H,5,FALSE)</f>
        <v>0</v>
      </c>
      <c r="Z223" s="11">
        <f>VLOOKUP(L223,'[1]singkron data'!D:I,6,FALSE)</f>
        <v>0</v>
      </c>
      <c r="AA223" s="11" t="str">
        <f>VLOOKUP(L223,'[1]singkron data'!D:L,9,FALSE)</f>
        <v>081293305027/iqbal</v>
      </c>
      <c r="AB223" s="11" t="s">
        <v>54</v>
      </c>
      <c r="AC223" s="11" t="str">
        <f>VLOOKUP(L223,'[1]singkron data'!D:M,10,FALSE)</f>
        <v>Iqbal/AM</v>
      </c>
      <c r="AD223" s="11" t="str">
        <f>VLOOKUP(L223,'[1]data 1129'!F:O,10,FALSE)</f>
        <v>Tahap III 166</v>
      </c>
      <c r="AE223" s="11">
        <f>VLOOKUP(L223,'[1]singkron data'!D:P,13,FALSE)</f>
        <v>0</v>
      </c>
      <c r="AF223" s="11"/>
      <c r="AG223" s="11" t="e">
        <f>VLOOKUP(L223,'[1]update kontrak'!E:K,6,FALSE)</f>
        <v>#N/A</v>
      </c>
      <c r="AH223" s="11" t="e">
        <f>VLOOKUP(L223,'[1]update kontrak'!E:K,7,FALSE)</f>
        <v>#N/A</v>
      </c>
      <c r="AI223" s="11"/>
      <c r="AJ223" s="11" t="str">
        <f>VLOOKUP(L223,[1]rekap!D:M,1,FALSE)</f>
        <v>Sei Ijum Raya</v>
      </c>
      <c r="AK223" s="11" t="str">
        <f>VLOOKUP(L223,'[1]singkron data'!D:E,2,FALSE)</f>
        <v>PT. Borneo Mitra Strategis</v>
      </c>
      <c r="AL223" s="11" t="str">
        <f>VLOOKUP(L223,'[1]update 521'!D:D,1,FALSE)</f>
        <v>Sei Ijum Raya</v>
      </c>
      <c r="AM223" s="11" t="s">
        <v>96</v>
      </c>
      <c r="AN223" s="11" t="e">
        <f>VLOOKUP(L223,[1]Sheet19!E:L,8,FALSE)</f>
        <v>#N/A</v>
      </c>
      <c r="AO223" s="11" t="e">
        <f>VLOOKUP(L223,[1]Sheet19!E:K,7,FALSE)</f>
        <v>#N/A</v>
      </c>
      <c r="AP223" s="12"/>
    </row>
    <row r="224" spans="1:42" ht="15" x14ac:dyDescent="0.2">
      <c r="A224" s="8" t="s">
        <v>42</v>
      </c>
      <c r="B224" s="9" t="s">
        <v>43</v>
      </c>
      <c r="C224" s="9">
        <v>253</v>
      </c>
      <c r="D224" s="9" t="s">
        <v>514</v>
      </c>
      <c r="E224" s="9">
        <v>40</v>
      </c>
      <c r="F224" s="9" t="s">
        <v>626</v>
      </c>
      <c r="G224" s="9" t="s">
        <v>568</v>
      </c>
      <c r="H224" s="9" t="s">
        <v>47</v>
      </c>
      <c r="I224" s="9" t="s">
        <v>627</v>
      </c>
      <c r="J224" s="9" t="s">
        <v>628</v>
      </c>
      <c r="K224" s="9" t="s">
        <v>629</v>
      </c>
      <c r="L224" s="10" t="s">
        <v>629</v>
      </c>
      <c r="M224" s="9" t="s">
        <v>51</v>
      </c>
      <c r="N224" s="9">
        <v>741</v>
      </c>
      <c r="O224" s="9" t="s">
        <v>72</v>
      </c>
      <c r="P224" s="9">
        <v>235</v>
      </c>
      <c r="Q224" s="9">
        <v>235</v>
      </c>
      <c r="R224" s="9">
        <v>1.5</v>
      </c>
      <c r="S224" s="9">
        <v>-1.0629189999999999</v>
      </c>
      <c r="T224" s="9">
        <v>109.459428</v>
      </c>
      <c r="U224" s="9" t="s">
        <v>52</v>
      </c>
      <c r="V224" s="11" t="s">
        <v>630</v>
      </c>
      <c r="W224" s="13">
        <f>VLOOKUP(L224,'[1]update tim 2'!D:F,3,FALSE)</f>
        <v>4113545000</v>
      </c>
      <c r="X224" s="11" t="s">
        <v>55</v>
      </c>
      <c r="Y224" s="11" t="str">
        <f>VLOOKUP(L224,'[1]singkron data'!D:H,5,FALSE)</f>
        <v>Jakarta</v>
      </c>
      <c r="Z224" s="11" t="str">
        <f>VLOOKUP(L224,'[1]singkron data'!D:I,6,FALSE)</f>
        <v>Online</v>
      </c>
      <c r="AA224" s="11" t="s">
        <v>631</v>
      </c>
      <c r="AB224" s="11" t="s">
        <v>54</v>
      </c>
      <c r="AC224" s="11" t="s">
        <v>566</v>
      </c>
      <c r="AD224" s="11" t="str">
        <f>VLOOKUP(L224,'[1]data 1129'!F:O,10,FALSE)</f>
        <v>Tahap III 166</v>
      </c>
      <c r="AE224" s="11">
        <f>VLOOKUP(L224,'[1]singkron data'!D:P,13,FALSE)</f>
        <v>0</v>
      </c>
      <c r="AF224" s="11" t="s">
        <v>55</v>
      </c>
      <c r="AG224" s="11" t="e">
        <f>VLOOKUP(L224,'[1]update kontrak'!E:K,6,FALSE)</f>
        <v>#N/A</v>
      </c>
      <c r="AH224" s="11" t="e">
        <f>VLOOKUP(L224,'[1]update kontrak'!E:K,7,FALSE)</f>
        <v>#N/A</v>
      </c>
      <c r="AI224" s="11"/>
      <c r="AJ224" s="11" t="str">
        <f>VLOOKUP(L224,[1]rekap!D:M,1,FALSE)</f>
        <v>Dusun Kecil</v>
      </c>
      <c r="AK224" s="11" t="str">
        <f>VLOOKUP(L224,'[1]singkron data'!D:E,2,FALSE)</f>
        <v>PT. Savar Bikuro Sejahtera (Menengah)</v>
      </c>
      <c r="AL224" s="11" t="str">
        <f>VLOOKUP(L224,'[1]update 521'!D:D,1,FALSE)</f>
        <v>Dusun Kecil</v>
      </c>
      <c r="AM224" s="11" t="s">
        <v>57</v>
      </c>
      <c r="AN224" s="11" t="e">
        <f>VLOOKUP(L224,[1]Sheet19!E:L,8,FALSE)</f>
        <v>#N/A</v>
      </c>
      <c r="AO224" s="11" t="s">
        <v>58</v>
      </c>
      <c r="AP224" s="12"/>
    </row>
    <row r="225" spans="1:42" ht="15" x14ac:dyDescent="0.2">
      <c r="A225" s="8" t="s">
        <v>42</v>
      </c>
      <c r="B225" s="9" t="s">
        <v>43</v>
      </c>
      <c r="C225" s="9">
        <v>254</v>
      </c>
      <c r="D225" s="9" t="s">
        <v>514</v>
      </c>
      <c r="E225" s="9">
        <v>41</v>
      </c>
      <c r="F225" s="9" t="s">
        <v>626</v>
      </c>
      <c r="G225" s="9" t="s">
        <v>568</v>
      </c>
      <c r="H225" s="9" t="s">
        <v>47</v>
      </c>
      <c r="I225" s="9" t="s">
        <v>627</v>
      </c>
      <c r="J225" s="9" t="s">
        <v>632</v>
      </c>
      <c r="K225" s="9" t="s">
        <v>633</v>
      </c>
      <c r="L225" s="10" t="s">
        <v>633</v>
      </c>
      <c r="M225" s="9" t="s">
        <v>51</v>
      </c>
      <c r="N225" s="9">
        <v>271</v>
      </c>
      <c r="O225" s="9" t="s">
        <v>72</v>
      </c>
      <c r="P225" s="9">
        <v>162</v>
      </c>
      <c r="Q225" s="9">
        <v>162</v>
      </c>
      <c r="R225" s="9">
        <v>0.5</v>
      </c>
      <c r="S225" s="9">
        <v>-1.2951820000000001</v>
      </c>
      <c r="T225" s="9">
        <v>109.153372</v>
      </c>
      <c r="U225" s="9" t="s">
        <v>52</v>
      </c>
      <c r="V225" s="11" t="s">
        <v>630</v>
      </c>
      <c r="W225" s="13">
        <f>VLOOKUP(L225,'[1]update tim 2'!D:F,3,FALSE)</f>
        <v>5597067000</v>
      </c>
      <c r="X225" s="11" t="s">
        <v>55</v>
      </c>
      <c r="Y225" s="11" t="str">
        <f>VLOOKUP(L225,'[1]singkron data'!D:H,5,FALSE)</f>
        <v>Jakarta</v>
      </c>
      <c r="Z225" s="11" t="str">
        <f>VLOOKUP(L225,'[1]singkron data'!D:I,6,FALSE)</f>
        <v>Online</v>
      </c>
      <c r="AA225" s="11" t="s">
        <v>631</v>
      </c>
      <c r="AB225" s="11" t="s">
        <v>54</v>
      </c>
      <c r="AC225" s="11" t="s">
        <v>566</v>
      </c>
      <c r="AD225" s="11" t="str">
        <f>VLOOKUP(L225,'[1]data 1129'!F:O,10,FALSE)</f>
        <v>Tahap III 166</v>
      </c>
      <c r="AE225" s="11">
        <f>VLOOKUP(L225,'[1]singkron data'!D:P,13,FALSE)</f>
        <v>0</v>
      </c>
      <c r="AF225" s="11" t="s">
        <v>55</v>
      </c>
      <c r="AG225" s="11" t="e">
        <f>VLOOKUP(L225,'[1]update kontrak'!E:K,6,FALSE)</f>
        <v>#N/A</v>
      </c>
      <c r="AH225" s="11" t="e">
        <f>VLOOKUP(L225,'[1]update kontrak'!E:K,7,FALSE)</f>
        <v>#N/A</v>
      </c>
      <c r="AI225" s="11"/>
      <c r="AJ225" s="11" t="str">
        <f>VLOOKUP(L225,[1]rekap!D:M,1,FALSE)</f>
        <v>Pelapis</v>
      </c>
      <c r="AK225" s="11" t="str">
        <f>VLOOKUP(L225,'[1]singkron data'!D:E,2,FALSE)</f>
        <v>PT. Savar Bikuro Sejahtera (Menengah)</v>
      </c>
      <c r="AL225" s="11" t="str">
        <f>VLOOKUP(L225,'[1]update 521'!D:D,1,FALSE)</f>
        <v>Pelapis</v>
      </c>
      <c r="AM225" s="11" t="s">
        <v>57</v>
      </c>
      <c r="AN225" s="11" t="e">
        <f>VLOOKUP(L225,[1]Sheet19!E:L,8,FALSE)</f>
        <v>#N/A</v>
      </c>
      <c r="AO225" s="11" t="s">
        <v>58</v>
      </c>
      <c r="AP225" s="12"/>
    </row>
    <row r="226" spans="1:42" ht="15" x14ac:dyDescent="0.2">
      <c r="A226" s="8" t="s">
        <v>42</v>
      </c>
      <c r="B226" s="9" t="s">
        <v>43</v>
      </c>
      <c r="C226" s="9">
        <v>255</v>
      </c>
      <c r="D226" s="9" t="s">
        <v>514</v>
      </c>
      <c r="E226" s="9">
        <v>42</v>
      </c>
      <c r="F226" s="9" t="s">
        <v>626</v>
      </c>
      <c r="G226" s="9" t="s">
        <v>568</v>
      </c>
      <c r="H226" s="9" t="s">
        <v>47</v>
      </c>
      <c r="I226" s="9" t="s">
        <v>627</v>
      </c>
      <c r="J226" s="9" t="s">
        <v>634</v>
      </c>
      <c r="K226" s="9" t="s">
        <v>635</v>
      </c>
      <c r="L226" s="10" t="s">
        <v>635</v>
      </c>
      <c r="M226" s="9" t="s">
        <v>51</v>
      </c>
      <c r="N226" s="9">
        <v>221</v>
      </c>
      <c r="O226" s="9" t="s">
        <v>72</v>
      </c>
      <c r="P226" s="9">
        <v>123</v>
      </c>
      <c r="Q226" s="9">
        <v>123</v>
      </c>
      <c r="R226" s="9">
        <v>1.7</v>
      </c>
      <c r="S226" s="9">
        <v>-0.97728060000000005</v>
      </c>
      <c r="T226" s="9">
        <v>109.7558944</v>
      </c>
      <c r="U226" s="9" t="s">
        <v>52</v>
      </c>
      <c r="V226" s="11" t="s">
        <v>576</v>
      </c>
      <c r="W226" s="13">
        <f>VLOOKUP(L226,'[1]update tim 2'!D:F,3,FALSE)</f>
        <v>3130171000</v>
      </c>
      <c r="X226" s="11" t="s">
        <v>55</v>
      </c>
      <c r="Y226" s="11" t="str">
        <f>VLOOKUP(L226,'[1]singkron data'!D:H,5,FALSE)</f>
        <v>Jakarta</v>
      </c>
      <c r="Z226" s="11" t="str">
        <f>VLOOKUP(L226,'[1]singkron data'!D:I,6,FALSE)</f>
        <v>Online</v>
      </c>
      <c r="AA226" s="11" t="s">
        <v>577</v>
      </c>
      <c r="AB226" s="11" t="s">
        <v>54</v>
      </c>
      <c r="AC226" s="11" t="s">
        <v>566</v>
      </c>
      <c r="AD226" s="11" t="str">
        <f>VLOOKUP(L226,'[1]data 1129'!F:O,10,FALSE)</f>
        <v>Tahap IV 200</v>
      </c>
      <c r="AE226" s="11">
        <f>VLOOKUP(L226,'[1]singkron data'!D:P,13,FALSE)</f>
        <v>0</v>
      </c>
      <c r="AF226" s="11" t="s">
        <v>55</v>
      </c>
      <c r="AG226" s="11" t="e">
        <f>VLOOKUP(L226,'[1]update kontrak'!E:K,6,FALSE)</f>
        <v>#N/A</v>
      </c>
      <c r="AH226" s="11" t="e">
        <f>VLOOKUP(L226,'[1]update kontrak'!E:K,7,FALSE)</f>
        <v>#N/A</v>
      </c>
      <c r="AI226" s="11"/>
      <c r="AJ226" s="11" t="str">
        <f>VLOOKUP(L226,[1]rekap!D:M,1,FALSE)</f>
        <v>Telukbatang Utara</v>
      </c>
      <c r="AK226" s="11" t="str">
        <f>VLOOKUP(L226,'[1]singkron data'!D:E,2,FALSE)</f>
        <v>PT. Savar Bikuro Sejahtera (Menengah)</v>
      </c>
      <c r="AL226" s="11" t="str">
        <f>VLOOKUP(L226,'[1]update 521'!D:D,1,FALSE)</f>
        <v>Telukbatang Utara</v>
      </c>
      <c r="AM226" s="11" t="s">
        <v>57</v>
      </c>
      <c r="AN226" s="11" t="e">
        <f>VLOOKUP(L226,[1]Sheet19!E:L,8,FALSE)</f>
        <v>#N/A</v>
      </c>
      <c r="AO226" s="11" t="s">
        <v>58</v>
      </c>
      <c r="AP226" s="12"/>
    </row>
    <row r="227" spans="1:42" ht="15" x14ac:dyDescent="0.2">
      <c r="A227" s="8" t="s">
        <v>42</v>
      </c>
      <c r="B227" s="9" t="s">
        <v>43</v>
      </c>
      <c r="C227" s="9">
        <v>256</v>
      </c>
      <c r="D227" s="9" t="s">
        <v>514</v>
      </c>
      <c r="E227" s="9">
        <v>43</v>
      </c>
      <c r="F227" s="9" t="s">
        <v>636</v>
      </c>
      <c r="G227" s="9" t="s">
        <v>540</v>
      </c>
      <c r="H227" s="9" t="s">
        <v>47</v>
      </c>
      <c r="I227" s="9" t="s">
        <v>541</v>
      </c>
      <c r="J227" s="9" t="s">
        <v>637</v>
      </c>
      <c r="K227" s="9" t="s">
        <v>636</v>
      </c>
      <c r="L227" s="10" t="s">
        <v>636</v>
      </c>
      <c r="M227" s="9" t="s">
        <v>65</v>
      </c>
      <c r="N227" s="9">
        <v>150</v>
      </c>
      <c r="O227" s="9" t="s">
        <v>72</v>
      </c>
      <c r="P227" s="9" t="s">
        <v>72</v>
      </c>
      <c r="Q227" s="9">
        <v>185</v>
      </c>
      <c r="R227" s="9">
        <v>1.65</v>
      </c>
      <c r="S227" s="9">
        <v>-3.79271</v>
      </c>
      <c r="T227" s="9">
        <v>115.53182</v>
      </c>
      <c r="U227" s="9" t="s">
        <v>52</v>
      </c>
      <c r="V227" s="11" t="str">
        <f>VLOOKUP(L227,'[1]singkron data'!D:E,2,FALSE)</f>
        <v>CV. Andalan Putra Bone Perkasa</v>
      </c>
      <c r="W227" s="13">
        <f>VLOOKUP(L227,'[1]update tim 2'!D:F,3,FALSE)</f>
        <v>8868028000</v>
      </c>
      <c r="X227" s="11" t="s">
        <v>55</v>
      </c>
      <c r="Y227" s="11" t="str">
        <f>VLOOKUP(L227,'[1]singkron data'!D:H,5,FALSE)</f>
        <v>Tanah Bumbu</v>
      </c>
      <c r="Z227" s="11" t="str">
        <f>VLOOKUP(L227,'[1]singkron data'!D:I,6,FALSE)</f>
        <v>Offline</v>
      </c>
      <c r="AA227" s="11">
        <f>VLOOKUP(L227,'[1]singkron data'!D:L,9,FALSE)</f>
        <v>81345167215</v>
      </c>
      <c r="AB227" s="11" t="s">
        <v>54</v>
      </c>
      <c r="AC227" s="11" t="str">
        <f>VLOOKUP(L227,'[1]singkron data'!D:M,10,FALSE)</f>
        <v>St</v>
      </c>
      <c r="AD227" s="11" t="str">
        <f>VLOOKUP(L227,'[1]data 1129'!F:O,10,FALSE)</f>
        <v>Tahap III 166</v>
      </c>
      <c r="AE227" s="11">
        <f>VLOOKUP(L227,'[1]singkron data'!D:P,13,FALSE)</f>
        <v>0</v>
      </c>
      <c r="AF227" s="11" t="s">
        <v>55</v>
      </c>
      <c r="AG227" s="11" t="e">
        <f>VLOOKUP(L227,'[1]update kontrak'!E:K,6,FALSE)</f>
        <v>#N/A</v>
      </c>
      <c r="AH227" s="11" t="e">
        <f>VLOOKUP(L227,'[1]update kontrak'!E:K,7,FALSE)</f>
        <v>#N/A</v>
      </c>
      <c r="AI227" s="11"/>
      <c r="AJ227" s="11" t="str">
        <f>VLOOKUP(L227,[1]rekap!D:M,1,FALSE)</f>
        <v>Setarap</v>
      </c>
      <c r="AK227" s="11" t="str">
        <f>VLOOKUP(L227,'[1]singkron data'!D:E,2,FALSE)</f>
        <v>CV. Andalan Putra Bone Perkasa</v>
      </c>
      <c r="AL227" s="11" t="str">
        <f>VLOOKUP(L227,'[1]update 521'!D:D,1,FALSE)</f>
        <v>Setarap</v>
      </c>
      <c r="AM227" s="11" t="s">
        <v>57</v>
      </c>
      <c r="AN227" s="11" t="e">
        <f>VLOOKUP(L227,[1]Sheet19!E:L,8,FALSE)</f>
        <v>#N/A</v>
      </c>
      <c r="AO227" s="11" t="s">
        <v>58</v>
      </c>
      <c r="AP227" s="12"/>
    </row>
    <row r="228" spans="1:42" ht="15" x14ac:dyDescent="0.2">
      <c r="A228" s="8" t="s">
        <v>42</v>
      </c>
      <c r="B228" s="9" t="s">
        <v>43</v>
      </c>
      <c r="C228" s="9">
        <v>257</v>
      </c>
      <c r="D228" s="9" t="s">
        <v>514</v>
      </c>
      <c r="E228" s="9">
        <v>44</v>
      </c>
      <c r="F228" s="9" t="s">
        <v>636</v>
      </c>
      <c r="G228" s="9" t="s">
        <v>540</v>
      </c>
      <c r="H228" s="9" t="s">
        <v>47</v>
      </c>
      <c r="I228" s="9" t="s">
        <v>541</v>
      </c>
      <c r="J228" s="9" t="s">
        <v>638</v>
      </c>
      <c r="K228" s="9" t="s">
        <v>639</v>
      </c>
      <c r="L228" s="10" t="s">
        <v>639</v>
      </c>
      <c r="M228" s="9" t="s">
        <v>51</v>
      </c>
      <c r="N228" s="9">
        <v>150</v>
      </c>
      <c r="O228" s="9" t="s">
        <v>72</v>
      </c>
      <c r="P228" s="9" t="s">
        <v>72</v>
      </c>
      <c r="Q228" s="9">
        <v>128</v>
      </c>
      <c r="R228" s="9">
        <v>0.7</v>
      </c>
      <c r="S228" s="9">
        <v>-3.6965832999999999</v>
      </c>
      <c r="T228" s="9">
        <v>115.7578889</v>
      </c>
      <c r="U228" s="9" t="s">
        <v>52</v>
      </c>
      <c r="V228" s="11" t="str">
        <f>VLOOKUP(L228,'[1]singkron data'!D:E,2,FALSE)</f>
        <v>PT. Cita Prasada Konstruksi</v>
      </c>
      <c r="W228" s="11"/>
      <c r="X228" s="11"/>
      <c r="Y228" s="11" t="str">
        <f>VLOOKUP(L228,'[1]singkron data'!D:H,5,FALSE)</f>
        <v>Tanah Bumbu</v>
      </c>
      <c r="Z228" s="11" t="str">
        <f>VLOOKUP(L228,'[1]singkron data'!D:I,6,FALSE)</f>
        <v>Online</v>
      </c>
      <c r="AA228" s="11" t="str">
        <f>VLOOKUP(L228,'[1]singkron data'!D:L,9,FALSE)</f>
        <v>082141344885/ Reika</v>
      </c>
      <c r="AB228" s="11" t="s">
        <v>54</v>
      </c>
      <c r="AC228" s="11" t="s">
        <v>520</v>
      </c>
      <c r="AD228" s="11" t="str">
        <f>VLOOKUP(L228,'[1]data 1129'!F:O,10,FALSE)</f>
        <v>Tahap IV 200</v>
      </c>
      <c r="AE228" s="11">
        <f>VLOOKUP(L228,'[1]singkron data'!D:P,13,FALSE)</f>
        <v>0</v>
      </c>
      <c r="AF228" s="11"/>
      <c r="AG228" s="11" t="e">
        <f>VLOOKUP(L228,'[1]update kontrak'!E:K,6,FALSE)</f>
        <v>#N/A</v>
      </c>
      <c r="AH228" s="11" t="e">
        <f>VLOOKUP(L228,'[1]update kontrak'!E:K,7,FALSE)</f>
        <v>#N/A</v>
      </c>
      <c r="AI228" s="11"/>
      <c r="AJ228" s="11" t="str">
        <f>VLOOKUP(L228,[1]rekap!D:M,1,FALSE)</f>
        <v>Sungaidua Laut</v>
      </c>
      <c r="AK228" s="11" t="str">
        <f>VLOOKUP(L228,'[1]singkron data'!D:E,2,FALSE)</f>
        <v>PT. Cita Prasada Konstruksi</v>
      </c>
      <c r="AL228" s="11" t="str">
        <f>VLOOKUP(L228,'[1]update 521'!D:D,1,FALSE)</f>
        <v>Sungaidua Laut</v>
      </c>
      <c r="AM228" s="11" t="s">
        <v>96</v>
      </c>
      <c r="AN228" s="11" t="e">
        <f>VLOOKUP(L228,[1]Sheet19!E:L,8,FALSE)</f>
        <v>#N/A</v>
      </c>
      <c r="AO228" s="11" t="e">
        <f>VLOOKUP(L228,[1]Sheet19!E:K,7,FALSE)</f>
        <v>#N/A</v>
      </c>
      <c r="AP228" s="12"/>
    </row>
    <row r="229" spans="1:42" ht="15" x14ac:dyDescent="0.2">
      <c r="A229" s="8" t="s">
        <v>42</v>
      </c>
      <c r="B229" s="9" t="s">
        <v>43</v>
      </c>
      <c r="C229" s="9">
        <v>258</v>
      </c>
      <c r="D229" s="9" t="s">
        <v>514</v>
      </c>
      <c r="E229" s="9">
        <v>45</v>
      </c>
      <c r="F229" s="9" t="s">
        <v>636</v>
      </c>
      <c r="G229" s="9" t="s">
        <v>540</v>
      </c>
      <c r="H229" s="9" t="s">
        <v>47</v>
      </c>
      <c r="I229" s="9" t="s">
        <v>541</v>
      </c>
      <c r="J229" s="9" t="s">
        <v>637</v>
      </c>
      <c r="K229" s="9" t="s">
        <v>640</v>
      </c>
      <c r="L229" s="10" t="s">
        <v>641</v>
      </c>
      <c r="M229" s="9" t="s">
        <v>51</v>
      </c>
      <c r="N229" s="9">
        <v>150</v>
      </c>
      <c r="O229" s="9" t="s">
        <v>72</v>
      </c>
      <c r="P229" s="9" t="s">
        <v>72</v>
      </c>
      <c r="Q229" s="9">
        <v>61</v>
      </c>
      <c r="R229" s="9">
        <v>1</v>
      </c>
      <c r="S229" s="9">
        <v>-3.8571111</v>
      </c>
      <c r="T229" s="9">
        <v>115.3846667</v>
      </c>
      <c r="U229" s="9" t="s">
        <v>52</v>
      </c>
      <c r="V229" s="11" t="s">
        <v>642</v>
      </c>
      <c r="W229" s="11"/>
      <c r="X229" s="11"/>
      <c r="Y229" s="11" t="e">
        <f>VLOOKUP(L229,'[1]singkron data'!D:H,5,FALSE)</f>
        <v>#N/A</v>
      </c>
      <c r="Z229" s="11" t="e">
        <f>VLOOKUP(L229,'[1]singkron data'!D:I,6,FALSE)</f>
        <v>#N/A</v>
      </c>
      <c r="AA229" s="11" t="s">
        <v>643</v>
      </c>
      <c r="AB229" s="11" t="s">
        <v>54</v>
      </c>
      <c r="AC229" s="11" t="s">
        <v>520</v>
      </c>
      <c r="AD229" s="11" t="s">
        <v>364</v>
      </c>
      <c r="AE229" s="11" t="e">
        <f>VLOOKUP(L229,'[1]singkron data'!D:P,13,FALSE)</f>
        <v>#N/A</v>
      </c>
      <c r="AF229" s="11"/>
      <c r="AG229" s="11" t="e">
        <f>VLOOKUP(L229,'[1]update kontrak'!E:K,6,FALSE)</f>
        <v>#N/A</v>
      </c>
      <c r="AH229" s="11" t="e">
        <f>VLOOKUP(L229,'[1]update kontrak'!E:K,7,FALSE)</f>
        <v>#N/A</v>
      </c>
      <c r="AI229" s="11"/>
      <c r="AJ229" s="11" t="str">
        <f>VLOOKUP(L229,[1]rekap!D:M,1,FALSE)</f>
        <v>Sungai Cuka</v>
      </c>
      <c r="AK229" s="11" t="e">
        <f>VLOOKUP(L229,'[1]singkron data'!D:E,2,FALSE)</f>
        <v>#N/A</v>
      </c>
      <c r="AL229" s="11" t="str">
        <f>VLOOKUP(L229,'[1]update 521'!D:D,1,FALSE)</f>
        <v>Sungai Cuka</v>
      </c>
      <c r="AM229" s="11" t="s">
        <v>96</v>
      </c>
      <c r="AN229" s="11" t="e">
        <f>VLOOKUP(L229,[1]Sheet19!E:L,8,FALSE)</f>
        <v>#N/A</v>
      </c>
      <c r="AO229" s="11" t="e">
        <f>VLOOKUP(L229,[1]Sheet19!E:K,7,FALSE)</f>
        <v>#N/A</v>
      </c>
      <c r="AP229" s="12"/>
    </row>
    <row r="230" spans="1:42" ht="15" x14ac:dyDescent="0.2">
      <c r="A230" s="8" t="s">
        <v>42</v>
      </c>
      <c r="B230" s="9" t="s">
        <v>43</v>
      </c>
      <c r="C230" s="9">
        <v>259</v>
      </c>
      <c r="D230" s="9" t="s">
        <v>514</v>
      </c>
      <c r="E230" s="9">
        <v>46</v>
      </c>
      <c r="F230" s="9" t="s">
        <v>644</v>
      </c>
      <c r="G230" s="9" t="s">
        <v>568</v>
      </c>
      <c r="H230" s="9" t="s">
        <v>47</v>
      </c>
      <c r="I230" s="9" t="s">
        <v>414</v>
      </c>
      <c r="J230" s="9" t="s">
        <v>645</v>
      </c>
      <c r="K230" s="9" t="s">
        <v>646</v>
      </c>
      <c r="L230" s="10" t="s">
        <v>646</v>
      </c>
      <c r="M230" s="9" t="s">
        <v>51</v>
      </c>
      <c r="N230" s="9">
        <v>237</v>
      </c>
      <c r="O230" s="9">
        <v>30</v>
      </c>
      <c r="P230" s="9">
        <v>146</v>
      </c>
      <c r="Q230" s="9">
        <v>176</v>
      </c>
      <c r="R230" s="9">
        <v>0.2</v>
      </c>
      <c r="S230" s="9">
        <v>-1.8290789999999999</v>
      </c>
      <c r="T230" s="9">
        <v>109.908337</v>
      </c>
      <c r="U230" s="9" t="s">
        <v>52</v>
      </c>
      <c r="V230" s="11" t="str">
        <f>VLOOKUP(L230,'[1]singkron data'!D:E,2,FALSE)</f>
        <v>CV. Sonta Abadi</v>
      </c>
      <c r="W230" s="13">
        <f>VLOOKUP(L230,'[1]update tim 2'!D:F,3,FALSE)</f>
        <v>2913048000</v>
      </c>
      <c r="X230" s="11" t="s">
        <v>55</v>
      </c>
      <c r="Y230" s="11" t="str">
        <f>VLOOKUP(L230,'[1]singkron data'!D:H,5,FALSE)</f>
        <v>Sekadau</v>
      </c>
      <c r="Z230" s="11" t="str">
        <f>VLOOKUP(L230,'[1]singkron data'!D:I,6,FALSE)</f>
        <v>Offline</v>
      </c>
      <c r="AA230" s="11" t="str">
        <f>VLOOKUP(L230,'[1]singkron data'!D:L,9,FALSE)</f>
        <v>082189262966/rudi</v>
      </c>
      <c r="AB230" s="11" t="s">
        <v>54</v>
      </c>
      <c r="AC230" s="11">
        <f>VLOOKUP(L230,'[1]singkron data'!D:M,10,FALSE)</f>
        <v>0</v>
      </c>
      <c r="AD230" s="11" t="str">
        <f>VLOOKUP(L230,'[1]data 1129'!F:O,10,FALSE)</f>
        <v>Tahap III 166</v>
      </c>
      <c r="AE230" s="11">
        <f>VLOOKUP(L230,'[1]singkron data'!D:P,13,FALSE)</f>
        <v>0</v>
      </c>
      <c r="AF230" s="11" t="s">
        <v>55</v>
      </c>
      <c r="AG230" s="11" t="e">
        <f>VLOOKUP(L230,'[1]update kontrak'!E:K,6,FALSE)</f>
        <v>#N/A</v>
      </c>
      <c r="AH230" s="11" t="e">
        <f>VLOOKUP(L230,'[1]update kontrak'!E:K,7,FALSE)</f>
        <v>#N/A</v>
      </c>
      <c r="AI230" s="11"/>
      <c r="AJ230" s="11" t="str">
        <f>VLOOKUP(L230,[1]rekap!D:M,1,FALSE)</f>
        <v>Suka Baru</v>
      </c>
      <c r="AK230" s="11" t="str">
        <f>VLOOKUP(L230,'[1]singkron data'!D:E,2,FALSE)</f>
        <v>CV. Sonta Abadi</v>
      </c>
      <c r="AL230" s="11" t="str">
        <f>VLOOKUP(L230,'[1]update 521'!D:D,1,FALSE)</f>
        <v>Suka Baru</v>
      </c>
      <c r="AM230" s="11" t="s">
        <v>57</v>
      </c>
      <c r="AN230" s="11" t="e">
        <f>VLOOKUP(L230,[1]Sheet19!E:L,8,FALSE)</f>
        <v>#N/A</v>
      </c>
      <c r="AO230" s="11" t="s">
        <v>58</v>
      </c>
      <c r="AP230" s="12"/>
    </row>
    <row r="231" spans="1:42" ht="15" x14ac:dyDescent="0.2">
      <c r="A231" s="8" t="s">
        <v>42</v>
      </c>
      <c r="B231" s="9" t="s">
        <v>43</v>
      </c>
      <c r="C231" s="9">
        <v>260</v>
      </c>
      <c r="D231" s="9" t="s">
        <v>514</v>
      </c>
      <c r="E231" s="9">
        <v>47</v>
      </c>
      <c r="F231" s="9" t="s">
        <v>647</v>
      </c>
      <c r="G231" s="9" t="s">
        <v>568</v>
      </c>
      <c r="H231" s="9" t="s">
        <v>47</v>
      </c>
      <c r="I231" s="9" t="s">
        <v>579</v>
      </c>
      <c r="J231" s="9" t="s">
        <v>582</v>
      </c>
      <c r="K231" s="9" t="s">
        <v>648</v>
      </c>
      <c r="L231" s="10" t="s">
        <v>648</v>
      </c>
      <c r="M231" s="9" t="s">
        <v>65</v>
      </c>
      <c r="N231" s="9">
        <v>145</v>
      </c>
      <c r="O231" s="9">
        <v>10</v>
      </c>
      <c r="P231" s="9">
        <v>180</v>
      </c>
      <c r="Q231" s="9">
        <v>190</v>
      </c>
      <c r="R231" s="9">
        <v>1.46</v>
      </c>
      <c r="S231" s="9">
        <v>3.1094E-2</v>
      </c>
      <c r="T231" s="9">
        <v>109.18310529999999</v>
      </c>
      <c r="U231" s="9" t="s">
        <v>52</v>
      </c>
      <c r="V231" s="11" t="s">
        <v>584</v>
      </c>
      <c r="W231" s="13">
        <f>VLOOKUP(L231,'[1]update tim 2'!D:F,3,FALSE)</f>
        <v>7499255000</v>
      </c>
      <c r="X231" s="11" t="s">
        <v>55</v>
      </c>
      <c r="Y231" s="11">
        <f>VLOOKUP(L231,'[1]singkron data'!D:H,5,FALSE)</f>
        <v>0</v>
      </c>
      <c r="Z231" s="11" t="str">
        <f>VLOOKUP(L231,'[1]singkron data'!D:I,6,FALSE)</f>
        <v>Online</v>
      </c>
      <c r="AA231" s="11" t="s">
        <v>585</v>
      </c>
      <c r="AB231" s="11" t="s">
        <v>54</v>
      </c>
      <c r="AC231" s="11" t="s">
        <v>566</v>
      </c>
      <c r="AD231" s="11" t="str">
        <f>VLOOKUP(L231,'[1]data 1129'!F:O,10,FALSE)</f>
        <v>Tahap III 166</v>
      </c>
      <c r="AE231" s="11">
        <f>VLOOKUP(L231,'[1]singkron data'!D:P,13,FALSE)</f>
        <v>0</v>
      </c>
      <c r="AF231" s="11" t="s">
        <v>55</v>
      </c>
      <c r="AG231" s="11" t="e">
        <f>VLOOKUP(L231,'[1]update kontrak'!E:K,6,FALSE)</f>
        <v>#N/A</v>
      </c>
      <c r="AH231" s="11" t="e">
        <f>VLOOKUP(L231,'[1]update kontrak'!E:K,7,FALSE)</f>
        <v>#N/A</v>
      </c>
      <c r="AI231" s="11"/>
      <c r="AJ231" s="11" t="str">
        <f>VLOOKUP(L231,[1]rekap!D:M,1,FALSE)</f>
        <v>Sungai Kupah</v>
      </c>
      <c r="AK231" s="11" t="str">
        <f>VLOOKUP(L231,'[1]singkron data'!D:E,2,FALSE)</f>
        <v>PT. Elang Paksinusa</v>
      </c>
      <c r="AL231" s="11" t="str">
        <f>VLOOKUP(L231,'[1]update 521'!D:D,1,FALSE)</f>
        <v>Sungai Kupah</v>
      </c>
      <c r="AM231" s="11" t="s">
        <v>57</v>
      </c>
      <c r="AN231" s="11" t="e">
        <f>VLOOKUP(L231,[1]Sheet19!E:L,8,FALSE)</f>
        <v>#N/A</v>
      </c>
      <c r="AO231" s="11" t="s">
        <v>58</v>
      </c>
      <c r="AP231" s="12"/>
    </row>
    <row r="232" spans="1:42" ht="15" x14ac:dyDescent="0.2">
      <c r="A232" s="8" t="s">
        <v>42</v>
      </c>
      <c r="B232" s="9" t="s">
        <v>43</v>
      </c>
      <c r="C232" s="9">
        <v>261</v>
      </c>
      <c r="D232" s="9" t="s">
        <v>514</v>
      </c>
      <c r="E232" s="9">
        <v>48</v>
      </c>
      <c r="F232" s="9" t="s">
        <v>647</v>
      </c>
      <c r="G232" s="9" t="s">
        <v>568</v>
      </c>
      <c r="H232" s="9" t="s">
        <v>47</v>
      </c>
      <c r="I232" s="9" t="s">
        <v>579</v>
      </c>
      <c r="J232" s="9" t="s">
        <v>582</v>
      </c>
      <c r="K232" s="9" t="s">
        <v>649</v>
      </c>
      <c r="L232" s="10" t="s">
        <v>649</v>
      </c>
      <c r="M232" s="9" t="s">
        <v>51</v>
      </c>
      <c r="N232" s="9">
        <v>76</v>
      </c>
      <c r="O232" s="9" t="s">
        <v>72</v>
      </c>
      <c r="P232" s="9">
        <v>43</v>
      </c>
      <c r="Q232" s="9">
        <v>43</v>
      </c>
      <c r="R232" s="9">
        <v>1.81</v>
      </c>
      <c r="S232" s="9">
        <v>-7.6754000000000003E-2</v>
      </c>
      <c r="T232" s="9">
        <v>109.164581</v>
      </c>
      <c r="U232" s="9" t="s">
        <v>52</v>
      </c>
      <c r="V232" s="11" t="s">
        <v>571</v>
      </c>
      <c r="W232" s="13">
        <f>VLOOKUP(L232,'[1]update tim 2'!D:F,3,FALSE)</f>
        <v>3211797000</v>
      </c>
      <c r="X232" s="11" t="s">
        <v>55</v>
      </c>
      <c r="Y232" s="11">
        <f>VLOOKUP(L232,'[1]singkron data'!D:H,5,FALSE)</f>
        <v>0</v>
      </c>
      <c r="Z232" s="11" t="str">
        <f>VLOOKUP(L232,'[1]singkron data'!D:I,6,FALSE)</f>
        <v>Online</v>
      </c>
      <c r="AA232" s="11" t="s">
        <v>572</v>
      </c>
      <c r="AB232" s="11" t="s">
        <v>54</v>
      </c>
      <c r="AC232" s="11" t="s">
        <v>566</v>
      </c>
      <c r="AD232" s="11" t="str">
        <f>VLOOKUP(L232,'[1]data 1129'!F:O,10,FALSE)</f>
        <v>Tahap III 166</v>
      </c>
      <c r="AE232" s="11">
        <f>VLOOKUP(L232,'[1]singkron data'!D:P,13,FALSE)</f>
        <v>0</v>
      </c>
      <c r="AF232" s="11" t="s">
        <v>55</v>
      </c>
      <c r="AG232" s="11" t="e">
        <f>VLOOKUP(L232,'[1]update kontrak'!E:K,6,FALSE)</f>
        <v>#N/A</v>
      </c>
      <c r="AH232" s="11" t="e">
        <f>VLOOKUP(L232,'[1]update kontrak'!E:K,7,FALSE)</f>
        <v>#N/A</v>
      </c>
      <c r="AI232" s="11"/>
      <c r="AJ232" s="11" t="str">
        <f>VLOOKUP(L232,[1]rekap!D:M,1,FALSE)</f>
        <v>Tanjung Saleh</v>
      </c>
      <c r="AK232" s="11" t="str">
        <f>VLOOKUP(L232,'[1]singkron data'!D:E,2,FALSE)</f>
        <v>PT. Elang Paksinusa</v>
      </c>
      <c r="AL232" s="11" t="str">
        <f>VLOOKUP(L232,'[1]update 521'!D:D,1,FALSE)</f>
        <v>Tanjung Saleh</v>
      </c>
      <c r="AM232" s="11" t="s">
        <v>57</v>
      </c>
      <c r="AN232" s="11" t="e">
        <f>VLOOKUP(L232,[1]Sheet19!E:L,8,FALSE)</f>
        <v>#N/A</v>
      </c>
      <c r="AO232" s="11" t="s">
        <v>58</v>
      </c>
      <c r="AP232" s="12"/>
    </row>
    <row r="233" spans="1:42" ht="15" x14ac:dyDescent="0.2">
      <c r="A233" s="8" t="s">
        <v>42</v>
      </c>
      <c r="B233" s="9" t="s">
        <v>43</v>
      </c>
      <c r="C233" s="9">
        <v>262</v>
      </c>
      <c r="D233" s="9" t="s">
        <v>514</v>
      </c>
      <c r="E233" s="9">
        <v>49</v>
      </c>
      <c r="F233" s="9" t="s">
        <v>650</v>
      </c>
      <c r="G233" s="9" t="s">
        <v>568</v>
      </c>
      <c r="H233" s="9" t="s">
        <v>47</v>
      </c>
      <c r="I233" s="9" t="s">
        <v>651</v>
      </c>
      <c r="J233" s="9" t="s">
        <v>652</v>
      </c>
      <c r="K233" s="9" t="s">
        <v>653</v>
      </c>
      <c r="L233" s="10" t="s">
        <v>653</v>
      </c>
      <c r="M233" s="9" t="s">
        <v>51</v>
      </c>
      <c r="N233" s="9">
        <v>106</v>
      </c>
      <c r="O233" s="9" t="s">
        <v>72</v>
      </c>
      <c r="P233" s="9">
        <v>50</v>
      </c>
      <c r="Q233" s="9">
        <v>50</v>
      </c>
      <c r="R233" s="9">
        <v>1.02</v>
      </c>
      <c r="S233" s="9">
        <v>1.32769</v>
      </c>
      <c r="T233" s="9">
        <v>109.034448</v>
      </c>
      <c r="U233" s="9" t="s">
        <v>52</v>
      </c>
      <c r="V233" s="11" t="s">
        <v>654</v>
      </c>
      <c r="W233" s="11"/>
      <c r="X233" s="11"/>
      <c r="Y233" s="11" t="str">
        <f>VLOOKUP(L233,'[1]singkron data'!D:H,5,FALSE)</f>
        <v>Pontianak</v>
      </c>
      <c r="Z233" s="11" t="str">
        <f>VLOOKUP(L233,'[1]singkron data'!D:I,6,FALSE)</f>
        <v>Online</v>
      </c>
      <c r="AA233" s="11" t="s">
        <v>655</v>
      </c>
      <c r="AB233" s="11" t="s">
        <v>54</v>
      </c>
      <c r="AC233" s="11" t="s">
        <v>656</v>
      </c>
      <c r="AD233" s="11" t="str">
        <f>VLOOKUP(L233,'[1]data 1129'!F:O,10,FALSE)</f>
        <v>Tahap IV 200</v>
      </c>
      <c r="AE233" s="11">
        <f>VLOOKUP(L233,'[1]singkron data'!D:P,13,FALSE)</f>
        <v>0</v>
      </c>
      <c r="AF233" s="11"/>
      <c r="AG233" s="11" t="e">
        <f>VLOOKUP(L233,'[1]update kontrak'!E:K,6,FALSE)</f>
        <v>#N/A</v>
      </c>
      <c r="AH233" s="11" t="e">
        <f>VLOOKUP(L233,'[1]update kontrak'!E:K,7,FALSE)</f>
        <v>#N/A</v>
      </c>
      <c r="AI233" s="11"/>
      <c r="AJ233" s="11" t="str">
        <f>VLOOKUP(L233,[1]rekap!D:M,1,FALSE)</f>
        <v>Sentebang</v>
      </c>
      <c r="AK233" s="11" t="str">
        <f>VLOOKUP(L233,'[1]singkron data'!D:E,2,FALSE)</f>
        <v>PT. Abadi Jasa Tama (Menengah)</v>
      </c>
      <c r="AL233" s="11" t="str">
        <f>VLOOKUP(L233,'[1]update 521'!D:D,1,FALSE)</f>
        <v>Sentebang</v>
      </c>
      <c r="AM233" s="11" t="s">
        <v>96</v>
      </c>
      <c r="AN233" s="11" t="e">
        <f>VLOOKUP(L233,[1]Sheet19!E:L,8,FALSE)</f>
        <v>#N/A</v>
      </c>
      <c r="AO233" s="11" t="e">
        <f>VLOOKUP(L233,[1]Sheet19!E:K,7,FALSE)</f>
        <v>#N/A</v>
      </c>
      <c r="AP233" s="12"/>
    </row>
    <row r="234" spans="1:42" ht="15" x14ac:dyDescent="0.2">
      <c r="A234" s="8" t="s">
        <v>42</v>
      </c>
      <c r="B234" s="9" t="s">
        <v>43</v>
      </c>
      <c r="C234" s="9">
        <v>263</v>
      </c>
      <c r="D234" s="9" t="s">
        <v>514</v>
      </c>
      <c r="E234" s="9">
        <v>50</v>
      </c>
      <c r="F234" s="9" t="s">
        <v>657</v>
      </c>
      <c r="G234" s="9" t="s">
        <v>516</v>
      </c>
      <c r="H234" s="9" t="s">
        <v>47</v>
      </c>
      <c r="I234" s="9" t="s">
        <v>658</v>
      </c>
      <c r="J234" s="9" t="s">
        <v>659</v>
      </c>
      <c r="K234" s="9" t="s">
        <v>660</v>
      </c>
      <c r="L234" s="10" t="s">
        <v>660</v>
      </c>
      <c r="M234" s="9" t="s">
        <v>51</v>
      </c>
      <c r="N234" s="9">
        <v>116</v>
      </c>
      <c r="O234" s="9" t="s">
        <v>72</v>
      </c>
      <c r="P234" s="9">
        <v>116</v>
      </c>
      <c r="Q234" s="9">
        <v>116</v>
      </c>
      <c r="R234" s="9">
        <v>0.5</v>
      </c>
      <c r="S234" s="9">
        <v>-3.361278</v>
      </c>
      <c r="T234" s="9">
        <v>112.68461499999999</v>
      </c>
      <c r="U234" s="9" t="s">
        <v>52</v>
      </c>
      <c r="V234" s="11" t="s">
        <v>528</v>
      </c>
      <c r="W234" s="11"/>
      <c r="X234" s="11"/>
      <c r="Y234" s="11">
        <f>VLOOKUP(L234,'[1]singkron data'!D:H,5,FALSE)</f>
        <v>0</v>
      </c>
      <c r="Z234" s="11" t="str">
        <f>VLOOKUP(L234,'[1]singkron data'!D:I,6,FALSE)</f>
        <v>Offline</v>
      </c>
      <c r="AA234" s="11" t="s">
        <v>529</v>
      </c>
      <c r="AB234" s="11" t="s">
        <v>54</v>
      </c>
      <c r="AC234" s="11" t="s">
        <v>322</v>
      </c>
      <c r="AD234" s="11" t="str">
        <f>VLOOKUP(L234,'[1]data 1129'!F:O,10,FALSE)</f>
        <v>Tahap III 166</v>
      </c>
      <c r="AE234" s="11">
        <f>VLOOKUP(L234,'[1]singkron data'!D:P,13,FALSE)</f>
        <v>0</v>
      </c>
      <c r="AF234" s="11"/>
      <c r="AG234" s="11" t="e">
        <f>VLOOKUP(L234,'[1]update kontrak'!E:K,6,FALSE)</f>
        <v>#N/A</v>
      </c>
      <c r="AH234" s="11" t="e">
        <f>VLOOKUP(L234,'[1]update kontrak'!E:K,7,FALSE)</f>
        <v>#N/A</v>
      </c>
      <c r="AI234" s="11"/>
      <c r="AJ234" s="11" t="str">
        <f>VLOOKUP(L234,[1]rekap!D:M,1,FALSE)</f>
        <v>Sungai Bakau</v>
      </c>
      <c r="AK234" s="11" t="str">
        <f>VLOOKUP(L234,'[1]singkron data'!D:E,2,FALSE)</f>
        <v>PT. Nusa Indah Permai</v>
      </c>
      <c r="AL234" s="11" t="str">
        <f>VLOOKUP(L234,'[1]update 521'!D:D,1,FALSE)</f>
        <v>Sungai Bakau</v>
      </c>
      <c r="AM234" s="11" t="s">
        <v>96</v>
      </c>
      <c r="AN234" s="11" t="e">
        <f>VLOOKUP(L234,[1]Sheet19!E:L,8,FALSE)</f>
        <v>#N/A</v>
      </c>
      <c r="AO234" s="11" t="e">
        <f>VLOOKUP(L234,[1]Sheet19!E:K,7,FALSE)</f>
        <v>#N/A</v>
      </c>
      <c r="AP234" s="12"/>
    </row>
    <row r="235" spans="1:42" ht="15" x14ac:dyDescent="0.2">
      <c r="A235" s="8" t="s">
        <v>42</v>
      </c>
      <c r="B235" s="9" t="s">
        <v>43</v>
      </c>
      <c r="C235" s="9">
        <v>264</v>
      </c>
      <c r="D235" s="9" t="s">
        <v>514</v>
      </c>
      <c r="E235" s="9">
        <v>51</v>
      </c>
      <c r="F235" s="9" t="s">
        <v>657</v>
      </c>
      <c r="G235" s="9" t="s">
        <v>516</v>
      </c>
      <c r="H235" s="9" t="s">
        <v>47</v>
      </c>
      <c r="I235" s="9" t="s">
        <v>658</v>
      </c>
      <c r="J235" s="9" t="s">
        <v>661</v>
      </c>
      <c r="K235" s="9" t="s">
        <v>662</v>
      </c>
      <c r="L235" s="10" t="s">
        <v>662</v>
      </c>
      <c r="M235" s="9" t="s">
        <v>81</v>
      </c>
      <c r="N235" s="9">
        <v>409</v>
      </c>
      <c r="O235" s="9" t="s">
        <v>72</v>
      </c>
      <c r="P235" s="9">
        <v>409</v>
      </c>
      <c r="Q235" s="9">
        <v>409</v>
      </c>
      <c r="R235" s="9">
        <v>0.08</v>
      </c>
      <c r="S235" s="9">
        <v>-3.4058470000000001</v>
      </c>
      <c r="T235" s="9">
        <v>112.558527</v>
      </c>
      <c r="U235" s="9" t="s">
        <v>52</v>
      </c>
      <c r="V235" s="11" t="s">
        <v>528</v>
      </c>
      <c r="W235" s="11"/>
      <c r="X235" s="11"/>
      <c r="Y235" s="11">
        <f>VLOOKUP(L235,'[1]singkron data'!D:H,5,FALSE)</f>
        <v>0</v>
      </c>
      <c r="Z235" s="11" t="str">
        <f>VLOOKUP(L235,'[1]singkron data'!D:I,6,FALSE)</f>
        <v>Offline</v>
      </c>
      <c r="AA235" s="11" t="s">
        <v>529</v>
      </c>
      <c r="AB235" s="11" t="s">
        <v>54</v>
      </c>
      <c r="AC235" s="11" t="s">
        <v>322</v>
      </c>
      <c r="AD235" s="11" t="str">
        <f>VLOOKUP(L235,'[1]data 1129'!F:O,10,FALSE)</f>
        <v>Tahap III 166</v>
      </c>
      <c r="AE235" s="11">
        <f>VLOOKUP(L235,'[1]singkron data'!D:P,13,FALSE)</f>
        <v>0</v>
      </c>
      <c r="AF235" s="11"/>
      <c r="AG235" s="11" t="e">
        <f>VLOOKUP(L235,'[1]update kontrak'!E:K,6,FALSE)</f>
        <v>#N/A</v>
      </c>
      <c r="AH235" s="11" t="e">
        <f>VLOOKUP(L235,'[1]update kontrak'!E:K,7,FALSE)</f>
        <v>#N/A</v>
      </c>
      <c r="AI235" s="11"/>
      <c r="AJ235" s="11" t="str">
        <f>VLOOKUP(L235,[1]rekap!D:M,1,FALSE)</f>
        <v>Sungai Undang</v>
      </c>
      <c r="AK235" s="11" t="str">
        <f>VLOOKUP(L235,'[1]singkron data'!D:E,2,FALSE)</f>
        <v>PT. Nusa Indah Permai</v>
      </c>
      <c r="AL235" s="11" t="str">
        <f>VLOOKUP(L235,'[1]update 521'!D:D,1,FALSE)</f>
        <v>Sungai Undang</v>
      </c>
      <c r="AM235" s="11" t="s">
        <v>96</v>
      </c>
      <c r="AN235" s="11" t="e">
        <f>VLOOKUP(L235,[1]Sheet19!E:L,8,FALSE)</f>
        <v>#N/A</v>
      </c>
      <c r="AO235" s="11" t="e">
        <f>VLOOKUP(L235,[1]Sheet19!E:K,7,FALSE)</f>
        <v>#N/A</v>
      </c>
      <c r="AP235" s="12"/>
    </row>
    <row r="236" spans="1:42" ht="15" x14ac:dyDescent="0.2">
      <c r="A236" s="8" t="s">
        <v>42</v>
      </c>
      <c r="B236" s="9" t="s">
        <v>43</v>
      </c>
      <c r="C236" s="9">
        <v>265</v>
      </c>
      <c r="D236" s="9" t="s">
        <v>514</v>
      </c>
      <c r="E236" s="9">
        <v>52</v>
      </c>
      <c r="F236" s="9" t="s">
        <v>663</v>
      </c>
      <c r="G236" s="9" t="s">
        <v>540</v>
      </c>
      <c r="H236" s="9" t="s">
        <v>47</v>
      </c>
      <c r="I236" s="9" t="s">
        <v>664</v>
      </c>
      <c r="J236" s="9" t="s">
        <v>665</v>
      </c>
      <c r="K236" s="9" t="s">
        <v>666</v>
      </c>
      <c r="L236" s="10" t="s">
        <v>666</v>
      </c>
      <c r="M236" s="9" t="s">
        <v>65</v>
      </c>
      <c r="N236" s="9">
        <v>213</v>
      </c>
      <c r="O236" s="9" t="s">
        <v>72</v>
      </c>
      <c r="P236" s="9">
        <v>115</v>
      </c>
      <c r="Q236" s="9">
        <v>115</v>
      </c>
      <c r="R236" s="9">
        <v>1.57</v>
      </c>
      <c r="S236" s="9">
        <v>-3.9896921999999999</v>
      </c>
      <c r="T236" s="9">
        <v>116.1878289</v>
      </c>
      <c r="U236" s="9" t="s">
        <v>52</v>
      </c>
      <c r="V236" s="11" t="s">
        <v>667</v>
      </c>
      <c r="W236" s="13">
        <f>VLOOKUP(L236,'[1]update tim 2'!D:F,3,FALSE)</f>
        <v>8929035000</v>
      </c>
      <c r="X236" s="11" t="s">
        <v>55</v>
      </c>
      <c r="Y236" s="11">
        <f>VLOOKUP(L236,'[1]singkron data'!D:H,5,FALSE)</f>
        <v>0</v>
      </c>
      <c r="Z236" s="11">
        <f>VLOOKUP(L236,'[1]singkron data'!D:I,6,FALSE)</f>
        <v>0</v>
      </c>
      <c r="AA236" s="11" t="s">
        <v>321</v>
      </c>
      <c r="AB236" s="11" t="s">
        <v>54</v>
      </c>
      <c r="AC236" s="11" t="s">
        <v>322</v>
      </c>
      <c r="AD236" s="11" t="str">
        <f>VLOOKUP(L236,'[1]data 1129'!F:O,10,FALSE)</f>
        <v>Tahap III 166</v>
      </c>
      <c r="AE236" s="11">
        <f>VLOOKUP(L236,'[1]singkron data'!D:P,13,FALSE)</f>
        <v>0</v>
      </c>
      <c r="AF236" s="11" t="s">
        <v>55</v>
      </c>
      <c r="AG236" s="11" t="e">
        <f>VLOOKUP(L236,'[1]update kontrak'!E:K,6,FALSE)</f>
        <v>#N/A</v>
      </c>
      <c r="AH236" s="11" t="e">
        <f>VLOOKUP(L236,'[1]update kontrak'!E:K,7,FALSE)</f>
        <v>#N/A</v>
      </c>
      <c r="AI236" s="11"/>
      <c r="AJ236" s="11" t="str">
        <f>VLOOKUP(L236,[1]rekap!D:M,1,FALSE)</f>
        <v>Tanjung Lalak Selatan</v>
      </c>
      <c r="AK236" s="11" t="str">
        <f>VLOOKUP(L236,'[1]singkron data'!D:E,2,FALSE)</f>
        <v>PT. Beringin Jaya Perkasa (Kotabaru)</v>
      </c>
      <c r="AL236" s="11" t="str">
        <f>VLOOKUP(L236,'[1]update 521'!D:D,1,FALSE)</f>
        <v>Tanjung Lalak Selatan</v>
      </c>
      <c r="AM236" s="11" t="s">
        <v>57</v>
      </c>
      <c r="AN236" s="11" t="e">
        <f>VLOOKUP(L236,[1]Sheet19!E:L,8,FALSE)</f>
        <v>#N/A</v>
      </c>
      <c r="AO236" s="11" t="s">
        <v>58</v>
      </c>
      <c r="AP236" s="12"/>
    </row>
    <row r="237" spans="1:42" ht="15" x14ac:dyDescent="0.2">
      <c r="A237" s="8" t="s">
        <v>42</v>
      </c>
      <c r="B237" s="9" t="s">
        <v>43</v>
      </c>
      <c r="C237" s="9">
        <v>266</v>
      </c>
      <c r="D237" s="9" t="s">
        <v>514</v>
      </c>
      <c r="E237" s="9">
        <v>53</v>
      </c>
      <c r="F237" s="9" t="s">
        <v>663</v>
      </c>
      <c r="G237" s="9" t="s">
        <v>540</v>
      </c>
      <c r="H237" s="9" t="s">
        <v>47</v>
      </c>
      <c r="I237" s="9" t="s">
        <v>664</v>
      </c>
      <c r="J237" s="9" t="s">
        <v>668</v>
      </c>
      <c r="K237" s="9" t="s">
        <v>669</v>
      </c>
      <c r="L237" s="10" t="s">
        <v>669</v>
      </c>
      <c r="M237" s="9" t="s">
        <v>51</v>
      </c>
      <c r="N237" s="9">
        <v>239</v>
      </c>
      <c r="O237" s="9">
        <v>208</v>
      </c>
      <c r="P237" s="9" t="s">
        <v>72</v>
      </c>
      <c r="Q237" s="9">
        <v>208</v>
      </c>
      <c r="R237" s="9">
        <v>0.05</v>
      </c>
      <c r="S237" s="9">
        <v>-3.9037826</v>
      </c>
      <c r="T237" s="9">
        <v>116.3095641</v>
      </c>
      <c r="U237" s="9" t="s">
        <v>52</v>
      </c>
      <c r="V237" s="11" t="s">
        <v>667</v>
      </c>
      <c r="W237" s="13">
        <f>VLOOKUP(L237,'[1]update tim 2'!D:F,3,FALSE)</f>
        <v>4798801000</v>
      </c>
      <c r="X237" s="11" t="s">
        <v>55</v>
      </c>
      <c r="Y237" s="11">
        <f>VLOOKUP(L237,'[1]singkron data'!D:H,5,FALSE)</f>
        <v>0</v>
      </c>
      <c r="Z237" s="11">
        <f>VLOOKUP(L237,'[1]singkron data'!D:I,6,FALSE)</f>
        <v>0</v>
      </c>
      <c r="AA237" s="11" t="s">
        <v>321</v>
      </c>
      <c r="AB237" s="11" t="s">
        <v>54</v>
      </c>
      <c r="AC237" s="11" t="s">
        <v>322</v>
      </c>
      <c r="AD237" s="11" t="str">
        <f>VLOOKUP(L237,'[1]data 1129'!F:O,10,FALSE)</f>
        <v>Tahap III 166</v>
      </c>
      <c r="AE237" s="11">
        <f>VLOOKUP(L237,'[1]singkron data'!D:P,13,FALSE)</f>
        <v>0</v>
      </c>
      <c r="AF237" s="11" t="s">
        <v>55</v>
      </c>
      <c r="AG237" s="11" t="e">
        <f>VLOOKUP(L237,'[1]update kontrak'!E:K,6,FALSE)</f>
        <v>#N/A</v>
      </c>
      <c r="AH237" s="11" t="e">
        <f>VLOOKUP(L237,'[1]update kontrak'!E:K,7,FALSE)</f>
        <v>#N/A</v>
      </c>
      <c r="AI237" s="11"/>
      <c r="AJ237" s="11" t="str">
        <f>VLOOKUP(L237,[1]rekap!D:M,1,FALSE)</f>
        <v>Tanjung Seloka</v>
      </c>
      <c r="AK237" s="11" t="str">
        <f>VLOOKUP(L237,'[1]singkron data'!D:E,2,FALSE)</f>
        <v>PT. Beringin Jaya Perkasa (Kotabaru)</v>
      </c>
      <c r="AL237" s="11" t="str">
        <f>VLOOKUP(L237,'[1]update 521'!D:D,1,FALSE)</f>
        <v>Tanjung Seloka</v>
      </c>
      <c r="AM237" s="11" t="s">
        <v>57</v>
      </c>
      <c r="AN237" s="11" t="e">
        <f>VLOOKUP(L237,[1]Sheet19!E:L,8,FALSE)</f>
        <v>#N/A</v>
      </c>
      <c r="AO237" s="11" t="s">
        <v>58</v>
      </c>
      <c r="AP237" s="12"/>
    </row>
    <row r="238" spans="1:42" ht="15" x14ac:dyDescent="0.2">
      <c r="A238" s="8" t="s">
        <v>42</v>
      </c>
      <c r="B238" s="9" t="s">
        <v>43</v>
      </c>
      <c r="C238" s="9">
        <v>267</v>
      </c>
      <c r="D238" s="9" t="s">
        <v>514</v>
      </c>
      <c r="E238" s="9">
        <v>54</v>
      </c>
      <c r="F238" s="9" t="s">
        <v>663</v>
      </c>
      <c r="G238" s="9" t="s">
        <v>540</v>
      </c>
      <c r="H238" s="9" t="s">
        <v>47</v>
      </c>
      <c r="I238" s="9" t="s">
        <v>664</v>
      </c>
      <c r="J238" s="9" t="s">
        <v>665</v>
      </c>
      <c r="K238" s="9" t="s">
        <v>670</v>
      </c>
      <c r="L238" s="10" t="s">
        <v>670</v>
      </c>
      <c r="M238" s="9" t="s">
        <v>51</v>
      </c>
      <c r="N238" s="14">
        <v>1600</v>
      </c>
      <c r="O238" s="9" t="s">
        <v>72</v>
      </c>
      <c r="P238" s="9" t="s">
        <v>72</v>
      </c>
      <c r="Q238" s="9">
        <v>350</v>
      </c>
      <c r="R238" s="9">
        <v>0.1</v>
      </c>
      <c r="S238" s="9">
        <v>-4.0886529999999999</v>
      </c>
      <c r="T238" s="9">
        <v>116.20081</v>
      </c>
      <c r="U238" s="9" t="s">
        <v>52</v>
      </c>
      <c r="V238" s="11" t="s">
        <v>667</v>
      </c>
      <c r="W238" s="11"/>
      <c r="X238" s="11"/>
      <c r="Y238" s="11">
        <f>VLOOKUP(L238,'[1]singkron data'!D:H,5,FALSE)</f>
        <v>0</v>
      </c>
      <c r="Z238" s="11">
        <f>VLOOKUP(L238,'[1]singkron data'!D:I,6,FALSE)</f>
        <v>0</v>
      </c>
      <c r="AA238" s="11" t="s">
        <v>321</v>
      </c>
      <c r="AB238" s="11" t="s">
        <v>54</v>
      </c>
      <c r="AC238" s="11" t="s">
        <v>322</v>
      </c>
      <c r="AD238" s="11" t="str">
        <f>VLOOKUP(L238,'[1]data 1129'!F:O,10,FALSE)</f>
        <v>Tahap III 166</v>
      </c>
      <c r="AE238" s="11">
        <f>VLOOKUP(L238,'[1]singkron data'!D:P,13,FALSE)</f>
        <v>0</v>
      </c>
      <c r="AF238" s="11" t="s">
        <v>55</v>
      </c>
      <c r="AG238" s="11" t="e">
        <f>VLOOKUP(L238,'[1]update kontrak'!E:K,6,FALSE)</f>
        <v>#N/A</v>
      </c>
      <c r="AH238" s="11" t="e">
        <f>VLOOKUP(L238,'[1]update kontrak'!E:K,7,FALSE)</f>
        <v>#N/A</v>
      </c>
      <c r="AI238" s="11"/>
      <c r="AJ238" s="11" t="str">
        <f>VLOOKUP(L238,[1]rekap!D:M,1,FALSE)</f>
        <v>Pulau Kerayaan</v>
      </c>
      <c r="AK238" s="11" t="str">
        <f>VLOOKUP(L238,'[1]singkron data'!D:E,2,FALSE)</f>
        <v>PT. Beringin Jaya Perkasa (Kotabaru)</v>
      </c>
      <c r="AL238" s="11" t="str">
        <f>VLOOKUP(L238,'[1]update 521'!D:D,1,FALSE)</f>
        <v>Pulau Kerayaan</v>
      </c>
      <c r="AM238" s="11" t="s">
        <v>96</v>
      </c>
      <c r="AN238" s="11" t="e">
        <f>VLOOKUP(L238,[1]Sheet19!E:L,8,FALSE)</f>
        <v>#N/A</v>
      </c>
      <c r="AO238" s="11" t="e">
        <f>VLOOKUP(L238,[1]Sheet19!E:K,7,FALSE)</f>
        <v>#N/A</v>
      </c>
      <c r="AP238" s="12"/>
    </row>
    <row r="239" spans="1:42" ht="15" x14ac:dyDescent="0.2">
      <c r="A239" s="8" t="s">
        <v>42</v>
      </c>
      <c r="B239" s="9" t="s">
        <v>43</v>
      </c>
      <c r="C239" s="9">
        <v>268</v>
      </c>
      <c r="D239" s="9" t="s">
        <v>514</v>
      </c>
      <c r="E239" s="9">
        <v>55</v>
      </c>
      <c r="F239" s="9" t="s">
        <v>671</v>
      </c>
      <c r="G239" s="9" t="s">
        <v>516</v>
      </c>
      <c r="H239" s="9" t="s">
        <v>47</v>
      </c>
      <c r="I239" s="9" t="s">
        <v>672</v>
      </c>
      <c r="J239" s="9" t="s">
        <v>673</v>
      </c>
      <c r="K239" s="9" t="s">
        <v>674</v>
      </c>
      <c r="L239" s="10" t="s">
        <v>674</v>
      </c>
      <c r="M239" s="9" t="s">
        <v>65</v>
      </c>
      <c r="N239" s="9">
        <v>177</v>
      </c>
      <c r="O239" s="9" t="s">
        <v>72</v>
      </c>
      <c r="P239" s="9">
        <v>125</v>
      </c>
      <c r="Q239" s="9">
        <v>125</v>
      </c>
      <c r="R239" s="9">
        <v>1.4</v>
      </c>
      <c r="S239" s="9">
        <v>-3.0587559999999998</v>
      </c>
      <c r="T239" s="9">
        <v>111.01455799999999</v>
      </c>
      <c r="U239" s="9" t="s">
        <v>52</v>
      </c>
      <c r="V239" s="11" t="str">
        <f>VLOOKUP(L239,'[1]singkron data'!D:E,2,FALSE)</f>
        <v>PT. Bangun Mataram Jaya (Menengah)</v>
      </c>
      <c r="W239" s="11"/>
      <c r="X239" s="11"/>
      <c r="Y239" s="11" t="str">
        <f>VLOOKUP(L239,'[1]singkron data'!D:H,5,FALSE)</f>
        <v>Bontang</v>
      </c>
      <c r="Z239" s="11" t="str">
        <f>VLOOKUP(L239,'[1]singkron data'!D:I,6,FALSE)</f>
        <v>Online</v>
      </c>
      <c r="AA239" s="11">
        <f>VLOOKUP(L239,'[1]singkron data'!D:L,9,FALSE)</f>
        <v>818838095</v>
      </c>
      <c r="AB239" s="11" t="s">
        <v>54</v>
      </c>
      <c r="AC239" s="11" t="str">
        <f>VLOOKUP(L239,'[1]singkron data'!D:M,10,FALSE)</f>
        <v>Galuh P3 di ganti karena tidak ada SBU</v>
      </c>
      <c r="AD239" s="11" t="str">
        <f>VLOOKUP(L239,'[1]data 1129'!F:O,10,FALSE)</f>
        <v>Tahap III 166</v>
      </c>
      <c r="AE239" s="11">
        <f>VLOOKUP(L239,'[1]singkron data'!D:P,13,FALSE)</f>
        <v>0</v>
      </c>
      <c r="AF239" s="11"/>
      <c r="AG239" s="11" t="e">
        <f>VLOOKUP(L239,'[1]update kontrak'!E:K,6,FALSE)</f>
        <v>#N/A</v>
      </c>
      <c r="AH239" s="11" t="e">
        <f>VLOOKUP(L239,'[1]update kontrak'!E:K,7,FALSE)</f>
        <v>#N/A</v>
      </c>
      <c r="AI239" s="11"/>
      <c r="AJ239" s="11" t="str">
        <f>VLOOKUP(L239,[1]rekap!D:M,1,FALSE)</f>
        <v>Sungai Damar</v>
      </c>
      <c r="AK239" s="11" t="str">
        <f>VLOOKUP(L239,'[1]singkron data'!D:E,2,FALSE)</f>
        <v>PT. Bangun Mataram Jaya (Menengah)</v>
      </c>
      <c r="AL239" s="11" t="str">
        <f>VLOOKUP(L239,'[1]update 521'!D:D,1,FALSE)</f>
        <v>Sungai Damar</v>
      </c>
      <c r="AM239" s="11" t="s">
        <v>96</v>
      </c>
      <c r="AN239" s="11" t="e">
        <f>VLOOKUP(L239,[1]Sheet19!E:L,8,FALSE)</f>
        <v>#N/A</v>
      </c>
      <c r="AO239" s="11" t="e">
        <f>VLOOKUP(L239,[1]Sheet19!E:K,7,FALSE)</f>
        <v>#N/A</v>
      </c>
      <c r="AP239" s="12"/>
    </row>
    <row r="240" spans="1:42" ht="15" x14ac:dyDescent="0.2">
      <c r="A240" s="8" t="s">
        <v>42</v>
      </c>
      <c r="B240" s="9" t="s">
        <v>43</v>
      </c>
      <c r="C240" s="9">
        <v>269</v>
      </c>
      <c r="D240" s="9" t="s">
        <v>514</v>
      </c>
      <c r="E240" s="9">
        <v>56</v>
      </c>
      <c r="F240" s="9" t="s">
        <v>671</v>
      </c>
      <c r="G240" s="9" t="s">
        <v>516</v>
      </c>
      <c r="H240" s="9" t="s">
        <v>47</v>
      </c>
      <c r="I240" s="9" t="s">
        <v>672</v>
      </c>
      <c r="J240" s="9" t="s">
        <v>673</v>
      </c>
      <c r="K240" s="9" t="s">
        <v>675</v>
      </c>
      <c r="L240" s="10" t="s">
        <v>675</v>
      </c>
      <c r="M240" s="9" t="s">
        <v>51</v>
      </c>
      <c r="N240" s="9">
        <v>225</v>
      </c>
      <c r="O240" s="9" t="s">
        <v>72</v>
      </c>
      <c r="P240" s="9">
        <v>170</v>
      </c>
      <c r="Q240" s="9">
        <v>170</v>
      </c>
      <c r="R240" s="9">
        <v>0.6</v>
      </c>
      <c r="S240" s="9">
        <v>-2.9953832999999999</v>
      </c>
      <c r="T240" s="9">
        <v>111.1806</v>
      </c>
      <c r="U240" s="9" t="s">
        <v>52</v>
      </c>
      <c r="V240" s="11" t="str">
        <f>VLOOKUP(L240,'[1]singkron data'!D:E,2,FALSE)</f>
        <v>PT. Bangun Mataram Jaya (Menengah)</v>
      </c>
      <c r="W240" s="11"/>
      <c r="X240" s="11"/>
      <c r="Y240" s="11" t="str">
        <f>VLOOKUP(L240,'[1]singkron data'!D:H,5,FALSE)</f>
        <v>Bontang</v>
      </c>
      <c r="Z240" s="11" t="str">
        <f>VLOOKUP(L240,'[1]singkron data'!D:I,6,FALSE)</f>
        <v>Online</v>
      </c>
      <c r="AA240" s="11">
        <f>VLOOKUP(L240,'[1]singkron data'!D:L,9,FALSE)</f>
        <v>818838095</v>
      </c>
      <c r="AB240" s="11" t="s">
        <v>54</v>
      </c>
      <c r="AC240" s="11" t="str">
        <f>VLOOKUP(L240,'[1]singkron data'!D:M,10,FALSE)</f>
        <v>Galuh P3 di ganti karena tidak ada SBU</v>
      </c>
      <c r="AD240" s="11" t="str">
        <f>VLOOKUP(L240,'[1]data 1129'!F:O,10,FALSE)</f>
        <v>Tahap III 166</v>
      </c>
      <c r="AE240" s="11">
        <f>VLOOKUP(L240,'[1]singkron data'!D:P,13,FALSE)</f>
        <v>0</v>
      </c>
      <c r="AF240" s="11"/>
      <c r="AG240" s="11" t="e">
        <f>VLOOKUP(L240,'[1]update kontrak'!E:K,6,FALSE)</f>
        <v>#N/A</v>
      </c>
      <c r="AH240" s="11" t="e">
        <f>VLOOKUP(L240,'[1]update kontrak'!E:K,7,FALSE)</f>
        <v>#N/A</v>
      </c>
      <c r="AI240" s="11"/>
      <c r="AJ240" s="11" t="str">
        <f>VLOOKUP(L240,[1]rekap!D:M,1,FALSE)</f>
        <v>Sungai Cabang Barat</v>
      </c>
      <c r="AK240" s="11" t="str">
        <f>VLOOKUP(L240,'[1]singkron data'!D:E,2,FALSE)</f>
        <v>PT. Bangun Mataram Jaya (Menengah)</v>
      </c>
      <c r="AL240" s="11" t="str">
        <f>VLOOKUP(L240,'[1]update 521'!D:D,1,FALSE)</f>
        <v>Sungai Cabang Barat</v>
      </c>
      <c r="AM240" s="11" t="s">
        <v>96</v>
      </c>
      <c r="AN240" s="11" t="e">
        <f>VLOOKUP(L240,[1]Sheet19!E:L,8,FALSE)</f>
        <v>#N/A</v>
      </c>
      <c r="AO240" s="11" t="e">
        <f>VLOOKUP(L240,[1]Sheet19!E:K,7,FALSE)</f>
        <v>#N/A</v>
      </c>
      <c r="AP240" s="12"/>
    </row>
    <row r="241" spans="1:42" ht="15" x14ac:dyDescent="0.2">
      <c r="A241" s="8" t="s">
        <v>42</v>
      </c>
      <c r="B241" s="9" t="s">
        <v>43</v>
      </c>
      <c r="C241" s="9">
        <v>270</v>
      </c>
      <c r="D241" s="9" t="s">
        <v>514</v>
      </c>
      <c r="E241" s="9">
        <v>57</v>
      </c>
      <c r="F241" s="9" t="s">
        <v>676</v>
      </c>
      <c r="G241" s="9" t="s">
        <v>540</v>
      </c>
      <c r="H241" s="9" t="s">
        <v>47</v>
      </c>
      <c r="I241" s="9" t="s">
        <v>664</v>
      </c>
      <c r="J241" s="9" t="s">
        <v>677</v>
      </c>
      <c r="K241" s="9" t="s">
        <v>678</v>
      </c>
      <c r="L241" s="10" t="s">
        <v>678</v>
      </c>
      <c r="M241" s="9" t="s">
        <v>65</v>
      </c>
      <c r="N241" s="9">
        <v>273</v>
      </c>
      <c r="O241" s="9" t="s">
        <v>72</v>
      </c>
      <c r="P241" s="9">
        <v>275</v>
      </c>
      <c r="Q241" s="9">
        <v>275</v>
      </c>
      <c r="R241" s="9">
        <v>1</v>
      </c>
      <c r="S241" s="9">
        <v>-2.5838540000000001</v>
      </c>
      <c r="T241" s="9">
        <v>116.412233</v>
      </c>
      <c r="U241" s="9" t="s">
        <v>52</v>
      </c>
      <c r="V241" s="11" t="s">
        <v>667</v>
      </c>
      <c r="W241" s="13">
        <f>VLOOKUP(L241,'[1]update tim 2'!D:F,3,FALSE)</f>
        <v>7817119000</v>
      </c>
      <c r="X241" s="11" t="s">
        <v>55</v>
      </c>
      <c r="Y241" s="11">
        <f>VLOOKUP(L241,'[1]singkron data'!D:H,5,FALSE)</f>
        <v>0</v>
      </c>
      <c r="Z241" s="11">
        <f>VLOOKUP(L241,'[1]singkron data'!D:I,6,FALSE)</f>
        <v>0</v>
      </c>
      <c r="AA241" s="11" t="s">
        <v>321</v>
      </c>
      <c r="AB241" s="11" t="s">
        <v>54</v>
      </c>
      <c r="AC241" s="11" t="s">
        <v>322</v>
      </c>
      <c r="AD241" s="11" t="str">
        <f>VLOOKUP(L241,'[1]data 1129'!F:O,10,FALSE)</f>
        <v>Tahap III 166</v>
      </c>
      <c r="AE241" s="11">
        <f>VLOOKUP(L241,'[1]singkron data'!D:P,13,FALSE)</f>
        <v>0</v>
      </c>
      <c r="AF241" s="11" t="s">
        <v>55</v>
      </c>
      <c r="AG241" s="11" t="e">
        <f>VLOOKUP(L241,'[1]update kontrak'!E:K,6,FALSE)</f>
        <v>#N/A</v>
      </c>
      <c r="AH241" s="11" t="e">
        <f>VLOOKUP(L241,'[1]update kontrak'!E:K,7,FALSE)</f>
        <v>#N/A</v>
      </c>
      <c r="AI241" s="11"/>
      <c r="AJ241" s="11" t="str">
        <f>VLOOKUP(L241,[1]rekap!D:M,1,FALSE)</f>
        <v>Tanjung Samalantakan</v>
      </c>
      <c r="AK241" s="11" t="str">
        <f>VLOOKUP(L241,'[1]singkron data'!D:E,2,FALSE)</f>
        <v>CV. Bumi Keerom Perkasa</v>
      </c>
      <c r="AL241" s="11" t="str">
        <f>VLOOKUP(L241,'[1]update 521'!D:D,1,FALSE)</f>
        <v>Tanjung Samalantakan</v>
      </c>
      <c r="AM241" s="11" t="s">
        <v>57</v>
      </c>
      <c r="AN241" s="11" t="e">
        <f>VLOOKUP(L241,[1]Sheet19!E:L,8,FALSE)</f>
        <v>#N/A</v>
      </c>
      <c r="AO241" s="11" t="s">
        <v>58</v>
      </c>
      <c r="AP241" s="12"/>
    </row>
    <row r="242" spans="1:42" ht="15" x14ac:dyDescent="0.2">
      <c r="A242" s="8" t="s">
        <v>42</v>
      </c>
      <c r="B242" s="9" t="s">
        <v>43</v>
      </c>
      <c r="C242" s="9">
        <v>271</v>
      </c>
      <c r="D242" s="9" t="s">
        <v>514</v>
      </c>
      <c r="E242" s="9">
        <v>58</v>
      </c>
      <c r="F242" s="9" t="s">
        <v>676</v>
      </c>
      <c r="G242" s="9" t="s">
        <v>540</v>
      </c>
      <c r="H242" s="9" t="s">
        <v>47</v>
      </c>
      <c r="I242" s="9" t="s">
        <v>664</v>
      </c>
      <c r="J242" s="9" t="s">
        <v>679</v>
      </c>
      <c r="K242" s="9" t="s">
        <v>680</v>
      </c>
      <c r="L242" s="10" t="s">
        <v>680</v>
      </c>
      <c r="M242" s="9" t="s">
        <v>81</v>
      </c>
      <c r="N242" s="9">
        <v>339</v>
      </c>
      <c r="O242" s="9">
        <v>4</v>
      </c>
      <c r="P242" s="9">
        <v>200</v>
      </c>
      <c r="Q242" s="9">
        <v>204</v>
      </c>
      <c r="R242" s="9">
        <v>8.5000000000000006E-2</v>
      </c>
      <c r="S242" s="9">
        <v>-3.1383994</v>
      </c>
      <c r="T242" s="9">
        <v>116.13302969999999</v>
      </c>
      <c r="U242" s="9" t="s">
        <v>52</v>
      </c>
      <c r="V242" s="11" t="s">
        <v>667</v>
      </c>
      <c r="W242" s="13">
        <f>VLOOKUP(L242,'[1]update tim 2'!D:F,3,FALSE)</f>
        <v>5023061000</v>
      </c>
      <c r="X242" s="11" t="s">
        <v>55</v>
      </c>
      <c r="Y242" s="11">
        <f>VLOOKUP(L242,'[1]singkron data'!D:H,5,FALSE)</f>
        <v>0</v>
      </c>
      <c r="Z242" s="11">
        <f>VLOOKUP(L242,'[1]singkron data'!D:I,6,FALSE)</f>
        <v>0</v>
      </c>
      <c r="AA242" s="11" t="s">
        <v>321</v>
      </c>
      <c r="AB242" s="11" t="s">
        <v>54</v>
      </c>
      <c r="AC242" s="11" t="s">
        <v>322</v>
      </c>
      <c r="AD242" s="11" t="str">
        <f>VLOOKUP(L242,'[1]data 1129'!F:O,10,FALSE)</f>
        <v>Tahap III 166</v>
      </c>
      <c r="AE242" s="11">
        <f>VLOOKUP(L242,'[1]singkron data'!D:P,13,FALSE)</f>
        <v>0</v>
      </c>
      <c r="AF242" s="11" t="s">
        <v>55</v>
      </c>
      <c r="AG242" s="11" t="e">
        <f>VLOOKUP(L242,'[1]update kontrak'!E:K,6,FALSE)</f>
        <v>#N/A</v>
      </c>
      <c r="AH242" s="11" t="e">
        <f>VLOOKUP(L242,'[1]update kontrak'!E:K,7,FALSE)</f>
        <v>#N/A</v>
      </c>
      <c r="AI242" s="11"/>
      <c r="AJ242" s="11" t="str">
        <f>VLOOKUP(L242,[1]rekap!D:M,1,FALSE)</f>
        <v>Pantai</v>
      </c>
      <c r="AK242" s="11" t="str">
        <f>VLOOKUP(L242,'[1]singkron data'!D:E,2,FALSE)</f>
        <v>CV. Bumi Keerom Perkasa</v>
      </c>
      <c r="AL242" s="11" t="str">
        <f>VLOOKUP(L242,'[1]update 521'!D:D,1,FALSE)</f>
        <v>Pantai</v>
      </c>
      <c r="AM242" s="11" t="s">
        <v>57</v>
      </c>
      <c r="AN242" s="11" t="e">
        <f>VLOOKUP(L242,[1]Sheet19!E:L,8,FALSE)</f>
        <v>#N/A</v>
      </c>
      <c r="AO242" s="11" t="s">
        <v>58</v>
      </c>
      <c r="AP242" s="12"/>
    </row>
    <row r="243" spans="1:42" ht="15" x14ac:dyDescent="0.2">
      <c r="A243" s="8" t="s">
        <v>42</v>
      </c>
      <c r="B243" s="9" t="s">
        <v>43</v>
      </c>
      <c r="C243" s="9">
        <v>272</v>
      </c>
      <c r="D243" s="9" t="s">
        <v>514</v>
      </c>
      <c r="E243" s="9">
        <v>59</v>
      </c>
      <c r="F243" s="9" t="s">
        <v>681</v>
      </c>
      <c r="G243" s="9" t="s">
        <v>568</v>
      </c>
      <c r="H243" s="9" t="s">
        <v>47</v>
      </c>
      <c r="I243" s="9" t="s">
        <v>682</v>
      </c>
      <c r="J243" s="9" t="s">
        <v>683</v>
      </c>
      <c r="K243" s="9" t="s">
        <v>684</v>
      </c>
      <c r="L243" s="10" t="s">
        <v>684</v>
      </c>
      <c r="M243" s="9" t="s">
        <v>51</v>
      </c>
      <c r="N243" s="14">
        <v>1100</v>
      </c>
      <c r="O243" s="9">
        <v>150</v>
      </c>
      <c r="P243" s="9">
        <v>950</v>
      </c>
      <c r="Q243" s="14">
        <v>1100</v>
      </c>
      <c r="R243" s="9">
        <v>1.49</v>
      </c>
      <c r="S243" s="9">
        <v>0.82781899999999997</v>
      </c>
      <c r="T243" s="9">
        <v>112.589208</v>
      </c>
      <c r="U243" s="9" t="s">
        <v>52</v>
      </c>
      <c r="V243" s="11" t="s">
        <v>654</v>
      </c>
      <c r="W243" s="13">
        <f>VLOOKUP(L243,'[1]update tim 2'!D:F,3,FALSE)</f>
        <v>3543737000</v>
      </c>
      <c r="X243" s="11" t="s">
        <v>55</v>
      </c>
      <c r="Y243" s="11" t="str">
        <f>VLOOKUP(L243,'[1]singkron data'!D:H,5,FALSE)</f>
        <v>Pontianak</v>
      </c>
      <c r="Z243" s="11" t="str">
        <f>VLOOKUP(L243,'[1]singkron data'!D:I,6,FALSE)</f>
        <v>Online</v>
      </c>
      <c r="AA243" s="11" t="s">
        <v>655</v>
      </c>
      <c r="AB243" s="11" t="s">
        <v>54</v>
      </c>
      <c r="AC243" s="11" t="s">
        <v>656</v>
      </c>
      <c r="AD243" s="11" t="str">
        <f>VLOOKUP(L243,'[1]data 1129'!F:O,10,FALSE)</f>
        <v>Tahap III 166</v>
      </c>
      <c r="AE243" s="11">
        <f>VLOOKUP(L243,'[1]singkron data'!D:P,13,FALSE)</f>
        <v>0</v>
      </c>
      <c r="AF243" s="11" t="s">
        <v>55</v>
      </c>
      <c r="AG243" s="11" t="e">
        <f>VLOOKUP(L243,'[1]update kontrak'!E:K,6,FALSE)</f>
        <v>#N/A</v>
      </c>
      <c r="AH243" s="11" t="e">
        <f>VLOOKUP(L243,'[1]update kontrak'!E:K,7,FALSE)</f>
        <v>#N/A</v>
      </c>
      <c r="AI243" s="11"/>
      <c r="AJ243" s="11" t="str">
        <f>VLOOKUP(L243,[1]rekap!D:M,1,FALSE)</f>
        <v>Nanga Embaloh</v>
      </c>
      <c r="AK243" s="11" t="str">
        <f>VLOOKUP(L243,'[1]singkron data'!D:E,2,FALSE)</f>
        <v>PT. Abadi Jasa Tama (Menengah)</v>
      </c>
      <c r="AL243" s="11" t="str">
        <f>VLOOKUP(L243,'[1]update 521'!D:D,1,FALSE)</f>
        <v>Nanga Embaloh</v>
      </c>
      <c r="AM243" s="11" t="s">
        <v>57</v>
      </c>
      <c r="AN243" s="11" t="e">
        <f>VLOOKUP(L243,[1]Sheet19!E:L,8,FALSE)</f>
        <v>#N/A</v>
      </c>
      <c r="AO243" s="11" t="s">
        <v>58</v>
      </c>
      <c r="AP243" s="12"/>
    </row>
    <row r="244" spans="1:42" ht="15" x14ac:dyDescent="0.2">
      <c r="A244" s="8" t="s">
        <v>42</v>
      </c>
      <c r="B244" s="9" t="s">
        <v>43</v>
      </c>
      <c r="C244" s="9">
        <v>273</v>
      </c>
      <c r="D244" s="9" t="s">
        <v>514</v>
      </c>
      <c r="E244" s="9">
        <v>60</v>
      </c>
      <c r="F244" s="9" t="s">
        <v>681</v>
      </c>
      <c r="G244" s="9" t="s">
        <v>568</v>
      </c>
      <c r="H244" s="9" t="s">
        <v>47</v>
      </c>
      <c r="I244" s="9" t="s">
        <v>682</v>
      </c>
      <c r="J244" s="9" t="s">
        <v>685</v>
      </c>
      <c r="K244" s="9" t="s">
        <v>686</v>
      </c>
      <c r="L244" s="10" t="s">
        <v>686</v>
      </c>
      <c r="M244" s="9" t="s">
        <v>51</v>
      </c>
      <c r="N244" s="9">
        <v>420</v>
      </c>
      <c r="O244" s="9">
        <v>27</v>
      </c>
      <c r="P244" s="9">
        <v>393</v>
      </c>
      <c r="Q244" s="9">
        <v>420</v>
      </c>
      <c r="R244" s="9">
        <v>2</v>
      </c>
      <c r="S244" s="9">
        <v>0.855958</v>
      </c>
      <c r="T244" s="9">
        <v>112.216003</v>
      </c>
      <c r="U244" s="9" t="s">
        <v>52</v>
      </c>
      <c r="V244" s="11" t="s">
        <v>654</v>
      </c>
      <c r="W244" s="13">
        <f>VLOOKUP(L244,'[1]update tim 2'!D:F,3,FALSE)</f>
        <v>3235169000</v>
      </c>
      <c r="X244" s="11" t="s">
        <v>55</v>
      </c>
      <c r="Y244" s="11" t="str">
        <f>VLOOKUP(L244,'[1]singkron data'!D:H,5,FALSE)</f>
        <v>Pontianak</v>
      </c>
      <c r="Z244" s="11" t="str">
        <f>VLOOKUP(L244,'[1]singkron data'!D:I,6,FALSE)</f>
        <v>Online</v>
      </c>
      <c r="AA244" s="11" t="s">
        <v>655</v>
      </c>
      <c r="AB244" s="11" t="s">
        <v>54</v>
      </c>
      <c r="AC244" s="11" t="s">
        <v>656</v>
      </c>
      <c r="AD244" s="11" t="str">
        <f>VLOOKUP(L244,'[1]data 1129'!F:O,10,FALSE)</f>
        <v>Tahap III 166</v>
      </c>
      <c r="AE244" s="11">
        <f>VLOOKUP(L244,'[1]singkron data'!D:P,13,FALSE)</f>
        <v>0</v>
      </c>
      <c r="AF244" s="11" t="s">
        <v>55</v>
      </c>
      <c r="AG244" s="11" t="e">
        <f>VLOOKUP(L244,'[1]update kontrak'!E:K,6,FALSE)</f>
        <v>#N/A</v>
      </c>
      <c r="AH244" s="11" t="e">
        <f>VLOOKUP(L244,'[1]update kontrak'!E:K,7,FALSE)</f>
        <v>#N/A</v>
      </c>
      <c r="AI244" s="11"/>
      <c r="AJ244" s="11" t="str">
        <f>VLOOKUP(L244,[1]rekap!D:M,1,FALSE)</f>
        <v>Nanga Leboyan</v>
      </c>
      <c r="AK244" s="11" t="str">
        <f>VLOOKUP(L244,'[1]singkron data'!D:E,2,FALSE)</f>
        <v>PT. Abadi Jasa Tama (Menengah)</v>
      </c>
      <c r="AL244" s="11" t="str">
        <f>VLOOKUP(L244,'[1]update 521'!D:D,1,FALSE)</f>
        <v>Nanga Leboyan</v>
      </c>
      <c r="AM244" s="11" t="s">
        <v>57</v>
      </c>
      <c r="AN244" s="11" t="e">
        <f>VLOOKUP(L244,[1]Sheet19!E:L,8,FALSE)</f>
        <v>#N/A</v>
      </c>
      <c r="AO244" s="11" t="s">
        <v>58</v>
      </c>
      <c r="AP244" s="12"/>
    </row>
    <row r="245" spans="1:42" ht="15" x14ac:dyDescent="0.2">
      <c r="A245" s="8" t="s">
        <v>42</v>
      </c>
      <c r="B245" s="9" t="s">
        <v>43</v>
      </c>
      <c r="C245" s="9">
        <v>274</v>
      </c>
      <c r="D245" s="9" t="s">
        <v>514</v>
      </c>
      <c r="E245" s="9">
        <v>61</v>
      </c>
      <c r="F245" s="9" t="s">
        <v>681</v>
      </c>
      <c r="G245" s="9" t="s">
        <v>568</v>
      </c>
      <c r="H245" s="9" t="s">
        <v>47</v>
      </c>
      <c r="I245" s="9" t="s">
        <v>682</v>
      </c>
      <c r="J245" s="9" t="s">
        <v>685</v>
      </c>
      <c r="K245" s="9" t="s">
        <v>687</v>
      </c>
      <c r="L245" s="10" t="s">
        <v>687</v>
      </c>
      <c r="M245" s="9" t="s">
        <v>81</v>
      </c>
      <c r="N245" s="9">
        <v>920</v>
      </c>
      <c r="O245" s="9" t="s">
        <v>72</v>
      </c>
      <c r="P245" s="9">
        <v>350</v>
      </c>
      <c r="Q245" s="9">
        <v>350</v>
      </c>
      <c r="R245" s="9">
        <v>2</v>
      </c>
      <c r="S245" s="9">
        <v>0.64900829999999998</v>
      </c>
      <c r="T245" s="9">
        <v>112.1822083</v>
      </c>
      <c r="U245" s="9" t="s">
        <v>52</v>
      </c>
      <c r="V245" s="11" t="s">
        <v>654</v>
      </c>
      <c r="W245" s="13">
        <f>VLOOKUP(L245,'[1]update tim 2'!D:F,3,FALSE)</f>
        <v>6988761000</v>
      </c>
      <c r="X245" s="11" t="s">
        <v>55</v>
      </c>
      <c r="Y245" s="11" t="str">
        <f>VLOOKUP(L245,'[1]singkron data'!D:H,5,FALSE)</f>
        <v>Pontianak</v>
      </c>
      <c r="Z245" s="11" t="str">
        <f>VLOOKUP(L245,'[1]singkron data'!D:I,6,FALSE)</f>
        <v>Online</v>
      </c>
      <c r="AA245" s="11" t="s">
        <v>655</v>
      </c>
      <c r="AB245" s="11" t="s">
        <v>54</v>
      </c>
      <c r="AC245" s="11" t="s">
        <v>656</v>
      </c>
      <c r="AD245" s="11" t="str">
        <f>VLOOKUP(L245,'[1]data 1129'!F:O,10,FALSE)</f>
        <v>Tahap III 166</v>
      </c>
      <c r="AE245" s="11">
        <f>VLOOKUP(L245,'[1]singkron data'!D:P,13,FALSE)</f>
        <v>0</v>
      </c>
      <c r="AF245" s="11" t="s">
        <v>55</v>
      </c>
      <c r="AG245" s="11" t="e">
        <f>VLOOKUP(L245,'[1]update kontrak'!E:K,6,FALSE)</f>
        <v>#N/A</v>
      </c>
      <c r="AH245" s="11" t="e">
        <f>VLOOKUP(L245,'[1]update kontrak'!E:K,7,FALSE)</f>
        <v>#N/A</v>
      </c>
      <c r="AI245" s="11"/>
      <c r="AJ245" s="11" t="str">
        <f>VLOOKUP(L245,[1]rekap!D:M,1,FALSE)</f>
        <v>Nibung</v>
      </c>
      <c r="AK245" s="11" t="str">
        <f>VLOOKUP(L245,'[1]singkron data'!D:E,2,FALSE)</f>
        <v>PT. Abadi Jasa Tama (Menengah)</v>
      </c>
      <c r="AL245" s="11" t="str">
        <f>VLOOKUP(L245,'[1]update 521'!D:D,1,FALSE)</f>
        <v>Nibung</v>
      </c>
      <c r="AM245" s="11" t="s">
        <v>57</v>
      </c>
      <c r="AN245" s="11" t="e">
        <f>VLOOKUP(L245,[1]Sheet19!E:L,8,FALSE)</f>
        <v>#N/A</v>
      </c>
      <c r="AO245" s="11" t="s">
        <v>58</v>
      </c>
      <c r="AP245" s="12"/>
    </row>
    <row r="246" spans="1:42" ht="15" x14ac:dyDescent="0.2">
      <c r="A246" s="8" t="s">
        <v>42</v>
      </c>
      <c r="B246" s="9" t="s">
        <v>43</v>
      </c>
      <c r="C246" s="9">
        <v>101</v>
      </c>
      <c r="D246" s="9" t="s">
        <v>688</v>
      </c>
      <c r="E246" s="9">
        <v>1</v>
      </c>
      <c r="F246" s="9" t="s">
        <v>689</v>
      </c>
      <c r="G246" s="9" t="s">
        <v>690</v>
      </c>
      <c r="H246" s="9" t="s">
        <v>287</v>
      </c>
      <c r="I246" s="9" t="s">
        <v>691</v>
      </c>
      <c r="J246" s="9" t="s">
        <v>692</v>
      </c>
      <c r="K246" s="9" t="s">
        <v>693</v>
      </c>
      <c r="L246" s="9" t="s">
        <v>693</v>
      </c>
      <c r="M246" s="9" t="s">
        <v>51</v>
      </c>
      <c r="N246" s="9">
        <v>166</v>
      </c>
      <c r="O246" s="9">
        <v>20</v>
      </c>
      <c r="P246" s="9">
        <v>40</v>
      </c>
      <c r="Q246" s="9">
        <v>60</v>
      </c>
      <c r="R246" s="9">
        <v>0.63</v>
      </c>
      <c r="S246" s="9">
        <v>-3.0559940000000001</v>
      </c>
      <c r="T246" s="9">
        <v>130.44356500000001</v>
      </c>
      <c r="U246" s="9"/>
      <c r="V246" s="11"/>
      <c r="W246" s="11">
        <f>VLOOKUP(L246,'[1]data 1129'!F:H,3,FALSE)</f>
        <v>0</v>
      </c>
      <c r="X246" s="11"/>
      <c r="Y246" s="11">
        <f>VLOOKUP(L246,'[1]singkron data'!D:H,5,FALSE)</f>
        <v>0</v>
      </c>
      <c r="Z246" s="11">
        <f>VLOOKUP(L246,'[1]singkron data'!D:I,6,FALSE)</f>
        <v>0</v>
      </c>
      <c r="AA246" s="11"/>
      <c r="AB246" s="11" t="s">
        <v>694</v>
      </c>
      <c r="AC246" s="11"/>
      <c r="AD246" s="11"/>
      <c r="AE246" s="11">
        <f>VLOOKUP(L246,'[1]singkron data'!D:P,13,FALSE)</f>
        <v>0</v>
      </c>
      <c r="AF246" s="11"/>
      <c r="AG246" s="11" t="e">
        <f>VLOOKUP(L246,'[1]update kontrak'!E:K,6,FALSE)</f>
        <v>#N/A</v>
      </c>
      <c r="AH246" s="11" t="e">
        <f>VLOOKUP(L246,'[1]update kontrak'!E:K,7,FALSE)</f>
        <v>#N/A</v>
      </c>
      <c r="AI246" s="11"/>
      <c r="AJ246" s="11" t="str">
        <f>VLOOKUP(L246,[1]rekap!D:M,1,FALSE)</f>
        <v>Englas</v>
      </c>
      <c r="AK246" s="11" t="str">
        <f>VLOOKUP(L246,'[1]singkron data'!D:E,2,FALSE)</f>
        <v>PT. Abadi Jasa Tama</v>
      </c>
      <c r="AL246" s="11" t="str">
        <f>VLOOKUP(L246,'[1]update 521'!D:D,1,FALSE)</f>
        <v>Englas</v>
      </c>
      <c r="AM246" s="11" t="s">
        <v>96</v>
      </c>
      <c r="AN246" s="11" t="e">
        <f>VLOOKUP(L246,[1]Sheet19!E:L,8,FALSE)</f>
        <v>#N/A</v>
      </c>
      <c r="AO246" s="11" t="e">
        <f>VLOOKUP(L246,[1]Sheet19!E:K,7,FALSE)</f>
        <v>#N/A</v>
      </c>
      <c r="AP246" s="12"/>
    </row>
    <row r="247" spans="1:42" ht="15" x14ac:dyDescent="0.2">
      <c r="A247" s="8" t="s">
        <v>42</v>
      </c>
      <c r="B247" s="9" t="s">
        <v>43</v>
      </c>
      <c r="C247" s="9">
        <v>102</v>
      </c>
      <c r="D247" s="9" t="s">
        <v>688</v>
      </c>
      <c r="E247" s="9">
        <v>2</v>
      </c>
      <c r="F247" s="9" t="s">
        <v>689</v>
      </c>
      <c r="G247" s="9" t="s">
        <v>690</v>
      </c>
      <c r="H247" s="9" t="s">
        <v>287</v>
      </c>
      <c r="I247" s="9" t="s">
        <v>691</v>
      </c>
      <c r="J247" s="9" t="s">
        <v>695</v>
      </c>
      <c r="K247" s="9" t="s">
        <v>696</v>
      </c>
      <c r="L247" s="9" t="s">
        <v>696</v>
      </c>
      <c r="M247" s="9" t="s">
        <v>51</v>
      </c>
      <c r="N247" s="9">
        <v>80</v>
      </c>
      <c r="O247" s="9" t="s">
        <v>72</v>
      </c>
      <c r="P247" s="9">
        <v>80</v>
      </c>
      <c r="Q247" s="9">
        <v>80</v>
      </c>
      <c r="R247" s="9">
        <v>1.24</v>
      </c>
      <c r="S247" s="9">
        <v>-3.0114399999999999</v>
      </c>
      <c r="T247" s="9">
        <v>130.133602</v>
      </c>
      <c r="U247" s="9"/>
      <c r="V247" s="11">
        <f>VLOOKUP(L247,'[1]singkron data'!D:E,2,FALSE)</f>
        <v>0</v>
      </c>
      <c r="W247" s="11">
        <f>VLOOKUP(L247,'[1]data 1129'!F:H,3,FALSE)</f>
        <v>0</v>
      </c>
      <c r="X247" s="11"/>
      <c r="Y247" s="11">
        <f>VLOOKUP(L247,'[1]singkron data'!D:H,5,FALSE)</f>
        <v>0</v>
      </c>
      <c r="Z247" s="11">
        <f>VLOOKUP(L247,'[1]singkron data'!D:I,6,FALSE)</f>
        <v>0</v>
      </c>
      <c r="AA247" s="11">
        <f>VLOOKUP(L247,'[1]singkron data'!D:L,9,FALSE)</f>
        <v>0</v>
      </c>
      <c r="AB247" s="11" t="s">
        <v>694</v>
      </c>
      <c r="AC247" s="11">
        <f>VLOOKUP(L247,'[1]singkron data'!D:M,10,FALSE)</f>
        <v>0</v>
      </c>
      <c r="AD247" s="11"/>
      <c r="AE247" s="11">
        <f>VLOOKUP(L247,'[1]singkron data'!D:P,13,FALSE)</f>
        <v>0</v>
      </c>
      <c r="AF247" s="11"/>
      <c r="AG247" s="11" t="e">
        <f>VLOOKUP(L247,'[1]update kontrak'!E:K,6,FALSE)</f>
        <v>#N/A</v>
      </c>
      <c r="AH247" s="11" t="e">
        <f>VLOOKUP(L247,'[1]update kontrak'!E:K,7,FALSE)</f>
        <v>#N/A</v>
      </c>
      <c r="AI247" s="11"/>
      <c r="AJ247" s="11" t="str">
        <f>VLOOKUP(L247,[1]rekap!D:M,1,FALSE)</f>
        <v>Aki Jaya</v>
      </c>
      <c r="AK247" s="11">
        <f>VLOOKUP(L247,'[1]singkron data'!D:E,2,FALSE)</f>
        <v>0</v>
      </c>
      <c r="AL247" s="11" t="str">
        <f>VLOOKUP(L247,'[1]update 521'!D:D,1,FALSE)</f>
        <v>Aki Jaya</v>
      </c>
      <c r="AM247" s="11" t="s">
        <v>96</v>
      </c>
      <c r="AN247" s="11" t="e">
        <f>VLOOKUP(L247,[1]Sheet19!E:L,8,FALSE)</f>
        <v>#N/A</v>
      </c>
      <c r="AO247" s="11" t="e">
        <f>VLOOKUP(L247,[1]Sheet19!E:K,7,FALSE)</f>
        <v>#N/A</v>
      </c>
      <c r="AP247" s="12"/>
    </row>
    <row r="248" spans="1:42" ht="15" x14ac:dyDescent="0.2">
      <c r="A248" s="8" t="s">
        <v>42</v>
      </c>
      <c r="B248" s="9" t="s">
        <v>43</v>
      </c>
      <c r="C248" s="9">
        <v>103</v>
      </c>
      <c r="D248" s="9" t="s">
        <v>688</v>
      </c>
      <c r="E248" s="9">
        <v>3</v>
      </c>
      <c r="F248" s="9" t="s">
        <v>689</v>
      </c>
      <c r="G248" s="9" t="s">
        <v>690</v>
      </c>
      <c r="H248" s="9" t="s">
        <v>287</v>
      </c>
      <c r="I248" s="9" t="s">
        <v>691</v>
      </c>
      <c r="J248" s="9" t="s">
        <v>692</v>
      </c>
      <c r="K248" s="9" t="s">
        <v>692</v>
      </c>
      <c r="L248" s="9" t="s">
        <v>692</v>
      </c>
      <c r="M248" s="9" t="s">
        <v>51</v>
      </c>
      <c r="N248" s="9">
        <v>147</v>
      </c>
      <c r="O248" s="9" t="s">
        <v>72</v>
      </c>
      <c r="P248" s="9" t="s">
        <v>72</v>
      </c>
      <c r="Q248" s="9">
        <v>16</v>
      </c>
      <c r="R248" s="9">
        <v>2</v>
      </c>
      <c r="S248" s="9">
        <v>-3.1006130000000001</v>
      </c>
      <c r="T248" s="9">
        <v>130.491985</v>
      </c>
      <c r="U248" s="9"/>
      <c r="V248" s="11">
        <f>VLOOKUP(L248,'[1]singkron data'!D:E,2,FALSE)</f>
        <v>0</v>
      </c>
      <c r="W248" s="11">
        <f>VLOOKUP(L248,'[1]data 1129'!F:H,3,FALSE)</f>
        <v>0</v>
      </c>
      <c r="X248" s="11"/>
      <c r="Y248" s="11">
        <f>VLOOKUP(L248,'[1]singkron data'!D:H,5,FALSE)</f>
        <v>0</v>
      </c>
      <c r="Z248" s="11">
        <f>VLOOKUP(L248,'[1]singkron data'!D:I,6,FALSE)</f>
        <v>0</v>
      </c>
      <c r="AA248" s="11">
        <f>VLOOKUP(L248,'[1]singkron data'!D:L,9,FALSE)</f>
        <v>0</v>
      </c>
      <c r="AB248" s="11" t="s">
        <v>694</v>
      </c>
      <c r="AC248" s="11">
        <f>VLOOKUP(L248,'[1]singkron data'!D:M,10,FALSE)</f>
        <v>0</v>
      </c>
      <c r="AD248" s="11"/>
      <c r="AE248" s="11">
        <f>VLOOKUP(L248,'[1]singkron data'!D:P,13,FALSE)</f>
        <v>0</v>
      </c>
      <c r="AF248" s="11"/>
      <c r="AG248" s="11" t="e">
        <f>VLOOKUP(L248,'[1]update kontrak'!E:K,6,FALSE)</f>
        <v>#N/A</v>
      </c>
      <c r="AH248" s="11" t="e">
        <f>VLOOKUP(L248,'[1]update kontrak'!E:K,7,FALSE)</f>
        <v>#N/A</v>
      </c>
      <c r="AI248" s="11"/>
      <c r="AJ248" s="11" t="str">
        <f>VLOOKUP(L248,[1]rekap!D:M,1,FALSE)</f>
        <v>Bula</v>
      </c>
      <c r="AK248" s="11">
        <f>VLOOKUP(L248,'[1]singkron data'!D:E,2,FALSE)</f>
        <v>0</v>
      </c>
      <c r="AL248" s="11" t="str">
        <f>VLOOKUP(L248,'[1]update 521'!D:D,1,FALSE)</f>
        <v>Bula</v>
      </c>
      <c r="AM248" s="11" t="s">
        <v>96</v>
      </c>
      <c r="AN248" s="11" t="e">
        <f>VLOOKUP(L248,[1]Sheet19!E:L,8,FALSE)</f>
        <v>#N/A</v>
      </c>
      <c r="AO248" s="11" t="e">
        <f>VLOOKUP(L248,[1]Sheet19!E:K,7,FALSE)</f>
        <v>#N/A</v>
      </c>
      <c r="AP248" s="12"/>
    </row>
    <row r="249" spans="1:42" ht="15" x14ac:dyDescent="0.2">
      <c r="A249" s="8" t="s">
        <v>42</v>
      </c>
      <c r="B249" s="9" t="s">
        <v>43</v>
      </c>
      <c r="C249" s="9">
        <v>104</v>
      </c>
      <c r="D249" s="9" t="s">
        <v>688</v>
      </c>
      <c r="E249" s="9">
        <v>4</v>
      </c>
      <c r="F249" s="9" t="s">
        <v>697</v>
      </c>
      <c r="G249" s="9" t="s">
        <v>690</v>
      </c>
      <c r="H249" s="9" t="s">
        <v>287</v>
      </c>
      <c r="I249" s="9" t="s">
        <v>691</v>
      </c>
      <c r="J249" s="9" t="s">
        <v>698</v>
      </c>
      <c r="K249" s="9" t="s">
        <v>697</v>
      </c>
      <c r="L249" s="9" t="s">
        <v>697</v>
      </c>
      <c r="M249" s="9" t="s">
        <v>65</v>
      </c>
      <c r="N249" s="9">
        <v>295</v>
      </c>
      <c r="O249" s="9">
        <v>161</v>
      </c>
      <c r="P249" s="9">
        <v>91</v>
      </c>
      <c r="Q249" s="9">
        <v>252</v>
      </c>
      <c r="R249" s="9">
        <v>0.35</v>
      </c>
      <c r="S249" s="9">
        <v>-4.0714240000000004</v>
      </c>
      <c r="T249" s="9">
        <v>131.284403</v>
      </c>
      <c r="U249" s="9"/>
      <c r="V249" s="11">
        <f>VLOOKUP(L249,'[1]singkron data'!D:E,2,FALSE)</f>
        <v>0</v>
      </c>
      <c r="W249" s="11">
        <f>VLOOKUP(L249,'[1]data 1129'!F:H,3,FALSE)</f>
        <v>0</v>
      </c>
      <c r="X249" s="11"/>
      <c r="Y249" s="11">
        <f>VLOOKUP(L249,'[1]singkron data'!D:H,5,FALSE)</f>
        <v>0</v>
      </c>
      <c r="Z249" s="11">
        <f>VLOOKUP(L249,'[1]singkron data'!D:I,6,FALSE)</f>
        <v>0</v>
      </c>
      <c r="AA249" s="11">
        <f>VLOOKUP(L249,'[1]singkron data'!D:L,9,FALSE)</f>
        <v>0</v>
      </c>
      <c r="AB249" s="11" t="s">
        <v>694</v>
      </c>
      <c r="AC249" s="11">
        <f>VLOOKUP(L249,'[1]singkron data'!D:M,10,FALSE)</f>
        <v>0</v>
      </c>
      <c r="AD249" s="11"/>
      <c r="AE249" s="11">
        <f>VLOOKUP(L249,'[1]singkron data'!D:P,13,FALSE)</f>
        <v>0</v>
      </c>
      <c r="AF249" s="11"/>
      <c r="AG249" s="11" t="e">
        <f>VLOOKUP(L249,'[1]update kontrak'!E:K,6,FALSE)</f>
        <v>#N/A</v>
      </c>
      <c r="AH249" s="11" t="e">
        <f>VLOOKUP(L249,'[1]update kontrak'!E:K,7,FALSE)</f>
        <v>#N/A</v>
      </c>
      <c r="AI249" s="11"/>
      <c r="AJ249" s="11" t="str">
        <f>VLOOKUP(L249,[1]rekap!D:M,1,FALSE)</f>
        <v>Amarsekaru</v>
      </c>
      <c r="AK249" s="11">
        <f>VLOOKUP(L249,'[1]singkron data'!D:E,2,FALSE)</f>
        <v>0</v>
      </c>
      <c r="AL249" s="11" t="str">
        <f>VLOOKUP(L249,'[1]update 521'!D:D,1,FALSE)</f>
        <v>Amarsekaru</v>
      </c>
      <c r="AM249" s="11" t="s">
        <v>96</v>
      </c>
      <c r="AN249" s="11" t="e">
        <f>VLOOKUP(L249,[1]Sheet19!E:L,8,FALSE)</f>
        <v>#N/A</v>
      </c>
      <c r="AO249" s="11" t="e">
        <f>VLOOKUP(L249,[1]Sheet19!E:K,7,FALSE)</f>
        <v>#N/A</v>
      </c>
      <c r="AP249" s="12"/>
    </row>
    <row r="250" spans="1:42" ht="15" x14ac:dyDescent="0.2">
      <c r="A250" s="8" t="s">
        <v>42</v>
      </c>
      <c r="B250" s="9" t="s">
        <v>43</v>
      </c>
      <c r="C250" s="9">
        <v>105</v>
      </c>
      <c r="D250" s="9" t="s">
        <v>688</v>
      </c>
      <c r="E250" s="9">
        <v>5</v>
      </c>
      <c r="F250" s="9" t="s">
        <v>697</v>
      </c>
      <c r="G250" s="9" t="s">
        <v>690</v>
      </c>
      <c r="H250" s="9" t="s">
        <v>287</v>
      </c>
      <c r="I250" s="9" t="s">
        <v>691</v>
      </c>
      <c r="J250" s="9" t="s">
        <v>699</v>
      </c>
      <c r="K250" s="9" t="s">
        <v>700</v>
      </c>
      <c r="L250" s="9" t="s">
        <v>700</v>
      </c>
      <c r="M250" s="9" t="s">
        <v>51</v>
      </c>
      <c r="N250" s="9">
        <v>635</v>
      </c>
      <c r="O250" s="9">
        <v>25</v>
      </c>
      <c r="P250" s="9">
        <v>25</v>
      </c>
      <c r="Q250" s="9">
        <v>50</v>
      </c>
      <c r="R250" s="9">
        <v>0.59</v>
      </c>
      <c r="S250" s="9">
        <v>-4.4156500000000003</v>
      </c>
      <c r="T250" s="9">
        <v>131.60255000000001</v>
      </c>
      <c r="U250" s="9"/>
      <c r="V250" s="11">
        <f>VLOOKUP(L250,'[1]singkron data'!D:E,2,FALSE)</f>
        <v>0</v>
      </c>
      <c r="W250" s="11">
        <f>VLOOKUP(L250,'[1]data 1129'!F:H,3,FALSE)</f>
        <v>0</v>
      </c>
      <c r="X250" s="11"/>
      <c r="Y250" s="11">
        <f>VLOOKUP(L250,'[1]singkron data'!D:H,5,FALSE)</f>
        <v>0</v>
      </c>
      <c r="Z250" s="11">
        <f>VLOOKUP(L250,'[1]singkron data'!D:I,6,FALSE)</f>
        <v>0</v>
      </c>
      <c r="AA250" s="11">
        <f>VLOOKUP(L250,'[1]singkron data'!D:L,9,FALSE)</f>
        <v>0</v>
      </c>
      <c r="AB250" s="11" t="s">
        <v>694</v>
      </c>
      <c r="AC250" s="11">
        <f>VLOOKUP(L250,'[1]singkron data'!D:M,10,FALSE)</f>
        <v>0</v>
      </c>
      <c r="AD250" s="11"/>
      <c r="AE250" s="11">
        <f>VLOOKUP(L250,'[1]singkron data'!D:P,13,FALSE)</f>
        <v>0</v>
      </c>
      <c r="AF250" s="11"/>
      <c r="AG250" s="11" t="e">
        <f>VLOOKUP(L250,'[1]update kontrak'!E:K,6,FALSE)</f>
        <v>#N/A</v>
      </c>
      <c r="AH250" s="11" t="e">
        <f>VLOOKUP(L250,'[1]update kontrak'!E:K,7,FALSE)</f>
        <v>#N/A</v>
      </c>
      <c r="AI250" s="11"/>
      <c r="AJ250" s="11" t="str">
        <f>VLOOKUP(L250,[1]rekap!D:M,1,FALSE)</f>
        <v>Lahema</v>
      </c>
      <c r="AK250" s="11">
        <f>VLOOKUP(L250,'[1]singkron data'!D:E,2,FALSE)</f>
        <v>0</v>
      </c>
      <c r="AL250" s="11" t="str">
        <f>VLOOKUP(L250,'[1]update 521'!D:D,1,FALSE)</f>
        <v>Lahema</v>
      </c>
      <c r="AM250" s="11" t="s">
        <v>96</v>
      </c>
      <c r="AN250" s="11" t="e">
        <f>VLOOKUP(L250,[1]Sheet19!E:L,8,FALSE)</f>
        <v>#N/A</v>
      </c>
      <c r="AO250" s="11" t="e">
        <f>VLOOKUP(L250,[1]Sheet19!E:K,7,FALSE)</f>
        <v>#N/A</v>
      </c>
      <c r="AP250" s="12"/>
    </row>
    <row r="251" spans="1:42" ht="15" x14ac:dyDescent="0.2">
      <c r="A251" s="8" t="s">
        <v>42</v>
      </c>
      <c r="B251" s="9" t="s">
        <v>43</v>
      </c>
      <c r="C251" s="9">
        <v>106</v>
      </c>
      <c r="D251" s="9" t="s">
        <v>688</v>
      </c>
      <c r="E251" s="9">
        <v>6</v>
      </c>
      <c r="F251" s="9" t="s">
        <v>697</v>
      </c>
      <c r="G251" s="9" t="s">
        <v>690</v>
      </c>
      <c r="H251" s="9" t="s">
        <v>287</v>
      </c>
      <c r="I251" s="9" t="s">
        <v>691</v>
      </c>
      <c r="J251" s="9" t="s">
        <v>699</v>
      </c>
      <c r="K251" s="9" t="s">
        <v>701</v>
      </c>
      <c r="L251" s="9" t="s">
        <v>701</v>
      </c>
      <c r="M251" s="9" t="s">
        <v>51</v>
      </c>
      <c r="N251" s="9">
        <v>54</v>
      </c>
      <c r="O251" s="9">
        <v>15</v>
      </c>
      <c r="P251" s="9">
        <v>28</v>
      </c>
      <c r="Q251" s="9">
        <v>43</v>
      </c>
      <c r="R251" s="9">
        <v>7.0000000000000007E-2</v>
      </c>
      <c r="S251" s="9">
        <v>-4.4542805999999997</v>
      </c>
      <c r="T251" s="9">
        <v>131.64096760000001</v>
      </c>
      <c r="U251" s="9"/>
      <c r="V251" s="11">
        <f>VLOOKUP(L251,'[1]singkron data'!D:E,2,FALSE)</f>
        <v>0</v>
      </c>
      <c r="W251" s="11">
        <f>VLOOKUP(L251,'[1]data 1129'!F:H,3,FALSE)</f>
        <v>0</v>
      </c>
      <c r="X251" s="11"/>
      <c r="Y251" s="11">
        <f>VLOOKUP(L251,'[1]singkron data'!D:H,5,FALSE)</f>
        <v>0</v>
      </c>
      <c r="Z251" s="11">
        <f>VLOOKUP(L251,'[1]singkron data'!D:I,6,FALSE)</f>
        <v>0</v>
      </c>
      <c r="AA251" s="11">
        <f>VLOOKUP(L251,'[1]singkron data'!D:L,9,FALSE)</f>
        <v>0</v>
      </c>
      <c r="AB251" s="11" t="s">
        <v>694</v>
      </c>
      <c r="AC251" s="11">
        <f>VLOOKUP(L251,'[1]singkron data'!D:M,10,FALSE)</f>
        <v>0</v>
      </c>
      <c r="AD251" s="11"/>
      <c r="AE251" s="11">
        <f>VLOOKUP(L251,'[1]singkron data'!D:P,13,FALSE)</f>
        <v>0</v>
      </c>
      <c r="AF251" s="11"/>
      <c r="AG251" s="11" t="e">
        <f>VLOOKUP(L251,'[1]update kontrak'!E:K,6,FALSE)</f>
        <v>#N/A</v>
      </c>
      <c r="AH251" s="11" t="e">
        <f>VLOOKUP(L251,'[1]update kontrak'!E:K,7,FALSE)</f>
        <v>#N/A</v>
      </c>
      <c r="AI251" s="11"/>
      <c r="AJ251" s="11" t="str">
        <f>VLOOKUP(L251,[1]rekap!D:M,1,FALSE)</f>
        <v>Amarlaut</v>
      </c>
      <c r="AK251" s="11">
        <f>VLOOKUP(L251,'[1]singkron data'!D:E,2,FALSE)</f>
        <v>0</v>
      </c>
      <c r="AL251" s="11" t="str">
        <f>VLOOKUP(L251,'[1]update 521'!D:D,1,FALSE)</f>
        <v>Amarlaut</v>
      </c>
      <c r="AM251" s="11" t="s">
        <v>96</v>
      </c>
      <c r="AN251" s="11" t="e">
        <f>VLOOKUP(L251,[1]Sheet19!E:L,8,FALSE)</f>
        <v>#N/A</v>
      </c>
      <c r="AO251" s="11" t="e">
        <f>VLOOKUP(L251,[1]Sheet19!E:K,7,FALSE)</f>
        <v>#N/A</v>
      </c>
      <c r="AP251" s="12"/>
    </row>
    <row r="252" spans="1:42" ht="15" x14ac:dyDescent="0.2">
      <c r="A252" s="8" t="s">
        <v>42</v>
      </c>
      <c r="B252" s="9" t="s">
        <v>43</v>
      </c>
      <c r="C252" s="9">
        <v>107</v>
      </c>
      <c r="D252" s="9" t="s">
        <v>688</v>
      </c>
      <c r="E252" s="9">
        <v>7</v>
      </c>
      <c r="F252" s="9" t="s">
        <v>697</v>
      </c>
      <c r="G252" s="9" t="s">
        <v>690</v>
      </c>
      <c r="H252" s="9" t="s">
        <v>287</v>
      </c>
      <c r="I252" s="9" t="s">
        <v>691</v>
      </c>
      <c r="J252" s="9" t="s">
        <v>699</v>
      </c>
      <c r="K252" s="9" t="s">
        <v>702</v>
      </c>
      <c r="L252" s="9" t="s">
        <v>702</v>
      </c>
      <c r="M252" s="9" t="s">
        <v>51</v>
      </c>
      <c r="N252" s="9">
        <v>45</v>
      </c>
      <c r="O252" s="9">
        <v>14</v>
      </c>
      <c r="P252" s="9">
        <v>11</v>
      </c>
      <c r="Q252" s="9">
        <v>25</v>
      </c>
      <c r="R252" s="9">
        <v>0.09</v>
      </c>
      <c r="S252" s="9">
        <v>-4.5263187</v>
      </c>
      <c r="T252" s="9">
        <v>131.679327</v>
      </c>
      <c r="U252" s="9"/>
      <c r="V252" s="11">
        <f>VLOOKUP(L252,'[1]singkron data'!D:E,2,FALSE)</f>
        <v>0</v>
      </c>
      <c r="W252" s="11">
        <f>VLOOKUP(L252,'[1]data 1129'!F:H,3,FALSE)</f>
        <v>0</v>
      </c>
      <c r="X252" s="11"/>
      <c r="Y252" s="11">
        <f>VLOOKUP(L252,'[1]singkron data'!D:H,5,FALSE)</f>
        <v>0</v>
      </c>
      <c r="Z252" s="11">
        <f>VLOOKUP(L252,'[1]singkron data'!D:I,6,FALSE)</f>
        <v>0</v>
      </c>
      <c r="AA252" s="11">
        <f>VLOOKUP(L252,'[1]singkron data'!D:L,9,FALSE)</f>
        <v>0</v>
      </c>
      <c r="AB252" s="11" t="s">
        <v>694</v>
      </c>
      <c r="AC252" s="11">
        <f>VLOOKUP(L252,'[1]singkron data'!D:M,10,FALSE)</f>
        <v>0</v>
      </c>
      <c r="AD252" s="11"/>
      <c r="AE252" s="11">
        <f>VLOOKUP(L252,'[1]singkron data'!D:P,13,FALSE)</f>
        <v>0</v>
      </c>
      <c r="AF252" s="11"/>
      <c r="AG252" s="11" t="e">
        <f>VLOOKUP(L252,'[1]update kontrak'!E:K,6,FALSE)</f>
        <v>#N/A</v>
      </c>
      <c r="AH252" s="11" t="e">
        <f>VLOOKUP(L252,'[1]update kontrak'!E:K,7,FALSE)</f>
        <v>#N/A</v>
      </c>
      <c r="AI252" s="11"/>
      <c r="AJ252" s="11" t="str">
        <f>VLOOKUP(L252,[1]rekap!D:M,1,FALSE)</f>
        <v>Kilbutak</v>
      </c>
      <c r="AK252" s="11">
        <f>VLOOKUP(L252,'[1]singkron data'!D:E,2,FALSE)</f>
        <v>0</v>
      </c>
      <c r="AL252" s="11" t="str">
        <f>VLOOKUP(L252,'[1]update 521'!D:D,1,FALSE)</f>
        <v>Kilbutak</v>
      </c>
      <c r="AM252" s="11" t="s">
        <v>96</v>
      </c>
      <c r="AN252" s="11" t="e">
        <f>VLOOKUP(L252,[1]Sheet19!E:L,8,FALSE)</f>
        <v>#N/A</v>
      </c>
      <c r="AO252" s="11" t="e">
        <f>VLOOKUP(L252,[1]Sheet19!E:K,7,FALSE)</f>
        <v>#N/A</v>
      </c>
      <c r="AP252" s="12"/>
    </row>
    <row r="253" spans="1:42" ht="15" x14ac:dyDescent="0.2">
      <c r="A253" s="8" t="s">
        <v>42</v>
      </c>
      <c r="B253" s="9" t="s">
        <v>43</v>
      </c>
      <c r="C253" s="9">
        <v>108</v>
      </c>
      <c r="D253" s="9" t="s">
        <v>688</v>
      </c>
      <c r="E253" s="9">
        <v>8</v>
      </c>
      <c r="F253" s="9" t="s">
        <v>697</v>
      </c>
      <c r="G253" s="9" t="s">
        <v>690</v>
      </c>
      <c r="H253" s="9" t="s">
        <v>287</v>
      </c>
      <c r="I253" s="9" t="s">
        <v>691</v>
      </c>
      <c r="J253" s="9" t="s">
        <v>698</v>
      </c>
      <c r="K253" s="9" t="s">
        <v>703</v>
      </c>
      <c r="L253" s="9" t="s">
        <v>703</v>
      </c>
      <c r="M253" s="9" t="s">
        <v>51</v>
      </c>
      <c r="N253" s="9">
        <v>150</v>
      </c>
      <c r="O253" s="9">
        <v>50</v>
      </c>
      <c r="P253" s="9">
        <v>41</v>
      </c>
      <c r="Q253" s="9">
        <v>91</v>
      </c>
      <c r="R253" s="9">
        <v>0.54</v>
      </c>
      <c r="S253" s="9">
        <v>-3.9676939999999998</v>
      </c>
      <c r="T253" s="9">
        <v>131.42230000000001</v>
      </c>
      <c r="U253" s="9"/>
      <c r="V253" s="11">
        <f>VLOOKUP(L253,'[1]singkron data'!D:E,2,FALSE)</f>
        <v>0</v>
      </c>
      <c r="W253" s="11">
        <f>VLOOKUP(L253,'[1]data 1129'!F:H,3,FALSE)</f>
        <v>0</v>
      </c>
      <c r="X253" s="11"/>
      <c r="Y253" s="11">
        <f>VLOOKUP(L253,'[1]singkron data'!D:H,5,FALSE)</f>
        <v>0</v>
      </c>
      <c r="Z253" s="11">
        <f>VLOOKUP(L253,'[1]singkron data'!D:I,6,FALSE)</f>
        <v>0</v>
      </c>
      <c r="AA253" s="11">
        <f>VLOOKUP(L253,'[1]singkron data'!D:L,9,FALSE)</f>
        <v>0</v>
      </c>
      <c r="AB253" s="11" t="s">
        <v>694</v>
      </c>
      <c r="AC253" s="11">
        <f>VLOOKUP(L253,'[1]singkron data'!D:M,10,FALSE)</f>
        <v>0</v>
      </c>
      <c r="AD253" s="11"/>
      <c r="AE253" s="11">
        <f>VLOOKUP(L253,'[1]singkron data'!D:P,13,FALSE)</f>
        <v>0</v>
      </c>
      <c r="AF253" s="11"/>
      <c r="AG253" s="11" t="e">
        <f>VLOOKUP(L253,'[1]update kontrak'!E:K,6,FALSE)</f>
        <v>#N/A</v>
      </c>
      <c r="AH253" s="11" t="e">
        <f>VLOOKUP(L253,'[1]update kontrak'!E:K,7,FALSE)</f>
        <v>#N/A</v>
      </c>
      <c r="AI253" s="11"/>
      <c r="AJ253" s="11" t="str">
        <f>VLOOKUP(L253,[1]rekap!D:M,1,FALSE)</f>
        <v>Kulugowa</v>
      </c>
      <c r="AK253" s="11">
        <f>VLOOKUP(L253,'[1]singkron data'!D:E,2,FALSE)</f>
        <v>0</v>
      </c>
      <c r="AL253" s="11" t="str">
        <f>VLOOKUP(L253,'[1]update 521'!D:D,1,FALSE)</f>
        <v>Kulugowa</v>
      </c>
      <c r="AM253" s="11" t="s">
        <v>96</v>
      </c>
      <c r="AN253" s="11" t="e">
        <f>VLOOKUP(L253,[1]Sheet19!E:L,8,FALSE)</f>
        <v>#N/A</v>
      </c>
      <c r="AO253" s="11" t="e">
        <f>VLOOKUP(L253,[1]Sheet19!E:K,7,FALSE)</f>
        <v>#N/A</v>
      </c>
      <c r="AP253" s="12"/>
    </row>
    <row r="254" spans="1:42" ht="15" x14ac:dyDescent="0.2">
      <c r="A254" s="8" t="s">
        <v>42</v>
      </c>
      <c r="B254" s="9" t="s">
        <v>43</v>
      </c>
      <c r="C254" s="9">
        <v>109</v>
      </c>
      <c r="D254" s="9" t="s">
        <v>688</v>
      </c>
      <c r="E254" s="9">
        <v>9</v>
      </c>
      <c r="F254" s="9" t="s">
        <v>697</v>
      </c>
      <c r="G254" s="9" t="s">
        <v>690</v>
      </c>
      <c r="H254" s="9" t="s">
        <v>287</v>
      </c>
      <c r="I254" s="9" t="s">
        <v>691</v>
      </c>
      <c r="J254" s="9" t="s">
        <v>704</v>
      </c>
      <c r="K254" s="9" t="s">
        <v>705</v>
      </c>
      <c r="L254" s="9" t="s">
        <v>705</v>
      </c>
      <c r="M254" s="9" t="s">
        <v>81</v>
      </c>
      <c r="N254" s="9">
        <v>200</v>
      </c>
      <c r="O254" s="9">
        <v>100</v>
      </c>
      <c r="P254" s="9">
        <v>72</v>
      </c>
      <c r="Q254" s="9">
        <v>172</v>
      </c>
      <c r="R254" s="9">
        <v>0.8</v>
      </c>
      <c r="S254" s="9">
        <v>-4.7370809999999999</v>
      </c>
      <c r="T254" s="9">
        <v>131.72909999999999</v>
      </c>
      <c r="U254" s="9"/>
      <c r="V254" s="11">
        <f>VLOOKUP(L254,'[1]singkron data'!D:E,2,FALSE)</f>
        <v>0</v>
      </c>
      <c r="W254" s="11">
        <f>VLOOKUP(L254,'[1]data 1129'!F:H,3,FALSE)</f>
        <v>0</v>
      </c>
      <c r="X254" s="11"/>
      <c r="Y254" s="11">
        <f>VLOOKUP(L254,'[1]singkron data'!D:H,5,FALSE)</f>
        <v>0</v>
      </c>
      <c r="Z254" s="11">
        <f>VLOOKUP(L254,'[1]singkron data'!D:I,6,FALSE)</f>
        <v>0</v>
      </c>
      <c r="AA254" s="11">
        <f>VLOOKUP(L254,'[1]singkron data'!D:L,9,FALSE)</f>
        <v>0</v>
      </c>
      <c r="AB254" s="11" t="s">
        <v>694</v>
      </c>
      <c r="AC254" s="11">
        <f>VLOOKUP(L254,'[1]singkron data'!D:M,10,FALSE)</f>
        <v>0</v>
      </c>
      <c r="AD254" s="11"/>
      <c r="AE254" s="11">
        <f>VLOOKUP(L254,'[1]singkron data'!D:P,13,FALSE)</f>
        <v>0</v>
      </c>
      <c r="AF254" s="11"/>
      <c r="AG254" s="11" t="e">
        <f>VLOOKUP(L254,'[1]update kontrak'!E:K,6,FALSE)</f>
        <v>#N/A</v>
      </c>
      <c r="AH254" s="11" t="e">
        <f>VLOOKUP(L254,'[1]update kontrak'!E:K,7,FALSE)</f>
        <v>#N/A</v>
      </c>
      <c r="AI254" s="11"/>
      <c r="AJ254" s="11" t="str">
        <f>VLOOKUP(L254,[1]rekap!D:M,1,FALSE)</f>
        <v>Karlokin</v>
      </c>
      <c r="AK254" s="11">
        <f>VLOOKUP(L254,'[1]singkron data'!D:E,2,FALSE)</f>
        <v>0</v>
      </c>
      <c r="AL254" s="11" t="str">
        <f>VLOOKUP(L254,'[1]update 521'!D:D,1,FALSE)</f>
        <v>Karlokin</v>
      </c>
      <c r="AM254" s="11" t="s">
        <v>96</v>
      </c>
      <c r="AN254" s="11" t="e">
        <f>VLOOKUP(L254,[1]Sheet19!E:L,8,FALSE)</f>
        <v>#N/A</v>
      </c>
      <c r="AO254" s="11" t="e">
        <f>VLOOKUP(L254,[1]Sheet19!E:K,7,FALSE)</f>
        <v>#N/A</v>
      </c>
      <c r="AP254" s="12"/>
    </row>
    <row r="255" spans="1:42" ht="15" x14ac:dyDescent="0.2">
      <c r="A255" s="8" t="s">
        <v>42</v>
      </c>
      <c r="B255" s="9" t="s">
        <v>43</v>
      </c>
      <c r="C255" s="9">
        <v>110</v>
      </c>
      <c r="D255" s="9" t="s">
        <v>688</v>
      </c>
      <c r="E255" s="9">
        <v>10</v>
      </c>
      <c r="F255" s="9" t="s">
        <v>706</v>
      </c>
      <c r="G255" s="9" t="s">
        <v>690</v>
      </c>
      <c r="H255" s="9" t="s">
        <v>287</v>
      </c>
      <c r="I255" s="9" t="s">
        <v>707</v>
      </c>
      <c r="J255" s="9" t="s">
        <v>708</v>
      </c>
      <c r="K255" s="9" t="s">
        <v>706</v>
      </c>
      <c r="L255" s="9" t="s">
        <v>706</v>
      </c>
      <c r="M255" s="9" t="s">
        <v>65</v>
      </c>
      <c r="N255" s="9">
        <v>123</v>
      </c>
      <c r="O255" s="9">
        <v>53</v>
      </c>
      <c r="P255" s="9">
        <v>70</v>
      </c>
      <c r="Q255" s="9">
        <v>123</v>
      </c>
      <c r="R255" s="9">
        <v>0.2</v>
      </c>
      <c r="S255" s="9">
        <v>-7.4223299999999997</v>
      </c>
      <c r="T255" s="9">
        <v>131.69323700000001</v>
      </c>
      <c r="U255" s="9"/>
      <c r="V255" s="11">
        <f>VLOOKUP(L255,'[1]singkron data'!D:E,2,FALSE)</f>
        <v>0</v>
      </c>
      <c r="W255" s="11">
        <f>VLOOKUP(L255,'[1]data 1129'!F:H,3,FALSE)</f>
        <v>0</v>
      </c>
      <c r="X255" s="11"/>
      <c r="Y255" s="11">
        <f>VLOOKUP(L255,'[1]singkron data'!D:H,5,FALSE)</f>
        <v>0</v>
      </c>
      <c r="Z255" s="11">
        <f>VLOOKUP(L255,'[1]singkron data'!D:I,6,FALSE)</f>
        <v>0</v>
      </c>
      <c r="AA255" s="11">
        <f>VLOOKUP(L255,'[1]singkron data'!D:L,9,FALSE)</f>
        <v>0</v>
      </c>
      <c r="AB255" s="11" t="s">
        <v>694</v>
      </c>
      <c r="AC255" s="11">
        <f>VLOOKUP(L255,'[1]singkron data'!D:M,10,FALSE)</f>
        <v>0</v>
      </c>
      <c r="AD255" s="11"/>
      <c r="AE255" s="11">
        <f>VLOOKUP(L255,'[1]singkron data'!D:P,13,FALSE)</f>
        <v>0</v>
      </c>
      <c r="AF255" s="11"/>
      <c r="AG255" s="11" t="e">
        <f>VLOOKUP(L255,'[1]update kontrak'!E:K,6,FALSE)</f>
        <v>#N/A</v>
      </c>
      <c r="AH255" s="11" t="e">
        <f>VLOOKUP(L255,'[1]update kontrak'!E:K,7,FALSE)</f>
        <v>#N/A</v>
      </c>
      <c r="AI255" s="11"/>
      <c r="AJ255" s="11" t="str">
        <f>VLOOKUP(L255,[1]rekap!D:M,1,FALSE)</f>
        <v>Arma</v>
      </c>
      <c r="AK255" s="11">
        <f>VLOOKUP(L255,'[1]singkron data'!D:E,2,FALSE)</f>
        <v>0</v>
      </c>
      <c r="AL255" s="11" t="str">
        <f>VLOOKUP(L255,'[1]update 521'!D:D,1,FALSE)</f>
        <v>Arma</v>
      </c>
      <c r="AM255" s="11" t="s">
        <v>96</v>
      </c>
      <c r="AN255" s="11" t="e">
        <f>VLOOKUP(L255,[1]Sheet19!E:L,8,FALSE)</f>
        <v>#N/A</v>
      </c>
      <c r="AO255" s="11" t="e">
        <f>VLOOKUP(L255,[1]Sheet19!E:K,7,FALSE)</f>
        <v>#N/A</v>
      </c>
      <c r="AP255" s="12"/>
    </row>
    <row r="256" spans="1:42" ht="15" x14ac:dyDescent="0.2">
      <c r="A256" s="8" t="s">
        <v>42</v>
      </c>
      <c r="B256" s="9" t="s">
        <v>43</v>
      </c>
      <c r="C256" s="9">
        <v>111</v>
      </c>
      <c r="D256" s="9" t="s">
        <v>688</v>
      </c>
      <c r="E256" s="9">
        <v>11</v>
      </c>
      <c r="F256" s="9" t="s">
        <v>706</v>
      </c>
      <c r="G256" s="9" t="s">
        <v>690</v>
      </c>
      <c r="H256" s="9" t="s">
        <v>287</v>
      </c>
      <c r="I256" s="9" t="s">
        <v>707</v>
      </c>
      <c r="J256" s="9" t="s">
        <v>709</v>
      </c>
      <c r="K256" s="9" t="s">
        <v>710</v>
      </c>
      <c r="L256" s="9" t="s">
        <v>710</v>
      </c>
      <c r="M256" s="9" t="s">
        <v>51</v>
      </c>
      <c r="N256" s="9">
        <v>101</v>
      </c>
      <c r="O256" s="9">
        <v>1</v>
      </c>
      <c r="P256" s="9">
        <v>100</v>
      </c>
      <c r="Q256" s="9">
        <v>101</v>
      </c>
      <c r="R256" s="9">
        <v>1.03</v>
      </c>
      <c r="S256" s="9">
        <v>-7.1497289999999998</v>
      </c>
      <c r="T256" s="9">
        <v>131.709632</v>
      </c>
      <c r="U256" s="9"/>
      <c r="V256" s="11">
        <f>VLOOKUP(L256,'[1]singkron data'!D:E,2,FALSE)</f>
        <v>0</v>
      </c>
      <c r="W256" s="11">
        <f>VLOOKUP(L256,'[1]data 1129'!F:H,3,FALSE)</f>
        <v>0</v>
      </c>
      <c r="X256" s="11"/>
      <c r="Y256" s="11">
        <f>VLOOKUP(L256,'[1]singkron data'!D:H,5,FALSE)</f>
        <v>0</v>
      </c>
      <c r="Z256" s="11">
        <f>VLOOKUP(L256,'[1]singkron data'!D:I,6,FALSE)</f>
        <v>0</v>
      </c>
      <c r="AA256" s="11">
        <f>VLOOKUP(L256,'[1]singkron data'!D:L,9,FALSE)</f>
        <v>0</v>
      </c>
      <c r="AB256" s="11" t="s">
        <v>694</v>
      </c>
      <c r="AC256" s="11">
        <f>VLOOKUP(L256,'[1]singkron data'!D:M,10,FALSE)</f>
        <v>0</v>
      </c>
      <c r="AD256" s="11"/>
      <c r="AE256" s="11">
        <f>VLOOKUP(L256,'[1]singkron data'!D:P,13,FALSE)</f>
        <v>0</v>
      </c>
      <c r="AF256" s="11"/>
      <c r="AG256" s="11" t="e">
        <f>VLOOKUP(L256,'[1]update kontrak'!E:K,6,FALSE)</f>
        <v>#N/A</v>
      </c>
      <c r="AH256" s="11" t="e">
        <f>VLOOKUP(L256,'[1]update kontrak'!E:K,7,FALSE)</f>
        <v>#N/A</v>
      </c>
      <c r="AI256" s="11"/>
      <c r="AJ256" s="11" t="str">
        <f>VLOOKUP(L256,[1]rekap!D:M,1,FALSE)</f>
        <v>Lelingluan</v>
      </c>
      <c r="AK256" s="11">
        <f>VLOOKUP(L256,'[1]singkron data'!D:E,2,FALSE)</f>
        <v>0</v>
      </c>
      <c r="AL256" s="11" t="str">
        <f>VLOOKUP(L256,'[1]update 521'!D:D,1,FALSE)</f>
        <v>Lelingluan</v>
      </c>
      <c r="AM256" s="11" t="s">
        <v>96</v>
      </c>
      <c r="AN256" s="11" t="e">
        <f>VLOOKUP(L256,[1]Sheet19!E:L,8,FALSE)</f>
        <v>#N/A</v>
      </c>
      <c r="AO256" s="11" t="e">
        <f>VLOOKUP(L256,[1]Sheet19!E:K,7,FALSE)</f>
        <v>#N/A</v>
      </c>
      <c r="AP256" s="12"/>
    </row>
    <row r="257" spans="1:42" ht="15" x14ac:dyDescent="0.2">
      <c r="A257" s="8" t="s">
        <v>42</v>
      </c>
      <c r="B257" s="9" t="s">
        <v>43</v>
      </c>
      <c r="C257" s="9">
        <v>112</v>
      </c>
      <c r="D257" s="9" t="s">
        <v>688</v>
      </c>
      <c r="E257" s="9">
        <v>12</v>
      </c>
      <c r="F257" s="9" t="s">
        <v>706</v>
      </c>
      <c r="G257" s="9" t="s">
        <v>690</v>
      </c>
      <c r="H257" s="9" t="s">
        <v>287</v>
      </c>
      <c r="I257" s="9" t="s">
        <v>707</v>
      </c>
      <c r="J257" s="9" t="s">
        <v>711</v>
      </c>
      <c r="K257" s="9" t="s">
        <v>712</v>
      </c>
      <c r="L257" s="9" t="s">
        <v>712</v>
      </c>
      <c r="M257" s="9" t="s">
        <v>51</v>
      </c>
      <c r="N257" s="9">
        <v>45</v>
      </c>
      <c r="O257" s="9">
        <v>52</v>
      </c>
      <c r="P257" s="9">
        <v>37</v>
      </c>
      <c r="Q257" s="9">
        <v>89</v>
      </c>
      <c r="R257" s="9">
        <v>0.38</v>
      </c>
      <c r="S257" s="9">
        <v>-7.6441089</v>
      </c>
      <c r="T257" s="9">
        <v>131.62135839999999</v>
      </c>
      <c r="U257" s="9"/>
      <c r="V257" s="11">
        <f>VLOOKUP(L257,'[1]singkron data'!D:E,2,FALSE)</f>
        <v>0</v>
      </c>
      <c r="W257" s="11">
        <f>VLOOKUP(L257,'[1]data 1129'!F:H,3,FALSE)</f>
        <v>0</v>
      </c>
      <c r="X257" s="11"/>
      <c r="Y257" s="11">
        <f>VLOOKUP(L257,'[1]singkron data'!D:H,5,FALSE)</f>
        <v>0</v>
      </c>
      <c r="Z257" s="11">
        <f>VLOOKUP(L257,'[1]singkron data'!D:I,6,FALSE)</f>
        <v>0</v>
      </c>
      <c r="AA257" s="11">
        <f>VLOOKUP(L257,'[1]singkron data'!D:L,9,FALSE)</f>
        <v>0</v>
      </c>
      <c r="AB257" s="11" t="s">
        <v>694</v>
      </c>
      <c r="AC257" s="11">
        <f>VLOOKUP(L257,'[1]singkron data'!D:M,10,FALSE)</f>
        <v>0</v>
      </c>
      <c r="AD257" s="11"/>
      <c r="AE257" s="11">
        <f>VLOOKUP(L257,'[1]singkron data'!D:P,13,FALSE)</f>
        <v>0</v>
      </c>
      <c r="AF257" s="11"/>
      <c r="AG257" s="11" t="e">
        <f>VLOOKUP(L257,'[1]update kontrak'!E:K,6,FALSE)</f>
        <v>#N/A</v>
      </c>
      <c r="AH257" s="11" t="e">
        <f>VLOOKUP(L257,'[1]update kontrak'!E:K,7,FALSE)</f>
        <v>#N/A</v>
      </c>
      <c r="AI257" s="11"/>
      <c r="AJ257" s="11" t="str">
        <f>VLOOKUP(L257,[1]rekap!D:M,1,FALSE)</f>
        <v>Meyano Das</v>
      </c>
      <c r="AK257" s="11">
        <f>VLOOKUP(L257,'[1]singkron data'!D:E,2,FALSE)</f>
        <v>0</v>
      </c>
      <c r="AL257" s="11" t="str">
        <f>VLOOKUP(L257,'[1]update 521'!D:D,1,FALSE)</f>
        <v>Meyano Das</v>
      </c>
      <c r="AM257" s="11" t="s">
        <v>96</v>
      </c>
      <c r="AN257" s="11" t="e">
        <f>VLOOKUP(L257,[1]Sheet19!E:L,8,FALSE)</f>
        <v>#N/A</v>
      </c>
      <c r="AO257" s="11" t="e">
        <f>VLOOKUP(L257,[1]Sheet19!E:K,7,FALSE)</f>
        <v>#N/A</v>
      </c>
      <c r="AP257" s="12"/>
    </row>
    <row r="258" spans="1:42" ht="15" x14ac:dyDescent="0.2">
      <c r="A258" s="8" t="s">
        <v>42</v>
      </c>
      <c r="B258" s="9" t="s">
        <v>43</v>
      </c>
      <c r="C258" s="9">
        <v>113</v>
      </c>
      <c r="D258" s="9" t="s">
        <v>688</v>
      </c>
      <c r="E258" s="9">
        <v>13</v>
      </c>
      <c r="F258" s="9" t="s">
        <v>706</v>
      </c>
      <c r="G258" s="9" t="s">
        <v>690</v>
      </c>
      <c r="H258" s="9" t="s">
        <v>287</v>
      </c>
      <c r="I258" s="9" t="s">
        <v>707</v>
      </c>
      <c r="J258" s="9" t="s">
        <v>709</v>
      </c>
      <c r="K258" s="9" t="s">
        <v>713</v>
      </c>
      <c r="L258" s="9" t="s">
        <v>713</v>
      </c>
      <c r="M258" s="9" t="s">
        <v>51</v>
      </c>
      <c r="N258" s="9">
        <v>63</v>
      </c>
      <c r="O258" s="9">
        <v>2</v>
      </c>
      <c r="P258" s="9">
        <v>34</v>
      </c>
      <c r="Q258" s="9">
        <v>36</v>
      </c>
      <c r="R258" s="9">
        <v>0.2</v>
      </c>
      <c r="S258" s="9">
        <v>-7.1587781000000001</v>
      </c>
      <c r="T258" s="9">
        <v>131.71580990000001</v>
      </c>
      <c r="U258" s="9"/>
      <c r="V258" s="11">
        <f>VLOOKUP(L258,'[1]singkron data'!D:E,2,FALSE)</f>
        <v>0</v>
      </c>
      <c r="W258" s="11">
        <f>VLOOKUP(L258,'[1]data 1129'!F:H,3,FALSE)</f>
        <v>0</v>
      </c>
      <c r="X258" s="11"/>
      <c r="Y258" s="11">
        <f>VLOOKUP(L258,'[1]singkron data'!D:H,5,FALSE)</f>
        <v>0</v>
      </c>
      <c r="Z258" s="11">
        <f>VLOOKUP(L258,'[1]singkron data'!D:I,6,FALSE)</f>
        <v>0</v>
      </c>
      <c r="AA258" s="11">
        <f>VLOOKUP(L258,'[1]singkron data'!D:L,9,FALSE)</f>
        <v>0</v>
      </c>
      <c r="AB258" s="11" t="s">
        <v>694</v>
      </c>
      <c r="AC258" s="11">
        <f>VLOOKUP(L258,'[1]singkron data'!D:M,10,FALSE)</f>
        <v>0</v>
      </c>
      <c r="AD258" s="11"/>
      <c r="AE258" s="11">
        <f>VLOOKUP(L258,'[1]singkron data'!D:P,13,FALSE)</f>
        <v>0</v>
      </c>
      <c r="AF258" s="11"/>
      <c r="AG258" s="11" t="e">
        <f>VLOOKUP(L258,'[1]update kontrak'!E:K,6,FALSE)</f>
        <v>#N/A</v>
      </c>
      <c r="AH258" s="11" t="e">
        <f>VLOOKUP(L258,'[1]update kontrak'!E:K,7,FALSE)</f>
        <v>#N/A</v>
      </c>
      <c r="AI258" s="11"/>
      <c r="AJ258" s="11" t="str">
        <f>VLOOKUP(L258,[1]rekap!D:M,1,FALSE)</f>
        <v>Ritabel</v>
      </c>
      <c r="AK258" s="11">
        <f>VLOOKUP(L258,'[1]singkron data'!D:E,2,FALSE)</f>
        <v>0</v>
      </c>
      <c r="AL258" s="11" t="str">
        <f>VLOOKUP(L258,'[1]update 521'!D:D,1,FALSE)</f>
        <v>Ritabel</v>
      </c>
      <c r="AM258" s="11" t="s">
        <v>96</v>
      </c>
      <c r="AN258" s="11" t="e">
        <f>VLOOKUP(L258,[1]Sheet19!E:L,8,FALSE)</f>
        <v>#N/A</v>
      </c>
      <c r="AO258" s="11" t="e">
        <f>VLOOKUP(L258,[1]Sheet19!E:K,7,FALSE)</f>
        <v>#N/A</v>
      </c>
      <c r="AP258" s="12"/>
    </row>
    <row r="259" spans="1:42" ht="15" x14ac:dyDescent="0.2">
      <c r="A259" s="8" t="s">
        <v>42</v>
      </c>
      <c r="B259" s="9" t="s">
        <v>43</v>
      </c>
      <c r="C259" s="9">
        <v>114</v>
      </c>
      <c r="D259" s="9" t="s">
        <v>688</v>
      </c>
      <c r="E259" s="9">
        <v>14</v>
      </c>
      <c r="F259" s="9" t="s">
        <v>714</v>
      </c>
      <c r="G259" s="9" t="s">
        <v>715</v>
      </c>
      <c r="H259" s="9" t="s">
        <v>287</v>
      </c>
      <c r="I259" s="9" t="s">
        <v>716</v>
      </c>
      <c r="J259" s="9" t="s">
        <v>717</v>
      </c>
      <c r="K259" s="9" t="s">
        <v>714</v>
      </c>
      <c r="L259" s="9" t="s">
        <v>714</v>
      </c>
      <c r="M259" s="9" t="s">
        <v>65</v>
      </c>
      <c r="N259" s="9">
        <v>1251</v>
      </c>
      <c r="O259" s="9" t="s">
        <v>72</v>
      </c>
      <c r="P259" s="9">
        <v>400</v>
      </c>
      <c r="Q259" s="9">
        <v>400</v>
      </c>
      <c r="R259" s="9">
        <v>1.03</v>
      </c>
      <c r="S259" s="9">
        <v>-0.62698620000000005</v>
      </c>
      <c r="T259" s="9">
        <v>127.40111109999999</v>
      </c>
      <c r="U259" s="9"/>
      <c r="V259" s="11">
        <f>VLOOKUP(L259,'[1]singkron data'!D:E,2,FALSE)</f>
        <v>0</v>
      </c>
      <c r="W259" s="13" t="str">
        <f>VLOOKUP(L259,[1]Sheet18!E:F,2,FALSE)</f>
        <v>belum ada</v>
      </c>
      <c r="X259" s="11"/>
      <c r="Y259" s="11">
        <f>VLOOKUP(L259,'[1]singkron data'!D:H,5,FALSE)</f>
        <v>0</v>
      </c>
      <c r="Z259" s="11">
        <f>VLOOKUP(L259,'[1]singkron data'!D:I,6,FALSE)</f>
        <v>0</v>
      </c>
      <c r="AA259" s="11">
        <f>VLOOKUP(L259,'[1]singkron data'!D:L,9,FALSE)</f>
        <v>0</v>
      </c>
      <c r="AB259" s="11" t="s">
        <v>694</v>
      </c>
      <c r="AC259" s="11">
        <f>VLOOKUP(L259,'[1]singkron data'!D:M,10,FALSE)</f>
        <v>0</v>
      </c>
      <c r="AD259" s="11" t="str">
        <f>VLOOKUP(L259,'[1]data 1129'!F:O,10,FALSE)</f>
        <v>Tahap III 167</v>
      </c>
      <c r="AE259" s="11">
        <f>VLOOKUP(L259,'[1]singkron data'!D:P,13,FALSE)</f>
        <v>0</v>
      </c>
      <c r="AF259" s="11" t="s">
        <v>55</v>
      </c>
      <c r="AG259" s="11" t="e">
        <f>VLOOKUP(L259,'[1]update kontrak'!E:K,6,FALSE)</f>
        <v>#N/A</v>
      </c>
      <c r="AH259" s="11" t="e">
        <f>VLOOKUP(L259,'[1]update kontrak'!E:K,7,FALSE)</f>
        <v>#N/A</v>
      </c>
      <c r="AI259" s="11"/>
      <c r="AJ259" s="11" t="str">
        <f>VLOOKUP(L259,[1]rekap!D:M,1,FALSE)</f>
        <v>Bajo</v>
      </c>
      <c r="AK259" s="11">
        <f>VLOOKUP(L259,'[1]singkron data'!D:E,2,FALSE)</f>
        <v>0</v>
      </c>
      <c r="AL259" s="11" t="str">
        <f>VLOOKUP(L259,'[1]update 521'!D:D,1,FALSE)</f>
        <v>Bajo</v>
      </c>
      <c r="AM259" s="11" t="s">
        <v>96</v>
      </c>
      <c r="AN259" s="11" t="e">
        <f>VLOOKUP(L259,[1]Sheet19!E:L,8,FALSE)</f>
        <v>#N/A</v>
      </c>
      <c r="AO259" s="11" t="e">
        <f>VLOOKUP(L259,[1]Sheet19!E:K,7,FALSE)</f>
        <v>#N/A</v>
      </c>
      <c r="AP259" s="12"/>
    </row>
    <row r="260" spans="1:42" ht="15" x14ac:dyDescent="0.2">
      <c r="A260" s="8" t="s">
        <v>42</v>
      </c>
      <c r="B260" s="9" t="s">
        <v>43</v>
      </c>
      <c r="C260" s="9">
        <v>115</v>
      </c>
      <c r="D260" s="9" t="s">
        <v>688</v>
      </c>
      <c r="E260" s="9">
        <v>15</v>
      </c>
      <c r="F260" s="9" t="s">
        <v>714</v>
      </c>
      <c r="G260" s="9" t="s">
        <v>715</v>
      </c>
      <c r="H260" s="9" t="s">
        <v>287</v>
      </c>
      <c r="I260" s="9" t="s">
        <v>716</v>
      </c>
      <c r="J260" s="9" t="s">
        <v>718</v>
      </c>
      <c r="K260" s="9" t="s">
        <v>719</v>
      </c>
      <c r="L260" s="9" t="s">
        <v>719</v>
      </c>
      <c r="M260" s="9" t="s">
        <v>51</v>
      </c>
      <c r="N260" s="9">
        <v>158</v>
      </c>
      <c r="O260" s="9" t="s">
        <v>72</v>
      </c>
      <c r="P260" s="9">
        <v>34</v>
      </c>
      <c r="Q260" s="9">
        <v>34</v>
      </c>
      <c r="R260" s="9">
        <v>0.65</v>
      </c>
      <c r="S260" s="9">
        <v>-0.69248699999999996</v>
      </c>
      <c r="T260" s="9">
        <v>127.72575999999999</v>
      </c>
      <c r="U260" s="9"/>
      <c r="V260" s="11">
        <f>VLOOKUP(L260,'[1]singkron data'!D:E,2,FALSE)</f>
        <v>0</v>
      </c>
      <c r="W260" s="13" t="str">
        <f>VLOOKUP(L260,[1]Sheet18!E:F,2,FALSE)</f>
        <v>belum ada</v>
      </c>
      <c r="X260" s="11"/>
      <c r="Y260" s="11">
        <f>VLOOKUP(L260,'[1]singkron data'!D:H,5,FALSE)</f>
        <v>0</v>
      </c>
      <c r="Z260" s="11">
        <f>VLOOKUP(L260,'[1]singkron data'!D:I,6,FALSE)</f>
        <v>0</v>
      </c>
      <c r="AA260" s="11">
        <f>VLOOKUP(L260,'[1]singkron data'!D:L,9,FALSE)</f>
        <v>0</v>
      </c>
      <c r="AB260" s="11" t="s">
        <v>694</v>
      </c>
      <c r="AC260" s="11">
        <f>VLOOKUP(L260,'[1]singkron data'!D:M,10,FALSE)</f>
        <v>0</v>
      </c>
      <c r="AD260" s="11"/>
      <c r="AE260" s="11">
        <f>VLOOKUP(L260,'[1]singkron data'!D:P,13,FALSE)</f>
        <v>0</v>
      </c>
      <c r="AF260" s="11" t="s">
        <v>55</v>
      </c>
      <c r="AG260" s="11" t="e">
        <f>VLOOKUP(L260,'[1]update kontrak'!E:K,6,FALSE)</f>
        <v>#N/A</v>
      </c>
      <c r="AH260" s="11" t="e">
        <f>VLOOKUP(L260,'[1]update kontrak'!E:K,7,FALSE)</f>
        <v>#N/A</v>
      </c>
      <c r="AI260" s="11"/>
      <c r="AJ260" s="11" t="str">
        <f>VLOOKUP(L260,[1]rekap!D:M,1,FALSE)</f>
        <v>Bibinoi</v>
      </c>
      <c r="AK260" s="11">
        <f>VLOOKUP(L260,'[1]singkron data'!D:E,2,FALSE)</f>
        <v>0</v>
      </c>
      <c r="AL260" s="11" t="str">
        <f>VLOOKUP(L260,'[1]update 521'!D:D,1,FALSE)</f>
        <v>Bibinoi</v>
      </c>
      <c r="AM260" s="11" t="s">
        <v>96</v>
      </c>
      <c r="AN260" s="11" t="e">
        <f>VLOOKUP(L260,[1]Sheet19!E:L,8,FALSE)</f>
        <v>#N/A</v>
      </c>
      <c r="AO260" s="11" t="e">
        <f>VLOOKUP(L260,[1]Sheet19!E:K,7,FALSE)</f>
        <v>#N/A</v>
      </c>
      <c r="AP260" s="12"/>
    </row>
    <row r="261" spans="1:42" ht="15" x14ac:dyDescent="0.2">
      <c r="A261" s="8" t="s">
        <v>42</v>
      </c>
      <c r="B261" s="9" t="s">
        <v>43</v>
      </c>
      <c r="C261" s="9">
        <v>116</v>
      </c>
      <c r="D261" s="9" t="s">
        <v>688</v>
      </c>
      <c r="E261" s="9">
        <v>16</v>
      </c>
      <c r="F261" s="9" t="s">
        <v>714</v>
      </c>
      <c r="G261" s="9" t="s">
        <v>715</v>
      </c>
      <c r="H261" s="9" t="s">
        <v>287</v>
      </c>
      <c r="I261" s="9" t="s">
        <v>716</v>
      </c>
      <c r="J261" s="9" t="s">
        <v>720</v>
      </c>
      <c r="K261" s="9" t="s">
        <v>721</v>
      </c>
      <c r="L261" s="9" t="s">
        <v>721</v>
      </c>
      <c r="M261" s="9" t="s">
        <v>51</v>
      </c>
      <c r="N261" s="9">
        <v>250</v>
      </c>
      <c r="O261" s="9">
        <v>10</v>
      </c>
      <c r="P261" s="9">
        <v>48</v>
      </c>
      <c r="Q261" s="9">
        <v>58</v>
      </c>
      <c r="R261" s="9">
        <v>0.96</v>
      </c>
      <c r="S261" s="9">
        <v>-0.43279800000000002</v>
      </c>
      <c r="T261" s="9">
        <v>127.306591</v>
      </c>
      <c r="U261" s="9"/>
      <c r="V261" s="11">
        <f>VLOOKUP(L261,'[1]singkron data'!D:E,2,FALSE)</f>
        <v>0</v>
      </c>
      <c r="W261" s="13" t="str">
        <f>VLOOKUP(L261,[1]Sheet18!E:F,2,FALSE)</f>
        <v>belum ada</v>
      </c>
      <c r="X261" s="11"/>
      <c r="Y261" s="11">
        <f>VLOOKUP(L261,'[1]singkron data'!D:H,5,FALSE)</f>
        <v>0</v>
      </c>
      <c r="Z261" s="11">
        <f>VLOOKUP(L261,'[1]singkron data'!D:I,6,FALSE)</f>
        <v>0</v>
      </c>
      <c r="AA261" s="11">
        <f>VLOOKUP(L261,'[1]singkron data'!D:L,9,FALSE)</f>
        <v>0</v>
      </c>
      <c r="AB261" s="11" t="s">
        <v>694</v>
      </c>
      <c r="AC261" s="11">
        <f>VLOOKUP(L261,'[1]singkron data'!D:M,10,FALSE)</f>
        <v>0</v>
      </c>
      <c r="AD261" s="11"/>
      <c r="AE261" s="11">
        <f>VLOOKUP(L261,'[1]singkron data'!D:P,13,FALSE)</f>
        <v>0</v>
      </c>
      <c r="AF261" s="11" t="s">
        <v>55</v>
      </c>
      <c r="AG261" s="11" t="e">
        <f>VLOOKUP(L261,'[1]update kontrak'!E:K,6,FALSE)</f>
        <v>#N/A</v>
      </c>
      <c r="AH261" s="11" t="e">
        <f>VLOOKUP(L261,'[1]update kontrak'!E:K,7,FALSE)</f>
        <v>#N/A</v>
      </c>
      <c r="AI261" s="11"/>
      <c r="AJ261" s="11" t="str">
        <f>VLOOKUP(L261,[1]rekap!D:M,1,FALSE)</f>
        <v>Indari</v>
      </c>
      <c r="AK261" s="11">
        <f>VLOOKUP(L261,'[1]singkron data'!D:E,2,FALSE)</f>
        <v>0</v>
      </c>
      <c r="AL261" s="11" t="str">
        <f>VLOOKUP(L261,'[1]update 521'!D:D,1,FALSE)</f>
        <v>Indari</v>
      </c>
      <c r="AM261" s="11" t="s">
        <v>96</v>
      </c>
      <c r="AN261" s="11" t="e">
        <f>VLOOKUP(L261,[1]Sheet19!E:L,8,FALSE)</f>
        <v>#N/A</v>
      </c>
      <c r="AO261" s="11" t="e">
        <f>VLOOKUP(L261,[1]Sheet19!E:K,7,FALSE)</f>
        <v>#N/A</v>
      </c>
      <c r="AP261" s="12"/>
    </row>
    <row r="262" spans="1:42" ht="15" x14ac:dyDescent="0.2">
      <c r="A262" s="8" t="s">
        <v>42</v>
      </c>
      <c r="B262" s="9" t="s">
        <v>43</v>
      </c>
      <c r="C262" s="9">
        <v>117</v>
      </c>
      <c r="D262" s="9" t="s">
        <v>688</v>
      </c>
      <c r="E262" s="9">
        <v>17</v>
      </c>
      <c r="F262" s="9" t="s">
        <v>714</v>
      </c>
      <c r="G262" s="9" t="s">
        <v>715</v>
      </c>
      <c r="H262" s="9" t="s">
        <v>287</v>
      </c>
      <c r="I262" s="9" t="s">
        <v>716</v>
      </c>
      <c r="J262" s="9" t="s">
        <v>722</v>
      </c>
      <c r="K262" s="9" t="s">
        <v>723</v>
      </c>
      <c r="L262" s="9" t="s">
        <v>723</v>
      </c>
      <c r="M262" s="9" t="s">
        <v>51</v>
      </c>
      <c r="N262" s="9">
        <v>521</v>
      </c>
      <c r="O262" s="9">
        <v>35</v>
      </c>
      <c r="P262" s="9">
        <v>118</v>
      </c>
      <c r="Q262" s="9">
        <v>153</v>
      </c>
      <c r="R262" s="9">
        <v>2.02</v>
      </c>
      <c r="S262" s="9">
        <v>-4.0399999999999998E-2</v>
      </c>
      <c r="T262" s="9">
        <v>127.42570000000001</v>
      </c>
      <c r="U262" s="9"/>
      <c r="V262" s="11">
        <f>VLOOKUP(L262,'[1]singkron data'!D:E,2,FALSE)</f>
        <v>0</v>
      </c>
      <c r="W262" s="13" t="str">
        <f>VLOOKUP(L262,[1]Sheet18!E:F,2,FALSE)</f>
        <v>belum ada</v>
      </c>
      <c r="X262" s="11"/>
      <c r="Y262" s="11">
        <f>VLOOKUP(L262,'[1]singkron data'!D:H,5,FALSE)</f>
        <v>0</v>
      </c>
      <c r="Z262" s="11">
        <f>VLOOKUP(L262,'[1]singkron data'!D:I,6,FALSE)</f>
        <v>0</v>
      </c>
      <c r="AA262" s="11">
        <f>VLOOKUP(L262,'[1]singkron data'!D:L,9,FALSE)</f>
        <v>0</v>
      </c>
      <c r="AB262" s="11" t="s">
        <v>694</v>
      </c>
      <c r="AC262" s="11">
        <f>VLOOKUP(L262,'[1]singkron data'!D:M,10,FALSE)</f>
        <v>0</v>
      </c>
      <c r="AD262" s="11"/>
      <c r="AE262" s="11">
        <f>VLOOKUP(L262,'[1]singkron data'!D:P,13,FALSE)</f>
        <v>0</v>
      </c>
      <c r="AF262" s="11" t="s">
        <v>55</v>
      </c>
      <c r="AG262" s="11" t="e">
        <f>VLOOKUP(L262,'[1]update kontrak'!E:K,6,FALSE)</f>
        <v>#N/A</v>
      </c>
      <c r="AH262" s="11" t="e">
        <f>VLOOKUP(L262,'[1]update kontrak'!E:K,7,FALSE)</f>
        <v>#N/A</v>
      </c>
      <c r="AI262" s="11"/>
      <c r="AJ262" s="11" t="str">
        <f>VLOOKUP(L262,[1]rekap!D:M,1,FALSE)</f>
        <v>Laluin</v>
      </c>
      <c r="AK262" s="11">
        <f>VLOOKUP(L262,'[1]singkron data'!D:E,2,FALSE)</f>
        <v>0</v>
      </c>
      <c r="AL262" s="11" t="str">
        <f>VLOOKUP(L262,'[1]update 521'!D:D,1,FALSE)</f>
        <v>Laluin</v>
      </c>
      <c r="AM262" s="11" t="s">
        <v>96</v>
      </c>
      <c r="AN262" s="11" t="e">
        <f>VLOOKUP(L262,[1]Sheet19!E:L,8,FALSE)</f>
        <v>#N/A</v>
      </c>
      <c r="AO262" s="11" t="e">
        <f>VLOOKUP(L262,[1]Sheet19!E:K,7,FALSE)</f>
        <v>#N/A</v>
      </c>
      <c r="AP262" s="12"/>
    </row>
    <row r="263" spans="1:42" ht="15" x14ac:dyDescent="0.2">
      <c r="A263" s="8" t="s">
        <v>42</v>
      </c>
      <c r="B263" s="9" t="s">
        <v>43</v>
      </c>
      <c r="C263" s="9">
        <v>118</v>
      </c>
      <c r="D263" s="9" t="s">
        <v>688</v>
      </c>
      <c r="E263" s="9">
        <v>18</v>
      </c>
      <c r="F263" s="9" t="s">
        <v>724</v>
      </c>
      <c r="G263" s="9" t="s">
        <v>715</v>
      </c>
      <c r="H263" s="9" t="s">
        <v>287</v>
      </c>
      <c r="I263" s="9" t="s">
        <v>716</v>
      </c>
      <c r="J263" s="9" t="s">
        <v>725</v>
      </c>
      <c r="K263" s="9" t="s">
        <v>726</v>
      </c>
      <c r="L263" s="9" t="s">
        <v>726</v>
      </c>
      <c r="M263" s="9" t="s">
        <v>51</v>
      </c>
      <c r="N263" s="9">
        <v>25</v>
      </c>
      <c r="O263" s="9">
        <v>5</v>
      </c>
      <c r="P263" s="9">
        <v>20</v>
      </c>
      <c r="Q263" s="9">
        <v>25</v>
      </c>
      <c r="R263" s="9">
        <v>0.6</v>
      </c>
      <c r="S263" s="9">
        <v>-0.32264999999999999</v>
      </c>
      <c r="T263" s="9">
        <v>128.011798</v>
      </c>
      <c r="U263" s="9"/>
      <c r="V263" s="11">
        <f>VLOOKUP(L263,'[1]singkron data'!D:E,2,FALSE)</f>
        <v>0</v>
      </c>
      <c r="W263" s="13" t="str">
        <f>VLOOKUP(L263,[1]Sheet18!E:F,2,FALSE)</f>
        <v>belum ada</v>
      </c>
      <c r="X263" s="11" t="s">
        <v>55</v>
      </c>
      <c r="Y263" s="11">
        <f>VLOOKUP(L263,'[1]singkron data'!D:H,5,FALSE)</f>
        <v>0</v>
      </c>
      <c r="Z263" s="11">
        <f>VLOOKUP(L263,'[1]singkron data'!D:I,6,FALSE)</f>
        <v>0</v>
      </c>
      <c r="AA263" s="11">
        <f>VLOOKUP(L263,'[1]singkron data'!D:L,9,FALSE)</f>
        <v>0</v>
      </c>
      <c r="AB263" s="11" t="s">
        <v>694</v>
      </c>
      <c r="AC263" s="11">
        <f>VLOOKUP(L263,'[1]singkron data'!D:M,10,FALSE)</f>
        <v>0</v>
      </c>
      <c r="AD263" s="11"/>
      <c r="AE263" s="11">
        <f>VLOOKUP(L263,'[1]singkron data'!D:P,13,FALSE)</f>
        <v>0</v>
      </c>
      <c r="AF263" s="11" t="s">
        <v>55</v>
      </c>
      <c r="AG263" s="11" t="e">
        <f>VLOOKUP(L263,'[1]update kontrak'!E:K,6,FALSE)</f>
        <v>#N/A</v>
      </c>
      <c r="AH263" s="11" t="e">
        <f>VLOOKUP(L263,'[1]update kontrak'!E:K,7,FALSE)</f>
        <v>#N/A</v>
      </c>
      <c r="AI263" s="11"/>
      <c r="AJ263" s="11" t="str">
        <f>VLOOKUP(L263,[1]rekap!D:M,1,FALSE)</f>
        <v>Matuting</v>
      </c>
      <c r="AK263" s="11">
        <f>VLOOKUP(L263,'[1]singkron data'!D:E,2,FALSE)</f>
        <v>0</v>
      </c>
      <c r="AL263" s="11" t="str">
        <f>VLOOKUP(L263,'[1]update 521'!D:D,1,FALSE)</f>
        <v>Matuting</v>
      </c>
      <c r="AM263" s="11" t="s">
        <v>96</v>
      </c>
      <c r="AN263" s="11" t="e">
        <f>VLOOKUP(L263,[1]Sheet19!E:L,8,FALSE)</f>
        <v>#N/A</v>
      </c>
      <c r="AO263" s="11" t="e">
        <f>VLOOKUP(L263,[1]Sheet19!E:K,7,FALSE)</f>
        <v>#N/A</v>
      </c>
      <c r="AP263" s="12"/>
    </row>
    <row r="264" spans="1:42" ht="15" x14ac:dyDescent="0.2">
      <c r="A264" s="8" t="s">
        <v>42</v>
      </c>
      <c r="B264" s="9" t="s">
        <v>43</v>
      </c>
      <c r="C264" s="9">
        <v>120</v>
      </c>
      <c r="D264" s="9" t="s">
        <v>688</v>
      </c>
      <c r="E264" s="9">
        <v>20</v>
      </c>
      <c r="F264" s="9" t="s">
        <v>727</v>
      </c>
      <c r="G264" s="9" t="s">
        <v>715</v>
      </c>
      <c r="H264" s="9" t="s">
        <v>287</v>
      </c>
      <c r="I264" s="9" t="s">
        <v>728</v>
      </c>
      <c r="J264" s="9" t="s">
        <v>729</v>
      </c>
      <c r="K264" s="9" t="s">
        <v>730</v>
      </c>
      <c r="L264" s="9" t="s">
        <v>730</v>
      </c>
      <c r="M264" s="9" t="s">
        <v>51</v>
      </c>
      <c r="N264" s="9">
        <v>200</v>
      </c>
      <c r="O264" s="9">
        <v>65</v>
      </c>
      <c r="P264" s="9">
        <v>28</v>
      </c>
      <c r="Q264" s="9">
        <v>93</v>
      </c>
      <c r="R264" s="9">
        <v>0.47</v>
      </c>
      <c r="S264" s="9">
        <v>-2.1980559999999998</v>
      </c>
      <c r="T264" s="9">
        <v>125.88</v>
      </c>
      <c r="U264" s="9"/>
      <c r="V264" s="11">
        <f>VLOOKUP(L264,'[1]singkron data'!D:E,2,FALSE)</f>
        <v>0</v>
      </c>
      <c r="W264" s="13" t="str">
        <f>VLOOKUP(L264,[1]Sheet18!E:F,2,FALSE)</f>
        <v>belum ada</v>
      </c>
      <c r="X264" s="11" t="s">
        <v>55</v>
      </c>
      <c r="Y264" s="11">
        <f>VLOOKUP(L264,'[1]singkron data'!D:H,5,FALSE)</f>
        <v>0</v>
      </c>
      <c r="Z264" s="11">
        <f>VLOOKUP(L264,'[1]singkron data'!D:I,6,FALSE)</f>
        <v>0</v>
      </c>
      <c r="AA264" s="11">
        <f>VLOOKUP(L264,'[1]singkron data'!D:L,9,FALSE)</f>
        <v>0</v>
      </c>
      <c r="AB264" s="11" t="s">
        <v>694</v>
      </c>
      <c r="AC264" s="11">
        <f>VLOOKUP(L264,'[1]singkron data'!D:M,10,FALSE)</f>
        <v>0</v>
      </c>
      <c r="AD264" s="11"/>
      <c r="AE264" s="11">
        <f>VLOOKUP(L264,'[1]singkron data'!D:P,13,FALSE)</f>
        <v>0</v>
      </c>
      <c r="AF264" s="11" t="s">
        <v>55</v>
      </c>
      <c r="AG264" s="11" t="e">
        <f>VLOOKUP(L264,'[1]update kontrak'!E:K,6,FALSE)</f>
        <v>#N/A</v>
      </c>
      <c r="AH264" s="11" t="e">
        <f>VLOOKUP(L264,'[1]update kontrak'!E:K,7,FALSE)</f>
        <v>#N/A</v>
      </c>
      <c r="AI264" s="11"/>
      <c r="AJ264" s="11" t="str">
        <f>VLOOKUP(L264,[1]rekap!D:M,1,FALSE)</f>
        <v>Kabau Pantai</v>
      </c>
      <c r="AK264" s="11">
        <f>VLOOKUP(L264,'[1]singkron data'!D:E,2,FALSE)</f>
        <v>0</v>
      </c>
      <c r="AL264" s="11" t="str">
        <f>VLOOKUP(L264,'[1]update 521'!D:D,1,FALSE)</f>
        <v>Kabau Pantai</v>
      </c>
      <c r="AM264" s="11" t="s">
        <v>96</v>
      </c>
      <c r="AN264" s="11" t="e">
        <f>VLOOKUP(L264,[1]Sheet19!E:L,8,FALSE)</f>
        <v>#N/A</v>
      </c>
      <c r="AO264" s="11" t="e">
        <f>VLOOKUP(L264,[1]Sheet19!E:K,7,FALSE)</f>
        <v>#N/A</v>
      </c>
      <c r="AP264" s="12"/>
    </row>
    <row r="265" spans="1:42" ht="15" x14ac:dyDescent="0.2">
      <c r="A265" s="8" t="s">
        <v>42</v>
      </c>
      <c r="B265" s="9" t="s">
        <v>43</v>
      </c>
      <c r="C265" s="9">
        <v>121</v>
      </c>
      <c r="D265" s="9" t="s">
        <v>688</v>
      </c>
      <c r="E265" s="9">
        <v>21</v>
      </c>
      <c r="F265" s="9" t="s">
        <v>727</v>
      </c>
      <c r="G265" s="9" t="s">
        <v>715</v>
      </c>
      <c r="H265" s="9" t="s">
        <v>287</v>
      </c>
      <c r="I265" s="9" t="s">
        <v>728</v>
      </c>
      <c r="J265" s="9" t="s">
        <v>731</v>
      </c>
      <c r="K265" s="9" t="s">
        <v>732</v>
      </c>
      <c r="L265" s="9" t="s">
        <v>732</v>
      </c>
      <c r="M265" s="9" t="s">
        <v>51</v>
      </c>
      <c r="N265" s="9">
        <v>60</v>
      </c>
      <c r="O265" s="9" t="s">
        <v>72</v>
      </c>
      <c r="P265" s="9">
        <v>60</v>
      </c>
      <c r="Q265" s="9">
        <v>60</v>
      </c>
      <c r="R265" s="9">
        <v>1</v>
      </c>
      <c r="S265" s="9">
        <v>-1.8693850000000001</v>
      </c>
      <c r="T265" s="9">
        <v>125.39652700000001</v>
      </c>
      <c r="U265" s="9"/>
      <c r="V265" s="11">
        <f>VLOOKUP(L265,'[1]singkron data'!D:E,2,FALSE)</f>
        <v>0</v>
      </c>
      <c r="W265" s="13" t="str">
        <f>VLOOKUP(L265,[1]Sheet18!E:F,2,FALSE)</f>
        <v>belum ada</v>
      </c>
      <c r="X265" s="11" t="s">
        <v>55</v>
      </c>
      <c r="Y265" s="11">
        <f>VLOOKUP(L265,'[1]singkron data'!D:H,5,FALSE)</f>
        <v>0</v>
      </c>
      <c r="Z265" s="11">
        <f>VLOOKUP(L265,'[1]singkron data'!D:I,6,FALSE)</f>
        <v>0</v>
      </c>
      <c r="AA265" s="11">
        <f>VLOOKUP(L265,'[1]singkron data'!D:L,9,FALSE)</f>
        <v>0</v>
      </c>
      <c r="AB265" s="11" t="s">
        <v>694</v>
      </c>
      <c r="AC265" s="11">
        <f>VLOOKUP(L265,'[1]singkron data'!D:M,10,FALSE)</f>
        <v>0</v>
      </c>
      <c r="AD265" s="11"/>
      <c r="AE265" s="11">
        <f>VLOOKUP(L265,'[1]singkron data'!D:P,13,FALSE)</f>
        <v>0</v>
      </c>
      <c r="AF265" s="11" t="s">
        <v>55</v>
      </c>
      <c r="AG265" s="11" t="e">
        <f>VLOOKUP(L265,'[1]update kontrak'!E:K,6,FALSE)</f>
        <v>#N/A</v>
      </c>
      <c r="AH265" s="11" t="e">
        <f>VLOOKUP(L265,'[1]update kontrak'!E:K,7,FALSE)</f>
        <v>#N/A</v>
      </c>
      <c r="AI265" s="11"/>
      <c r="AJ265" s="11" t="str">
        <f>VLOOKUP(L265,[1]rekap!D:M,1,FALSE)</f>
        <v>Lelyaba</v>
      </c>
      <c r="AK265" s="11">
        <f>VLOOKUP(L265,'[1]singkron data'!D:E,2,FALSE)</f>
        <v>0</v>
      </c>
      <c r="AL265" s="11" t="str">
        <f>VLOOKUP(L265,'[1]update 521'!D:D,1,FALSE)</f>
        <v>Lelyaba</v>
      </c>
      <c r="AM265" s="11" t="s">
        <v>96</v>
      </c>
      <c r="AN265" s="11" t="e">
        <f>VLOOKUP(L265,[1]Sheet19!E:L,8,FALSE)</f>
        <v>#N/A</v>
      </c>
      <c r="AO265" s="11" t="e">
        <f>VLOOKUP(L265,[1]Sheet19!E:K,7,FALSE)</f>
        <v>#N/A</v>
      </c>
      <c r="AP265" s="12"/>
    </row>
    <row r="266" spans="1:42" ht="15" x14ac:dyDescent="0.2">
      <c r="A266" s="8" t="s">
        <v>42</v>
      </c>
      <c r="B266" s="9" t="s">
        <v>43</v>
      </c>
      <c r="C266" s="9">
        <v>122</v>
      </c>
      <c r="D266" s="9" t="s">
        <v>688</v>
      </c>
      <c r="E266" s="9">
        <v>22</v>
      </c>
      <c r="F266" s="9" t="s">
        <v>727</v>
      </c>
      <c r="G266" s="9" t="s">
        <v>715</v>
      </c>
      <c r="H266" s="9" t="s">
        <v>287</v>
      </c>
      <c r="I266" s="9" t="s">
        <v>728</v>
      </c>
      <c r="J266" s="9" t="s">
        <v>733</v>
      </c>
      <c r="K266" s="9" t="s">
        <v>734</v>
      </c>
      <c r="L266" s="9" t="s">
        <v>734</v>
      </c>
      <c r="M266" s="9" t="s">
        <v>51</v>
      </c>
      <c r="N266" s="9">
        <v>202</v>
      </c>
      <c r="O266" s="9">
        <v>74</v>
      </c>
      <c r="P266" s="9">
        <v>84</v>
      </c>
      <c r="Q266" s="9">
        <v>158</v>
      </c>
      <c r="R266" s="9">
        <v>0.32</v>
      </c>
      <c r="S266" s="9">
        <v>-2.1806701999999998</v>
      </c>
      <c r="T266" s="9">
        <v>125.9621903</v>
      </c>
      <c r="U266" s="9"/>
      <c r="V266" s="11">
        <f>VLOOKUP(L266,'[1]singkron data'!D:E,2,FALSE)</f>
        <v>0</v>
      </c>
      <c r="W266" s="13" t="str">
        <f>VLOOKUP(L266,[1]Sheet18!E:F,2,FALSE)</f>
        <v>belum ada</v>
      </c>
      <c r="X266" s="11" t="s">
        <v>55</v>
      </c>
      <c r="Y266" s="11">
        <f>VLOOKUP(L266,'[1]singkron data'!D:H,5,FALSE)</f>
        <v>0</v>
      </c>
      <c r="Z266" s="11">
        <f>VLOOKUP(L266,'[1]singkron data'!D:I,6,FALSE)</f>
        <v>0</v>
      </c>
      <c r="AA266" s="11">
        <f>VLOOKUP(L266,'[1]singkron data'!D:L,9,FALSE)</f>
        <v>0</v>
      </c>
      <c r="AB266" s="11" t="s">
        <v>694</v>
      </c>
      <c r="AC266" s="11">
        <f>VLOOKUP(L266,'[1]singkron data'!D:M,10,FALSE)</f>
        <v>0</v>
      </c>
      <c r="AD266" s="11"/>
      <c r="AE266" s="11">
        <f>VLOOKUP(L266,'[1]singkron data'!D:P,13,FALSE)</f>
        <v>0</v>
      </c>
      <c r="AF266" s="11" t="s">
        <v>55</v>
      </c>
      <c r="AG266" s="11" t="e">
        <f>VLOOKUP(L266,'[1]update kontrak'!E:K,6,FALSE)</f>
        <v>#N/A</v>
      </c>
      <c r="AH266" s="11" t="e">
        <f>VLOOKUP(L266,'[1]update kontrak'!E:K,7,FALSE)</f>
        <v>#N/A</v>
      </c>
      <c r="AI266" s="11"/>
      <c r="AJ266" s="11" t="str">
        <f>VLOOKUP(L266,[1]rekap!D:M,1,FALSE)</f>
        <v>Waiboga</v>
      </c>
      <c r="AK266" s="11">
        <f>VLOOKUP(L266,'[1]singkron data'!D:E,2,FALSE)</f>
        <v>0</v>
      </c>
      <c r="AL266" s="11" t="str">
        <f>VLOOKUP(L266,'[1]update 521'!D:D,1,FALSE)</f>
        <v>Waiboga</v>
      </c>
      <c r="AM266" s="11" t="s">
        <v>96</v>
      </c>
      <c r="AN266" s="11" t="e">
        <f>VLOOKUP(L266,[1]Sheet19!E:L,8,FALSE)</f>
        <v>#N/A</v>
      </c>
      <c r="AO266" s="11" t="e">
        <f>VLOOKUP(L266,[1]Sheet19!E:K,7,FALSE)</f>
        <v>#N/A</v>
      </c>
      <c r="AP266" s="12"/>
    </row>
    <row r="267" spans="1:42" ht="15" x14ac:dyDescent="0.2">
      <c r="A267" s="8" t="s">
        <v>42</v>
      </c>
      <c r="B267" s="9" t="s">
        <v>43</v>
      </c>
      <c r="C267" s="9">
        <v>123</v>
      </c>
      <c r="D267" s="9" t="s">
        <v>688</v>
      </c>
      <c r="E267" s="9">
        <v>23</v>
      </c>
      <c r="F267" s="9" t="s">
        <v>735</v>
      </c>
      <c r="G267" s="9" t="s">
        <v>690</v>
      </c>
      <c r="H267" s="9" t="s">
        <v>287</v>
      </c>
      <c r="I267" s="9" t="s">
        <v>691</v>
      </c>
      <c r="J267" s="9" t="s">
        <v>736</v>
      </c>
      <c r="K267" s="9" t="s">
        <v>735</v>
      </c>
      <c r="L267" s="9" t="s">
        <v>735</v>
      </c>
      <c r="M267" s="9" t="s">
        <v>65</v>
      </c>
      <c r="N267" s="9">
        <v>248</v>
      </c>
      <c r="O267" s="9">
        <v>25</v>
      </c>
      <c r="P267" s="9">
        <v>235</v>
      </c>
      <c r="Q267" s="9">
        <v>260</v>
      </c>
      <c r="R267" s="9">
        <v>0.8</v>
      </c>
      <c r="S267" s="9">
        <v>-3.8847265000000002</v>
      </c>
      <c r="T267" s="9">
        <v>130.897445</v>
      </c>
      <c r="U267" s="9"/>
      <c r="V267" s="11">
        <f>VLOOKUP(L267,'[1]singkron data'!D:E,2,FALSE)</f>
        <v>0</v>
      </c>
      <c r="W267" s="11">
        <f>VLOOKUP(L267,'[1]data 1129'!F:H,3,FALSE)</f>
        <v>0</v>
      </c>
      <c r="X267" s="11"/>
      <c r="Y267" s="11">
        <f>VLOOKUP(L267,'[1]singkron data'!D:H,5,FALSE)</f>
        <v>0</v>
      </c>
      <c r="Z267" s="11">
        <f>VLOOKUP(L267,'[1]singkron data'!D:I,6,FALSE)</f>
        <v>0</v>
      </c>
      <c r="AA267" s="11">
        <f>VLOOKUP(L267,'[1]singkron data'!D:L,9,FALSE)</f>
        <v>0</v>
      </c>
      <c r="AB267" s="11" t="s">
        <v>694</v>
      </c>
      <c r="AC267" s="11">
        <f>VLOOKUP(L267,'[1]singkron data'!D:M,10,FALSE)</f>
        <v>0</v>
      </c>
      <c r="AD267" s="11"/>
      <c r="AE267" s="11">
        <f>VLOOKUP(L267,'[1]singkron data'!D:P,13,FALSE)</f>
        <v>0</v>
      </c>
      <c r="AF267" s="11"/>
      <c r="AG267" s="11" t="e">
        <f>VLOOKUP(L267,'[1]update kontrak'!E:K,6,FALSE)</f>
        <v>#N/A</v>
      </c>
      <c r="AH267" s="11" t="e">
        <f>VLOOKUP(L267,'[1]update kontrak'!E:K,7,FALSE)</f>
        <v>#N/A</v>
      </c>
      <c r="AI267" s="11"/>
      <c r="AJ267" s="11" t="str">
        <f>VLOOKUP(L267,[1]rekap!D:M,1,FALSE)</f>
        <v>Geser</v>
      </c>
      <c r="AK267" s="11">
        <f>VLOOKUP(L267,'[1]singkron data'!D:E,2,FALSE)</f>
        <v>0</v>
      </c>
      <c r="AL267" s="11" t="str">
        <f>VLOOKUP(L267,'[1]update 521'!D:D,1,FALSE)</f>
        <v>Geser</v>
      </c>
      <c r="AM267" s="11" t="s">
        <v>96</v>
      </c>
      <c r="AN267" s="11" t="e">
        <f>VLOOKUP(L267,[1]Sheet19!E:L,8,FALSE)</f>
        <v>#N/A</v>
      </c>
      <c r="AO267" s="11" t="e">
        <f>VLOOKUP(L267,[1]Sheet19!E:K,7,FALSE)</f>
        <v>#N/A</v>
      </c>
      <c r="AP267" s="12"/>
    </row>
    <row r="268" spans="1:42" ht="15" x14ac:dyDescent="0.2">
      <c r="A268" s="8" t="s">
        <v>42</v>
      </c>
      <c r="B268" s="9" t="s">
        <v>43</v>
      </c>
      <c r="C268" s="9">
        <v>124</v>
      </c>
      <c r="D268" s="9" t="s">
        <v>688</v>
      </c>
      <c r="E268" s="9">
        <v>24</v>
      </c>
      <c r="F268" s="9" t="s">
        <v>735</v>
      </c>
      <c r="G268" s="9" t="s">
        <v>690</v>
      </c>
      <c r="H268" s="9" t="s">
        <v>287</v>
      </c>
      <c r="I268" s="9" t="s">
        <v>691</v>
      </c>
      <c r="J268" s="9" t="s">
        <v>737</v>
      </c>
      <c r="K268" s="9" t="s">
        <v>738</v>
      </c>
      <c r="L268" s="9" t="s">
        <v>738</v>
      </c>
      <c r="M268" s="9" t="s">
        <v>51</v>
      </c>
      <c r="N268" s="9">
        <v>520</v>
      </c>
      <c r="O268" s="9">
        <v>5</v>
      </c>
      <c r="P268" s="9">
        <v>150</v>
      </c>
      <c r="Q268" s="9">
        <v>155</v>
      </c>
      <c r="R268" s="9">
        <v>1</v>
      </c>
      <c r="S268" s="9">
        <v>-3.8673829999999998</v>
      </c>
      <c r="T268" s="9">
        <v>130.81170399999999</v>
      </c>
      <c r="U268" s="9"/>
      <c r="V268" s="11">
        <f>VLOOKUP(L268,'[1]singkron data'!D:E,2,FALSE)</f>
        <v>0</v>
      </c>
      <c r="W268" s="11">
        <f>VLOOKUP(L268,'[1]data 1129'!F:H,3,FALSE)</f>
        <v>0</v>
      </c>
      <c r="X268" s="11"/>
      <c r="Y268" s="11">
        <f>VLOOKUP(L268,'[1]singkron data'!D:H,5,FALSE)</f>
        <v>0</v>
      </c>
      <c r="Z268" s="11">
        <f>VLOOKUP(L268,'[1]singkron data'!D:I,6,FALSE)</f>
        <v>0</v>
      </c>
      <c r="AA268" s="11">
        <f>VLOOKUP(L268,'[1]singkron data'!D:L,9,FALSE)</f>
        <v>0</v>
      </c>
      <c r="AB268" s="11" t="s">
        <v>694</v>
      </c>
      <c r="AC268" s="11">
        <f>VLOOKUP(L268,'[1]singkron data'!D:M,10,FALSE)</f>
        <v>0</v>
      </c>
      <c r="AD268" s="11"/>
      <c r="AE268" s="11">
        <f>VLOOKUP(L268,'[1]singkron data'!D:P,13,FALSE)</f>
        <v>0</v>
      </c>
      <c r="AF268" s="11"/>
      <c r="AG268" s="11" t="e">
        <f>VLOOKUP(L268,'[1]update kontrak'!E:K,6,FALSE)</f>
        <v>#N/A</v>
      </c>
      <c r="AH268" s="11" t="e">
        <f>VLOOKUP(L268,'[1]update kontrak'!E:K,7,FALSE)</f>
        <v>#N/A</v>
      </c>
      <c r="AI268" s="11"/>
      <c r="AJ268" s="11" t="str">
        <f>VLOOKUP(L268,[1]rekap!D:M,1,FALSE)</f>
        <v>Kwamor Kecil Mata Wawa</v>
      </c>
      <c r="AK268" s="11">
        <f>VLOOKUP(L268,'[1]singkron data'!D:E,2,FALSE)</f>
        <v>0</v>
      </c>
      <c r="AL268" s="11" t="str">
        <f>VLOOKUP(L268,'[1]update 521'!D:D,1,FALSE)</f>
        <v>Kwamor Kecil Mata Wawa</v>
      </c>
      <c r="AM268" s="11" t="s">
        <v>96</v>
      </c>
      <c r="AN268" s="11" t="e">
        <f>VLOOKUP(L268,[1]Sheet19!E:L,8,FALSE)</f>
        <v>#N/A</v>
      </c>
      <c r="AO268" s="11" t="e">
        <f>VLOOKUP(L268,[1]Sheet19!E:K,7,FALSE)</f>
        <v>#N/A</v>
      </c>
      <c r="AP268" s="12"/>
    </row>
    <row r="269" spans="1:42" ht="15" x14ac:dyDescent="0.2">
      <c r="A269" s="8" t="s">
        <v>42</v>
      </c>
      <c r="B269" s="9" t="s">
        <v>43</v>
      </c>
      <c r="C269" s="9">
        <v>125</v>
      </c>
      <c r="D269" s="9" t="s">
        <v>688</v>
      </c>
      <c r="E269" s="9">
        <v>25</v>
      </c>
      <c r="F269" s="9" t="s">
        <v>735</v>
      </c>
      <c r="G269" s="9" t="s">
        <v>690</v>
      </c>
      <c r="H269" s="9" t="s">
        <v>287</v>
      </c>
      <c r="I269" s="9" t="s">
        <v>691</v>
      </c>
      <c r="J269" s="9" t="s">
        <v>736</v>
      </c>
      <c r="K269" s="9" t="s">
        <v>739</v>
      </c>
      <c r="L269" s="9" t="s">
        <v>739</v>
      </c>
      <c r="M269" s="9" t="s">
        <v>51</v>
      </c>
      <c r="N269" s="9">
        <v>250</v>
      </c>
      <c r="O269" s="9">
        <v>50</v>
      </c>
      <c r="P269" s="9">
        <v>150</v>
      </c>
      <c r="Q269" s="9">
        <v>200</v>
      </c>
      <c r="R269" s="9">
        <v>0.35</v>
      </c>
      <c r="S269" s="9">
        <v>-3.8715820000000001</v>
      </c>
      <c r="T269" s="9">
        <v>130.86232200000001</v>
      </c>
      <c r="U269" s="9"/>
      <c r="V269" s="11">
        <f>VLOOKUP(L269,'[1]singkron data'!D:E,2,FALSE)</f>
        <v>0</v>
      </c>
      <c r="W269" s="11">
        <f>VLOOKUP(L269,'[1]data 1129'!F:H,3,FALSE)</f>
        <v>0</v>
      </c>
      <c r="X269" s="11"/>
      <c r="Y269" s="11">
        <f>VLOOKUP(L269,'[1]singkron data'!D:H,5,FALSE)</f>
        <v>0</v>
      </c>
      <c r="Z269" s="11">
        <f>VLOOKUP(L269,'[1]singkron data'!D:I,6,FALSE)</f>
        <v>0</v>
      </c>
      <c r="AA269" s="11">
        <f>VLOOKUP(L269,'[1]singkron data'!D:L,9,FALSE)</f>
        <v>0</v>
      </c>
      <c r="AB269" s="11" t="s">
        <v>694</v>
      </c>
      <c r="AC269" s="11">
        <f>VLOOKUP(L269,'[1]singkron data'!D:M,10,FALSE)</f>
        <v>0</v>
      </c>
      <c r="AD269" s="11"/>
      <c r="AE269" s="11">
        <f>VLOOKUP(L269,'[1]singkron data'!D:P,13,FALSE)</f>
        <v>0</v>
      </c>
      <c r="AF269" s="11"/>
      <c r="AG269" s="11" t="e">
        <f>VLOOKUP(L269,'[1]update kontrak'!E:K,6,FALSE)</f>
        <v>#N/A</v>
      </c>
      <c r="AH269" s="11" t="e">
        <f>VLOOKUP(L269,'[1]update kontrak'!E:K,7,FALSE)</f>
        <v>#N/A</v>
      </c>
      <c r="AI269" s="11"/>
      <c r="AJ269" s="11" t="str">
        <f>VLOOKUP(L269,[1]rekap!D:M,1,FALSE)</f>
        <v>Kellu</v>
      </c>
      <c r="AK269" s="11">
        <f>VLOOKUP(L269,'[1]singkron data'!D:E,2,FALSE)</f>
        <v>0</v>
      </c>
      <c r="AL269" s="11" t="str">
        <f>VLOOKUP(L269,'[1]update 521'!D:D,1,FALSE)</f>
        <v>Kellu</v>
      </c>
      <c r="AM269" s="11" t="s">
        <v>96</v>
      </c>
      <c r="AN269" s="11" t="e">
        <f>VLOOKUP(L269,[1]Sheet19!E:L,8,FALSE)</f>
        <v>#N/A</v>
      </c>
      <c r="AO269" s="11" t="e">
        <f>VLOOKUP(L269,[1]Sheet19!E:K,7,FALSE)</f>
        <v>#N/A</v>
      </c>
      <c r="AP269" s="12"/>
    </row>
    <row r="270" spans="1:42" ht="15" x14ac:dyDescent="0.2">
      <c r="A270" s="8" t="s">
        <v>42</v>
      </c>
      <c r="B270" s="9" t="s">
        <v>43</v>
      </c>
      <c r="C270" s="9">
        <v>126</v>
      </c>
      <c r="D270" s="9" t="s">
        <v>688</v>
      </c>
      <c r="E270" s="9">
        <v>26</v>
      </c>
      <c r="F270" s="9" t="s">
        <v>735</v>
      </c>
      <c r="G270" s="9" t="s">
        <v>690</v>
      </c>
      <c r="H270" s="9" t="s">
        <v>287</v>
      </c>
      <c r="I270" s="9" t="s">
        <v>691</v>
      </c>
      <c r="J270" s="9" t="s">
        <v>736</v>
      </c>
      <c r="K270" s="9" t="s">
        <v>740</v>
      </c>
      <c r="L270" s="9" t="s">
        <v>740</v>
      </c>
      <c r="M270" s="9" t="s">
        <v>51</v>
      </c>
      <c r="N270" s="9">
        <v>60</v>
      </c>
      <c r="O270" s="9">
        <v>19</v>
      </c>
      <c r="P270" s="9">
        <v>39</v>
      </c>
      <c r="Q270" s="9">
        <v>58</v>
      </c>
      <c r="R270" s="9">
        <v>0.13</v>
      </c>
      <c r="S270" s="9">
        <v>-3.890536</v>
      </c>
      <c r="T270" s="9">
        <v>130.91095100000001</v>
      </c>
      <c r="U270" s="9"/>
      <c r="V270" s="11">
        <f>VLOOKUP(L270,'[1]singkron data'!D:E,2,FALSE)</f>
        <v>0</v>
      </c>
      <c r="W270" s="11">
        <f>VLOOKUP(L270,'[1]data 1129'!F:H,3,FALSE)</f>
        <v>0</v>
      </c>
      <c r="X270" s="11"/>
      <c r="Y270" s="11">
        <f>VLOOKUP(L270,'[1]singkron data'!D:H,5,FALSE)</f>
        <v>0</v>
      </c>
      <c r="Z270" s="11">
        <f>VLOOKUP(L270,'[1]singkron data'!D:I,6,FALSE)</f>
        <v>0</v>
      </c>
      <c r="AA270" s="11">
        <f>VLOOKUP(L270,'[1]singkron data'!D:L,9,FALSE)</f>
        <v>0</v>
      </c>
      <c r="AB270" s="11" t="s">
        <v>694</v>
      </c>
      <c r="AC270" s="11">
        <f>VLOOKUP(L270,'[1]singkron data'!D:M,10,FALSE)</f>
        <v>0</v>
      </c>
      <c r="AD270" s="11"/>
      <c r="AE270" s="11">
        <f>VLOOKUP(L270,'[1]singkron data'!D:P,13,FALSE)</f>
        <v>0</v>
      </c>
      <c r="AF270" s="11"/>
      <c r="AG270" s="11" t="e">
        <f>VLOOKUP(L270,'[1]update kontrak'!E:K,6,FALSE)</f>
        <v>#N/A</v>
      </c>
      <c r="AH270" s="11" t="e">
        <f>VLOOKUP(L270,'[1]update kontrak'!E:K,7,FALSE)</f>
        <v>#N/A</v>
      </c>
      <c r="AI270" s="11"/>
      <c r="AJ270" s="11" t="str">
        <f>VLOOKUP(L270,[1]rekap!D:M,1,FALSE)</f>
        <v>Kilfura</v>
      </c>
      <c r="AK270" s="11">
        <f>VLOOKUP(L270,'[1]singkron data'!D:E,2,FALSE)</f>
        <v>0</v>
      </c>
      <c r="AL270" s="11" t="str">
        <f>VLOOKUP(L270,'[1]update 521'!D:D,1,FALSE)</f>
        <v>Kilfura</v>
      </c>
      <c r="AM270" s="11" t="s">
        <v>96</v>
      </c>
      <c r="AN270" s="11" t="e">
        <f>VLOOKUP(L270,[1]Sheet19!E:L,8,FALSE)</f>
        <v>#N/A</v>
      </c>
      <c r="AO270" s="11" t="e">
        <f>VLOOKUP(L270,[1]Sheet19!E:K,7,FALSE)</f>
        <v>#N/A</v>
      </c>
      <c r="AP270" s="12"/>
    </row>
    <row r="271" spans="1:42" ht="15" x14ac:dyDescent="0.2">
      <c r="A271" s="8" t="s">
        <v>42</v>
      </c>
      <c r="B271" s="9" t="s">
        <v>43</v>
      </c>
      <c r="C271" s="9">
        <v>127</v>
      </c>
      <c r="D271" s="9" t="s">
        <v>688</v>
      </c>
      <c r="E271" s="9">
        <v>27</v>
      </c>
      <c r="F271" s="9" t="s">
        <v>735</v>
      </c>
      <c r="G271" s="9" t="s">
        <v>690</v>
      </c>
      <c r="H271" s="9" t="s">
        <v>287</v>
      </c>
      <c r="I271" s="9" t="s">
        <v>691</v>
      </c>
      <c r="J271" s="9" t="s">
        <v>736</v>
      </c>
      <c r="K271" s="9" t="s">
        <v>741</v>
      </c>
      <c r="L271" s="9" t="s">
        <v>741</v>
      </c>
      <c r="M271" s="9" t="s">
        <v>51</v>
      </c>
      <c r="N271" s="9">
        <v>349</v>
      </c>
      <c r="O271" s="9">
        <v>60</v>
      </c>
      <c r="P271" s="9">
        <v>110</v>
      </c>
      <c r="Q271" s="9">
        <v>170</v>
      </c>
      <c r="R271" s="9">
        <v>1.03</v>
      </c>
      <c r="S271" s="9">
        <v>-3.8820749999999999</v>
      </c>
      <c r="T271" s="9">
        <v>130.95292499999999</v>
      </c>
      <c r="U271" s="9"/>
      <c r="V271" s="11">
        <f>VLOOKUP(L271,'[1]singkron data'!D:E,2,FALSE)</f>
        <v>0</v>
      </c>
      <c r="W271" s="11">
        <f>VLOOKUP(L271,'[1]data 1129'!F:H,3,FALSE)</f>
        <v>0</v>
      </c>
      <c r="X271" s="11"/>
      <c r="Y271" s="11">
        <f>VLOOKUP(L271,'[1]singkron data'!D:H,5,FALSE)</f>
        <v>0</v>
      </c>
      <c r="Z271" s="11">
        <f>VLOOKUP(L271,'[1]singkron data'!D:I,6,FALSE)</f>
        <v>0</v>
      </c>
      <c r="AA271" s="11">
        <f>VLOOKUP(L271,'[1]singkron data'!D:L,9,FALSE)</f>
        <v>0</v>
      </c>
      <c r="AB271" s="11" t="s">
        <v>694</v>
      </c>
      <c r="AC271" s="11">
        <f>VLOOKUP(L271,'[1]singkron data'!D:M,10,FALSE)</f>
        <v>0</v>
      </c>
      <c r="AD271" s="11"/>
      <c r="AE271" s="11">
        <f>VLOOKUP(L271,'[1]singkron data'!D:P,13,FALSE)</f>
        <v>0</v>
      </c>
      <c r="AF271" s="11"/>
      <c r="AG271" s="11" t="e">
        <f>VLOOKUP(L271,'[1]update kontrak'!E:K,6,FALSE)</f>
        <v>#N/A</v>
      </c>
      <c r="AH271" s="11" t="e">
        <f>VLOOKUP(L271,'[1]update kontrak'!E:K,7,FALSE)</f>
        <v>#N/A</v>
      </c>
      <c r="AI271" s="11"/>
      <c r="AJ271" s="11" t="str">
        <f>VLOOKUP(L271,[1]rekap!D:M,1,FALSE)</f>
        <v>Kilwaru</v>
      </c>
      <c r="AK271" s="11">
        <f>VLOOKUP(L271,'[1]singkron data'!D:E,2,FALSE)</f>
        <v>0</v>
      </c>
      <c r="AL271" s="11" t="str">
        <f>VLOOKUP(L271,'[1]update 521'!D:D,1,FALSE)</f>
        <v>Kilwaru</v>
      </c>
      <c r="AM271" s="11" t="s">
        <v>96</v>
      </c>
      <c r="AN271" s="11" t="e">
        <f>VLOOKUP(L271,[1]Sheet19!E:L,8,FALSE)</f>
        <v>#N/A</v>
      </c>
      <c r="AO271" s="11" t="e">
        <f>VLOOKUP(L271,[1]Sheet19!E:K,7,FALSE)</f>
        <v>#N/A</v>
      </c>
      <c r="AP271" s="12"/>
    </row>
    <row r="272" spans="1:42" ht="15" x14ac:dyDescent="0.2">
      <c r="A272" s="8" t="s">
        <v>42</v>
      </c>
      <c r="B272" s="9" t="s">
        <v>43</v>
      </c>
      <c r="C272" s="9">
        <v>128</v>
      </c>
      <c r="D272" s="9" t="s">
        <v>688</v>
      </c>
      <c r="E272" s="9">
        <v>28</v>
      </c>
      <c r="F272" s="9" t="s">
        <v>742</v>
      </c>
      <c r="G272" s="9" t="s">
        <v>690</v>
      </c>
      <c r="H272" s="9" t="s">
        <v>287</v>
      </c>
      <c r="I272" s="9" t="s">
        <v>743</v>
      </c>
      <c r="J272" s="9" t="s">
        <v>744</v>
      </c>
      <c r="K272" s="9" t="s">
        <v>742</v>
      </c>
      <c r="L272" s="9" t="s">
        <v>742</v>
      </c>
      <c r="M272" s="9" t="s">
        <v>65</v>
      </c>
      <c r="N272" s="9">
        <v>433</v>
      </c>
      <c r="O272" s="9">
        <v>66</v>
      </c>
      <c r="P272" s="9">
        <v>419</v>
      </c>
      <c r="Q272" s="9">
        <v>485</v>
      </c>
      <c r="R272" s="9">
        <v>1</v>
      </c>
      <c r="S272" s="9">
        <v>-3.3923480000000001</v>
      </c>
      <c r="T272" s="9">
        <v>127.980936</v>
      </c>
      <c r="U272" s="9"/>
      <c r="V272" s="11">
        <f>VLOOKUP(L272,'[1]singkron data'!D:E,2,FALSE)</f>
        <v>0</v>
      </c>
      <c r="W272" s="11">
        <f>VLOOKUP(L272,'[1]data 1129'!F:H,3,FALSE)</f>
        <v>0</v>
      </c>
      <c r="X272" s="11"/>
      <c r="Y272" s="11">
        <f>VLOOKUP(L272,'[1]singkron data'!D:H,5,FALSE)</f>
        <v>0</v>
      </c>
      <c r="Z272" s="11">
        <f>VLOOKUP(L272,'[1]singkron data'!D:I,6,FALSE)</f>
        <v>0</v>
      </c>
      <c r="AA272" s="11">
        <f>VLOOKUP(L272,'[1]singkron data'!D:L,9,FALSE)</f>
        <v>0</v>
      </c>
      <c r="AB272" s="11" t="s">
        <v>694</v>
      </c>
      <c r="AC272" s="11">
        <f>VLOOKUP(L272,'[1]singkron data'!D:M,10,FALSE)</f>
        <v>0</v>
      </c>
      <c r="AD272" s="11"/>
      <c r="AE272" s="11">
        <f>VLOOKUP(L272,'[1]singkron data'!D:P,13,FALSE)</f>
        <v>0</v>
      </c>
      <c r="AF272" s="11"/>
      <c r="AG272" s="11" t="e">
        <f>VLOOKUP(L272,'[1]update kontrak'!E:K,6,FALSE)</f>
        <v>#N/A</v>
      </c>
      <c r="AH272" s="11" t="e">
        <f>VLOOKUP(L272,'[1]update kontrak'!E:K,7,FALSE)</f>
        <v>#N/A</v>
      </c>
      <c r="AI272" s="11"/>
      <c r="AJ272" s="11" t="str">
        <f>VLOOKUP(L272,[1]rekap!D:M,1,FALSE)</f>
        <v>Iha</v>
      </c>
      <c r="AK272" s="11">
        <f>VLOOKUP(L272,'[1]singkron data'!D:E,2,FALSE)</f>
        <v>0</v>
      </c>
      <c r="AL272" s="11" t="str">
        <f>VLOOKUP(L272,'[1]update 521'!D:D,1,FALSE)</f>
        <v>Iha</v>
      </c>
      <c r="AM272" s="11" t="s">
        <v>96</v>
      </c>
      <c r="AN272" s="11" t="e">
        <f>VLOOKUP(L272,[1]Sheet19!E:L,8,FALSE)</f>
        <v>#N/A</v>
      </c>
      <c r="AO272" s="11" t="e">
        <f>VLOOKUP(L272,[1]Sheet19!E:K,7,FALSE)</f>
        <v>#N/A</v>
      </c>
      <c r="AP272" s="12"/>
    </row>
    <row r="273" spans="1:42" ht="15" x14ac:dyDescent="0.2">
      <c r="A273" s="8" t="s">
        <v>42</v>
      </c>
      <c r="B273" s="9" t="s">
        <v>43</v>
      </c>
      <c r="C273" s="9">
        <v>129</v>
      </c>
      <c r="D273" s="9" t="s">
        <v>688</v>
      </c>
      <c r="E273" s="9">
        <v>29</v>
      </c>
      <c r="F273" s="9" t="s">
        <v>742</v>
      </c>
      <c r="G273" s="9" t="s">
        <v>690</v>
      </c>
      <c r="H273" s="9" t="s">
        <v>287</v>
      </c>
      <c r="I273" s="9" t="s">
        <v>745</v>
      </c>
      <c r="J273" s="9" t="s">
        <v>746</v>
      </c>
      <c r="K273" s="9" t="s">
        <v>747</v>
      </c>
      <c r="L273" s="9" t="s">
        <v>747</v>
      </c>
      <c r="M273" s="9" t="s">
        <v>51</v>
      </c>
      <c r="N273" s="9">
        <v>212</v>
      </c>
      <c r="O273" s="9">
        <v>20</v>
      </c>
      <c r="P273" s="9">
        <v>122</v>
      </c>
      <c r="Q273" s="9">
        <v>142</v>
      </c>
      <c r="R273" s="9">
        <v>0.3</v>
      </c>
      <c r="S273" s="9">
        <v>-3.5298060000000002</v>
      </c>
      <c r="T273" s="9">
        <v>127.95281300000001</v>
      </c>
      <c r="U273" s="9"/>
      <c r="V273" s="11">
        <f>VLOOKUP(L273,'[1]singkron data'!D:E,2,FALSE)</f>
        <v>0</v>
      </c>
      <c r="W273" s="11">
        <f>VLOOKUP(L273,'[1]data 1129'!F:H,3,FALSE)</f>
        <v>0</v>
      </c>
      <c r="X273" s="11"/>
      <c r="Y273" s="11">
        <f>VLOOKUP(L273,'[1]singkron data'!D:H,5,FALSE)</f>
        <v>0</v>
      </c>
      <c r="Z273" s="11">
        <f>VLOOKUP(L273,'[1]singkron data'!D:I,6,FALSE)</f>
        <v>0</v>
      </c>
      <c r="AA273" s="11">
        <f>VLOOKUP(L273,'[1]singkron data'!D:L,9,FALSE)</f>
        <v>0</v>
      </c>
      <c r="AB273" s="11" t="s">
        <v>694</v>
      </c>
      <c r="AC273" s="11">
        <f>VLOOKUP(L273,'[1]singkron data'!D:M,10,FALSE)</f>
        <v>0</v>
      </c>
      <c r="AD273" s="11"/>
      <c r="AE273" s="11">
        <f>VLOOKUP(L273,'[1]singkron data'!D:P,13,FALSE)</f>
        <v>0</v>
      </c>
      <c r="AF273" s="11"/>
      <c r="AG273" s="11" t="e">
        <f>VLOOKUP(L273,'[1]update kontrak'!E:K,6,FALSE)</f>
        <v>#N/A</v>
      </c>
      <c r="AH273" s="11" t="e">
        <f>VLOOKUP(L273,'[1]update kontrak'!E:K,7,FALSE)</f>
        <v>#N/A</v>
      </c>
      <c r="AI273" s="11"/>
      <c r="AJ273" s="11" t="str">
        <f>VLOOKUP(L273,[1]rekap!D:M,1,FALSE)</f>
        <v>Asilulu</v>
      </c>
      <c r="AK273" s="11">
        <f>VLOOKUP(L273,'[1]singkron data'!D:E,2,FALSE)</f>
        <v>0</v>
      </c>
      <c r="AL273" s="11" t="str">
        <f>VLOOKUP(L273,'[1]update 521'!D:D,1,FALSE)</f>
        <v>Asilulu</v>
      </c>
      <c r="AM273" s="11" t="s">
        <v>96</v>
      </c>
      <c r="AN273" s="11" t="e">
        <f>VLOOKUP(L273,[1]Sheet19!E:L,8,FALSE)</f>
        <v>#N/A</v>
      </c>
      <c r="AO273" s="11" t="e">
        <f>VLOOKUP(L273,[1]Sheet19!E:K,7,FALSE)</f>
        <v>#N/A</v>
      </c>
      <c r="AP273" s="12"/>
    </row>
    <row r="274" spans="1:42" ht="15" x14ac:dyDescent="0.2">
      <c r="A274" s="8" t="s">
        <v>42</v>
      </c>
      <c r="B274" s="9" t="s">
        <v>43</v>
      </c>
      <c r="C274" s="9">
        <v>130</v>
      </c>
      <c r="D274" s="9" t="s">
        <v>688</v>
      </c>
      <c r="E274" s="9">
        <v>30</v>
      </c>
      <c r="F274" s="9" t="s">
        <v>742</v>
      </c>
      <c r="G274" s="9" t="s">
        <v>690</v>
      </c>
      <c r="H274" s="9" t="s">
        <v>287</v>
      </c>
      <c r="I274" s="9" t="s">
        <v>743</v>
      </c>
      <c r="J274" s="9" t="s">
        <v>748</v>
      </c>
      <c r="K274" s="9" t="s">
        <v>749</v>
      </c>
      <c r="L274" s="9" t="s">
        <v>749</v>
      </c>
      <c r="M274" s="9" t="s">
        <v>51</v>
      </c>
      <c r="N274" s="9">
        <v>116</v>
      </c>
      <c r="O274" s="9">
        <v>66</v>
      </c>
      <c r="P274" s="9">
        <v>34</v>
      </c>
      <c r="Q274" s="9">
        <v>100</v>
      </c>
      <c r="R274" s="9">
        <v>1</v>
      </c>
      <c r="S274" s="9">
        <v>-3.2153562</v>
      </c>
      <c r="T274" s="9">
        <v>128.1762161</v>
      </c>
      <c r="U274" s="9"/>
      <c r="V274" s="11">
        <f>VLOOKUP(L274,'[1]singkron data'!D:E,2,FALSE)</f>
        <v>0</v>
      </c>
      <c r="W274" s="11">
        <f>VLOOKUP(L274,'[1]data 1129'!F:H,3,FALSE)</f>
        <v>0</v>
      </c>
      <c r="X274" s="11"/>
      <c r="Y274" s="11">
        <f>VLOOKUP(L274,'[1]singkron data'!D:H,5,FALSE)</f>
        <v>0</v>
      </c>
      <c r="Z274" s="11">
        <f>VLOOKUP(L274,'[1]singkron data'!D:I,6,FALSE)</f>
        <v>0</v>
      </c>
      <c r="AA274" s="11">
        <f>VLOOKUP(L274,'[1]singkron data'!D:L,9,FALSE)</f>
        <v>0</v>
      </c>
      <c r="AB274" s="11" t="s">
        <v>694</v>
      </c>
      <c r="AC274" s="11">
        <f>VLOOKUP(L274,'[1]singkron data'!D:M,10,FALSE)</f>
        <v>0</v>
      </c>
      <c r="AD274" s="11"/>
      <c r="AE274" s="11">
        <f>VLOOKUP(L274,'[1]singkron data'!D:P,13,FALSE)</f>
        <v>0</v>
      </c>
      <c r="AF274" s="11"/>
      <c r="AG274" s="11" t="e">
        <f>VLOOKUP(L274,'[1]update kontrak'!E:K,6,FALSE)</f>
        <v>#N/A</v>
      </c>
      <c r="AH274" s="11" t="e">
        <f>VLOOKUP(L274,'[1]update kontrak'!E:K,7,FALSE)</f>
        <v>#N/A</v>
      </c>
      <c r="AI274" s="11"/>
      <c r="AJ274" s="11" t="str">
        <f>VLOOKUP(L274,[1]rekap!D:M,1,FALSE)</f>
        <v>Kaibobo</v>
      </c>
      <c r="AK274" s="11">
        <f>VLOOKUP(L274,'[1]singkron data'!D:E,2,FALSE)</f>
        <v>0</v>
      </c>
      <c r="AL274" s="11" t="str">
        <f>VLOOKUP(L274,'[1]update 521'!D:D,1,FALSE)</f>
        <v>Kaibobo</v>
      </c>
      <c r="AM274" s="11" t="s">
        <v>96</v>
      </c>
      <c r="AN274" s="11" t="e">
        <f>VLOOKUP(L274,[1]Sheet19!E:L,8,FALSE)</f>
        <v>#N/A</v>
      </c>
      <c r="AO274" s="11" t="e">
        <f>VLOOKUP(L274,[1]Sheet19!E:K,7,FALSE)</f>
        <v>#N/A</v>
      </c>
      <c r="AP274" s="12"/>
    </row>
    <row r="275" spans="1:42" ht="15" x14ac:dyDescent="0.2">
      <c r="A275" s="8" t="s">
        <v>42</v>
      </c>
      <c r="B275" s="9" t="s">
        <v>43</v>
      </c>
      <c r="C275" s="9">
        <v>131</v>
      </c>
      <c r="D275" s="9" t="s">
        <v>688</v>
      </c>
      <c r="E275" s="9">
        <v>31</v>
      </c>
      <c r="F275" s="9" t="s">
        <v>750</v>
      </c>
      <c r="G275" s="9" t="s">
        <v>690</v>
      </c>
      <c r="H275" s="9" t="s">
        <v>287</v>
      </c>
      <c r="I275" s="9" t="s">
        <v>707</v>
      </c>
      <c r="J275" s="9" t="s">
        <v>751</v>
      </c>
      <c r="K275" s="9" t="s">
        <v>750</v>
      </c>
      <c r="L275" s="9" t="s">
        <v>750</v>
      </c>
      <c r="M275" s="9" t="s">
        <v>65</v>
      </c>
      <c r="N275" s="9">
        <v>200</v>
      </c>
      <c r="O275" s="9">
        <v>87</v>
      </c>
      <c r="P275" s="9">
        <v>80</v>
      </c>
      <c r="Q275" s="9">
        <v>167</v>
      </c>
      <c r="R275" s="9">
        <v>0.1</v>
      </c>
      <c r="S275" s="9">
        <v>-7.6681100000000004</v>
      </c>
      <c r="T275" s="9">
        <v>131.03115700000001</v>
      </c>
      <c r="U275" s="9"/>
      <c r="V275" s="11">
        <f>VLOOKUP(L275,'[1]singkron data'!D:E,2,FALSE)</f>
        <v>0</v>
      </c>
      <c r="W275" s="11">
        <f>VLOOKUP(L275,'[1]data 1129'!F:H,3,FALSE)</f>
        <v>0</v>
      </c>
      <c r="X275" s="11"/>
      <c r="Y275" s="11">
        <f>VLOOKUP(L275,'[1]singkron data'!D:H,5,FALSE)</f>
        <v>0</v>
      </c>
      <c r="Z275" s="11">
        <f>VLOOKUP(L275,'[1]singkron data'!D:I,6,FALSE)</f>
        <v>0</v>
      </c>
      <c r="AA275" s="11">
        <f>VLOOKUP(L275,'[1]singkron data'!D:L,9,FALSE)</f>
        <v>0</v>
      </c>
      <c r="AB275" s="11" t="s">
        <v>694</v>
      </c>
      <c r="AC275" s="11">
        <f>VLOOKUP(L275,'[1]singkron data'!D:M,10,FALSE)</f>
        <v>0</v>
      </c>
      <c r="AD275" s="11"/>
      <c r="AE275" s="11">
        <f>VLOOKUP(L275,'[1]singkron data'!D:P,13,FALSE)</f>
        <v>0</v>
      </c>
      <c r="AF275" s="11"/>
      <c r="AG275" s="11" t="e">
        <f>VLOOKUP(L275,'[1]update kontrak'!E:K,6,FALSE)</f>
        <v>#N/A</v>
      </c>
      <c r="AH275" s="11" t="e">
        <f>VLOOKUP(L275,'[1]update kontrak'!E:K,7,FALSE)</f>
        <v>#N/A</v>
      </c>
      <c r="AI275" s="11"/>
      <c r="AJ275" s="11" t="str">
        <f>VLOOKUP(L275,[1]rekap!D:M,1,FALSE)</f>
        <v>Kamatubun</v>
      </c>
      <c r="AK275" s="11">
        <f>VLOOKUP(L275,'[1]singkron data'!D:E,2,FALSE)</f>
        <v>0</v>
      </c>
      <c r="AL275" s="11" t="str">
        <f>VLOOKUP(L275,'[1]update 521'!D:D,1,FALSE)</f>
        <v>Kamatubun</v>
      </c>
      <c r="AM275" s="11" t="s">
        <v>96</v>
      </c>
      <c r="AN275" s="11" t="e">
        <f>VLOOKUP(L275,[1]Sheet19!E:L,8,FALSE)</f>
        <v>#N/A</v>
      </c>
      <c r="AO275" s="11" t="e">
        <f>VLOOKUP(L275,[1]Sheet19!E:K,7,FALSE)</f>
        <v>#N/A</v>
      </c>
      <c r="AP275" s="12"/>
    </row>
    <row r="276" spans="1:42" ht="15" x14ac:dyDescent="0.2">
      <c r="A276" s="8" t="s">
        <v>42</v>
      </c>
      <c r="B276" s="9" t="s">
        <v>43</v>
      </c>
      <c r="C276" s="9">
        <v>132</v>
      </c>
      <c r="D276" s="9" t="s">
        <v>688</v>
      </c>
      <c r="E276" s="9">
        <v>32</v>
      </c>
      <c r="F276" s="9" t="s">
        <v>750</v>
      </c>
      <c r="G276" s="9" t="s">
        <v>690</v>
      </c>
      <c r="H276" s="9" t="s">
        <v>287</v>
      </c>
      <c r="I276" s="9" t="s">
        <v>707</v>
      </c>
      <c r="J276" s="9" t="s">
        <v>752</v>
      </c>
      <c r="K276" s="9" t="s">
        <v>753</v>
      </c>
      <c r="L276" s="9" t="s">
        <v>753</v>
      </c>
      <c r="M276" s="9" t="s">
        <v>51</v>
      </c>
      <c r="N276" s="9">
        <v>211</v>
      </c>
      <c r="O276" s="9">
        <v>27</v>
      </c>
      <c r="P276" s="9">
        <v>140</v>
      </c>
      <c r="Q276" s="9">
        <v>167</v>
      </c>
      <c r="R276" s="9">
        <v>7.0000000000000007E-2</v>
      </c>
      <c r="S276" s="9">
        <v>-7.9529269999999999</v>
      </c>
      <c r="T276" s="9">
        <v>131.10896600000001</v>
      </c>
      <c r="U276" s="9"/>
      <c r="V276" s="11">
        <f>VLOOKUP(L276,'[1]singkron data'!D:E,2,FALSE)</f>
        <v>0</v>
      </c>
      <c r="W276" s="11">
        <f>VLOOKUP(L276,'[1]data 1129'!F:H,3,FALSE)</f>
        <v>0</v>
      </c>
      <c r="X276" s="11"/>
      <c r="Y276" s="11">
        <f>VLOOKUP(L276,'[1]singkron data'!D:H,5,FALSE)</f>
        <v>0</v>
      </c>
      <c r="Z276" s="11">
        <f>VLOOKUP(L276,'[1]singkron data'!D:I,6,FALSE)</f>
        <v>0</v>
      </c>
      <c r="AA276" s="11">
        <f>VLOOKUP(L276,'[1]singkron data'!D:L,9,FALSE)</f>
        <v>0</v>
      </c>
      <c r="AB276" s="11" t="s">
        <v>694</v>
      </c>
      <c r="AC276" s="11">
        <f>VLOOKUP(L276,'[1]singkron data'!D:M,10,FALSE)</f>
        <v>0</v>
      </c>
      <c r="AD276" s="11"/>
      <c r="AE276" s="11">
        <f>VLOOKUP(L276,'[1]singkron data'!D:P,13,FALSE)</f>
        <v>0</v>
      </c>
      <c r="AF276" s="11"/>
      <c r="AG276" s="11" t="e">
        <f>VLOOKUP(L276,'[1]update kontrak'!E:K,6,FALSE)</f>
        <v>#N/A</v>
      </c>
      <c r="AH276" s="11" t="e">
        <f>VLOOKUP(L276,'[1]update kontrak'!E:K,7,FALSE)</f>
        <v>#N/A</v>
      </c>
      <c r="AI276" s="11"/>
      <c r="AJ276" s="11" t="str">
        <f>VLOOKUP(L276,[1]rekap!D:M,1,FALSE)</f>
        <v>Latdalam</v>
      </c>
      <c r="AK276" s="11">
        <f>VLOOKUP(L276,'[1]singkron data'!D:E,2,FALSE)</f>
        <v>0</v>
      </c>
      <c r="AL276" s="11" t="str">
        <f>VLOOKUP(L276,'[1]update 521'!D:D,1,FALSE)</f>
        <v>Latdalam</v>
      </c>
      <c r="AM276" s="11" t="s">
        <v>96</v>
      </c>
      <c r="AN276" s="11" t="e">
        <f>VLOOKUP(L276,[1]Sheet19!E:L,8,FALSE)</f>
        <v>#N/A</v>
      </c>
      <c r="AO276" s="11" t="e">
        <f>VLOOKUP(L276,[1]Sheet19!E:K,7,FALSE)</f>
        <v>#N/A</v>
      </c>
      <c r="AP276" s="12"/>
    </row>
    <row r="277" spans="1:42" ht="15" x14ac:dyDescent="0.2">
      <c r="A277" s="8" t="s">
        <v>42</v>
      </c>
      <c r="B277" s="9" t="s">
        <v>43</v>
      </c>
      <c r="C277" s="9">
        <v>133</v>
      </c>
      <c r="D277" s="9" t="s">
        <v>688</v>
      </c>
      <c r="E277" s="9">
        <v>33</v>
      </c>
      <c r="F277" s="9" t="s">
        <v>750</v>
      </c>
      <c r="G277" s="9" t="s">
        <v>690</v>
      </c>
      <c r="H277" s="9" t="s">
        <v>287</v>
      </c>
      <c r="I277" s="9" t="s">
        <v>707</v>
      </c>
      <c r="J277" s="9" t="s">
        <v>752</v>
      </c>
      <c r="K277" s="9" t="s">
        <v>754</v>
      </c>
      <c r="L277" s="9" t="s">
        <v>754</v>
      </c>
      <c r="M277" s="9" t="s">
        <v>51</v>
      </c>
      <c r="N277" s="9">
        <v>97</v>
      </c>
      <c r="O277" s="9" t="s">
        <v>72</v>
      </c>
      <c r="P277" s="9" t="s">
        <v>72</v>
      </c>
      <c r="Q277" s="9">
        <v>50</v>
      </c>
      <c r="R277" s="9">
        <v>1</v>
      </c>
      <c r="S277" s="9">
        <v>-8.0527529999999992</v>
      </c>
      <c r="T277" s="9">
        <v>131.204252</v>
      </c>
      <c r="U277" s="9"/>
      <c r="V277" s="11">
        <f>VLOOKUP(L277,'[1]singkron data'!D:E,2,FALSE)</f>
        <v>0</v>
      </c>
      <c r="W277" s="11">
        <f>VLOOKUP(L277,'[1]data 1129'!F:H,3,FALSE)</f>
        <v>0</v>
      </c>
      <c r="X277" s="11"/>
      <c r="Y277" s="11">
        <f>VLOOKUP(L277,'[1]singkron data'!D:H,5,FALSE)</f>
        <v>0</v>
      </c>
      <c r="Z277" s="11">
        <f>VLOOKUP(L277,'[1]singkron data'!D:I,6,FALSE)</f>
        <v>0</v>
      </c>
      <c r="AA277" s="11">
        <f>VLOOKUP(L277,'[1]singkron data'!D:L,9,FALSE)</f>
        <v>0</v>
      </c>
      <c r="AB277" s="11" t="s">
        <v>694</v>
      </c>
      <c r="AC277" s="11">
        <f>VLOOKUP(L277,'[1]singkron data'!D:M,10,FALSE)</f>
        <v>0</v>
      </c>
      <c r="AD277" s="11"/>
      <c r="AE277" s="11">
        <f>VLOOKUP(L277,'[1]singkron data'!D:P,13,FALSE)</f>
        <v>0</v>
      </c>
      <c r="AF277" s="11"/>
      <c r="AG277" s="11" t="e">
        <f>VLOOKUP(L277,'[1]update kontrak'!E:K,6,FALSE)</f>
        <v>#N/A</v>
      </c>
      <c r="AH277" s="11" t="e">
        <f>VLOOKUP(L277,'[1]update kontrak'!E:K,7,FALSE)</f>
        <v>#N/A</v>
      </c>
      <c r="AI277" s="11"/>
      <c r="AJ277" s="11" t="str">
        <f>VLOOKUP(L277,[1]rekap!D:M,1,FALSE)</f>
        <v>Matakus</v>
      </c>
      <c r="AK277" s="11">
        <f>VLOOKUP(L277,'[1]singkron data'!D:E,2,FALSE)</f>
        <v>0</v>
      </c>
      <c r="AL277" s="11" t="str">
        <f>VLOOKUP(L277,'[1]update 521'!D:D,1,FALSE)</f>
        <v>Matakus</v>
      </c>
      <c r="AM277" s="11" t="s">
        <v>96</v>
      </c>
      <c r="AN277" s="11" t="e">
        <f>VLOOKUP(L277,[1]Sheet19!E:L,8,FALSE)</f>
        <v>#N/A</v>
      </c>
      <c r="AO277" s="11" t="e">
        <f>VLOOKUP(L277,[1]Sheet19!E:K,7,FALSE)</f>
        <v>#N/A</v>
      </c>
      <c r="AP277" s="12"/>
    </row>
    <row r="278" spans="1:42" ht="15" x14ac:dyDescent="0.2">
      <c r="A278" s="8" t="s">
        <v>42</v>
      </c>
      <c r="B278" s="9" t="s">
        <v>43</v>
      </c>
      <c r="C278" s="9">
        <v>134</v>
      </c>
      <c r="D278" s="9" t="s">
        <v>688</v>
      </c>
      <c r="E278" s="9">
        <v>34</v>
      </c>
      <c r="F278" s="9" t="s">
        <v>755</v>
      </c>
      <c r="G278" s="9" t="s">
        <v>715</v>
      </c>
      <c r="H278" s="9" t="s">
        <v>287</v>
      </c>
      <c r="I278" s="9" t="s">
        <v>756</v>
      </c>
      <c r="J278" s="9" t="s">
        <v>757</v>
      </c>
      <c r="K278" s="9" t="s">
        <v>758</v>
      </c>
      <c r="L278" s="9" t="s">
        <v>758</v>
      </c>
      <c r="M278" s="9" t="s">
        <v>65</v>
      </c>
      <c r="N278" s="9">
        <v>200</v>
      </c>
      <c r="O278" s="9" t="s">
        <v>72</v>
      </c>
      <c r="P278" s="9">
        <v>130</v>
      </c>
      <c r="Q278" s="9">
        <v>130</v>
      </c>
      <c r="R278" s="9">
        <v>1</v>
      </c>
      <c r="S278" s="9">
        <v>1.1870038999999999</v>
      </c>
      <c r="T278" s="9">
        <v>127.9085552</v>
      </c>
      <c r="U278" s="9"/>
      <c r="V278" s="11">
        <f>VLOOKUP(L278,'[1]singkron data'!D:E,2,FALSE)</f>
        <v>0</v>
      </c>
      <c r="W278" s="13" t="str">
        <f>VLOOKUP(L278,[1]Sheet18!E:F,2,FALSE)</f>
        <v>belum ada</v>
      </c>
      <c r="X278" s="11" t="s">
        <v>55</v>
      </c>
      <c r="Y278" s="11">
        <f>VLOOKUP(L278,'[1]singkron data'!D:H,5,FALSE)</f>
        <v>0</v>
      </c>
      <c r="Z278" s="11">
        <f>VLOOKUP(L278,'[1]singkron data'!D:I,6,FALSE)</f>
        <v>0</v>
      </c>
      <c r="AA278" s="11">
        <f>VLOOKUP(L278,'[1]singkron data'!D:L,9,FALSE)</f>
        <v>0</v>
      </c>
      <c r="AB278" s="11" t="s">
        <v>694</v>
      </c>
      <c r="AC278" s="11">
        <f>VLOOKUP(L278,'[1]singkron data'!D:M,10,FALSE)</f>
        <v>0</v>
      </c>
      <c r="AD278" s="11"/>
      <c r="AE278" s="11">
        <f>VLOOKUP(L278,'[1]singkron data'!D:P,13,FALSE)</f>
        <v>0</v>
      </c>
      <c r="AF278" s="11" t="s">
        <v>55</v>
      </c>
      <c r="AG278" s="11" t="e">
        <f>VLOOKUP(L278,'[1]update kontrak'!E:K,6,FALSE)</f>
        <v>#N/A</v>
      </c>
      <c r="AH278" s="11" t="e">
        <f>VLOOKUP(L278,'[1]update kontrak'!E:K,7,FALSE)</f>
        <v>#N/A</v>
      </c>
      <c r="AI278" s="11"/>
      <c r="AJ278" s="11" t="str">
        <f>VLOOKUP(L278,[1]rekap!D:M,1,FALSE)</f>
        <v>Kusu Lofra</v>
      </c>
      <c r="AK278" s="11">
        <f>VLOOKUP(L278,'[1]singkron data'!D:E,2,FALSE)</f>
        <v>0</v>
      </c>
      <c r="AL278" s="11" t="str">
        <f>VLOOKUP(L278,'[1]update 521'!D:D,1,FALSE)</f>
        <v>Kusu Lofra</v>
      </c>
      <c r="AM278" s="11" t="s">
        <v>96</v>
      </c>
      <c r="AN278" s="11" t="e">
        <f>VLOOKUP(L278,[1]Sheet19!E:L,8,FALSE)</f>
        <v>#N/A</v>
      </c>
      <c r="AO278" s="11" t="e">
        <f>VLOOKUP(L278,[1]Sheet19!E:K,7,FALSE)</f>
        <v>#N/A</v>
      </c>
      <c r="AP278" s="12"/>
    </row>
    <row r="279" spans="1:42" ht="15" x14ac:dyDescent="0.2">
      <c r="A279" s="8" t="s">
        <v>42</v>
      </c>
      <c r="B279" s="9" t="s">
        <v>43</v>
      </c>
      <c r="C279" s="9">
        <v>135</v>
      </c>
      <c r="D279" s="9" t="s">
        <v>688</v>
      </c>
      <c r="E279" s="9">
        <v>35</v>
      </c>
      <c r="F279" s="9" t="s">
        <v>755</v>
      </c>
      <c r="G279" s="9" t="s">
        <v>715</v>
      </c>
      <c r="H279" s="9" t="s">
        <v>287</v>
      </c>
      <c r="I279" s="9" t="s">
        <v>759</v>
      </c>
      <c r="J279" s="9" t="s">
        <v>760</v>
      </c>
      <c r="K279" s="9" t="s">
        <v>761</v>
      </c>
      <c r="L279" s="9" t="s">
        <v>761</v>
      </c>
      <c r="M279" s="9" t="s">
        <v>51</v>
      </c>
      <c r="N279" s="9">
        <v>252</v>
      </c>
      <c r="O279" s="9" t="s">
        <v>72</v>
      </c>
      <c r="P279" s="9">
        <v>130</v>
      </c>
      <c r="Q279" s="9">
        <v>130</v>
      </c>
      <c r="R279" s="9">
        <v>0.56999999999999995</v>
      </c>
      <c r="S279" s="9">
        <v>1.0529630000000001</v>
      </c>
      <c r="T279" s="9">
        <v>127.970224</v>
      </c>
      <c r="U279" s="9"/>
      <c r="V279" s="11">
        <f>VLOOKUP(L279,'[1]singkron data'!D:E,2,FALSE)</f>
        <v>0</v>
      </c>
      <c r="W279" s="13" t="str">
        <f>VLOOKUP(L279,[1]Sheet18!E:F,2,FALSE)</f>
        <v>belum ada</v>
      </c>
      <c r="X279" s="11" t="s">
        <v>55</v>
      </c>
      <c r="Y279" s="11">
        <f>VLOOKUP(L279,'[1]singkron data'!D:H,5,FALSE)</f>
        <v>0</v>
      </c>
      <c r="Z279" s="11">
        <f>VLOOKUP(L279,'[1]singkron data'!D:I,6,FALSE)</f>
        <v>0</v>
      </c>
      <c r="AA279" s="11">
        <f>VLOOKUP(L279,'[1]singkron data'!D:L,9,FALSE)</f>
        <v>0</v>
      </c>
      <c r="AB279" s="11" t="s">
        <v>694</v>
      </c>
      <c r="AC279" s="11">
        <f>VLOOKUP(L279,'[1]singkron data'!D:M,10,FALSE)</f>
        <v>0</v>
      </c>
      <c r="AD279" s="11"/>
      <c r="AE279" s="11">
        <f>VLOOKUP(L279,'[1]singkron data'!D:P,13,FALSE)</f>
        <v>0</v>
      </c>
      <c r="AF279" s="11" t="s">
        <v>55</v>
      </c>
      <c r="AG279" s="11" t="e">
        <f>VLOOKUP(L279,'[1]update kontrak'!E:K,6,FALSE)</f>
        <v>#N/A</v>
      </c>
      <c r="AH279" s="11" t="e">
        <f>VLOOKUP(L279,'[1]update kontrak'!E:K,7,FALSE)</f>
        <v>#N/A</v>
      </c>
      <c r="AI279" s="11"/>
      <c r="AJ279" s="11" t="str">
        <f>VLOOKUP(L279,[1]rekap!D:M,1,FALSE)</f>
        <v>Saramaake</v>
      </c>
      <c r="AK279" s="11">
        <f>VLOOKUP(L279,'[1]singkron data'!D:E,2,FALSE)</f>
        <v>0</v>
      </c>
      <c r="AL279" s="11" t="str">
        <f>VLOOKUP(L279,'[1]update 521'!D:D,1,FALSE)</f>
        <v>Saramaake</v>
      </c>
      <c r="AM279" s="11" t="s">
        <v>96</v>
      </c>
      <c r="AN279" s="11" t="e">
        <f>VLOOKUP(L279,[1]Sheet19!E:L,8,FALSE)</f>
        <v>#N/A</v>
      </c>
      <c r="AO279" s="11" t="e">
        <f>VLOOKUP(L279,[1]Sheet19!E:K,7,FALSE)</f>
        <v>#N/A</v>
      </c>
      <c r="AP279" s="12"/>
    </row>
    <row r="280" spans="1:42" ht="15" x14ac:dyDescent="0.2">
      <c r="A280" s="8" t="s">
        <v>42</v>
      </c>
      <c r="B280" s="9" t="s">
        <v>43</v>
      </c>
      <c r="C280" s="9">
        <v>136</v>
      </c>
      <c r="D280" s="9" t="s">
        <v>688</v>
      </c>
      <c r="E280" s="9">
        <v>36</v>
      </c>
      <c r="F280" s="9" t="s">
        <v>755</v>
      </c>
      <c r="G280" s="9" t="s">
        <v>715</v>
      </c>
      <c r="H280" s="9" t="s">
        <v>287</v>
      </c>
      <c r="I280" s="9" t="s">
        <v>756</v>
      </c>
      <c r="J280" s="9" t="s">
        <v>762</v>
      </c>
      <c r="K280" s="9" t="s">
        <v>763</v>
      </c>
      <c r="L280" s="9" t="s">
        <v>763</v>
      </c>
      <c r="M280" s="9" t="s">
        <v>51</v>
      </c>
      <c r="N280" s="9">
        <v>81</v>
      </c>
      <c r="O280" s="9" t="s">
        <v>72</v>
      </c>
      <c r="P280" s="9">
        <v>77</v>
      </c>
      <c r="Q280" s="9">
        <v>77</v>
      </c>
      <c r="R280" s="9">
        <v>1</v>
      </c>
      <c r="S280" s="9">
        <v>1.2827037999999999</v>
      </c>
      <c r="T280" s="9">
        <v>128.01556629999999</v>
      </c>
      <c r="U280" s="9"/>
      <c r="V280" s="11">
        <f>VLOOKUP(L280,'[1]singkron data'!D:E,2,FALSE)</f>
        <v>0</v>
      </c>
      <c r="W280" s="13" t="str">
        <f>VLOOKUP(L280,[1]Sheet18!E:F,2,FALSE)</f>
        <v>belum ada</v>
      </c>
      <c r="X280" s="11" t="s">
        <v>55</v>
      </c>
      <c r="Y280" s="11">
        <f>VLOOKUP(L280,'[1]singkron data'!D:H,5,FALSE)</f>
        <v>0</v>
      </c>
      <c r="Z280" s="11">
        <f>VLOOKUP(L280,'[1]singkron data'!D:I,6,FALSE)</f>
        <v>0</v>
      </c>
      <c r="AA280" s="11">
        <f>VLOOKUP(L280,'[1]singkron data'!D:L,9,FALSE)</f>
        <v>0</v>
      </c>
      <c r="AB280" s="11" t="s">
        <v>694</v>
      </c>
      <c r="AC280" s="11">
        <f>VLOOKUP(L280,'[1]singkron data'!D:M,10,FALSE)</f>
        <v>0</v>
      </c>
      <c r="AD280" s="11"/>
      <c r="AE280" s="11">
        <f>VLOOKUP(L280,'[1]singkron data'!D:P,13,FALSE)</f>
        <v>0</v>
      </c>
      <c r="AF280" s="11" t="s">
        <v>55</v>
      </c>
      <c r="AG280" s="11" t="e">
        <f>VLOOKUP(L280,'[1]update kontrak'!E:K,6,FALSE)</f>
        <v>#N/A</v>
      </c>
      <c r="AH280" s="11" t="e">
        <f>VLOOKUP(L280,'[1]update kontrak'!E:K,7,FALSE)</f>
        <v>#N/A</v>
      </c>
      <c r="AI280" s="11"/>
      <c r="AJ280" s="11" t="str">
        <f>VLOOKUP(L280,[1]rekap!D:M,1,FALSE)</f>
        <v>Bobale</v>
      </c>
      <c r="AK280" s="11">
        <f>VLOOKUP(L280,'[1]singkron data'!D:E,2,FALSE)</f>
        <v>0</v>
      </c>
      <c r="AL280" s="11" t="str">
        <f>VLOOKUP(L280,'[1]update 521'!D:D,1,FALSE)</f>
        <v>Bobale</v>
      </c>
      <c r="AM280" s="11" t="s">
        <v>96</v>
      </c>
      <c r="AN280" s="11" t="e">
        <f>VLOOKUP(L280,[1]Sheet19!E:L,8,FALSE)</f>
        <v>#N/A</v>
      </c>
      <c r="AO280" s="11" t="e">
        <f>VLOOKUP(L280,[1]Sheet19!E:K,7,FALSE)</f>
        <v>#N/A</v>
      </c>
      <c r="AP280" s="12"/>
    </row>
    <row r="281" spans="1:42" ht="15" x14ac:dyDescent="0.2">
      <c r="A281" s="8" t="s">
        <v>42</v>
      </c>
      <c r="B281" s="9" t="s">
        <v>43</v>
      </c>
      <c r="C281" s="9">
        <v>137</v>
      </c>
      <c r="D281" s="9" t="s">
        <v>688</v>
      </c>
      <c r="E281" s="9">
        <v>37</v>
      </c>
      <c r="F281" s="9" t="s">
        <v>755</v>
      </c>
      <c r="G281" s="9" t="s">
        <v>715</v>
      </c>
      <c r="H281" s="9" t="s">
        <v>287</v>
      </c>
      <c r="I281" s="9" t="s">
        <v>759</v>
      </c>
      <c r="J281" s="9" t="s">
        <v>764</v>
      </c>
      <c r="K281" s="9" t="s">
        <v>765</v>
      </c>
      <c r="L281" s="9" t="s">
        <v>765</v>
      </c>
      <c r="M281" s="9" t="s">
        <v>51</v>
      </c>
      <c r="N281" s="9">
        <v>272</v>
      </c>
      <c r="O281" s="9">
        <v>4</v>
      </c>
      <c r="P281" s="9">
        <v>74</v>
      </c>
      <c r="Q281" s="9">
        <v>78</v>
      </c>
      <c r="R281" s="9">
        <v>1.2</v>
      </c>
      <c r="S281" s="9">
        <v>1.119653</v>
      </c>
      <c r="T281" s="9">
        <v>128.13931199999999</v>
      </c>
      <c r="U281" s="9"/>
      <c r="V281" s="11">
        <f>VLOOKUP(L281,'[1]singkron data'!D:E,2,FALSE)</f>
        <v>0</v>
      </c>
      <c r="W281" s="13" t="str">
        <f>VLOOKUP(L281,[1]Sheet18!E:F,2,FALSE)</f>
        <v>belum ada</v>
      </c>
      <c r="X281" s="11" t="s">
        <v>55</v>
      </c>
      <c r="Y281" s="11">
        <f>VLOOKUP(L281,'[1]singkron data'!D:H,5,FALSE)</f>
        <v>0</v>
      </c>
      <c r="Z281" s="11">
        <f>VLOOKUP(L281,'[1]singkron data'!D:I,6,FALSE)</f>
        <v>0</v>
      </c>
      <c r="AA281" s="11">
        <f>VLOOKUP(L281,'[1]singkron data'!D:L,9,FALSE)</f>
        <v>0</v>
      </c>
      <c r="AB281" s="11" t="s">
        <v>694</v>
      </c>
      <c r="AC281" s="11">
        <f>VLOOKUP(L281,'[1]singkron data'!D:M,10,FALSE)</f>
        <v>0</v>
      </c>
      <c r="AD281" s="11"/>
      <c r="AE281" s="11">
        <f>VLOOKUP(L281,'[1]singkron data'!D:P,13,FALSE)</f>
        <v>0</v>
      </c>
      <c r="AF281" s="11" t="s">
        <v>55</v>
      </c>
      <c r="AG281" s="11" t="e">
        <f>VLOOKUP(L281,'[1]update kontrak'!E:K,6,FALSE)</f>
        <v>#N/A</v>
      </c>
      <c r="AH281" s="11" t="e">
        <f>VLOOKUP(L281,'[1]update kontrak'!E:K,7,FALSE)</f>
        <v>#N/A</v>
      </c>
      <c r="AI281" s="11"/>
      <c r="AJ281" s="11" t="str">
        <f>VLOOKUP(L281,[1]rekap!D:M,1,FALSE)</f>
        <v>Subaim</v>
      </c>
      <c r="AK281" s="11">
        <f>VLOOKUP(L281,'[1]singkron data'!D:E,2,FALSE)</f>
        <v>0</v>
      </c>
      <c r="AL281" s="11" t="str">
        <f>VLOOKUP(L281,'[1]update 521'!D:D,1,FALSE)</f>
        <v>Subaim</v>
      </c>
      <c r="AM281" s="11" t="s">
        <v>96</v>
      </c>
      <c r="AN281" s="11" t="e">
        <f>VLOOKUP(L281,[1]Sheet19!E:L,8,FALSE)</f>
        <v>#N/A</v>
      </c>
      <c r="AO281" s="11" t="e">
        <f>VLOOKUP(L281,[1]Sheet19!E:K,7,FALSE)</f>
        <v>#N/A</v>
      </c>
      <c r="AP281" s="12"/>
    </row>
    <row r="282" spans="1:42" ht="15" x14ac:dyDescent="0.2">
      <c r="A282" s="8" t="s">
        <v>42</v>
      </c>
      <c r="B282" s="9" t="s">
        <v>43</v>
      </c>
      <c r="C282" s="9">
        <v>138</v>
      </c>
      <c r="D282" s="9" t="s">
        <v>688</v>
      </c>
      <c r="E282" s="9">
        <v>38</v>
      </c>
      <c r="F282" s="9" t="s">
        <v>766</v>
      </c>
      <c r="G282" s="9" t="s">
        <v>690</v>
      </c>
      <c r="H282" s="9" t="s">
        <v>287</v>
      </c>
      <c r="I282" s="9" t="s">
        <v>767</v>
      </c>
      <c r="J282" s="9" t="s">
        <v>768</v>
      </c>
      <c r="K282" s="9" t="s">
        <v>769</v>
      </c>
      <c r="L282" s="9" t="s">
        <v>769</v>
      </c>
      <c r="M282" s="9" t="s">
        <v>51</v>
      </c>
      <c r="N282" s="9">
        <v>220</v>
      </c>
      <c r="O282" s="9">
        <v>16</v>
      </c>
      <c r="P282" s="9">
        <v>133</v>
      </c>
      <c r="Q282" s="9">
        <v>149</v>
      </c>
      <c r="R282" s="9">
        <v>1</v>
      </c>
      <c r="S282" s="9">
        <v>-5.9495934999999998</v>
      </c>
      <c r="T282" s="9">
        <v>132.74176320000001</v>
      </c>
      <c r="U282" s="9"/>
      <c r="V282" s="11" t="s">
        <v>770</v>
      </c>
      <c r="W282" s="11">
        <f>VLOOKUP(L282,'[1]data 1129'!F:H,3,FALSE)</f>
        <v>0</v>
      </c>
      <c r="X282" s="11"/>
      <c r="Y282" s="11">
        <f>VLOOKUP(L282,'[1]singkron data'!D:H,5,FALSE)</f>
        <v>0</v>
      </c>
      <c r="Z282" s="11">
        <f>VLOOKUP(L282,'[1]singkron data'!D:I,6,FALSE)</f>
        <v>0</v>
      </c>
      <c r="AA282" s="11" t="s">
        <v>771</v>
      </c>
      <c r="AB282" s="11" t="s">
        <v>694</v>
      </c>
      <c r="AC282" s="11" t="s">
        <v>772</v>
      </c>
      <c r="AD282" s="11"/>
      <c r="AE282" s="11">
        <f>VLOOKUP(L282,'[1]singkron data'!D:P,13,FALSE)</f>
        <v>0</v>
      </c>
      <c r="AF282" s="11"/>
      <c r="AG282" s="11" t="e">
        <f>VLOOKUP(L282,'[1]update kontrak'!E:K,6,FALSE)</f>
        <v>#N/A</v>
      </c>
      <c r="AH282" s="11" t="e">
        <f>VLOOKUP(L282,'[1]update kontrak'!E:K,7,FALSE)</f>
        <v>#N/A</v>
      </c>
      <c r="AI282" s="11"/>
      <c r="AJ282" s="11" t="str">
        <f>VLOOKUP(L282,[1]rekap!D:M,1,FALSE)</f>
        <v>Sare</v>
      </c>
      <c r="AK282" s="11" t="str">
        <f>VLOOKUP(L282,'[1]singkron data'!D:E,2,FALSE)</f>
        <v>PT. Sapta Manuggal Karya (Menengah)</v>
      </c>
      <c r="AL282" s="11" t="str">
        <f>VLOOKUP(L282,'[1]update 521'!D:D,1,FALSE)</f>
        <v>Sare</v>
      </c>
      <c r="AM282" s="11" t="s">
        <v>96</v>
      </c>
      <c r="AN282" s="11" t="e">
        <f>VLOOKUP(L282,[1]Sheet19!E:L,8,FALSE)</f>
        <v>#N/A</v>
      </c>
      <c r="AO282" s="11" t="e">
        <f>VLOOKUP(L282,[1]Sheet19!E:K,7,FALSE)</f>
        <v>#N/A</v>
      </c>
      <c r="AP282" s="12"/>
    </row>
    <row r="283" spans="1:42" ht="15" x14ac:dyDescent="0.2">
      <c r="A283" s="8" t="s">
        <v>42</v>
      </c>
      <c r="B283" s="9" t="s">
        <v>43</v>
      </c>
      <c r="C283" s="9">
        <v>139</v>
      </c>
      <c r="D283" s="9" t="s">
        <v>688</v>
      </c>
      <c r="E283" s="9">
        <v>39</v>
      </c>
      <c r="F283" s="9" t="s">
        <v>766</v>
      </c>
      <c r="G283" s="9" t="s">
        <v>690</v>
      </c>
      <c r="H283" s="9" t="s">
        <v>287</v>
      </c>
      <c r="I283" s="9" t="s">
        <v>767</v>
      </c>
      <c r="J283" s="9" t="s">
        <v>773</v>
      </c>
      <c r="K283" s="9" t="s">
        <v>774</v>
      </c>
      <c r="L283" s="9" t="s">
        <v>774</v>
      </c>
      <c r="M283" s="9" t="s">
        <v>51</v>
      </c>
      <c r="N283" s="9">
        <v>252</v>
      </c>
      <c r="O283" s="9" t="s">
        <v>72</v>
      </c>
      <c r="P283" s="9" t="s">
        <v>72</v>
      </c>
      <c r="Q283" s="9">
        <v>92</v>
      </c>
      <c r="R283" s="9">
        <v>1</v>
      </c>
      <c r="S283" s="9">
        <v>-5.6095860000000002</v>
      </c>
      <c r="T283" s="9">
        <v>132.682492</v>
      </c>
      <c r="U283" s="9"/>
      <c r="V283" s="11" t="s">
        <v>770</v>
      </c>
      <c r="W283" s="11">
        <f>VLOOKUP(L283,'[1]data 1129'!F:H,3,FALSE)</f>
        <v>0</v>
      </c>
      <c r="X283" s="11"/>
      <c r="Y283" s="11">
        <f>VLOOKUP(L283,'[1]singkron data'!D:H,5,FALSE)</f>
        <v>0</v>
      </c>
      <c r="Z283" s="11">
        <f>VLOOKUP(L283,'[1]singkron data'!D:I,6,FALSE)</f>
        <v>0</v>
      </c>
      <c r="AA283" s="11" t="s">
        <v>771</v>
      </c>
      <c r="AB283" s="11" t="s">
        <v>694</v>
      </c>
      <c r="AC283" s="11" t="s">
        <v>772</v>
      </c>
      <c r="AD283" s="11"/>
      <c r="AE283" s="11">
        <f>VLOOKUP(L283,'[1]singkron data'!D:P,13,FALSE)</f>
        <v>0</v>
      </c>
      <c r="AF283" s="11"/>
      <c r="AG283" s="11" t="e">
        <f>VLOOKUP(L283,'[1]update kontrak'!E:K,6,FALSE)</f>
        <v>#N/A</v>
      </c>
      <c r="AH283" s="11" t="e">
        <f>VLOOKUP(L283,'[1]update kontrak'!E:K,7,FALSE)</f>
        <v>#N/A</v>
      </c>
      <c r="AI283" s="11"/>
      <c r="AJ283" s="11" t="str">
        <f>VLOOKUP(L283,[1]rekap!D:M,1,FALSE)</f>
        <v>Dudunwahan</v>
      </c>
      <c r="AK283" s="11" t="str">
        <f>VLOOKUP(L283,'[1]singkron data'!D:E,2,FALSE)</f>
        <v>PT. Sapta Manuggal Karya (Menengah)</v>
      </c>
      <c r="AL283" s="11" t="str">
        <f>VLOOKUP(L283,'[1]update 521'!D:D,1,FALSE)</f>
        <v>Dudunwahan</v>
      </c>
      <c r="AM283" s="11" t="s">
        <v>96</v>
      </c>
      <c r="AN283" s="11" t="e">
        <f>VLOOKUP(L283,[1]Sheet19!E:L,8,FALSE)</f>
        <v>#N/A</v>
      </c>
      <c r="AO283" s="11" t="e">
        <f>VLOOKUP(L283,[1]Sheet19!E:K,7,FALSE)</f>
        <v>#N/A</v>
      </c>
      <c r="AP283" s="12"/>
    </row>
    <row r="284" spans="1:42" ht="15" x14ac:dyDescent="0.2">
      <c r="A284" s="8" t="s">
        <v>42</v>
      </c>
      <c r="B284" s="9" t="s">
        <v>43</v>
      </c>
      <c r="C284" s="9">
        <v>140</v>
      </c>
      <c r="D284" s="9" t="s">
        <v>688</v>
      </c>
      <c r="E284" s="9">
        <v>40</v>
      </c>
      <c r="F284" s="9" t="s">
        <v>766</v>
      </c>
      <c r="G284" s="9" t="s">
        <v>690</v>
      </c>
      <c r="H284" s="9" t="s">
        <v>287</v>
      </c>
      <c r="I284" s="9" t="s">
        <v>775</v>
      </c>
      <c r="J284" s="9" t="s">
        <v>776</v>
      </c>
      <c r="K284" s="9" t="s">
        <v>777</v>
      </c>
      <c r="L284" s="9" t="s">
        <v>777</v>
      </c>
      <c r="M284" s="9" t="s">
        <v>51</v>
      </c>
      <c r="N284" s="9">
        <v>137</v>
      </c>
      <c r="O284" s="9">
        <v>31</v>
      </c>
      <c r="P284" s="9">
        <v>156</v>
      </c>
      <c r="Q284" s="9">
        <v>187</v>
      </c>
      <c r="R284" s="9">
        <v>0.1</v>
      </c>
      <c r="S284" s="9">
        <v>-5.5371860000000002</v>
      </c>
      <c r="T284" s="9">
        <v>132.748625</v>
      </c>
      <c r="U284" s="9"/>
      <c r="V284" s="11">
        <f>VLOOKUP(L284,'[1]singkron data'!D:E,2,FALSE)</f>
        <v>0</v>
      </c>
      <c r="W284" s="11">
        <f>VLOOKUP(L284,'[1]data 1129'!F:H,3,FALSE)</f>
        <v>0</v>
      </c>
      <c r="X284" s="11"/>
      <c r="Y284" s="11">
        <f>VLOOKUP(L284,'[1]singkron data'!D:H,5,FALSE)</f>
        <v>0</v>
      </c>
      <c r="Z284" s="11">
        <f>VLOOKUP(L284,'[1]singkron data'!D:I,6,FALSE)</f>
        <v>0</v>
      </c>
      <c r="AA284" s="11">
        <f>VLOOKUP(L284,'[1]singkron data'!D:L,9,FALSE)</f>
        <v>0</v>
      </c>
      <c r="AB284" s="11" t="s">
        <v>694</v>
      </c>
      <c r="AC284" s="11">
        <f>VLOOKUP(L284,'[1]singkron data'!D:M,10,FALSE)</f>
        <v>0</v>
      </c>
      <c r="AD284" s="11"/>
      <c r="AE284" s="11">
        <f>VLOOKUP(L284,'[1]singkron data'!D:P,13,FALSE)</f>
        <v>0</v>
      </c>
      <c r="AF284" s="11"/>
      <c r="AG284" s="11" t="e">
        <f>VLOOKUP(L284,'[1]update kontrak'!E:K,6,FALSE)</f>
        <v>#N/A</v>
      </c>
      <c r="AH284" s="11" t="e">
        <f>VLOOKUP(L284,'[1]update kontrak'!E:K,7,FALSE)</f>
        <v>#N/A</v>
      </c>
      <c r="AI284" s="11"/>
      <c r="AJ284" s="11" t="str">
        <f>VLOOKUP(L284,[1]rekap!D:M,1,FALSE)</f>
        <v>Dullah Laut</v>
      </c>
      <c r="AK284" s="11">
        <f>VLOOKUP(L284,'[1]singkron data'!D:E,2,FALSE)</f>
        <v>0</v>
      </c>
      <c r="AL284" s="11" t="str">
        <f>VLOOKUP(L284,'[1]update 521'!D:D,1,FALSE)</f>
        <v>Dullah Laut</v>
      </c>
      <c r="AM284" s="11" t="s">
        <v>96</v>
      </c>
      <c r="AN284" s="11" t="e">
        <f>VLOOKUP(L284,[1]Sheet19!E:L,8,FALSE)</f>
        <v>#N/A</v>
      </c>
      <c r="AO284" s="11" t="e">
        <f>VLOOKUP(L284,[1]Sheet19!E:K,7,FALSE)</f>
        <v>#N/A</v>
      </c>
      <c r="AP284" s="12"/>
    </row>
    <row r="285" spans="1:42" ht="15" x14ac:dyDescent="0.2">
      <c r="A285" s="8" t="s">
        <v>42</v>
      </c>
      <c r="B285" s="9" t="s">
        <v>43</v>
      </c>
      <c r="C285" s="9">
        <v>141</v>
      </c>
      <c r="D285" s="9" t="s">
        <v>688</v>
      </c>
      <c r="E285" s="9">
        <v>41</v>
      </c>
      <c r="F285" s="9" t="s">
        <v>766</v>
      </c>
      <c r="G285" s="9" t="s">
        <v>690</v>
      </c>
      <c r="H285" s="9" t="s">
        <v>287</v>
      </c>
      <c r="I285" s="9" t="s">
        <v>775</v>
      </c>
      <c r="J285" s="9" t="s">
        <v>778</v>
      </c>
      <c r="K285" s="9" t="s">
        <v>779</v>
      </c>
      <c r="L285" s="9" t="s">
        <v>779</v>
      </c>
      <c r="M285" s="9" t="s">
        <v>81</v>
      </c>
      <c r="N285" s="9">
        <v>405</v>
      </c>
      <c r="O285" s="9" t="s">
        <v>72</v>
      </c>
      <c r="P285" s="9">
        <v>207</v>
      </c>
      <c r="Q285" s="9">
        <v>207</v>
      </c>
      <c r="R285" s="9">
        <v>0.5</v>
      </c>
      <c r="S285" s="9">
        <v>-5.7237780000000003</v>
      </c>
      <c r="T285" s="9">
        <v>132.19676100000001</v>
      </c>
      <c r="U285" s="9"/>
      <c r="V285" s="11">
        <f>VLOOKUP(L285,'[1]singkron data'!D:E,2,FALSE)</f>
        <v>0</v>
      </c>
      <c r="W285" s="11">
        <f>VLOOKUP(L285,'[1]data 1129'!F:H,3,FALSE)</f>
        <v>0</v>
      </c>
      <c r="X285" s="11"/>
      <c r="Y285" s="11">
        <f>VLOOKUP(L285,'[1]singkron data'!D:H,5,FALSE)</f>
        <v>0</v>
      </c>
      <c r="Z285" s="11">
        <f>VLOOKUP(L285,'[1]singkron data'!D:I,6,FALSE)</f>
        <v>0</v>
      </c>
      <c r="AA285" s="11">
        <f>VLOOKUP(L285,'[1]singkron data'!D:L,9,FALSE)</f>
        <v>0</v>
      </c>
      <c r="AB285" s="11" t="s">
        <v>694</v>
      </c>
      <c r="AC285" s="11">
        <f>VLOOKUP(L285,'[1]singkron data'!D:M,10,FALSE)</f>
        <v>0</v>
      </c>
      <c r="AD285" s="11"/>
      <c r="AE285" s="11">
        <f>VLOOKUP(L285,'[1]singkron data'!D:P,13,FALSE)</f>
        <v>0</v>
      </c>
      <c r="AF285" s="11"/>
      <c r="AG285" s="11" t="e">
        <f>VLOOKUP(L285,'[1]update kontrak'!E:K,6,FALSE)</f>
        <v>#N/A</v>
      </c>
      <c r="AH285" s="11" t="e">
        <f>VLOOKUP(L285,'[1]update kontrak'!E:K,7,FALSE)</f>
        <v>#N/A</v>
      </c>
      <c r="AI285" s="11"/>
      <c r="AJ285" s="11" t="str">
        <f>VLOOKUP(L285,[1]rekap!D:M,1,FALSE)</f>
        <v>Tam Ngurhir</v>
      </c>
      <c r="AK285" s="11">
        <f>VLOOKUP(L285,'[1]singkron data'!D:E,2,FALSE)</f>
        <v>0</v>
      </c>
      <c r="AL285" s="11" t="str">
        <f>VLOOKUP(L285,'[1]update 521'!D:D,1,FALSE)</f>
        <v>Tam Ngurhir</v>
      </c>
      <c r="AM285" s="11" t="s">
        <v>96</v>
      </c>
      <c r="AN285" s="11" t="e">
        <f>VLOOKUP(L285,[1]Sheet19!E:L,8,FALSE)</f>
        <v>#N/A</v>
      </c>
      <c r="AO285" s="11" t="e">
        <f>VLOOKUP(L285,[1]Sheet19!E:K,7,FALSE)</f>
        <v>#N/A</v>
      </c>
      <c r="AP285" s="12"/>
    </row>
    <row r="286" spans="1:42" ht="15" x14ac:dyDescent="0.2">
      <c r="A286" s="8" t="s">
        <v>42</v>
      </c>
      <c r="B286" s="9" t="s">
        <v>43</v>
      </c>
      <c r="C286" s="9">
        <v>142</v>
      </c>
      <c r="D286" s="9" t="s">
        <v>688</v>
      </c>
      <c r="E286" s="9">
        <v>42</v>
      </c>
      <c r="F286" s="9" t="s">
        <v>780</v>
      </c>
      <c r="G286" s="9" t="s">
        <v>715</v>
      </c>
      <c r="H286" s="9" t="s">
        <v>287</v>
      </c>
      <c r="I286" s="9" t="s">
        <v>756</v>
      </c>
      <c r="J286" s="9" t="s">
        <v>781</v>
      </c>
      <c r="K286" s="9" t="s">
        <v>780</v>
      </c>
      <c r="L286" s="9" t="s">
        <v>780</v>
      </c>
      <c r="M286" s="9" t="s">
        <v>51</v>
      </c>
      <c r="N286" s="9">
        <v>66</v>
      </c>
      <c r="O286" s="9">
        <v>30</v>
      </c>
      <c r="P286" s="9">
        <v>15</v>
      </c>
      <c r="Q286" s="9">
        <v>45</v>
      </c>
      <c r="R286" s="9">
        <v>0.14000000000000001</v>
      </c>
      <c r="S286" s="9">
        <v>1.596854</v>
      </c>
      <c r="T286" s="9">
        <v>128.001386</v>
      </c>
      <c r="U286" s="9"/>
      <c r="V286" s="11">
        <f>VLOOKUP(L286,'[1]singkron data'!D:E,2,FALSE)</f>
        <v>0</v>
      </c>
      <c r="W286" s="13" t="str">
        <f>VLOOKUP(L286,[1]Sheet18!E:F,2,FALSE)</f>
        <v>belum ada</v>
      </c>
      <c r="X286" s="11" t="s">
        <v>55</v>
      </c>
      <c r="Y286" s="11">
        <f>VLOOKUP(L286,'[1]singkron data'!D:H,5,FALSE)</f>
        <v>0</v>
      </c>
      <c r="Z286" s="11">
        <f>VLOOKUP(L286,'[1]singkron data'!D:I,6,FALSE)</f>
        <v>0</v>
      </c>
      <c r="AA286" s="11">
        <f>VLOOKUP(L286,'[1]singkron data'!D:L,9,FALSE)</f>
        <v>0</v>
      </c>
      <c r="AB286" s="11" t="s">
        <v>694</v>
      </c>
      <c r="AC286" s="11">
        <f>VLOOKUP(L286,'[1]singkron data'!D:M,10,FALSE)</f>
        <v>0</v>
      </c>
      <c r="AD286" s="11"/>
      <c r="AE286" s="11">
        <f>VLOOKUP(L286,'[1]singkron data'!D:P,13,FALSE)</f>
        <v>0</v>
      </c>
      <c r="AF286" s="11" t="s">
        <v>55</v>
      </c>
      <c r="AG286" s="11" t="e">
        <f>VLOOKUP(L286,'[1]update kontrak'!E:K,6,FALSE)</f>
        <v>#N/A</v>
      </c>
      <c r="AH286" s="11" t="e">
        <f>VLOOKUP(L286,'[1]update kontrak'!E:K,7,FALSE)</f>
        <v>#N/A</v>
      </c>
      <c r="AI286" s="11"/>
      <c r="AJ286" s="11" t="str">
        <f>VLOOKUP(L286,[1]rekap!D:M,1,FALSE)</f>
        <v>Leleoto</v>
      </c>
      <c r="AK286" s="11">
        <f>VLOOKUP(L286,'[1]singkron data'!D:E,2,FALSE)</f>
        <v>0</v>
      </c>
      <c r="AL286" s="11" t="str">
        <f>VLOOKUP(L286,'[1]update 521'!D:D,1,FALSE)</f>
        <v>Leleoto</v>
      </c>
      <c r="AM286" s="11" t="s">
        <v>96</v>
      </c>
      <c r="AN286" s="11" t="e">
        <f>VLOOKUP(L286,[1]Sheet19!E:L,8,FALSE)</f>
        <v>#N/A</v>
      </c>
      <c r="AO286" s="11" t="e">
        <f>VLOOKUP(L286,[1]Sheet19!E:K,7,FALSE)</f>
        <v>#N/A</v>
      </c>
      <c r="AP286" s="12"/>
    </row>
    <row r="287" spans="1:42" ht="15" x14ac:dyDescent="0.2">
      <c r="A287" s="8" t="s">
        <v>42</v>
      </c>
      <c r="B287" s="9" t="s">
        <v>43</v>
      </c>
      <c r="C287" s="9">
        <v>143</v>
      </c>
      <c r="D287" s="9" t="s">
        <v>688</v>
      </c>
      <c r="E287" s="9">
        <v>43</v>
      </c>
      <c r="F287" s="9" t="s">
        <v>780</v>
      </c>
      <c r="G287" s="9" t="s">
        <v>715</v>
      </c>
      <c r="H287" s="9" t="s">
        <v>287</v>
      </c>
      <c r="I287" s="9" t="s">
        <v>756</v>
      </c>
      <c r="J287" s="9" t="s">
        <v>782</v>
      </c>
      <c r="K287" s="9" t="s">
        <v>783</v>
      </c>
      <c r="L287" s="9" t="s">
        <v>783</v>
      </c>
      <c r="M287" s="9" t="s">
        <v>51</v>
      </c>
      <c r="N287" s="9">
        <v>65</v>
      </c>
      <c r="O287" s="9">
        <v>4</v>
      </c>
      <c r="P287" s="9">
        <v>110</v>
      </c>
      <c r="Q287" s="9">
        <v>114</v>
      </c>
      <c r="R287" s="9">
        <v>0.15</v>
      </c>
      <c r="S287" s="9">
        <v>1.773611</v>
      </c>
      <c r="T287" s="9">
        <v>128.007778</v>
      </c>
      <c r="U287" s="9"/>
      <c r="V287" s="11">
        <f>VLOOKUP(L287,'[1]singkron data'!D:E,2,FALSE)</f>
        <v>0</v>
      </c>
      <c r="W287" s="13" t="str">
        <f>VLOOKUP(L287,[1]Sheet18!E:F,2,FALSE)</f>
        <v>belum ada</v>
      </c>
      <c r="X287" s="11" t="s">
        <v>55</v>
      </c>
      <c r="Y287" s="11">
        <f>VLOOKUP(L287,'[1]singkron data'!D:H,5,FALSE)</f>
        <v>0</v>
      </c>
      <c r="Z287" s="11">
        <f>VLOOKUP(L287,'[1]singkron data'!D:I,6,FALSE)</f>
        <v>0</v>
      </c>
      <c r="AA287" s="11">
        <f>VLOOKUP(L287,'[1]singkron data'!D:L,9,FALSE)</f>
        <v>0</v>
      </c>
      <c r="AB287" s="11" t="s">
        <v>694</v>
      </c>
      <c r="AC287" s="11">
        <f>VLOOKUP(L287,'[1]singkron data'!D:M,10,FALSE)</f>
        <v>0</v>
      </c>
      <c r="AD287" s="11"/>
      <c r="AE287" s="11">
        <f>VLOOKUP(L287,'[1]singkron data'!D:P,13,FALSE)</f>
        <v>0</v>
      </c>
      <c r="AF287" s="11" t="s">
        <v>55</v>
      </c>
      <c r="AG287" s="11" t="e">
        <f>VLOOKUP(L287,'[1]update kontrak'!E:K,6,FALSE)</f>
        <v>#N/A</v>
      </c>
      <c r="AH287" s="11" t="e">
        <f>VLOOKUP(L287,'[1]update kontrak'!E:K,7,FALSE)</f>
        <v>#N/A</v>
      </c>
      <c r="AI287" s="11"/>
      <c r="AJ287" s="11" t="str">
        <f>VLOOKUP(L287,[1]rekap!D:M,1,FALSE)</f>
        <v>Tolonuo</v>
      </c>
      <c r="AK287" s="11">
        <f>VLOOKUP(L287,'[1]singkron data'!D:E,2,FALSE)</f>
        <v>0</v>
      </c>
      <c r="AL287" s="11" t="str">
        <f>VLOOKUP(L287,'[1]update 521'!D:D,1,FALSE)</f>
        <v>Tolonuo</v>
      </c>
      <c r="AM287" s="11" t="s">
        <v>96</v>
      </c>
      <c r="AN287" s="11" t="e">
        <f>VLOOKUP(L287,[1]Sheet19!E:L,8,FALSE)</f>
        <v>#N/A</v>
      </c>
      <c r="AO287" s="11" t="e">
        <f>VLOOKUP(L287,[1]Sheet19!E:K,7,FALSE)</f>
        <v>#N/A</v>
      </c>
      <c r="AP287" s="12"/>
    </row>
    <row r="288" spans="1:42" ht="15" x14ac:dyDescent="0.2">
      <c r="A288" s="8" t="s">
        <v>42</v>
      </c>
      <c r="B288" s="9" t="s">
        <v>43</v>
      </c>
      <c r="C288" s="9">
        <v>144</v>
      </c>
      <c r="D288" s="9" t="s">
        <v>688</v>
      </c>
      <c r="E288" s="9">
        <v>44</v>
      </c>
      <c r="F288" s="9" t="s">
        <v>784</v>
      </c>
      <c r="G288" s="9" t="s">
        <v>715</v>
      </c>
      <c r="H288" s="9" t="s">
        <v>287</v>
      </c>
      <c r="I288" s="9" t="s">
        <v>785</v>
      </c>
      <c r="J288" s="9" t="s">
        <v>786</v>
      </c>
      <c r="K288" s="9" t="s">
        <v>784</v>
      </c>
      <c r="L288" s="9" t="s">
        <v>784</v>
      </c>
      <c r="M288" s="9" t="s">
        <v>65</v>
      </c>
      <c r="N288" s="9">
        <v>522</v>
      </c>
      <c r="O288" s="9">
        <v>285</v>
      </c>
      <c r="P288" s="9">
        <v>257</v>
      </c>
      <c r="Q288" s="9">
        <v>542</v>
      </c>
      <c r="R288" s="9">
        <v>0.5</v>
      </c>
      <c r="S288" s="9">
        <v>-1.7920029</v>
      </c>
      <c r="T288" s="9">
        <v>124.314446</v>
      </c>
      <c r="U288" s="9"/>
      <c r="V288" s="11">
        <f>VLOOKUP(L288,'[1]singkron data'!D:E,2,FALSE)</f>
        <v>0</v>
      </c>
      <c r="W288" s="13" t="str">
        <f>VLOOKUP(L288,[1]Sheet18!E:F,2,FALSE)</f>
        <v>belum ada</v>
      </c>
      <c r="X288" s="11" t="s">
        <v>55</v>
      </c>
      <c r="Y288" s="11">
        <f>VLOOKUP(L288,'[1]singkron data'!D:H,5,FALSE)</f>
        <v>0</v>
      </c>
      <c r="Z288" s="11">
        <f>VLOOKUP(L288,'[1]singkron data'!D:I,6,FALSE)</f>
        <v>0</v>
      </c>
      <c r="AA288" s="11">
        <f>VLOOKUP(L288,'[1]singkron data'!D:L,9,FALSE)</f>
        <v>0</v>
      </c>
      <c r="AB288" s="11" t="s">
        <v>694</v>
      </c>
      <c r="AC288" s="11">
        <f>VLOOKUP(L288,'[1]singkron data'!D:M,10,FALSE)</f>
        <v>0</v>
      </c>
      <c r="AD288" s="11"/>
      <c r="AE288" s="11">
        <f>VLOOKUP(L288,'[1]singkron data'!D:P,13,FALSE)</f>
        <v>0</v>
      </c>
      <c r="AF288" s="11" t="s">
        <v>55</v>
      </c>
      <c r="AG288" s="11" t="e">
        <f>VLOOKUP(L288,'[1]update kontrak'!E:K,6,FALSE)</f>
        <v>#N/A</v>
      </c>
      <c r="AH288" s="11" t="e">
        <f>VLOOKUP(L288,'[1]update kontrak'!E:K,7,FALSE)</f>
        <v>#N/A</v>
      </c>
      <c r="AI288" s="11"/>
      <c r="AJ288" s="11" t="str">
        <f>VLOOKUP(L288,[1]rekap!D:M,1,FALSE)</f>
        <v>Limbo</v>
      </c>
      <c r="AK288" s="11">
        <f>VLOOKUP(L288,'[1]singkron data'!D:E,2,FALSE)</f>
        <v>0</v>
      </c>
      <c r="AL288" s="11" t="str">
        <f>VLOOKUP(L288,'[1]update 521'!D:D,1,FALSE)</f>
        <v>Limbo</v>
      </c>
      <c r="AM288" s="11" t="s">
        <v>96</v>
      </c>
      <c r="AN288" s="11" t="e">
        <f>VLOOKUP(L288,[1]Sheet19!E:L,8,FALSE)</f>
        <v>#N/A</v>
      </c>
      <c r="AO288" s="11" t="e">
        <f>VLOOKUP(L288,[1]Sheet19!E:K,7,FALSE)</f>
        <v>#N/A</v>
      </c>
      <c r="AP288" s="12"/>
    </row>
    <row r="289" spans="1:42" ht="15" x14ac:dyDescent="0.2">
      <c r="A289" s="8" t="s">
        <v>42</v>
      </c>
      <c r="B289" s="9" t="s">
        <v>43</v>
      </c>
      <c r="C289" s="9">
        <v>145</v>
      </c>
      <c r="D289" s="9" t="s">
        <v>688</v>
      </c>
      <c r="E289" s="9">
        <v>45</v>
      </c>
      <c r="F289" s="9" t="s">
        <v>784</v>
      </c>
      <c r="G289" s="9" t="s">
        <v>715</v>
      </c>
      <c r="H289" s="9" t="s">
        <v>287</v>
      </c>
      <c r="I289" s="9" t="s">
        <v>785</v>
      </c>
      <c r="J289" s="9" t="s">
        <v>787</v>
      </c>
      <c r="K289" s="9" t="s">
        <v>788</v>
      </c>
      <c r="L289" s="9" t="s">
        <v>788</v>
      </c>
      <c r="M289" s="9" t="s">
        <v>51</v>
      </c>
      <c r="N289" s="9">
        <v>300</v>
      </c>
      <c r="O289" s="9" t="s">
        <v>72</v>
      </c>
      <c r="P289" s="9">
        <v>55</v>
      </c>
      <c r="Q289" s="9">
        <v>55</v>
      </c>
      <c r="R289" s="9">
        <v>1.5</v>
      </c>
      <c r="S289" s="9">
        <v>-1.9658100000000001</v>
      </c>
      <c r="T289" s="9">
        <v>124.691337</v>
      </c>
      <c r="U289" s="9"/>
      <c r="V289" s="11">
        <f>VLOOKUP(L289,'[1]singkron data'!D:E,2,FALSE)</f>
        <v>0</v>
      </c>
      <c r="W289" s="13" t="str">
        <f>VLOOKUP(L289,[1]Sheet18!E:F,2,FALSE)</f>
        <v>belum ada</v>
      </c>
      <c r="X289" s="11" t="s">
        <v>55</v>
      </c>
      <c r="Y289" s="11">
        <f>VLOOKUP(L289,'[1]singkron data'!D:H,5,FALSE)</f>
        <v>0</v>
      </c>
      <c r="Z289" s="11">
        <f>VLOOKUP(L289,'[1]singkron data'!D:I,6,FALSE)</f>
        <v>0</v>
      </c>
      <c r="AA289" s="11">
        <f>VLOOKUP(L289,'[1]singkron data'!D:L,9,FALSE)</f>
        <v>0</v>
      </c>
      <c r="AB289" s="11" t="s">
        <v>694</v>
      </c>
      <c r="AC289" s="11">
        <f>VLOOKUP(L289,'[1]singkron data'!D:M,10,FALSE)</f>
        <v>0</v>
      </c>
      <c r="AD289" s="11"/>
      <c r="AE289" s="11">
        <f>VLOOKUP(L289,'[1]singkron data'!D:P,13,FALSE)</f>
        <v>0</v>
      </c>
      <c r="AF289" s="11" t="s">
        <v>55</v>
      </c>
      <c r="AG289" s="11" t="e">
        <f>VLOOKUP(L289,'[1]update kontrak'!E:K,6,FALSE)</f>
        <v>#N/A</v>
      </c>
      <c r="AH289" s="11" t="e">
        <f>VLOOKUP(L289,'[1]update kontrak'!E:K,7,FALSE)</f>
        <v>#N/A</v>
      </c>
      <c r="AI289" s="11"/>
      <c r="AJ289" s="11" t="str">
        <f>VLOOKUP(L289,[1]rekap!D:M,1,FALSE)</f>
        <v>Galebo</v>
      </c>
      <c r="AK289" s="11">
        <f>VLOOKUP(L289,'[1]singkron data'!D:E,2,FALSE)</f>
        <v>0</v>
      </c>
      <c r="AL289" s="11" t="str">
        <f>VLOOKUP(L289,'[1]update 521'!D:D,1,FALSE)</f>
        <v>Galebo</v>
      </c>
      <c r="AM289" s="11" t="s">
        <v>96</v>
      </c>
      <c r="AN289" s="11" t="e">
        <f>VLOOKUP(L289,[1]Sheet19!E:L,8,FALSE)</f>
        <v>#N/A</v>
      </c>
      <c r="AO289" s="11" t="e">
        <f>VLOOKUP(L289,[1]Sheet19!E:K,7,FALSE)</f>
        <v>#N/A</v>
      </c>
      <c r="AP289" s="12"/>
    </row>
    <row r="290" spans="1:42" ht="15" x14ac:dyDescent="0.2">
      <c r="A290" s="8" t="s">
        <v>42</v>
      </c>
      <c r="B290" s="9" t="s">
        <v>43</v>
      </c>
      <c r="C290" s="9">
        <v>146</v>
      </c>
      <c r="D290" s="9" t="s">
        <v>688</v>
      </c>
      <c r="E290" s="9">
        <v>46</v>
      </c>
      <c r="F290" s="9" t="s">
        <v>784</v>
      </c>
      <c r="G290" s="9" t="s">
        <v>715</v>
      </c>
      <c r="H290" s="9" t="s">
        <v>287</v>
      </c>
      <c r="I290" s="9" t="s">
        <v>785</v>
      </c>
      <c r="J290" s="9" t="s">
        <v>789</v>
      </c>
      <c r="K290" s="9" t="s">
        <v>790</v>
      </c>
      <c r="L290" s="9" t="s">
        <v>790</v>
      </c>
      <c r="M290" s="9" t="s">
        <v>51</v>
      </c>
      <c r="N290" s="9">
        <v>98</v>
      </c>
      <c r="O290" s="9">
        <v>108</v>
      </c>
      <c r="P290" s="9">
        <v>2</v>
      </c>
      <c r="Q290" s="9">
        <v>110</v>
      </c>
      <c r="R290" s="9">
        <v>1</v>
      </c>
      <c r="S290" s="9">
        <v>-1.6792937999999999</v>
      </c>
      <c r="T290" s="9">
        <v>124.80784509999999</v>
      </c>
      <c r="U290" s="9"/>
      <c r="V290" s="11">
        <f>VLOOKUP(L290,'[1]singkron data'!D:E,2,FALSE)</f>
        <v>0</v>
      </c>
      <c r="W290" s="13" t="str">
        <f>VLOOKUP(L290,[1]Sheet18!E:F,2,FALSE)</f>
        <v>belum ada</v>
      </c>
      <c r="X290" s="11" t="s">
        <v>55</v>
      </c>
      <c r="Y290" s="11">
        <f>VLOOKUP(L290,'[1]singkron data'!D:H,5,FALSE)</f>
        <v>0</v>
      </c>
      <c r="Z290" s="11">
        <f>VLOOKUP(L290,'[1]singkron data'!D:I,6,FALSE)</f>
        <v>0</v>
      </c>
      <c r="AA290" s="11">
        <f>VLOOKUP(L290,'[1]singkron data'!D:L,9,FALSE)</f>
        <v>0</v>
      </c>
      <c r="AB290" s="11" t="s">
        <v>694</v>
      </c>
      <c r="AC290" s="11">
        <f>VLOOKUP(L290,'[1]singkron data'!D:M,10,FALSE)</f>
        <v>0</v>
      </c>
      <c r="AD290" s="11"/>
      <c r="AE290" s="11">
        <f>VLOOKUP(L290,'[1]singkron data'!D:P,13,FALSE)</f>
        <v>0</v>
      </c>
      <c r="AF290" s="11" t="s">
        <v>55</v>
      </c>
      <c r="AG290" s="11" t="e">
        <f>VLOOKUP(L290,'[1]update kontrak'!E:K,6,FALSE)</f>
        <v>#N/A</v>
      </c>
      <c r="AH290" s="11" t="e">
        <f>VLOOKUP(L290,'[1]update kontrak'!E:K,7,FALSE)</f>
        <v>#N/A</v>
      </c>
      <c r="AI290" s="11"/>
      <c r="AJ290" s="11" t="str">
        <f>VLOOKUP(L290,[1]rekap!D:M,1,FALSE)</f>
        <v>Jorjoga</v>
      </c>
      <c r="AK290" s="11">
        <f>VLOOKUP(L290,'[1]singkron data'!D:E,2,FALSE)</f>
        <v>0</v>
      </c>
      <c r="AL290" s="11" t="str">
        <f>VLOOKUP(L290,'[1]update 521'!D:D,1,FALSE)</f>
        <v>Jorjoga</v>
      </c>
      <c r="AM290" s="11" t="s">
        <v>96</v>
      </c>
      <c r="AN290" s="11" t="e">
        <f>VLOOKUP(L290,[1]Sheet19!E:L,8,FALSE)</f>
        <v>#N/A</v>
      </c>
      <c r="AO290" s="11" t="e">
        <f>VLOOKUP(L290,[1]Sheet19!E:K,7,FALSE)</f>
        <v>#N/A</v>
      </c>
      <c r="AP290" s="12"/>
    </row>
    <row r="291" spans="1:42" ht="15" x14ac:dyDescent="0.2">
      <c r="A291" s="8" t="s">
        <v>42</v>
      </c>
      <c r="B291" s="9" t="s">
        <v>43</v>
      </c>
      <c r="C291" s="9">
        <v>147</v>
      </c>
      <c r="D291" s="9" t="s">
        <v>688</v>
      </c>
      <c r="E291" s="9">
        <v>47</v>
      </c>
      <c r="F291" s="9" t="s">
        <v>784</v>
      </c>
      <c r="G291" s="9" t="s">
        <v>715</v>
      </c>
      <c r="H291" s="9" t="s">
        <v>287</v>
      </c>
      <c r="I291" s="9" t="s">
        <v>785</v>
      </c>
      <c r="J291" s="9" t="s">
        <v>791</v>
      </c>
      <c r="K291" s="9" t="s">
        <v>792</v>
      </c>
      <c r="L291" s="9" t="s">
        <v>792</v>
      </c>
      <c r="M291" s="9" t="s">
        <v>51</v>
      </c>
      <c r="N291" s="9">
        <v>150</v>
      </c>
      <c r="O291" s="9">
        <v>120</v>
      </c>
      <c r="P291" s="9">
        <v>10</v>
      </c>
      <c r="Q291" s="9">
        <v>130</v>
      </c>
      <c r="R291" s="9">
        <v>3</v>
      </c>
      <c r="S291" s="9">
        <v>-1.8703097</v>
      </c>
      <c r="T291" s="9">
        <v>124.3411188</v>
      </c>
      <c r="U291" s="9"/>
      <c r="V291" s="11">
        <f>VLOOKUP(L291,'[1]singkron data'!D:E,2,FALSE)</f>
        <v>0</v>
      </c>
      <c r="W291" s="13" t="str">
        <f>VLOOKUP(L291,[1]Sheet18!E:F,2,FALSE)</f>
        <v>belum ada</v>
      </c>
      <c r="X291" s="11" t="s">
        <v>55</v>
      </c>
      <c r="Y291" s="11">
        <f>VLOOKUP(L291,'[1]singkron data'!D:H,5,FALSE)</f>
        <v>0</v>
      </c>
      <c r="Z291" s="11">
        <f>VLOOKUP(L291,'[1]singkron data'!D:I,6,FALSE)</f>
        <v>0</v>
      </c>
      <c r="AA291" s="11">
        <f>VLOOKUP(L291,'[1]singkron data'!D:L,9,FALSE)</f>
        <v>0</v>
      </c>
      <c r="AB291" s="11" t="s">
        <v>694</v>
      </c>
      <c r="AC291" s="11">
        <f>VLOOKUP(L291,'[1]singkron data'!D:M,10,FALSE)</f>
        <v>0</v>
      </c>
      <c r="AD291" s="11"/>
      <c r="AE291" s="11">
        <f>VLOOKUP(L291,'[1]singkron data'!D:P,13,FALSE)</f>
        <v>0</v>
      </c>
      <c r="AF291" s="11" t="s">
        <v>55</v>
      </c>
      <c r="AG291" s="11" t="e">
        <f>VLOOKUP(L291,'[1]update kontrak'!E:K,6,FALSE)</f>
        <v>#N/A</v>
      </c>
      <c r="AH291" s="11" t="e">
        <f>VLOOKUP(L291,'[1]update kontrak'!E:K,7,FALSE)</f>
        <v>#N/A</v>
      </c>
      <c r="AI291" s="11"/>
      <c r="AJ291" s="11" t="str">
        <f>VLOOKUP(L291,[1]rekap!D:M,1,FALSE)</f>
        <v>Kasango</v>
      </c>
      <c r="AK291" s="11">
        <f>VLOOKUP(L291,'[1]singkron data'!D:E,2,FALSE)</f>
        <v>0</v>
      </c>
      <c r="AL291" s="11" t="str">
        <f>VLOOKUP(L291,'[1]update 521'!D:D,1,FALSE)</f>
        <v>Kasango</v>
      </c>
      <c r="AM291" s="11" t="s">
        <v>96</v>
      </c>
      <c r="AN291" s="11" t="e">
        <f>VLOOKUP(L291,[1]Sheet19!E:L,8,FALSE)</f>
        <v>#N/A</v>
      </c>
      <c r="AO291" s="11" t="e">
        <f>VLOOKUP(L291,[1]Sheet19!E:K,7,FALSE)</f>
        <v>#N/A</v>
      </c>
      <c r="AP291" s="12"/>
    </row>
    <row r="292" spans="1:42" ht="15" x14ac:dyDescent="0.2">
      <c r="A292" s="8" t="s">
        <v>42</v>
      </c>
      <c r="B292" s="9" t="s">
        <v>43</v>
      </c>
      <c r="C292" s="9">
        <v>148</v>
      </c>
      <c r="D292" s="9" t="s">
        <v>688</v>
      </c>
      <c r="E292" s="9">
        <v>48</v>
      </c>
      <c r="F292" s="9" t="s">
        <v>784</v>
      </c>
      <c r="G292" s="9" t="s">
        <v>715</v>
      </c>
      <c r="H292" s="9" t="s">
        <v>287</v>
      </c>
      <c r="I292" s="9" t="s">
        <v>785</v>
      </c>
      <c r="J292" s="9" t="s">
        <v>789</v>
      </c>
      <c r="K292" s="9" t="s">
        <v>793</v>
      </c>
      <c r="L292" s="9" t="s">
        <v>793</v>
      </c>
      <c r="M292" s="9" t="s">
        <v>51</v>
      </c>
      <c r="N292" s="9">
        <v>210</v>
      </c>
      <c r="O292" s="9">
        <v>10</v>
      </c>
      <c r="P292" s="9">
        <v>40</v>
      </c>
      <c r="Q292" s="9">
        <v>50</v>
      </c>
      <c r="R292" s="9">
        <v>4.6100000000000003</v>
      </c>
      <c r="S292" s="9">
        <v>-1.662326</v>
      </c>
      <c r="T292" s="9">
        <v>124.52247199999999</v>
      </c>
      <c r="U292" s="9"/>
      <c r="V292" s="11">
        <f>VLOOKUP(L292,'[1]singkron data'!D:E,2,FALSE)</f>
        <v>0</v>
      </c>
      <c r="W292" s="13" t="str">
        <f>VLOOKUP(L292,[1]Sheet18!E:F,2,FALSE)</f>
        <v>belum ada</v>
      </c>
      <c r="X292" s="11" t="s">
        <v>55</v>
      </c>
      <c r="Y292" s="11">
        <f>VLOOKUP(L292,'[1]singkron data'!D:H,5,FALSE)</f>
        <v>0</v>
      </c>
      <c r="Z292" s="11">
        <f>VLOOKUP(L292,'[1]singkron data'!D:I,6,FALSE)</f>
        <v>0</v>
      </c>
      <c r="AA292" s="11">
        <f>VLOOKUP(L292,'[1]singkron data'!D:L,9,FALSE)</f>
        <v>0</v>
      </c>
      <c r="AB292" s="11" t="s">
        <v>694</v>
      </c>
      <c r="AC292" s="11">
        <f>VLOOKUP(L292,'[1]singkron data'!D:M,10,FALSE)</f>
        <v>0</v>
      </c>
      <c r="AD292" s="11"/>
      <c r="AE292" s="11">
        <f>VLOOKUP(L292,'[1]singkron data'!D:P,13,FALSE)</f>
        <v>0</v>
      </c>
      <c r="AF292" s="11" t="s">
        <v>55</v>
      </c>
      <c r="AG292" s="11" t="e">
        <f>VLOOKUP(L292,'[1]update kontrak'!E:K,6,FALSE)</f>
        <v>#N/A</v>
      </c>
      <c r="AH292" s="11" t="e">
        <f>VLOOKUP(L292,'[1]update kontrak'!E:K,7,FALSE)</f>
        <v>#N/A</v>
      </c>
      <c r="AI292" s="11"/>
      <c r="AJ292" s="11" t="str">
        <f>VLOOKUP(L292,[1]rekap!D:M,1,FALSE)</f>
        <v>Nunu</v>
      </c>
      <c r="AK292" s="11">
        <f>VLOOKUP(L292,'[1]singkron data'!D:E,2,FALSE)</f>
        <v>0</v>
      </c>
      <c r="AL292" s="11" t="str">
        <f>VLOOKUP(L292,'[1]update 521'!D:D,1,FALSE)</f>
        <v>Nunu</v>
      </c>
      <c r="AM292" s="11" t="s">
        <v>96</v>
      </c>
      <c r="AN292" s="11" t="e">
        <f>VLOOKUP(L292,[1]Sheet19!E:L,8,FALSE)</f>
        <v>#N/A</v>
      </c>
      <c r="AO292" s="11" t="e">
        <f>VLOOKUP(L292,[1]Sheet19!E:K,7,FALSE)</f>
        <v>#N/A</v>
      </c>
      <c r="AP292" s="12"/>
    </row>
    <row r="293" spans="1:42" ht="15" x14ac:dyDescent="0.2">
      <c r="A293" s="8" t="s">
        <v>42</v>
      </c>
      <c r="B293" s="9" t="s">
        <v>43</v>
      </c>
      <c r="C293" s="9">
        <v>149</v>
      </c>
      <c r="D293" s="9" t="s">
        <v>688</v>
      </c>
      <c r="E293" s="9">
        <v>49</v>
      </c>
      <c r="F293" s="9" t="s">
        <v>784</v>
      </c>
      <c r="G293" s="9" t="s">
        <v>715</v>
      </c>
      <c r="H293" s="9" t="s">
        <v>287</v>
      </c>
      <c r="I293" s="9" t="s">
        <v>785</v>
      </c>
      <c r="J293" s="9" t="s">
        <v>786</v>
      </c>
      <c r="K293" s="9" t="s">
        <v>794</v>
      </c>
      <c r="L293" s="9" t="s">
        <v>794</v>
      </c>
      <c r="M293" s="9" t="s">
        <v>51</v>
      </c>
      <c r="N293" s="9">
        <v>223</v>
      </c>
      <c r="O293" s="9" t="s">
        <v>72</v>
      </c>
      <c r="P293" s="9">
        <v>223</v>
      </c>
      <c r="Q293" s="9">
        <v>223</v>
      </c>
      <c r="R293" s="9">
        <v>2</v>
      </c>
      <c r="S293" s="9">
        <v>-1.9887999999999999</v>
      </c>
      <c r="T293" s="9">
        <v>124.39700000000001</v>
      </c>
      <c r="U293" s="9"/>
      <c r="V293" s="11">
        <f>VLOOKUP(L293,'[1]singkron data'!D:E,2,FALSE)</f>
        <v>0</v>
      </c>
      <c r="W293" s="13" t="str">
        <f>VLOOKUP(L293,[1]Sheet18!E:F,2,FALSE)</f>
        <v>belum ada</v>
      </c>
      <c r="X293" s="11"/>
      <c r="Y293" s="11">
        <f>VLOOKUP(L293,'[1]singkron data'!D:H,5,FALSE)</f>
        <v>0</v>
      </c>
      <c r="Z293" s="11">
        <f>VLOOKUP(L293,'[1]singkron data'!D:I,6,FALSE)</f>
        <v>0</v>
      </c>
      <c r="AA293" s="11">
        <f>VLOOKUP(L293,'[1]singkron data'!D:L,9,FALSE)</f>
        <v>0</v>
      </c>
      <c r="AB293" s="11" t="s">
        <v>694</v>
      </c>
      <c r="AC293" s="11">
        <f>VLOOKUP(L293,'[1]singkron data'!D:M,10,FALSE)</f>
        <v>0</v>
      </c>
      <c r="AD293" s="11"/>
      <c r="AE293" s="11">
        <f>VLOOKUP(L293,'[1]singkron data'!D:P,13,FALSE)</f>
        <v>0</v>
      </c>
      <c r="AF293" s="11" t="s">
        <v>55</v>
      </c>
      <c r="AG293" s="11" t="e">
        <f>VLOOKUP(L293,'[1]update kontrak'!E:K,6,FALSE)</f>
        <v>#N/A</v>
      </c>
      <c r="AH293" s="11" t="e">
        <f>VLOOKUP(L293,'[1]update kontrak'!E:K,7,FALSE)</f>
        <v>#N/A</v>
      </c>
      <c r="AI293" s="11"/>
      <c r="AJ293" s="11" t="str">
        <f>VLOOKUP(L293,[1]rekap!D:M,1,FALSE)</f>
        <v>Wayo</v>
      </c>
      <c r="AK293" s="11">
        <f>VLOOKUP(L293,'[1]singkron data'!D:E,2,FALSE)</f>
        <v>0</v>
      </c>
      <c r="AL293" s="11" t="str">
        <f>VLOOKUP(L293,'[1]update 521'!D:D,1,FALSE)</f>
        <v>Wayo</v>
      </c>
      <c r="AM293" s="11" t="s">
        <v>96</v>
      </c>
      <c r="AN293" s="11" t="e">
        <f>VLOOKUP(L293,[1]Sheet19!E:L,8,FALSE)</f>
        <v>#N/A</v>
      </c>
      <c r="AO293" s="11" t="e">
        <f>VLOOKUP(L293,[1]Sheet19!E:K,7,FALSE)</f>
        <v>#N/A</v>
      </c>
      <c r="AP293" s="12"/>
    </row>
    <row r="294" spans="1:42" ht="15" x14ac:dyDescent="0.2">
      <c r="A294" s="8" t="s">
        <v>42</v>
      </c>
      <c r="B294" s="9" t="s">
        <v>43</v>
      </c>
      <c r="C294" s="9">
        <v>203</v>
      </c>
      <c r="D294" s="9" t="s">
        <v>688</v>
      </c>
      <c r="E294" s="9">
        <v>103</v>
      </c>
      <c r="F294" s="9" t="s">
        <v>795</v>
      </c>
      <c r="G294" s="9" t="s">
        <v>690</v>
      </c>
      <c r="H294" s="9" t="s">
        <v>287</v>
      </c>
      <c r="I294" s="9" t="s">
        <v>796</v>
      </c>
      <c r="J294" s="9" t="s">
        <v>797</v>
      </c>
      <c r="K294" s="9" t="s">
        <v>798</v>
      </c>
      <c r="L294" s="9" t="s">
        <v>798</v>
      </c>
      <c r="M294" s="9" t="s">
        <v>51</v>
      </c>
      <c r="N294" s="9">
        <v>111</v>
      </c>
      <c r="O294" s="9" t="s">
        <v>72</v>
      </c>
      <c r="P294" s="9">
        <v>111</v>
      </c>
      <c r="Q294" s="9">
        <v>111</v>
      </c>
      <c r="R294" s="9">
        <v>0.06</v>
      </c>
      <c r="S294" s="9">
        <v>-5.6637729999999999</v>
      </c>
      <c r="T294" s="9">
        <v>134.25150500000001</v>
      </c>
      <c r="U294" s="9"/>
      <c r="V294" s="11">
        <f>VLOOKUP(L294,'[1]singkron data'!D:E,2,FALSE)</f>
        <v>0</v>
      </c>
      <c r="W294" s="11">
        <f>VLOOKUP(L294,'[1]data 1129'!F:H,3,FALSE)</f>
        <v>0</v>
      </c>
      <c r="X294" s="11"/>
      <c r="Y294" s="11">
        <f>VLOOKUP(L294,'[1]singkron data'!D:H,5,FALSE)</f>
        <v>0</v>
      </c>
      <c r="Z294" s="11">
        <f>VLOOKUP(L294,'[1]singkron data'!D:I,6,FALSE)</f>
        <v>0</v>
      </c>
      <c r="AA294" s="11">
        <f>VLOOKUP(L294,'[1]singkron data'!D:L,9,FALSE)</f>
        <v>0</v>
      </c>
      <c r="AB294" s="11" t="s">
        <v>694</v>
      </c>
      <c r="AC294" s="11">
        <f>VLOOKUP(L294,'[1]singkron data'!D:M,10,FALSE)</f>
        <v>0</v>
      </c>
      <c r="AD294" s="11"/>
      <c r="AE294" s="11">
        <f>VLOOKUP(L294,'[1]singkron data'!D:P,13,FALSE)</f>
        <v>0</v>
      </c>
      <c r="AF294" s="11"/>
      <c r="AG294" s="11" t="e">
        <f>VLOOKUP(L294,'[1]update kontrak'!E:K,6,FALSE)</f>
        <v>#N/A</v>
      </c>
      <c r="AH294" s="11" t="e">
        <f>VLOOKUP(L294,'[1]update kontrak'!E:K,7,FALSE)</f>
        <v>#N/A</v>
      </c>
      <c r="AI294" s="11"/>
      <c r="AJ294" s="11" t="str">
        <f>VLOOKUP(L294,[1]rekap!D:M,1,FALSE)</f>
        <v>Samang</v>
      </c>
      <c r="AK294" s="11">
        <f>VLOOKUP(L294,'[1]singkron data'!D:E,2,FALSE)</f>
        <v>0</v>
      </c>
      <c r="AL294" s="11" t="str">
        <f>VLOOKUP(L294,'[1]update 521'!D:D,1,FALSE)</f>
        <v>Samang</v>
      </c>
      <c r="AM294" s="11" t="s">
        <v>96</v>
      </c>
      <c r="AN294" s="11" t="e">
        <f>VLOOKUP(L294,[1]Sheet19!E:L,8,FALSE)</f>
        <v>#N/A</v>
      </c>
      <c r="AO294" s="11" t="e">
        <f>VLOOKUP(L294,[1]Sheet19!E:K,7,FALSE)</f>
        <v>#N/A</v>
      </c>
      <c r="AP294" s="12"/>
    </row>
    <row r="295" spans="1:42" ht="15" x14ac:dyDescent="0.2">
      <c r="A295" s="8" t="s">
        <v>42</v>
      </c>
      <c r="B295" s="9" t="s">
        <v>43</v>
      </c>
      <c r="C295" s="9">
        <v>150</v>
      </c>
      <c r="D295" s="9" t="s">
        <v>688</v>
      </c>
      <c r="E295" s="9">
        <v>50</v>
      </c>
      <c r="F295" s="9" t="s">
        <v>799</v>
      </c>
      <c r="G295" s="9" t="s">
        <v>715</v>
      </c>
      <c r="H295" s="9" t="s">
        <v>287</v>
      </c>
      <c r="I295" s="9" t="s">
        <v>716</v>
      </c>
      <c r="J295" s="9" t="s">
        <v>800</v>
      </c>
      <c r="K295" s="9" t="s">
        <v>801</v>
      </c>
      <c r="L295" s="9" t="s">
        <v>801</v>
      </c>
      <c r="M295" s="9" t="s">
        <v>51</v>
      </c>
      <c r="N295" s="9">
        <v>402</v>
      </c>
      <c r="O295" s="9">
        <v>50</v>
      </c>
      <c r="P295" s="9">
        <v>90</v>
      </c>
      <c r="Q295" s="9">
        <v>140</v>
      </c>
      <c r="R295" s="9">
        <v>1</v>
      </c>
      <c r="S295" s="9">
        <v>-1.827882</v>
      </c>
      <c r="T295" s="9">
        <v>127.644336</v>
      </c>
      <c r="U295" s="9"/>
      <c r="V295" s="11">
        <f>VLOOKUP(L295,'[1]singkron data'!D:E,2,FALSE)</f>
        <v>0</v>
      </c>
      <c r="W295" s="13" t="str">
        <f>VLOOKUP(L295,[1]Sheet18!E:F,2,FALSE)</f>
        <v>belum ada</v>
      </c>
      <c r="X295" s="11"/>
      <c r="Y295" s="11">
        <f>VLOOKUP(L295,'[1]singkron data'!D:H,5,FALSE)</f>
        <v>0</v>
      </c>
      <c r="Z295" s="11">
        <f>VLOOKUP(L295,'[1]singkron data'!D:I,6,FALSE)</f>
        <v>0</v>
      </c>
      <c r="AA295" s="11">
        <f>VLOOKUP(L295,'[1]singkron data'!D:L,9,FALSE)</f>
        <v>0</v>
      </c>
      <c r="AB295" s="11" t="s">
        <v>694</v>
      </c>
      <c r="AC295" s="11">
        <f>VLOOKUP(L295,'[1]singkron data'!D:M,10,FALSE)</f>
        <v>0</v>
      </c>
      <c r="AD295" s="11"/>
      <c r="AE295" s="11">
        <f>VLOOKUP(L295,'[1]singkron data'!D:P,13,FALSE)</f>
        <v>0</v>
      </c>
      <c r="AF295" s="11" t="s">
        <v>55</v>
      </c>
      <c r="AG295" s="11" t="e">
        <f>VLOOKUP(L295,'[1]update kontrak'!E:K,6,FALSE)</f>
        <v>#N/A</v>
      </c>
      <c r="AH295" s="11" t="e">
        <f>VLOOKUP(L295,'[1]update kontrak'!E:K,7,FALSE)</f>
        <v>#N/A</v>
      </c>
      <c r="AI295" s="11"/>
      <c r="AJ295" s="11" t="str">
        <f>VLOOKUP(L295,[1]rekap!D:M,1,FALSE)</f>
        <v>Mano</v>
      </c>
      <c r="AK295" s="11">
        <f>VLOOKUP(L295,'[1]singkron data'!D:E,2,FALSE)</f>
        <v>0</v>
      </c>
      <c r="AL295" s="11" t="str">
        <f>VLOOKUP(L295,'[1]update 521'!D:D,1,FALSE)</f>
        <v>Mano</v>
      </c>
      <c r="AM295" s="11" t="s">
        <v>96</v>
      </c>
      <c r="AN295" s="11" t="e">
        <f>VLOOKUP(L295,[1]Sheet19!E:L,8,FALSE)</f>
        <v>#N/A</v>
      </c>
      <c r="AO295" s="11" t="e">
        <f>VLOOKUP(L295,[1]Sheet19!E:K,7,FALSE)</f>
        <v>#N/A</v>
      </c>
      <c r="AP295" s="12"/>
    </row>
    <row r="296" spans="1:42" ht="15" x14ac:dyDescent="0.2">
      <c r="A296" s="8" t="s">
        <v>42</v>
      </c>
      <c r="B296" s="9" t="s">
        <v>43</v>
      </c>
      <c r="C296" s="9">
        <v>152</v>
      </c>
      <c r="D296" s="9" t="s">
        <v>688</v>
      </c>
      <c r="E296" s="9">
        <v>52</v>
      </c>
      <c r="F296" s="9" t="s">
        <v>802</v>
      </c>
      <c r="G296" s="9" t="s">
        <v>715</v>
      </c>
      <c r="H296" s="9" t="s">
        <v>287</v>
      </c>
      <c r="I296" s="9" t="s">
        <v>803</v>
      </c>
      <c r="J296" s="9" t="s">
        <v>804</v>
      </c>
      <c r="K296" s="9" t="s">
        <v>805</v>
      </c>
      <c r="L296" s="9" t="s">
        <v>805</v>
      </c>
      <c r="M296" s="9" t="s">
        <v>51</v>
      </c>
      <c r="N296" s="9">
        <v>1002</v>
      </c>
      <c r="O296" s="9">
        <v>11</v>
      </c>
      <c r="P296" s="9">
        <v>43</v>
      </c>
      <c r="Q296" s="9">
        <v>54</v>
      </c>
      <c r="R296" s="9">
        <v>0.65</v>
      </c>
      <c r="S296" s="9">
        <v>0.62353000000000003</v>
      </c>
      <c r="T296" s="9">
        <v>127.398782</v>
      </c>
      <c r="U296" s="9"/>
      <c r="V296" s="11">
        <f>VLOOKUP(L296,'[1]singkron data'!D:E,2,FALSE)</f>
        <v>0</v>
      </c>
      <c r="W296" s="13">
        <f>VLOOKUP(L296,[1]Sheet18!E:F,2,FALSE)</f>
        <v>3607753000</v>
      </c>
      <c r="X296" s="11" t="s">
        <v>55</v>
      </c>
      <c r="Y296" s="11">
        <f>VLOOKUP(L296,'[1]singkron data'!D:H,5,FALSE)</f>
        <v>0</v>
      </c>
      <c r="Z296" s="11">
        <f>VLOOKUP(L296,'[1]singkron data'!D:I,6,FALSE)</f>
        <v>0</v>
      </c>
      <c r="AA296" s="11">
        <f>VLOOKUP(L296,'[1]singkron data'!D:L,9,FALSE)</f>
        <v>0</v>
      </c>
      <c r="AB296" s="11" t="s">
        <v>694</v>
      </c>
      <c r="AC296" s="11">
        <f>VLOOKUP(L296,'[1]singkron data'!D:M,10,FALSE)</f>
        <v>0</v>
      </c>
      <c r="AD296" s="11"/>
      <c r="AE296" s="11">
        <f>VLOOKUP(L296,'[1]singkron data'!D:P,13,FALSE)</f>
        <v>0</v>
      </c>
      <c r="AF296" s="11" t="s">
        <v>55</v>
      </c>
      <c r="AG296" s="11" t="e">
        <f>VLOOKUP(L296,'[1]update kontrak'!E:K,6,FALSE)</f>
        <v>#N/A</v>
      </c>
      <c r="AH296" s="11" t="e">
        <f>VLOOKUP(L296,'[1]update kontrak'!E:K,7,FALSE)</f>
        <v>#N/A</v>
      </c>
      <c r="AI296" s="11"/>
      <c r="AJ296" s="11" t="str">
        <f>VLOOKUP(L296,[1]rekap!D:M,1,FALSE)</f>
        <v>Tomalou</v>
      </c>
      <c r="AK296" s="11">
        <f>VLOOKUP(L296,'[1]singkron data'!D:E,2,FALSE)</f>
        <v>0</v>
      </c>
      <c r="AL296" s="11" t="str">
        <f>VLOOKUP(L296,'[1]update 521'!D:D,1,FALSE)</f>
        <v>Tomalou</v>
      </c>
      <c r="AM296" s="11" t="s">
        <v>96</v>
      </c>
      <c r="AN296" s="11" t="e">
        <f>VLOOKUP(L296,[1]Sheet19!E:L,8,FALSE)</f>
        <v>#N/A</v>
      </c>
      <c r="AO296" s="11" t="e">
        <f>VLOOKUP(L296,[1]Sheet19!E:K,7,FALSE)</f>
        <v>#N/A</v>
      </c>
      <c r="AP296" s="12"/>
    </row>
    <row r="297" spans="1:42" ht="15" x14ac:dyDescent="0.2">
      <c r="A297" s="8" t="s">
        <v>42</v>
      </c>
      <c r="B297" s="9" t="s">
        <v>43</v>
      </c>
      <c r="C297" s="9">
        <v>153</v>
      </c>
      <c r="D297" s="9" t="s">
        <v>688</v>
      </c>
      <c r="E297" s="9">
        <v>53</v>
      </c>
      <c r="F297" s="9" t="s">
        <v>806</v>
      </c>
      <c r="G297" s="9" t="s">
        <v>690</v>
      </c>
      <c r="H297" s="9" t="s">
        <v>287</v>
      </c>
      <c r="I297" s="9" t="s">
        <v>745</v>
      </c>
      <c r="J297" s="9" t="s">
        <v>807</v>
      </c>
      <c r="K297" s="9" t="s">
        <v>806</v>
      </c>
      <c r="L297" s="9" t="s">
        <v>806</v>
      </c>
      <c r="M297" s="9" t="s">
        <v>65</v>
      </c>
      <c r="N297" s="9">
        <v>211</v>
      </c>
      <c r="O297" s="9" t="s">
        <v>72</v>
      </c>
      <c r="P297" s="9" t="s">
        <v>72</v>
      </c>
      <c r="Q297" s="9">
        <v>255</v>
      </c>
      <c r="R297" s="9">
        <v>1.5</v>
      </c>
      <c r="S297" s="9">
        <v>-2.7915000000000001</v>
      </c>
      <c r="T297" s="9">
        <v>129.41829999999999</v>
      </c>
      <c r="U297" s="9"/>
      <c r="V297" s="11">
        <f>VLOOKUP(L297,'[1]singkron data'!D:E,2,FALSE)</f>
        <v>0</v>
      </c>
      <c r="W297" s="11">
        <f>VLOOKUP(L297,'[1]data 1129'!F:H,3,FALSE)</f>
        <v>0</v>
      </c>
      <c r="X297" s="11"/>
      <c r="Y297" s="11">
        <f>VLOOKUP(L297,'[1]singkron data'!D:H,5,FALSE)</f>
        <v>0</v>
      </c>
      <c r="Z297" s="11">
        <f>VLOOKUP(L297,'[1]singkron data'!D:I,6,FALSE)</f>
        <v>0</v>
      </c>
      <c r="AA297" s="11">
        <f>VLOOKUP(L297,'[1]singkron data'!D:L,9,FALSE)</f>
        <v>0</v>
      </c>
      <c r="AB297" s="11" t="s">
        <v>694</v>
      </c>
      <c r="AC297" s="11">
        <f>VLOOKUP(L297,'[1]singkron data'!D:M,10,FALSE)</f>
        <v>0</v>
      </c>
      <c r="AD297" s="11"/>
      <c r="AE297" s="11">
        <f>VLOOKUP(L297,'[1]singkron data'!D:P,13,FALSE)</f>
        <v>0</v>
      </c>
      <c r="AF297" s="11"/>
      <c r="AG297" s="11" t="e">
        <f>VLOOKUP(L297,'[1]update kontrak'!E:K,6,FALSE)</f>
        <v>#N/A</v>
      </c>
      <c r="AH297" s="11" t="e">
        <f>VLOOKUP(L297,'[1]update kontrak'!E:K,7,FALSE)</f>
        <v>#N/A</v>
      </c>
      <c r="AI297" s="11"/>
      <c r="AJ297" s="11" t="str">
        <f>VLOOKUP(L297,[1]rekap!D:M,1,FALSE)</f>
        <v>Malaku</v>
      </c>
      <c r="AK297" s="11">
        <f>VLOOKUP(L297,'[1]singkron data'!D:E,2,FALSE)</f>
        <v>0</v>
      </c>
      <c r="AL297" s="11" t="str">
        <f>VLOOKUP(L297,'[1]update 521'!D:D,1,FALSE)</f>
        <v>Malaku</v>
      </c>
      <c r="AM297" s="11" t="s">
        <v>96</v>
      </c>
      <c r="AN297" s="11" t="e">
        <f>VLOOKUP(L297,[1]Sheet19!E:L,8,FALSE)</f>
        <v>#N/A</v>
      </c>
      <c r="AO297" s="11" t="e">
        <f>VLOOKUP(L297,[1]Sheet19!E:K,7,FALSE)</f>
        <v>#N/A</v>
      </c>
      <c r="AP297" s="12"/>
    </row>
    <row r="298" spans="1:42" ht="15" x14ac:dyDescent="0.2">
      <c r="A298" s="8" t="s">
        <v>42</v>
      </c>
      <c r="B298" s="9" t="s">
        <v>43</v>
      </c>
      <c r="C298" s="9">
        <v>154</v>
      </c>
      <c r="D298" s="9" t="s">
        <v>688</v>
      </c>
      <c r="E298" s="9">
        <v>54</v>
      </c>
      <c r="F298" s="9" t="s">
        <v>806</v>
      </c>
      <c r="G298" s="9" t="s">
        <v>690</v>
      </c>
      <c r="H298" s="9" t="s">
        <v>287</v>
      </c>
      <c r="I298" s="9" t="s">
        <v>745</v>
      </c>
      <c r="J298" s="9" t="s">
        <v>808</v>
      </c>
      <c r="K298" s="9" t="s">
        <v>809</v>
      </c>
      <c r="L298" s="9" t="s">
        <v>809</v>
      </c>
      <c r="M298" s="9" t="s">
        <v>51</v>
      </c>
      <c r="N298" s="9">
        <v>60</v>
      </c>
      <c r="O298" s="9">
        <v>60</v>
      </c>
      <c r="P298" s="9">
        <v>56</v>
      </c>
      <c r="Q298" s="9">
        <v>116</v>
      </c>
      <c r="R298" s="9">
        <v>0.53</v>
      </c>
      <c r="S298" s="9">
        <v>-2.7960755000000002</v>
      </c>
      <c r="T298" s="9">
        <v>129.0378943</v>
      </c>
      <c r="U298" s="9"/>
      <c r="V298" s="11">
        <f>VLOOKUP(L298,'[1]singkron data'!D:E,2,FALSE)</f>
        <v>0</v>
      </c>
      <c r="W298" s="11">
        <f>VLOOKUP(L298,'[1]data 1129'!F:H,3,FALSE)</f>
        <v>0</v>
      </c>
      <c r="X298" s="11"/>
      <c r="Y298" s="11">
        <f>VLOOKUP(L298,'[1]singkron data'!D:H,5,FALSE)</f>
        <v>0</v>
      </c>
      <c r="Z298" s="11">
        <f>VLOOKUP(L298,'[1]singkron data'!D:I,6,FALSE)</f>
        <v>0</v>
      </c>
      <c r="AA298" s="11">
        <f>VLOOKUP(L298,'[1]singkron data'!D:L,9,FALSE)</f>
        <v>0</v>
      </c>
      <c r="AB298" s="11" t="s">
        <v>694</v>
      </c>
      <c r="AC298" s="11">
        <f>VLOOKUP(L298,'[1]singkron data'!D:M,10,FALSE)</f>
        <v>0</v>
      </c>
      <c r="AD298" s="11"/>
      <c r="AE298" s="11">
        <f>VLOOKUP(L298,'[1]singkron data'!D:P,13,FALSE)</f>
        <v>0</v>
      </c>
      <c r="AF298" s="11"/>
      <c r="AG298" s="11" t="e">
        <f>VLOOKUP(L298,'[1]update kontrak'!E:K,6,FALSE)</f>
        <v>#N/A</v>
      </c>
      <c r="AH298" s="11" t="e">
        <f>VLOOKUP(L298,'[1]update kontrak'!E:K,7,FALSE)</f>
        <v>#N/A</v>
      </c>
      <c r="AI298" s="11"/>
      <c r="AJ298" s="11" t="str">
        <f>VLOOKUP(L298,[1]rekap!D:M,1,FALSE)</f>
        <v>Labuan</v>
      </c>
      <c r="AK298" s="11">
        <f>VLOOKUP(L298,'[1]singkron data'!D:E,2,FALSE)</f>
        <v>0</v>
      </c>
      <c r="AL298" s="11" t="str">
        <f>VLOOKUP(L298,'[1]update 521'!D:D,1,FALSE)</f>
        <v>Labuan</v>
      </c>
      <c r="AM298" s="11" t="s">
        <v>96</v>
      </c>
      <c r="AN298" s="11" t="e">
        <f>VLOOKUP(L298,[1]Sheet19!E:L,8,FALSE)</f>
        <v>#N/A</v>
      </c>
      <c r="AO298" s="11" t="e">
        <f>VLOOKUP(L298,[1]Sheet19!E:K,7,FALSE)</f>
        <v>#N/A</v>
      </c>
      <c r="AP298" s="12"/>
    </row>
    <row r="299" spans="1:42" ht="15" x14ac:dyDescent="0.2">
      <c r="A299" s="8" t="s">
        <v>42</v>
      </c>
      <c r="B299" s="9" t="s">
        <v>43</v>
      </c>
      <c r="C299" s="9">
        <v>155</v>
      </c>
      <c r="D299" s="9" t="s">
        <v>688</v>
      </c>
      <c r="E299" s="9">
        <v>55</v>
      </c>
      <c r="F299" s="9" t="s">
        <v>806</v>
      </c>
      <c r="G299" s="9" t="s">
        <v>690</v>
      </c>
      <c r="H299" s="9" t="s">
        <v>287</v>
      </c>
      <c r="I299" s="9" t="s">
        <v>745</v>
      </c>
      <c r="J299" s="9" t="s">
        <v>807</v>
      </c>
      <c r="K299" s="9" t="s">
        <v>810</v>
      </c>
      <c r="L299" s="9" t="s">
        <v>810</v>
      </c>
      <c r="M299" s="9" t="s">
        <v>51</v>
      </c>
      <c r="N299" s="9">
        <v>205</v>
      </c>
      <c r="O299" s="9">
        <v>100</v>
      </c>
      <c r="P299" s="9">
        <v>25</v>
      </c>
      <c r="Q299" s="9">
        <v>125</v>
      </c>
      <c r="R299" s="9">
        <v>0.84</v>
      </c>
      <c r="S299" s="9">
        <v>-2.9399600000000001</v>
      </c>
      <c r="T299" s="9">
        <v>129.21312900000001</v>
      </c>
      <c r="U299" s="9"/>
      <c r="V299" s="11">
        <f>VLOOKUP(L299,'[1]singkron data'!D:E,2,FALSE)</f>
        <v>0</v>
      </c>
      <c r="W299" s="11">
        <f>VLOOKUP(L299,'[1]data 1129'!F:H,3,FALSE)</f>
        <v>0</v>
      </c>
      <c r="X299" s="11"/>
      <c r="Y299" s="11">
        <f>VLOOKUP(L299,'[1]singkron data'!D:H,5,FALSE)</f>
        <v>0</v>
      </c>
      <c r="Z299" s="11">
        <f>VLOOKUP(L299,'[1]singkron data'!D:I,6,FALSE)</f>
        <v>0</v>
      </c>
      <c r="AA299" s="11">
        <f>VLOOKUP(L299,'[1]singkron data'!D:L,9,FALSE)</f>
        <v>0</v>
      </c>
      <c r="AB299" s="11" t="s">
        <v>694</v>
      </c>
      <c r="AC299" s="11">
        <f>VLOOKUP(L299,'[1]singkron data'!D:M,10,FALSE)</f>
        <v>0</v>
      </c>
      <c r="AD299" s="11"/>
      <c r="AE299" s="11">
        <f>VLOOKUP(L299,'[1]singkron data'!D:P,13,FALSE)</f>
        <v>0</v>
      </c>
      <c r="AF299" s="11"/>
      <c r="AG299" s="11" t="e">
        <f>VLOOKUP(L299,'[1]update kontrak'!E:K,6,FALSE)</f>
        <v>#N/A</v>
      </c>
      <c r="AH299" s="11" t="e">
        <f>VLOOKUP(L299,'[1]update kontrak'!E:K,7,FALSE)</f>
        <v>#N/A</v>
      </c>
      <c r="AI299" s="11"/>
      <c r="AJ299" s="11" t="str">
        <f>VLOOKUP(L299,[1]rekap!D:M,1,FALSE)</f>
        <v>Besi</v>
      </c>
      <c r="AK299" s="11">
        <f>VLOOKUP(L299,'[1]singkron data'!D:E,2,FALSE)</f>
        <v>0</v>
      </c>
      <c r="AL299" s="11" t="str">
        <f>VLOOKUP(L299,'[1]update 521'!D:D,1,FALSE)</f>
        <v>Besi</v>
      </c>
      <c r="AM299" s="11" t="s">
        <v>96</v>
      </c>
      <c r="AN299" s="11" t="e">
        <f>VLOOKUP(L299,[1]Sheet19!E:L,8,FALSE)</f>
        <v>#N/A</v>
      </c>
      <c r="AO299" s="11" t="e">
        <f>VLOOKUP(L299,[1]Sheet19!E:K,7,FALSE)</f>
        <v>#N/A</v>
      </c>
      <c r="AP299" s="12"/>
    </row>
    <row r="300" spans="1:42" ht="15" x14ac:dyDescent="0.2">
      <c r="A300" s="8" t="s">
        <v>42</v>
      </c>
      <c r="B300" s="9" t="s">
        <v>43</v>
      </c>
      <c r="C300" s="9">
        <v>156</v>
      </c>
      <c r="D300" s="9" t="s">
        <v>688</v>
      </c>
      <c r="E300" s="9">
        <v>56</v>
      </c>
      <c r="F300" s="9" t="s">
        <v>806</v>
      </c>
      <c r="G300" s="9" t="s">
        <v>690</v>
      </c>
      <c r="H300" s="9" t="s">
        <v>287</v>
      </c>
      <c r="I300" s="9" t="s">
        <v>745</v>
      </c>
      <c r="J300" s="9" t="s">
        <v>807</v>
      </c>
      <c r="K300" s="9" t="s">
        <v>811</v>
      </c>
      <c r="L300" s="9" t="s">
        <v>811</v>
      </c>
      <c r="M300" s="9" t="s">
        <v>51</v>
      </c>
      <c r="N300" s="9">
        <v>160</v>
      </c>
      <c r="O300" s="9">
        <v>53</v>
      </c>
      <c r="P300" s="9">
        <v>60</v>
      </c>
      <c r="Q300" s="9">
        <v>113</v>
      </c>
      <c r="R300" s="9">
        <v>0.25</v>
      </c>
      <c r="S300" s="9">
        <v>-2.9420829999999998</v>
      </c>
      <c r="T300" s="9">
        <v>129.182222</v>
      </c>
      <c r="U300" s="9"/>
      <c r="V300" s="11">
        <f>VLOOKUP(L300,'[1]singkron data'!D:E,2,FALSE)</f>
        <v>0</v>
      </c>
      <c r="W300" s="11">
        <f>VLOOKUP(L300,'[1]data 1129'!F:H,3,FALSE)</f>
        <v>0</v>
      </c>
      <c r="X300" s="11"/>
      <c r="Y300" s="11">
        <f>VLOOKUP(L300,'[1]singkron data'!D:H,5,FALSE)</f>
        <v>0</v>
      </c>
      <c r="Z300" s="11">
        <f>VLOOKUP(L300,'[1]singkron data'!D:I,6,FALSE)</f>
        <v>0</v>
      </c>
      <c r="AA300" s="11">
        <f>VLOOKUP(L300,'[1]singkron data'!D:L,9,FALSE)</f>
        <v>0</v>
      </c>
      <c r="AB300" s="11" t="s">
        <v>694</v>
      </c>
      <c r="AC300" s="11">
        <f>VLOOKUP(L300,'[1]singkron data'!D:M,10,FALSE)</f>
        <v>0</v>
      </c>
      <c r="AD300" s="11"/>
      <c r="AE300" s="11">
        <f>VLOOKUP(L300,'[1]singkron data'!D:P,13,FALSE)</f>
        <v>0</v>
      </c>
      <c r="AF300" s="11"/>
      <c r="AG300" s="11" t="e">
        <f>VLOOKUP(L300,'[1]update kontrak'!E:K,6,FALSE)</f>
        <v>#N/A</v>
      </c>
      <c r="AH300" s="11" t="e">
        <f>VLOOKUP(L300,'[1]update kontrak'!E:K,7,FALSE)</f>
        <v>#N/A</v>
      </c>
      <c r="AI300" s="11"/>
      <c r="AJ300" s="11" t="str">
        <f>VLOOKUP(L300,[1]rekap!D:M,1,FALSE)</f>
        <v>Olong</v>
      </c>
      <c r="AK300" s="11">
        <f>VLOOKUP(L300,'[1]singkron data'!D:E,2,FALSE)</f>
        <v>0</v>
      </c>
      <c r="AL300" s="11" t="str">
        <f>VLOOKUP(L300,'[1]update 521'!D:D,1,FALSE)</f>
        <v>Olong</v>
      </c>
      <c r="AM300" s="11" t="s">
        <v>96</v>
      </c>
      <c r="AN300" s="11" t="e">
        <f>VLOOKUP(L300,[1]Sheet19!E:L,8,FALSE)</f>
        <v>#N/A</v>
      </c>
      <c r="AO300" s="11" t="e">
        <f>VLOOKUP(L300,[1]Sheet19!E:K,7,FALSE)</f>
        <v>#N/A</v>
      </c>
      <c r="AP300" s="12"/>
    </row>
    <row r="301" spans="1:42" ht="15" x14ac:dyDescent="0.2">
      <c r="A301" s="8" t="s">
        <v>42</v>
      </c>
      <c r="B301" s="9" t="s">
        <v>43</v>
      </c>
      <c r="C301" s="9">
        <v>157</v>
      </c>
      <c r="D301" s="9" t="s">
        <v>688</v>
      </c>
      <c r="E301" s="9">
        <v>57</v>
      </c>
      <c r="F301" s="9" t="s">
        <v>812</v>
      </c>
      <c r="G301" s="9" t="s">
        <v>690</v>
      </c>
      <c r="H301" s="9" t="s">
        <v>287</v>
      </c>
      <c r="I301" s="9" t="s">
        <v>813</v>
      </c>
      <c r="J301" s="9" t="s">
        <v>814</v>
      </c>
      <c r="K301" s="9" t="s">
        <v>815</v>
      </c>
      <c r="L301" s="9" t="s">
        <v>815</v>
      </c>
      <c r="M301" s="9" t="s">
        <v>51</v>
      </c>
      <c r="N301" s="9">
        <v>108</v>
      </c>
      <c r="O301" s="9">
        <v>20</v>
      </c>
      <c r="P301" s="9">
        <v>88</v>
      </c>
      <c r="Q301" s="9">
        <v>108</v>
      </c>
      <c r="R301" s="9">
        <v>1</v>
      </c>
      <c r="S301" s="9">
        <v>-3.7896173000000002</v>
      </c>
      <c r="T301" s="9">
        <v>126.55050850000001</v>
      </c>
      <c r="U301" s="9"/>
      <c r="V301" s="11">
        <f>VLOOKUP(L301,'[1]singkron data'!D:E,2,FALSE)</f>
        <v>0</v>
      </c>
      <c r="W301" s="11">
        <f>VLOOKUP(L301,'[1]data 1129'!F:H,3,FALSE)</f>
        <v>0</v>
      </c>
      <c r="X301" s="11"/>
      <c r="Y301" s="11">
        <f>VLOOKUP(L301,'[1]singkron data'!D:H,5,FALSE)</f>
        <v>0</v>
      </c>
      <c r="Z301" s="11">
        <f>VLOOKUP(L301,'[1]singkron data'!D:I,6,FALSE)</f>
        <v>0</v>
      </c>
      <c r="AA301" s="11">
        <f>VLOOKUP(L301,'[1]singkron data'!D:L,9,FALSE)</f>
        <v>0</v>
      </c>
      <c r="AB301" s="11" t="s">
        <v>694</v>
      </c>
      <c r="AC301" s="11">
        <f>VLOOKUP(L301,'[1]singkron data'!D:M,10,FALSE)</f>
        <v>0</v>
      </c>
      <c r="AD301" s="11"/>
      <c r="AE301" s="11">
        <f>VLOOKUP(L301,'[1]singkron data'!D:P,13,FALSE)</f>
        <v>0</v>
      </c>
      <c r="AF301" s="11"/>
      <c r="AG301" s="11" t="e">
        <f>VLOOKUP(L301,'[1]update kontrak'!E:K,6,FALSE)</f>
        <v>#N/A</v>
      </c>
      <c r="AH301" s="11" t="e">
        <f>VLOOKUP(L301,'[1]update kontrak'!E:K,7,FALSE)</f>
        <v>#N/A</v>
      </c>
      <c r="AI301" s="11"/>
      <c r="AJ301" s="11" t="str">
        <f>VLOOKUP(L301,[1]rekap!D:M,1,FALSE)</f>
        <v>Nalbessy</v>
      </c>
      <c r="AK301" s="11">
        <f>VLOOKUP(L301,'[1]singkron data'!D:E,2,FALSE)</f>
        <v>0</v>
      </c>
      <c r="AL301" s="11" t="str">
        <f>VLOOKUP(L301,'[1]update 521'!D:D,1,FALSE)</f>
        <v>Nalbessy</v>
      </c>
      <c r="AM301" s="11" t="s">
        <v>96</v>
      </c>
      <c r="AN301" s="11" t="e">
        <f>VLOOKUP(L301,[1]Sheet19!E:L,8,FALSE)</f>
        <v>#N/A</v>
      </c>
      <c r="AO301" s="11" t="e">
        <f>VLOOKUP(L301,[1]Sheet19!E:K,7,FALSE)</f>
        <v>#N/A</v>
      </c>
      <c r="AP301" s="12"/>
    </row>
    <row r="302" spans="1:42" ht="15" x14ac:dyDescent="0.2">
      <c r="A302" s="8" t="s">
        <v>42</v>
      </c>
      <c r="B302" s="9" t="s">
        <v>43</v>
      </c>
      <c r="C302" s="9">
        <v>158</v>
      </c>
      <c r="D302" s="9" t="s">
        <v>688</v>
      </c>
      <c r="E302" s="9">
        <v>58</v>
      </c>
      <c r="F302" s="9" t="s">
        <v>812</v>
      </c>
      <c r="G302" s="9" t="s">
        <v>690</v>
      </c>
      <c r="H302" s="9" t="s">
        <v>287</v>
      </c>
      <c r="I302" s="9" t="s">
        <v>813</v>
      </c>
      <c r="J302" s="9" t="s">
        <v>816</v>
      </c>
      <c r="K302" s="9" t="s">
        <v>817</v>
      </c>
      <c r="L302" s="9" t="s">
        <v>817</v>
      </c>
      <c r="M302" s="9" t="s">
        <v>51</v>
      </c>
      <c r="N302" s="9">
        <v>94</v>
      </c>
      <c r="O302" s="9">
        <v>7</v>
      </c>
      <c r="P302" s="9">
        <v>6</v>
      </c>
      <c r="Q302" s="9">
        <v>13</v>
      </c>
      <c r="R302" s="9">
        <v>7.0000000000000007E-2</v>
      </c>
      <c r="S302" s="9">
        <v>-3.8253043</v>
      </c>
      <c r="T302" s="9">
        <v>127.18413889999999</v>
      </c>
      <c r="U302" s="9"/>
      <c r="V302" s="11">
        <f>VLOOKUP(L302,'[1]singkron data'!D:E,2,FALSE)</f>
        <v>0</v>
      </c>
      <c r="W302" s="11">
        <f>VLOOKUP(L302,'[1]data 1129'!F:H,3,FALSE)</f>
        <v>0</v>
      </c>
      <c r="X302" s="11"/>
      <c r="Y302" s="11">
        <f>VLOOKUP(L302,'[1]singkron data'!D:H,5,FALSE)</f>
        <v>0</v>
      </c>
      <c r="Z302" s="11">
        <f>VLOOKUP(L302,'[1]singkron data'!D:I,6,FALSE)</f>
        <v>0</v>
      </c>
      <c r="AA302" s="11">
        <f>VLOOKUP(L302,'[1]singkron data'!D:L,9,FALSE)</f>
        <v>0</v>
      </c>
      <c r="AB302" s="11" t="s">
        <v>694</v>
      </c>
      <c r="AC302" s="11">
        <f>VLOOKUP(L302,'[1]singkron data'!D:M,10,FALSE)</f>
        <v>0</v>
      </c>
      <c r="AD302" s="11"/>
      <c r="AE302" s="11">
        <f>VLOOKUP(L302,'[1]singkron data'!D:P,13,FALSE)</f>
        <v>0</v>
      </c>
      <c r="AF302" s="11"/>
      <c r="AG302" s="11" t="e">
        <f>VLOOKUP(L302,'[1]update kontrak'!E:K,6,FALSE)</f>
        <v>#N/A</v>
      </c>
      <c r="AH302" s="11" t="e">
        <f>VLOOKUP(L302,'[1]update kontrak'!E:K,7,FALSE)</f>
        <v>#N/A</v>
      </c>
      <c r="AI302" s="11"/>
      <c r="AJ302" s="11" t="str">
        <f>VLOOKUP(L302,[1]rekap!D:M,1,FALSE)</f>
        <v>Masawoy</v>
      </c>
      <c r="AK302" s="11">
        <f>VLOOKUP(L302,'[1]singkron data'!D:E,2,FALSE)</f>
        <v>0</v>
      </c>
      <c r="AL302" s="11" t="str">
        <f>VLOOKUP(L302,'[1]update 521'!D:D,1,FALSE)</f>
        <v>Masawoy</v>
      </c>
      <c r="AM302" s="11" t="s">
        <v>96</v>
      </c>
      <c r="AN302" s="11" t="e">
        <f>VLOOKUP(L302,[1]Sheet19!E:L,8,FALSE)</f>
        <v>#N/A</v>
      </c>
      <c r="AO302" s="11" t="e">
        <f>VLOOKUP(L302,[1]Sheet19!E:K,7,FALSE)</f>
        <v>#N/A</v>
      </c>
      <c r="AP302" s="12"/>
    </row>
    <row r="303" spans="1:42" ht="15" x14ac:dyDescent="0.2">
      <c r="A303" s="8" t="s">
        <v>42</v>
      </c>
      <c r="B303" s="9" t="s">
        <v>43</v>
      </c>
      <c r="C303" s="9">
        <v>159</v>
      </c>
      <c r="D303" s="9" t="s">
        <v>688</v>
      </c>
      <c r="E303" s="9">
        <v>59</v>
      </c>
      <c r="F303" s="9" t="s">
        <v>818</v>
      </c>
      <c r="G303" s="9" t="s">
        <v>690</v>
      </c>
      <c r="H303" s="9" t="s">
        <v>287</v>
      </c>
      <c r="I303" s="9" t="s">
        <v>745</v>
      </c>
      <c r="J303" s="9" t="s">
        <v>746</v>
      </c>
      <c r="K303" s="9" t="s">
        <v>819</v>
      </c>
      <c r="L303" s="9" t="s">
        <v>819</v>
      </c>
      <c r="M303" s="9" t="s">
        <v>65</v>
      </c>
      <c r="N303" s="9">
        <v>457</v>
      </c>
      <c r="O303" s="9">
        <v>150</v>
      </c>
      <c r="P303" s="9">
        <v>100</v>
      </c>
      <c r="Q303" s="9">
        <v>250</v>
      </c>
      <c r="R303" s="9">
        <v>0.85</v>
      </c>
      <c r="S303" s="9">
        <v>-3.6462842000000002</v>
      </c>
      <c r="T303" s="9">
        <v>127.9651389</v>
      </c>
      <c r="U303" s="9"/>
      <c r="V303" s="11">
        <f>VLOOKUP(L303,'[1]singkron data'!D:E,2,FALSE)</f>
        <v>0</v>
      </c>
      <c r="W303" s="11">
        <f>VLOOKUP(L303,'[1]data 1129'!F:H,3,FALSE)</f>
        <v>0</v>
      </c>
      <c r="X303" s="11"/>
      <c r="Y303" s="11">
        <f>VLOOKUP(L303,'[1]singkron data'!D:H,5,FALSE)</f>
        <v>0</v>
      </c>
      <c r="Z303" s="11">
        <f>VLOOKUP(L303,'[1]singkron data'!D:I,6,FALSE)</f>
        <v>0</v>
      </c>
      <c r="AA303" s="11">
        <f>VLOOKUP(L303,'[1]singkron data'!D:L,9,FALSE)</f>
        <v>0</v>
      </c>
      <c r="AB303" s="11" t="s">
        <v>694</v>
      </c>
      <c r="AC303" s="11">
        <f>VLOOKUP(L303,'[1]singkron data'!D:M,10,FALSE)</f>
        <v>0</v>
      </c>
      <c r="AD303" s="11"/>
      <c r="AE303" s="11">
        <f>VLOOKUP(L303,'[1]singkron data'!D:P,13,FALSE)</f>
        <v>0</v>
      </c>
      <c r="AF303" s="11"/>
      <c r="AG303" s="11" t="e">
        <f>VLOOKUP(L303,'[1]update kontrak'!E:K,6,FALSE)</f>
        <v>#N/A</v>
      </c>
      <c r="AH303" s="11" t="e">
        <f>VLOOKUP(L303,'[1]update kontrak'!E:K,7,FALSE)</f>
        <v>#N/A</v>
      </c>
      <c r="AI303" s="11"/>
      <c r="AJ303" s="11" t="str">
        <f>VLOOKUP(L303,[1]rekap!D:M,1,FALSE)</f>
        <v>Negeri Lima</v>
      </c>
      <c r="AK303" s="11">
        <f>VLOOKUP(L303,'[1]singkron data'!D:E,2,FALSE)</f>
        <v>0</v>
      </c>
      <c r="AL303" s="11" t="str">
        <f>VLOOKUP(L303,'[1]update 521'!D:D,1,FALSE)</f>
        <v>Negeri Lima</v>
      </c>
      <c r="AM303" s="11" t="s">
        <v>96</v>
      </c>
      <c r="AN303" s="11" t="e">
        <f>VLOOKUP(L303,[1]Sheet19!E:L,8,FALSE)</f>
        <v>#N/A</v>
      </c>
      <c r="AO303" s="11" t="e">
        <f>VLOOKUP(L303,[1]Sheet19!E:K,7,FALSE)</f>
        <v>#N/A</v>
      </c>
      <c r="AP303" s="12"/>
    </row>
    <row r="304" spans="1:42" ht="15" x14ac:dyDescent="0.2">
      <c r="A304" s="8" t="s">
        <v>42</v>
      </c>
      <c r="B304" s="9" t="s">
        <v>43</v>
      </c>
      <c r="C304" s="9">
        <v>160</v>
      </c>
      <c r="D304" s="9" t="s">
        <v>688</v>
      </c>
      <c r="E304" s="9">
        <v>60</v>
      </c>
      <c r="F304" s="9" t="s">
        <v>818</v>
      </c>
      <c r="G304" s="9" t="s">
        <v>690</v>
      </c>
      <c r="H304" s="9" t="s">
        <v>287</v>
      </c>
      <c r="I304" s="9" t="s">
        <v>745</v>
      </c>
      <c r="J304" s="9" t="s">
        <v>746</v>
      </c>
      <c r="K304" s="9" t="s">
        <v>820</v>
      </c>
      <c r="L304" s="9" t="s">
        <v>820</v>
      </c>
      <c r="M304" s="9" t="s">
        <v>51</v>
      </c>
      <c r="N304" s="9">
        <v>250</v>
      </c>
      <c r="O304" s="9">
        <v>30</v>
      </c>
      <c r="P304" s="9">
        <v>55</v>
      </c>
      <c r="Q304" s="9">
        <v>85</v>
      </c>
      <c r="R304" s="9">
        <v>0.11</v>
      </c>
      <c r="S304" s="9">
        <v>-3.5838380000000001</v>
      </c>
      <c r="T304" s="9">
        <v>128.175783</v>
      </c>
      <c r="U304" s="9"/>
      <c r="V304" s="11">
        <f>VLOOKUP(L304,'[1]singkron data'!D:E,2,FALSE)</f>
        <v>0</v>
      </c>
      <c r="W304" s="11">
        <f>VLOOKUP(L304,'[1]data 1129'!F:H,3,FALSE)</f>
        <v>0</v>
      </c>
      <c r="X304" s="11"/>
      <c r="Y304" s="11">
        <f>VLOOKUP(L304,'[1]singkron data'!D:H,5,FALSE)</f>
        <v>0</v>
      </c>
      <c r="Z304" s="11">
        <f>VLOOKUP(L304,'[1]singkron data'!D:I,6,FALSE)</f>
        <v>0</v>
      </c>
      <c r="AA304" s="11">
        <f>VLOOKUP(L304,'[1]singkron data'!D:L,9,FALSE)</f>
        <v>0</v>
      </c>
      <c r="AB304" s="11" t="s">
        <v>694</v>
      </c>
      <c r="AC304" s="11">
        <f>VLOOKUP(L304,'[1]singkron data'!D:M,10,FALSE)</f>
        <v>0</v>
      </c>
      <c r="AD304" s="11"/>
      <c r="AE304" s="11">
        <f>VLOOKUP(L304,'[1]singkron data'!D:P,13,FALSE)</f>
        <v>0</v>
      </c>
      <c r="AF304" s="11"/>
      <c r="AG304" s="11" t="e">
        <f>VLOOKUP(L304,'[1]update kontrak'!E:K,6,FALSE)</f>
        <v>#N/A</v>
      </c>
      <c r="AH304" s="11" t="e">
        <f>VLOOKUP(L304,'[1]update kontrak'!E:K,7,FALSE)</f>
        <v>#N/A</v>
      </c>
      <c r="AI304" s="11"/>
      <c r="AJ304" s="11" t="str">
        <f>VLOOKUP(L304,[1]rekap!D:M,1,FALSE)</f>
        <v>Hitulama</v>
      </c>
      <c r="AK304" s="11">
        <f>VLOOKUP(L304,'[1]singkron data'!D:E,2,FALSE)</f>
        <v>0</v>
      </c>
      <c r="AL304" s="11" t="str">
        <f>VLOOKUP(L304,'[1]update 521'!D:D,1,FALSE)</f>
        <v>Hitulama</v>
      </c>
      <c r="AM304" s="11" t="s">
        <v>96</v>
      </c>
      <c r="AN304" s="11" t="e">
        <f>VLOOKUP(L304,[1]Sheet19!E:L,8,FALSE)</f>
        <v>#N/A</v>
      </c>
      <c r="AO304" s="11" t="e">
        <f>VLOOKUP(L304,[1]Sheet19!E:K,7,FALSE)</f>
        <v>#N/A</v>
      </c>
      <c r="AP304" s="12"/>
    </row>
    <row r="305" spans="1:42" ht="15" x14ac:dyDescent="0.2">
      <c r="A305" s="8" t="s">
        <v>42</v>
      </c>
      <c r="B305" s="9" t="s">
        <v>43</v>
      </c>
      <c r="C305" s="9">
        <v>161</v>
      </c>
      <c r="D305" s="9" t="s">
        <v>688</v>
      </c>
      <c r="E305" s="9">
        <v>61</v>
      </c>
      <c r="F305" s="9" t="s">
        <v>821</v>
      </c>
      <c r="G305" s="9" t="s">
        <v>690</v>
      </c>
      <c r="H305" s="9" t="s">
        <v>287</v>
      </c>
      <c r="I305" s="9" t="s">
        <v>745</v>
      </c>
      <c r="J305" s="9" t="s">
        <v>822</v>
      </c>
      <c r="K305" s="9" t="s">
        <v>821</v>
      </c>
      <c r="L305" s="9" t="s">
        <v>821</v>
      </c>
      <c r="M305" s="9" t="s">
        <v>65</v>
      </c>
      <c r="N305" s="9">
        <v>200</v>
      </c>
      <c r="O305" s="9">
        <v>45</v>
      </c>
      <c r="P305" s="9">
        <v>96</v>
      </c>
      <c r="Q305" s="9">
        <v>141</v>
      </c>
      <c r="R305" s="9">
        <v>0.51</v>
      </c>
      <c r="S305" s="9">
        <v>-3.5014799999999999</v>
      </c>
      <c r="T305" s="9">
        <v>128.69155000000001</v>
      </c>
      <c r="U305" s="9"/>
      <c r="V305" s="11">
        <f>VLOOKUP(L305,'[1]singkron data'!D:E,2,FALSE)</f>
        <v>0</v>
      </c>
      <c r="W305" s="11">
        <f>VLOOKUP(L305,'[1]data 1129'!F:H,3,FALSE)</f>
        <v>0</v>
      </c>
      <c r="X305" s="11"/>
      <c r="Y305" s="11">
        <f>VLOOKUP(L305,'[1]singkron data'!D:H,5,FALSE)</f>
        <v>0</v>
      </c>
      <c r="Z305" s="11">
        <f>VLOOKUP(L305,'[1]singkron data'!D:I,6,FALSE)</f>
        <v>0</v>
      </c>
      <c r="AA305" s="11">
        <f>VLOOKUP(L305,'[1]singkron data'!D:L,9,FALSE)</f>
        <v>0</v>
      </c>
      <c r="AB305" s="11" t="s">
        <v>694</v>
      </c>
      <c r="AC305" s="11">
        <f>VLOOKUP(L305,'[1]singkron data'!D:M,10,FALSE)</f>
        <v>0</v>
      </c>
      <c r="AD305" s="11"/>
      <c r="AE305" s="11">
        <f>VLOOKUP(L305,'[1]singkron data'!D:P,13,FALSE)</f>
        <v>0</v>
      </c>
      <c r="AF305" s="11"/>
      <c r="AG305" s="11" t="e">
        <f>VLOOKUP(L305,'[1]update kontrak'!E:K,6,FALSE)</f>
        <v>#N/A</v>
      </c>
      <c r="AH305" s="11" t="e">
        <f>VLOOKUP(L305,'[1]update kontrak'!E:K,7,FALSE)</f>
        <v>#N/A</v>
      </c>
      <c r="AI305" s="11"/>
      <c r="AJ305" s="11" t="str">
        <f>VLOOKUP(L305,[1]rekap!D:M,1,FALSE)</f>
        <v>Nolloth</v>
      </c>
      <c r="AK305" s="11">
        <f>VLOOKUP(L305,'[1]singkron data'!D:E,2,FALSE)</f>
        <v>0</v>
      </c>
      <c r="AL305" s="11" t="str">
        <f>VLOOKUP(L305,'[1]update 521'!D:D,1,FALSE)</f>
        <v>Nolloth</v>
      </c>
      <c r="AM305" s="11" t="s">
        <v>96</v>
      </c>
      <c r="AN305" s="11" t="e">
        <f>VLOOKUP(L305,[1]Sheet19!E:L,8,FALSE)</f>
        <v>#N/A</v>
      </c>
      <c r="AO305" s="11" t="e">
        <f>VLOOKUP(L305,[1]Sheet19!E:K,7,FALSE)</f>
        <v>#N/A</v>
      </c>
      <c r="AP305" s="12"/>
    </row>
    <row r="306" spans="1:42" ht="15" x14ac:dyDescent="0.2">
      <c r="A306" s="8" t="s">
        <v>42</v>
      </c>
      <c r="B306" s="9" t="s">
        <v>43</v>
      </c>
      <c r="C306" s="9">
        <v>162</v>
      </c>
      <c r="D306" s="9" t="s">
        <v>688</v>
      </c>
      <c r="E306" s="9">
        <v>62</v>
      </c>
      <c r="F306" s="9" t="s">
        <v>821</v>
      </c>
      <c r="G306" s="9" t="s">
        <v>690</v>
      </c>
      <c r="H306" s="9" t="s">
        <v>287</v>
      </c>
      <c r="I306" s="9" t="s">
        <v>745</v>
      </c>
      <c r="J306" s="9" t="s">
        <v>823</v>
      </c>
      <c r="K306" s="9" t="s">
        <v>824</v>
      </c>
      <c r="L306" s="9" t="s">
        <v>824</v>
      </c>
      <c r="M306" s="9" t="s">
        <v>51</v>
      </c>
      <c r="N306" s="9">
        <v>128</v>
      </c>
      <c r="O306" s="9" t="s">
        <v>72</v>
      </c>
      <c r="P306" s="9">
        <v>8</v>
      </c>
      <c r="Q306" s="9">
        <v>8</v>
      </c>
      <c r="R306" s="9">
        <v>0.6</v>
      </c>
      <c r="S306" s="9">
        <v>-3.4980760000000002</v>
      </c>
      <c r="T306" s="9">
        <v>128.56701200000001</v>
      </c>
      <c r="U306" s="9"/>
      <c r="V306" s="11">
        <f>VLOOKUP(L306,'[1]singkron data'!D:E,2,FALSE)</f>
        <v>0</v>
      </c>
      <c r="W306" s="11">
        <f>VLOOKUP(L306,'[1]data 1129'!F:H,3,FALSE)</f>
        <v>0</v>
      </c>
      <c r="X306" s="11"/>
      <c r="Y306" s="11">
        <f>VLOOKUP(L306,'[1]singkron data'!D:H,5,FALSE)</f>
        <v>0</v>
      </c>
      <c r="Z306" s="11">
        <f>VLOOKUP(L306,'[1]singkron data'!D:I,6,FALSE)</f>
        <v>0</v>
      </c>
      <c r="AA306" s="11">
        <f>VLOOKUP(L306,'[1]singkron data'!D:L,9,FALSE)</f>
        <v>0</v>
      </c>
      <c r="AB306" s="11" t="s">
        <v>694</v>
      </c>
      <c r="AC306" s="11">
        <f>VLOOKUP(L306,'[1]singkron data'!D:M,10,FALSE)</f>
        <v>0</v>
      </c>
      <c r="AD306" s="11"/>
      <c r="AE306" s="11">
        <f>VLOOKUP(L306,'[1]singkron data'!D:P,13,FALSE)</f>
        <v>0</v>
      </c>
      <c r="AF306" s="11"/>
      <c r="AG306" s="11" t="e">
        <f>VLOOKUP(L306,'[1]update kontrak'!E:K,6,FALSE)</f>
        <v>#N/A</v>
      </c>
      <c r="AH306" s="11" t="e">
        <f>VLOOKUP(L306,'[1]update kontrak'!E:K,7,FALSE)</f>
        <v>#N/A</v>
      </c>
      <c r="AI306" s="11"/>
      <c r="AJ306" s="11" t="str">
        <f>VLOOKUP(L306,[1]rekap!D:M,1,FALSE)</f>
        <v>Kulur</v>
      </c>
      <c r="AK306" s="11">
        <f>VLOOKUP(L306,'[1]singkron data'!D:E,2,FALSE)</f>
        <v>0</v>
      </c>
      <c r="AL306" s="11" t="str">
        <f>VLOOKUP(L306,'[1]update 521'!D:D,1,FALSE)</f>
        <v>Kulur</v>
      </c>
      <c r="AM306" s="11" t="s">
        <v>96</v>
      </c>
      <c r="AN306" s="11" t="e">
        <f>VLOOKUP(L306,[1]Sheet19!E:L,8,FALSE)</f>
        <v>#N/A</v>
      </c>
      <c r="AO306" s="11" t="e">
        <f>VLOOKUP(L306,[1]Sheet19!E:K,7,FALSE)</f>
        <v>#N/A</v>
      </c>
      <c r="AP306" s="12"/>
    </row>
    <row r="307" spans="1:42" ht="15" x14ac:dyDescent="0.2">
      <c r="A307" s="8" t="s">
        <v>42</v>
      </c>
      <c r="B307" s="9" t="s">
        <v>43</v>
      </c>
      <c r="C307" s="9">
        <v>163</v>
      </c>
      <c r="D307" s="9" t="s">
        <v>688</v>
      </c>
      <c r="E307" s="9">
        <v>63</v>
      </c>
      <c r="F307" s="9" t="s">
        <v>821</v>
      </c>
      <c r="G307" s="9" t="s">
        <v>690</v>
      </c>
      <c r="H307" s="9" t="s">
        <v>287</v>
      </c>
      <c r="I307" s="9" t="s">
        <v>745</v>
      </c>
      <c r="J307" s="9" t="s">
        <v>825</v>
      </c>
      <c r="K307" s="9" t="s">
        <v>826</v>
      </c>
      <c r="L307" s="9" t="s">
        <v>826</v>
      </c>
      <c r="M307" s="9" t="s">
        <v>51</v>
      </c>
      <c r="N307" s="9">
        <v>95</v>
      </c>
      <c r="O307" s="9">
        <v>21</v>
      </c>
      <c r="P307" s="9">
        <v>33</v>
      </c>
      <c r="Q307" s="9">
        <v>54</v>
      </c>
      <c r="R307" s="9">
        <v>1</v>
      </c>
      <c r="S307" s="9">
        <v>-3.5232239999999999</v>
      </c>
      <c r="T307" s="9">
        <v>128.51714999999999</v>
      </c>
      <c r="U307" s="9"/>
      <c r="V307" s="11">
        <f>VLOOKUP(L307,'[1]singkron data'!D:E,2,FALSE)</f>
        <v>0</v>
      </c>
      <c r="W307" s="11">
        <f>VLOOKUP(L307,'[1]data 1129'!F:H,3,FALSE)</f>
        <v>0</v>
      </c>
      <c r="X307" s="11"/>
      <c r="Y307" s="11">
        <f>VLOOKUP(L307,'[1]singkron data'!D:H,5,FALSE)</f>
        <v>0</v>
      </c>
      <c r="Z307" s="11">
        <f>VLOOKUP(L307,'[1]singkron data'!D:I,6,FALSE)</f>
        <v>0</v>
      </c>
      <c r="AA307" s="11">
        <f>VLOOKUP(L307,'[1]singkron data'!D:L,9,FALSE)</f>
        <v>0</v>
      </c>
      <c r="AB307" s="11" t="s">
        <v>694</v>
      </c>
      <c r="AC307" s="11">
        <f>VLOOKUP(L307,'[1]singkron data'!D:M,10,FALSE)</f>
        <v>0</v>
      </c>
      <c r="AD307" s="11"/>
      <c r="AE307" s="11">
        <f>VLOOKUP(L307,'[1]singkron data'!D:P,13,FALSE)</f>
        <v>0</v>
      </c>
      <c r="AF307" s="11"/>
      <c r="AG307" s="11" t="e">
        <f>VLOOKUP(L307,'[1]update kontrak'!E:K,6,FALSE)</f>
        <v>#N/A</v>
      </c>
      <c r="AH307" s="11" t="e">
        <f>VLOOKUP(L307,'[1]update kontrak'!E:K,7,FALSE)</f>
        <v>#N/A</v>
      </c>
      <c r="AI307" s="11"/>
      <c r="AJ307" s="11" t="str">
        <f>VLOOKUP(L307,[1]rekap!D:M,1,FALSE)</f>
        <v>Pelauw</v>
      </c>
      <c r="AK307" s="11">
        <f>VLOOKUP(L307,'[1]singkron data'!D:E,2,FALSE)</f>
        <v>0</v>
      </c>
      <c r="AL307" s="11" t="str">
        <f>VLOOKUP(L307,'[1]update 521'!D:D,1,FALSE)</f>
        <v>Pelauw</v>
      </c>
      <c r="AM307" s="11" t="s">
        <v>96</v>
      </c>
      <c r="AN307" s="11" t="e">
        <f>VLOOKUP(L307,[1]Sheet19!E:L,8,FALSE)</f>
        <v>#N/A</v>
      </c>
      <c r="AO307" s="11" t="e">
        <f>VLOOKUP(L307,[1]Sheet19!E:K,7,FALSE)</f>
        <v>#N/A</v>
      </c>
      <c r="AP307" s="12"/>
    </row>
    <row r="308" spans="1:42" ht="15" x14ac:dyDescent="0.2">
      <c r="A308" s="8" t="s">
        <v>42</v>
      </c>
      <c r="B308" s="9" t="s">
        <v>43</v>
      </c>
      <c r="C308" s="9">
        <v>164</v>
      </c>
      <c r="D308" s="9" t="s">
        <v>688</v>
      </c>
      <c r="E308" s="9">
        <v>64</v>
      </c>
      <c r="F308" s="9" t="s">
        <v>821</v>
      </c>
      <c r="G308" s="9" t="s">
        <v>690</v>
      </c>
      <c r="H308" s="9" t="s">
        <v>287</v>
      </c>
      <c r="I308" s="9" t="s">
        <v>745</v>
      </c>
      <c r="J308" s="9" t="s">
        <v>827</v>
      </c>
      <c r="K308" s="9" t="s">
        <v>828</v>
      </c>
      <c r="L308" s="9" t="s">
        <v>828</v>
      </c>
      <c r="M308" s="9" t="s">
        <v>51</v>
      </c>
      <c r="N308" s="9">
        <v>419</v>
      </c>
      <c r="O308" s="9" t="s">
        <v>72</v>
      </c>
      <c r="P308" s="9">
        <v>145</v>
      </c>
      <c r="Q308" s="9">
        <v>145</v>
      </c>
      <c r="R308" s="9">
        <v>1.01</v>
      </c>
      <c r="S308" s="9">
        <v>-3.3488020000000001</v>
      </c>
      <c r="T308" s="9">
        <v>129.03062</v>
      </c>
      <c r="U308" s="9"/>
      <c r="V308" s="11">
        <f>VLOOKUP(L308,'[1]singkron data'!D:E,2,FALSE)</f>
        <v>0</v>
      </c>
      <c r="W308" s="11">
        <f>VLOOKUP(L308,'[1]data 1129'!F:H,3,FALSE)</f>
        <v>0</v>
      </c>
      <c r="X308" s="11"/>
      <c r="Y308" s="11">
        <f>VLOOKUP(L308,'[1]singkron data'!D:H,5,FALSE)</f>
        <v>0</v>
      </c>
      <c r="Z308" s="11">
        <f>VLOOKUP(L308,'[1]singkron data'!D:I,6,FALSE)</f>
        <v>0</v>
      </c>
      <c r="AA308" s="11">
        <f>VLOOKUP(L308,'[1]singkron data'!D:L,9,FALSE)</f>
        <v>0</v>
      </c>
      <c r="AB308" s="11" t="s">
        <v>694</v>
      </c>
      <c r="AC308" s="11">
        <f>VLOOKUP(L308,'[1]singkron data'!D:M,10,FALSE)</f>
        <v>0</v>
      </c>
      <c r="AD308" s="11"/>
      <c r="AE308" s="11">
        <f>VLOOKUP(L308,'[1]singkron data'!D:P,13,FALSE)</f>
        <v>0</v>
      </c>
      <c r="AF308" s="11"/>
      <c r="AG308" s="11" t="e">
        <f>VLOOKUP(L308,'[1]update kontrak'!E:K,6,FALSE)</f>
        <v>#N/A</v>
      </c>
      <c r="AH308" s="11" t="e">
        <f>VLOOKUP(L308,'[1]update kontrak'!E:K,7,FALSE)</f>
        <v>#N/A</v>
      </c>
      <c r="AI308" s="11"/>
      <c r="AJ308" s="11" t="str">
        <f>VLOOKUP(L308,[1]rekap!D:M,1,FALSE)</f>
        <v>Yainuelo</v>
      </c>
      <c r="AK308" s="11">
        <f>VLOOKUP(L308,'[1]singkron data'!D:E,2,FALSE)</f>
        <v>0</v>
      </c>
      <c r="AL308" s="11" t="str">
        <f>VLOOKUP(L308,'[1]update 521'!D:D,1,FALSE)</f>
        <v>Yainuelo</v>
      </c>
      <c r="AM308" s="11" t="s">
        <v>96</v>
      </c>
      <c r="AN308" s="11" t="e">
        <f>VLOOKUP(L308,[1]Sheet19!E:L,8,FALSE)</f>
        <v>#N/A</v>
      </c>
      <c r="AO308" s="11" t="e">
        <f>VLOOKUP(L308,[1]Sheet19!E:K,7,FALSE)</f>
        <v>#N/A</v>
      </c>
      <c r="AP308" s="12"/>
    </row>
    <row r="309" spans="1:42" ht="15" x14ac:dyDescent="0.2">
      <c r="A309" s="8" t="s">
        <v>42</v>
      </c>
      <c r="B309" s="9" t="s">
        <v>43</v>
      </c>
      <c r="C309" s="9">
        <v>165</v>
      </c>
      <c r="D309" s="9" t="s">
        <v>688</v>
      </c>
      <c r="E309" s="9">
        <v>65</v>
      </c>
      <c r="F309" s="9" t="s">
        <v>829</v>
      </c>
      <c r="G309" s="9" t="s">
        <v>690</v>
      </c>
      <c r="H309" s="9" t="s">
        <v>287</v>
      </c>
      <c r="I309" s="9" t="s">
        <v>830</v>
      </c>
      <c r="J309" s="9" t="s">
        <v>831</v>
      </c>
      <c r="K309" s="9" t="s">
        <v>829</v>
      </c>
      <c r="L309" s="9" t="s">
        <v>829</v>
      </c>
      <c r="M309" s="9" t="s">
        <v>65</v>
      </c>
      <c r="N309" s="9">
        <v>706</v>
      </c>
      <c r="O309" s="9">
        <v>28</v>
      </c>
      <c r="P309" s="9">
        <v>95</v>
      </c>
      <c r="Q309" s="9">
        <v>123</v>
      </c>
      <c r="R309" s="9">
        <v>1</v>
      </c>
      <c r="S309" s="9">
        <v>-8.1844280000000005</v>
      </c>
      <c r="T309" s="9">
        <v>127.641633</v>
      </c>
      <c r="U309" s="9"/>
      <c r="V309" s="11">
        <f>VLOOKUP(L309,'[1]singkron data'!D:E,2,FALSE)</f>
        <v>0</v>
      </c>
      <c r="W309" s="11">
        <f>VLOOKUP(L309,'[1]data 1129'!F:H,3,FALSE)</f>
        <v>0</v>
      </c>
      <c r="X309" s="11"/>
      <c r="Y309" s="11">
        <f>VLOOKUP(L309,'[1]singkron data'!D:H,5,FALSE)</f>
        <v>0</v>
      </c>
      <c r="Z309" s="11">
        <f>VLOOKUP(L309,'[1]singkron data'!D:I,6,FALSE)</f>
        <v>0</v>
      </c>
      <c r="AA309" s="11">
        <f>VLOOKUP(L309,'[1]singkron data'!D:L,9,FALSE)</f>
        <v>0</v>
      </c>
      <c r="AB309" s="11" t="s">
        <v>694</v>
      </c>
      <c r="AC309" s="11">
        <f>VLOOKUP(L309,'[1]singkron data'!D:M,10,FALSE)</f>
        <v>0</v>
      </c>
      <c r="AD309" s="11"/>
      <c r="AE309" s="11">
        <f>VLOOKUP(L309,'[1]singkron data'!D:P,13,FALSE)</f>
        <v>0</v>
      </c>
      <c r="AF309" s="11"/>
      <c r="AG309" s="11" t="e">
        <f>VLOOKUP(L309,'[1]update kontrak'!E:K,6,FALSE)</f>
        <v>#N/A</v>
      </c>
      <c r="AH309" s="11" t="e">
        <f>VLOOKUP(L309,'[1]update kontrak'!E:K,7,FALSE)</f>
        <v>#N/A</v>
      </c>
      <c r="AI309" s="11"/>
      <c r="AJ309" s="11" t="str">
        <f>VLOOKUP(L309,[1]rekap!D:M,1,FALSE)</f>
        <v>Nuwewang</v>
      </c>
      <c r="AK309" s="11">
        <f>VLOOKUP(L309,'[1]singkron data'!D:E,2,FALSE)</f>
        <v>0</v>
      </c>
      <c r="AL309" s="11" t="str">
        <f>VLOOKUP(L309,'[1]update 521'!D:D,1,FALSE)</f>
        <v>Nuwewang</v>
      </c>
      <c r="AM309" s="11" t="s">
        <v>96</v>
      </c>
      <c r="AN309" s="11" t="e">
        <f>VLOOKUP(L309,[1]Sheet19!E:L,8,FALSE)</f>
        <v>#N/A</v>
      </c>
      <c r="AO309" s="11" t="e">
        <f>VLOOKUP(L309,[1]Sheet19!E:K,7,FALSE)</f>
        <v>#N/A</v>
      </c>
      <c r="AP309" s="12"/>
    </row>
    <row r="310" spans="1:42" ht="15" x14ac:dyDescent="0.2">
      <c r="A310" s="8" t="s">
        <v>42</v>
      </c>
      <c r="B310" s="9" t="s">
        <v>43</v>
      </c>
      <c r="C310" s="9">
        <v>166</v>
      </c>
      <c r="D310" s="9" t="s">
        <v>688</v>
      </c>
      <c r="E310" s="9">
        <v>66</v>
      </c>
      <c r="F310" s="9" t="s">
        <v>829</v>
      </c>
      <c r="G310" s="9" t="s">
        <v>690</v>
      </c>
      <c r="H310" s="9" t="s">
        <v>287</v>
      </c>
      <c r="I310" s="9" t="s">
        <v>830</v>
      </c>
      <c r="J310" s="9" t="s">
        <v>832</v>
      </c>
      <c r="K310" s="9" t="s">
        <v>833</v>
      </c>
      <c r="L310" s="9" t="s">
        <v>833</v>
      </c>
      <c r="M310" s="9" t="s">
        <v>51</v>
      </c>
      <c r="N310" s="9">
        <v>220</v>
      </c>
      <c r="O310" s="9">
        <v>14</v>
      </c>
      <c r="P310" s="9">
        <v>40</v>
      </c>
      <c r="Q310" s="9">
        <v>54</v>
      </c>
      <c r="R310" s="9">
        <v>0.12</v>
      </c>
      <c r="S310" s="9">
        <v>-8.1458329999999997</v>
      </c>
      <c r="T310" s="9">
        <v>127.94416699999999</v>
      </c>
      <c r="U310" s="9"/>
      <c r="V310" s="11">
        <f>VLOOKUP(L310,'[1]singkron data'!D:E,2,FALSE)</f>
        <v>0</v>
      </c>
      <c r="W310" s="11">
        <f>VLOOKUP(L310,'[1]data 1129'!F:H,3,FALSE)</f>
        <v>0</v>
      </c>
      <c r="X310" s="11"/>
      <c r="Y310" s="11">
        <f>VLOOKUP(L310,'[1]singkron data'!D:H,5,FALSE)</f>
        <v>0</v>
      </c>
      <c r="Z310" s="11">
        <f>VLOOKUP(L310,'[1]singkron data'!D:I,6,FALSE)</f>
        <v>0</v>
      </c>
      <c r="AA310" s="11">
        <f>VLOOKUP(L310,'[1]singkron data'!D:L,9,FALSE)</f>
        <v>0</v>
      </c>
      <c r="AB310" s="11" t="s">
        <v>694</v>
      </c>
      <c r="AC310" s="11">
        <f>VLOOKUP(L310,'[1]singkron data'!D:M,10,FALSE)</f>
        <v>0</v>
      </c>
      <c r="AD310" s="11"/>
      <c r="AE310" s="11">
        <f>VLOOKUP(L310,'[1]singkron data'!D:P,13,FALSE)</f>
        <v>0</v>
      </c>
      <c r="AF310" s="11"/>
      <c r="AG310" s="11" t="e">
        <f>VLOOKUP(L310,'[1]update kontrak'!E:K,6,FALSE)</f>
        <v>#N/A</v>
      </c>
      <c r="AH310" s="11" t="e">
        <f>VLOOKUP(L310,'[1]update kontrak'!E:K,7,FALSE)</f>
        <v>#N/A</v>
      </c>
      <c r="AI310" s="11"/>
      <c r="AJ310" s="11" t="str">
        <f>VLOOKUP(L310,[1]rekap!D:M,1,FALSE)</f>
        <v>Klis</v>
      </c>
      <c r="AK310" s="11">
        <f>VLOOKUP(L310,'[1]singkron data'!D:E,2,FALSE)</f>
        <v>0</v>
      </c>
      <c r="AL310" s="11" t="str">
        <f>VLOOKUP(L310,'[1]update 521'!D:D,1,FALSE)</f>
        <v>Klis</v>
      </c>
      <c r="AM310" s="11" t="s">
        <v>96</v>
      </c>
      <c r="AN310" s="11" t="e">
        <f>VLOOKUP(L310,[1]Sheet19!E:L,8,FALSE)</f>
        <v>#N/A</v>
      </c>
      <c r="AO310" s="11" t="e">
        <f>VLOOKUP(L310,[1]Sheet19!E:K,7,FALSE)</f>
        <v>#N/A</v>
      </c>
      <c r="AP310" s="12"/>
    </row>
    <row r="311" spans="1:42" ht="15" x14ac:dyDescent="0.2">
      <c r="A311" s="8" t="s">
        <v>42</v>
      </c>
      <c r="B311" s="9" t="s">
        <v>43</v>
      </c>
      <c r="C311" s="9">
        <v>167</v>
      </c>
      <c r="D311" s="9" t="s">
        <v>688</v>
      </c>
      <c r="E311" s="9">
        <v>67</v>
      </c>
      <c r="F311" s="9" t="s">
        <v>834</v>
      </c>
      <c r="G311" s="9" t="s">
        <v>690</v>
      </c>
      <c r="H311" s="9" t="s">
        <v>287</v>
      </c>
      <c r="I311" s="9" t="s">
        <v>835</v>
      </c>
      <c r="J311" s="9" t="s">
        <v>836</v>
      </c>
      <c r="K311" s="9" t="s">
        <v>837</v>
      </c>
      <c r="L311" s="9" t="s">
        <v>837</v>
      </c>
      <c r="M311" s="9" t="s">
        <v>51</v>
      </c>
      <c r="N311" s="9">
        <v>30</v>
      </c>
      <c r="O311" s="9">
        <v>3</v>
      </c>
      <c r="P311" s="9">
        <v>37</v>
      </c>
      <c r="Q311" s="9">
        <v>40</v>
      </c>
      <c r="R311" s="9">
        <v>1</v>
      </c>
      <c r="S311" s="9">
        <v>-3.703354</v>
      </c>
      <c r="T311" s="9">
        <v>128.271366</v>
      </c>
      <c r="U311" s="9"/>
      <c r="V311" s="11">
        <f>VLOOKUP(L311,'[1]singkron data'!D:E,2,FALSE)</f>
        <v>0</v>
      </c>
      <c r="W311" s="11">
        <f>VLOOKUP(L311,'[1]data 1129'!F:H,3,FALSE)</f>
        <v>0</v>
      </c>
      <c r="X311" s="11"/>
      <c r="Y311" s="11">
        <f>VLOOKUP(L311,'[1]singkron data'!D:H,5,FALSE)</f>
        <v>0</v>
      </c>
      <c r="Z311" s="11">
        <f>VLOOKUP(L311,'[1]singkron data'!D:I,6,FALSE)</f>
        <v>0</v>
      </c>
      <c r="AA311" s="11">
        <f>VLOOKUP(L311,'[1]singkron data'!D:L,9,FALSE)</f>
        <v>0</v>
      </c>
      <c r="AB311" s="11" t="s">
        <v>694</v>
      </c>
      <c r="AC311" s="11">
        <f>VLOOKUP(L311,'[1]singkron data'!D:M,10,FALSE)</f>
        <v>0</v>
      </c>
      <c r="AD311" s="11"/>
      <c r="AE311" s="11">
        <f>VLOOKUP(L311,'[1]singkron data'!D:P,13,FALSE)</f>
        <v>0</v>
      </c>
      <c r="AF311" s="11"/>
      <c r="AG311" s="11" t="e">
        <f>VLOOKUP(L311,'[1]update kontrak'!E:K,6,FALSE)</f>
        <v>#N/A</v>
      </c>
      <c r="AH311" s="11" t="e">
        <f>VLOOKUP(L311,'[1]update kontrak'!E:K,7,FALSE)</f>
        <v>#N/A</v>
      </c>
      <c r="AI311" s="11"/>
      <c r="AJ311" s="11" t="str">
        <f>VLOOKUP(L311,[1]rekap!D:M,1,FALSE)</f>
        <v>Rutong</v>
      </c>
      <c r="AK311" s="11">
        <f>VLOOKUP(L311,'[1]singkron data'!D:E,2,FALSE)</f>
        <v>0</v>
      </c>
      <c r="AL311" s="11" t="str">
        <f>VLOOKUP(L311,'[1]update 521'!D:D,1,FALSE)</f>
        <v>Rutong</v>
      </c>
      <c r="AM311" s="11" t="s">
        <v>96</v>
      </c>
      <c r="AN311" s="11" t="e">
        <f>VLOOKUP(L311,[1]Sheet19!E:L,8,FALSE)</f>
        <v>#N/A</v>
      </c>
      <c r="AO311" s="11" t="e">
        <f>VLOOKUP(L311,[1]Sheet19!E:K,7,FALSE)</f>
        <v>#N/A</v>
      </c>
      <c r="AP311" s="12"/>
    </row>
    <row r="312" spans="1:42" ht="15" x14ac:dyDescent="0.2">
      <c r="A312" s="8" t="s">
        <v>42</v>
      </c>
      <c r="B312" s="9" t="s">
        <v>43</v>
      </c>
      <c r="C312" s="9">
        <v>168</v>
      </c>
      <c r="D312" s="9" t="s">
        <v>688</v>
      </c>
      <c r="E312" s="9">
        <v>68</v>
      </c>
      <c r="F312" s="9" t="s">
        <v>834</v>
      </c>
      <c r="G312" s="9" t="s">
        <v>690</v>
      </c>
      <c r="H312" s="9" t="s">
        <v>287</v>
      </c>
      <c r="I312" s="9" t="s">
        <v>835</v>
      </c>
      <c r="J312" s="9" t="s">
        <v>838</v>
      </c>
      <c r="K312" s="9" t="s">
        <v>839</v>
      </c>
      <c r="L312" s="9" t="s">
        <v>839</v>
      </c>
      <c r="M312" s="9" t="s">
        <v>51</v>
      </c>
      <c r="N312" s="9">
        <v>362</v>
      </c>
      <c r="O312" s="9">
        <v>117</v>
      </c>
      <c r="P312" s="9">
        <v>29</v>
      </c>
      <c r="Q312" s="9">
        <v>146</v>
      </c>
      <c r="R312" s="9">
        <v>0.5</v>
      </c>
      <c r="S312" s="9">
        <v>-3.7495759999999998</v>
      </c>
      <c r="T312" s="9">
        <v>128.16411299999999</v>
      </c>
      <c r="U312" s="9"/>
      <c r="V312" s="11">
        <f>VLOOKUP(L312,'[1]singkron data'!D:E,2,FALSE)</f>
        <v>0</v>
      </c>
      <c r="W312" s="11">
        <f>VLOOKUP(L312,'[1]data 1129'!F:H,3,FALSE)</f>
        <v>0</v>
      </c>
      <c r="X312" s="11"/>
      <c r="Y312" s="11">
        <f>VLOOKUP(L312,'[1]singkron data'!D:H,5,FALSE)</f>
        <v>0</v>
      </c>
      <c r="Z312" s="11">
        <f>VLOOKUP(L312,'[1]singkron data'!D:I,6,FALSE)</f>
        <v>0</v>
      </c>
      <c r="AA312" s="11">
        <f>VLOOKUP(L312,'[1]singkron data'!D:L,9,FALSE)</f>
        <v>0</v>
      </c>
      <c r="AB312" s="11" t="s">
        <v>694</v>
      </c>
      <c r="AC312" s="11">
        <f>VLOOKUP(L312,'[1]singkron data'!D:M,10,FALSE)</f>
        <v>0</v>
      </c>
      <c r="AD312" s="11"/>
      <c r="AE312" s="11">
        <f>VLOOKUP(L312,'[1]singkron data'!D:P,13,FALSE)</f>
        <v>0</v>
      </c>
      <c r="AF312" s="11"/>
      <c r="AG312" s="11" t="e">
        <f>VLOOKUP(L312,'[1]update kontrak'!E:K,6,FALSE)</f>
        <v>#N/A</v>
      </c>
      <c r="AH312" s="11" t="e">
        <f>VLOOKUP(L312,'[1]update kontrak'!E:K,7,FALSE)</f>
        <v>#N/A</v>
      </c>
      <c r="AI312" s="11"/>
      <c r="AJ312" s="11" t="str">
        <f>VLOOKUP(L312,[1]rekap!D:M,1,FALSE)</f>
        <v>Urimessing</v>
      </c>
      <c r="AK312" s="11">
        <f>VLOOKUP(L312,'[1]singkron data'!D:E,2,FALSE)</f>
        <v>0</v>
      </c>
      <c r="AL312" s="11" t="str">
        <f>VLOOKUP(L312,'[1]update 521'!D:D,1,FALSE)</f>
        <v>Urimessing</v>
      </c>
      <c r="AM312" s="11" t="s">
        <v>96</v>
      </c>
      <c r="AN312" s="11" t="e">
        <f>VLOOKUP(L312,[1]Sheet19!E:L,8,FALSE)</f>
        <v>#N/A</v>
      </c>
      <c r="AO312" s="11" t="e">
        <f>VLOOKUP(L312,[1]Sheet19!E:K,7,FALSE)</f>
        <v>#N/A</v>
      </c>
      <c r="AP312" s="12"/>
    </row>
    <row r="313" spans="1:42" ht="15" x14ac:dyDescent="0.2">
      <c r="A313" s="8" t="s">
        <v>42</v>
      </c>
      <c r="B313" s="9" t="s">
        <v>43</v>
      </c>
      <c r="C313" s="9">
        <v>169</v>
      </c>
      <c r="D313" s="9" t="s">
        <v>688</v>
      </c>
      <c r="E313" s="9">
        <v>69</v>
      </c>
      <c r="F313" s="9" t="s">
        <v>834</v>
      </c>
      <c r="G313" s="9" t="s">
        <v>690</v>
      </c>
      <c r="H313" s="9" t="s">
        <v>287</v>
      </c>
      <c r="I313" s="9" t="s">
        <v>835</v>
      </c>
      <c r="J313" s="9" t="s">
        <v>838</v>
      </c>
      <c r="K313" s="9" t="s">
        <v>840</v>
      </c>
      <c r="L313" s="9" t="s">
        <v>840</v>
      </c>
      <c r="M313" s="9" t="s">
        <v>51</v>
      </c>
      <c r="N313" s="9">
        <v>9100</v>
      </c>
      <c r="O313" s="9">
        <v>15</v>
      </c>
      <c r="P313" s="9">
        <v>32</v>
      </c>
      <c r="Q313" s="9">
        <v>47</v>
      </c>
      <c r="R313" s="9">
        <v>0.56999999999999995</v>
      </c>
      <c r="S313" s="9">
        <v>-3.7781500000000001</v>
      </c>
      <c r="T313" s="9">
        <v>128.121961</v>
      </c>
      <c r="U313" s="9"/>
      <c r="V313" s="11">
        <f>VLOOKUP(L313,'[1]singkron data'!D:E,2,FALSE)</f>
        <v>0</v>
      </c>
      <c r="W313" s="11">
        <f>VLOOKUP(L313,'[1]data 1129'!F:H,3,FALSE)</f>
        <v>0</v>
      </c>
      <c r="X313" s="11"/>
      <c r="Y313" s="11">
        <f>VLOOKUP(L313,'[1]singkron data'!D:H,5,FALSE)</f>
        <v>0</v>
      </c>
      <c r="Z313" s="11">
        <f>VLOOKUP(L313,'[1]singkron data'!D:I,6,FALSE)</f>
        <v>0</v>
      </c>
      <c r="AA313" s="11">
        <f>VLOOKUP(L313,'[1]singkron data'!D:L,9,FALSE)</f>
        <v>0</v>
      </c>
      <c r="AB313" s="11" t="s">
        <v>694</v>
      </c>
      <c r="AC313" s="11">
        <f>VLOOKUP(L313,'[1]singkron data'!D:M,10,FALSE)</f>
        <v>0</v>
      </c>
      <c r="AD313" s="11"/>
      <c r="AE313" s="11">
        <f>VLOOKUP(L313,'[1]singkron data'!D:P,13,FALSE)</f>
        <v>0</v>
      </c>
      <c r="AF313" s="11"/>
      <c r="AG313" s="11" t="e">
        <f>VLOOKUP(L313,'[1]update kontrak'!E:K,6,FALSE)</f>
        <v>#N/A</v>
      </c>
      <c r="AH313" s="11" t="e">
        <f>VLOOKUP(L313,'[1]update kontrak'!E:K,7,FALSE)</f>
        <v>#N/A</v>
      </c>
      <c r="AI313" s="11"/>
      <c r="AJ313" s="11" t="str">
        <f>VLOOKUP(L313,[1]rekap!D:M,1,FALSE)</f>
        <v>Latuhalat</v>
      </c>
      <c r="AK313" s="11">
        <f>VLOOKUP(L313,'[1]singkron data'!D:E,2,FALSE)</f>
        <v>0</v>
      </c>
      <c r="AL313" s="11" t="str">
        <f>VLOOKUP(L313,'[1]update 521'!D:D,1,FALSE)</f>
        <v>Latuhalat</v>
      </c>
      <c r="AM313" s="11" t="s">
        <v>96</v>
      </c>
      <c r="AN313" s="11" t="e">
        <f>VLOOKUP(L313,[1]Sheet19!E:L,8,FALSE)</f>
        <v>#N/A</v>
      </c>
      <c r="AO313" s="11" t="e">
        <f>VLOOKUP(L313,[1]Sheet19!E:K,7,FALSE)</f>
        <v>#N/A</v>
      </c>
      <c r="AP313" s="12"/>
    </row>
    <row r="314" spans="1:42" ht="15" x14ac:dyDescent="0.2">
      <c r="A314" s="8" t="s">
        <v>42</v>
      </c>
      <c r="B314" s="9" t="s">
        <v>43</v>
      </c>
      <c r="C314" s="9">
        <v>170</v>
      </c>
      <c r="D314" s="9" t="s">
        <v>688</v>
      </c>
      <c r="E314" s="9">
        <v>70</v>
      </c>
      <c r="F314" s="9" t="s">
        <v>834</v>
      </c>
      <c r="G314" s="9" t="s">
        <v>690</v>
      </c>
      <c r="H314" s="9" t="s">
        <v>287</v>
      </c>
      <c r="I314" s="9" t="s">
        <v>835</v>
      </c>
      <c r="J314" s="9" t="s">
        <v>841</v>
      </c>
      <c r="K314" s="9" t="s">
        <v>842</v>
      </c>
      <c r="L314" s="9" t="s">
        <v>842</v>
      </c>
      <c r="M314" s="9" t="s">
        <v>81</v>
      </c>
      <c r="N314" s="9">
        <v>400</v>
      </c>
      <c r="O314" s="9">
        <v>50</v>
      </c>
      <c r="P314" s="9">
        <v>121</v>
      </c>
      <c r="Q314" s="9">
        <v>171</v>
      </c>
      <c r="R314" s="9">
        <v>0.4</v>
      </c>
      <c r="S314" s="9">
        <v>-3.7061280000000001</v>
      </c>
      <c r="T314" s="9">
        <v>128.10295600000001</v>
      </c>
      <c r="U314" s="9"/>
      <c r="V314" s="11">
        <f>VLOOKUP(L314,'[1]singkron data'!D:E,2,FALSE)</f>
        <v>0</v>
      </c>
      <c r="W314" s="11">
        <f>VLOOKUP(L314,'[1]data 1129'!F:H,3,FALSE)</f>
        <v>0</v>
      </c>
      <c r="X314" s="11"/>
      <c r="Y314" s="11">
        <f>VLOOKUP(L314,'[1]singkron data'!D:H,5,FALSE)</f>
        <v>0</v>
      </c>
      <c r="Z314" s="11">
        <f>VLOOKUP(L314,'[1]singkron data'!D:I,6,FALSE)</f>
        <v>0</v>
      </c>
      <c r="AA314" s="11">
        <f>VLOOKUP(L314,'[1]singkron data'!D:L,9,FALSE)</f>
        <v>0</v>
      </c>
      <c r="AB314" s="11" t="s">
        <v>694</v>
      </c>
      <c r="AC314" s="11">
        <f>VLOOKUP(L314,'[1]singkron data'!D:M,10,FALSE)</f>
        <v>0</v>
      </c>
      <c r="AD314" s="11"/>
      <c r="AE314" s="11">
        <f>VLOOKUP(L314,'[1]singkron data'!D:P,13,FALSE)</f>
        <v>0</v>
      </c>
      <c r="AF314" s="11"/>
      <c r="AG314" s="11" t="e">
        <f>VLOOKUP(L314,'[1]update kontrak'!E:K,6,FALSE)</f>
        <v>#N/A</v>
      </c>
      <c r="AH314" s="11" t="e">
        <f>VLOOKUP(L314,'[1]update kontrak'!E:K,7,FALSE)</f>
        <v>#N/A</v>
      </c>
      <c r="AI314" s="11"/>
      <c r="AJ314" s="11" t="str">
        <f>VLOOKUP(L314,[1]rekap!D:M,1,FALSE)</f>
        <v>Laha</v>
      </c>
      <c r="AK314" s="11">
        <f>VLOOKUP(L314,'[1]singkron data'!D:E,2,FALSE)</f>
        <v>0</v>
      </c>
      <c r="AL314" s="11" t="str">
        <f>VLOOKUP(L314,'[1]update 521'!D:D,1,FALSE)</f>
        <v>Laha</v>
      </c>
      <c r="AM314" s="11" t="s">
        <v>96</v>
      </c>
      <c r="AN314" s="11" t="e">
        <f>VLOOKUP(L314,[1]Sheet19!E:L,8,FALSE)</f>
        <v>#N/A</v>
      </c>
      <c r="AO314" s="11" t="e">
        <f>VLOOKUP(L314,[1]Sheet19!E:K,7,FALSE)</f>
        <v>#N/A</v>
      </c>
      <c r="AP314" s="12"/>
    </row>
    <row r="315" spans="1:42" ht="15" x14ac:dyDescent="0.2">
      <c r="A315" s="8" t="s">
        <v>42</v>
      </c>
      <c r="B315" s="9" t="s">
        <v>43</v>
      </c>
      <c r="C315" s="9">
        <v>171</v>
      </c>
      <c r="D315" s="9" t="s">
        <v>688</v>
      </c>
      <c r="E315" s="9">
        <v>71</v>
      </c>
      <c r="F315" s="9" t="s">
        <v>799</v>
      </c>
      <c r="G315" s="9" t="s">
        <v>715</v>
      </c>
      <c r="H315" s="9" t="s">
        <v>287</v>
      </c>
      <c r="I315" s="9" t="s">
        <v>716</v>
      </c>
      <c r="J315" s="9" t="s">
        <v>843</v>
      </c>
      <c r="K315" s="9" t="s">
        <v>844</v>
      </c>
      <c r="L315" s="9" t="s">
        <v>844</v>
      </c>
      <c r="M315" s="9" t="s">
        <v>51</v>
      </c>
      <c r="N315" s="9">
        <v>991</v>
      </c>
      <c r="O315" s="9">
        <v>15</v>
      </c>
      <c r="P315" s="9">
        <v>30</v>
      </c>
      <c r="Q315" s="9">
        <v>45</v>
      </c>
      <c r="R315" s="9">
        <v>1.1200000000000001</v>
      </c>
      <c r="S315" s="9">
        <v>-0.84969600000000001</v>
      </c>
      <c r="T315" s="9">
        <v>128.10519300000001</v>
      </c>
      <c r="U315" s="9"/>
      <c r="V315" s="11">
        <f>VLOOKUP(L315,'[1]singkron data'!D:E,2,FALSE)</f>
        <v>0</v>
      </c>
      <c r="W315" s="13" t="str">
        <f>VLOOKUP(L315,[1]Sheet18!E:F,2,FALSE)</f>
        <v>belum ada</v>
      </c>
      <c r="X315" s="11"/>
      <c r="Y315" s="11">
        <f>VLOOKUP(L315,'[1]singkron data'!D:H,5,FALSE)</f>
        <v>0</v>
      </c>
      <c r="Z315" s="11">
        <f>VLOOKUP(L315,'[1]singkron data'!D:I,6,FALSE)</f>
        <v>0</v>
      </c>
      <c r="AA315" s="11">
        <f>VLOOKUP(L315,'[1]singkron data'!D:L,9,FALSE)</f>
        <v>0</v>
      </c>
      <c r="AB315" s="11" t="s">
        <v>694</v>
      </c>
      <c r="AC315" s="11">
        <f>VLOOKUP(L315,'[1]singkron data'!D:M,10,FALSE)</f>
        <v>0</v>
      </c>
      <c r="AD315" s="11"/>
      <c r="AE315" s="11">
        <f>VLOOKUP(L315,'[1]singkron data'!D:P,13,FALSE)</f>
        <v>0</v>
      </c>
      <c r="AF315" s="11" t="s">
        <v>55</v>
      </c>
      <c r="AG315" s="11" t="e">
        <f>VLOOKUP(L315,'[1]update kontrak'!E:K,6,FALSE)</f>
        <v>#N/A</v>
      </c>
      <c r="AH315" s="11" t="e">
        <f>VLOOKUP(L315,'[1]update kontrak'!E:K,7,FALSE)</f>
        <v>#N/A</v>
      </c>
      <c r="AI315" s="11"/>
      <c r="AJ315" s="11" t="str">
        <f>VLOOKUP(L315,[1]rekap!D:M,1,FALSE)</f>
        <v>Dowora</v>
      </c>
      <c r="AK315" s="11">
        <f>VLOOKUP(L315,'[1]singkron data'!D:E,2,FALSE)</f>
        <v>0</v>
      </c>
      <c r="AL315" s="11" t="str">
        <f>VLOOKUP(L315,'[1]update 521'!D:D,1,FALSE)</f>
        <v>Dowora</v>
      </c>
      <c r="AM315" s="11" t="s">
        <v>96</v>
      </c>
      <c r="AN315" s="11" t="e">
        <f>VLOOKUP(L315,[1]Sheet19!E:L,8,FALSE)</f>
        <v>#N/A</v>
      </c>
      <c r="AO315" s="11" t="e">
        <f>VLOOKUP(L315,[1]Sheet19!E:K,7,FALSE)</f>
        <v>#N/A</v>
      </c>
      <c r="AP315" s="12"/>
    </row>
    <row r="316" spans="1:42" ht="15" x14ac:dyDescent="0.2">
      <c r="A316" s="8" t="s">
        <v>42</v>
      </c>
      <c r="B316" s="9" t="s">
        <v>43</v>
      </c>
      <c r="C316" s="9">
        <v>172</v>
      </c>
      <c r="D316" s="9" t="s">
        <v>688</v>
      </c>
      <c r="E316" s="9">
        <v>72</v>
      </c>
      <c r="F316" s="9" t="s">
        <v>799</v>
      </c>
      <c r="G316" s="9" t="s">
        <v>715</v>
      </c>
      <c r="H316" s="9" t="s">
        <v>287</v>
      </c>
      <c r="I316" s="9" t="s">
        <v>716</v>
      </c>
      <c r="J316" s="9" t="s">
        <v>845</v>
      </c>
      <c r="K316" s="9" t="s">
        <v>846</v>
      </c>
      <c r="L316" s="9" t="s">
        <v>846</v>
      </c>
      <c r="M316" s="9" t="s">
        <v>51</v>
      </c>
      <c r="N316" s="9">
        <v>100</v>
      </c>
      <c r="O316" s="9" t="s">
        <v>72</v>
      </c>
      <c r="P316" s="9">
        <v>75</v>
      </c>
      <c r="Q316" s="9">
        <v>75</v>
      </c>
      <c r="R316" s="9">
        <v>0.08</v>
      </c>
      <c r="S316" s="9">
        <v>-1.0893379999999999</v>
      </c>
      <c r="T316" s="9">
        <v>128.31720799999999</v>
      </c>
      <c r="U316" s="9"/>
      <c r="V316" s="11">
        <f>VLOOKUP(L316,'[1]singkron data'!D:E,2,FALSE)</f>
        <v>0</v>
      </c>
      <c r="W316" s="13" t="str">
        <f>VLOOKUP(L316,[1]Sheet18!E:F,2,FALSE)</f>
        <v>belum ada</v>
      </c>
      <c r="X316" s="11"/>
      <c r="Y316" s="11">
        <f>VLOOKUP(L316,'[1]singkron data'!D:H,5,FALSE)</f>
        <v>0</v>
      </c>
      <c r="Z316" s="11">
        <f>VLOOKUP(L316,'[1]singkron data'!D:I,6,FALSE)</f>
        <v>0</v>
      </c>
      <c r="AA316" s="11">
        <f>VLOOKUP(L316,'[1]singkron data'!D:L,9,FALSE)</f>
        <v>0</v>
      </c>
      <c r="AB316" s="11" t="s">
        <v>694</v>
      </c>
      <c r="AC316" s="11">
        <f>VLOOKUP(L316,'[1]singkron data'!D:M,10,FALSE)</f>
        <v>0</v>
      </c>
      <c r="AD316" s="11"/>
      <c r="AE316" s="11">
        <f>VLOOKUP(L316,'[1]singkron data'!D:P,13,FALSE)</f>
        <v>0</v>
      </c>
      <c r="AF316" s="11" t="s">
        <v>55</v>
      </c>
      <c r="AG316" s="11" t="e">
        <f>VLOOKUP(L316,'[1]update kontrak'!E:K,6,FALSE)</f>
        <v>#N/A</v>
      </c>
      <c r="AH316" s="11" t="e">
        <f>VLOOKUP(L316,'[1]update kontrak'!E:K,7,FALSE)</f>
        <v>#N/A</v>
      </c>
      <c r="AI316" s="11"/>
      <c r="AJ316" s="11" t="str">
        <f>VLOOKUP(L316,[1]rekap!D:M,1,FALSE)</f>
        <v>Gonone</v>
      </c>
      <c r="AK316" s="11">
        <f>VLOOKUP(L316,'[1]singkron data'!D:E,2,FALSE)</f>
        <v>0</v>
      </c>
      <c r="AL316" s="11" t="str">
        <f>VLOOKUP(L316,'[1]update 521'!D:D,1,FALSE)</f>
        <v>Gonone</v>
      </c>
      <c r="AM316" s="11" t="s">
        <v>96</v>
      </c>
      <c r="AN316" s="11" t="e">
        <f>VLOOKUP(L316,[1]Sheet19!E:L,8,FALSE)</f>
        <v>#N/A</v>
      </c>
      <c r="AO316" s="11" t="e">
        <f>VLOOKUP(L316,[1]Sheet19!E:K,7,FALSE)</f>
        <v>#N/A</v>
      </c>
      <c r="AP316" s="12"/>
    </row>
    <row r="317" spans="1:42" ht="15" x14ac:dyDescent="0.2">
      <c r="A317" s="8" t="s">
        <v>42</v>
      </c>
      <c r="B317" s="9" t="s">
        <v>43</v>
      </c>
      <c r="C317" s="9">
        <v>173</v>
      </c>
      <c r="D317" s="9" t="s">
        <v>688</v>
      </c>
      <c r="E317" s="9">
        <v>73</v>
      </c>
      <c r="F317" s="9" t="s">
        <v>799</v>
      </c>
      <c r="G317" s="9" t="s">
        <v>715</v>
      </c>
      <c r="H317" s="9" t="s">
        <v>287</v>
      </c>
      <c r="I317" s="9" t="s">
        <v>716</v>
      </c>
      <c r="J317" s="9" t="s">
        <v>845</v>
      </c>
      <c r="K317" s="9" t="s">
        <v>847</v>
      </c>
      <c r="L317" s="9" t="s">
        <v>847</v>
      </c>
      <c r="M317" s="9" t="s">
        <v>51</v>
      </c>
      <c r="N317" s="9">
        <v>1010</v>
      </c>
      <c r="O317" s="9">
        <v>30</v>
      </c>
      <c r="P317" s="9">
        <v>63</v>
      </c>
      <c r="Q317" s="9">
        <v>93</v>
      </c>
      <c r="R317" s="9">
        <v>1</v>
      </c>
      <c r="S317" s="9">
        <v>-0.94565100000000002</v>
      </c>
      <c r="T317" s="9">
        <v>128.313098</v>
      </c>
      <c r="U317" s="9"/>
      <c r="V317" s="11">
        <f>VLOOKUP(L317,'[1]singkron data'!D:E,2,FALSE)</f>
        <v>0</v>
      </c>
      <c r="W317" s="11"/>
      <c r="X317" s="11"/>
      <c r="Y317" s="11">
        <f>VLOOKUP(L317,'[1]singkron data'!D:H,5,FALSE)</f>
        <v>0</v>
      </c>
      <c r="Z317" s="11">
        <f>VLOOKUP(L317,'[1]singkron data'!D:I,6,FALSE)</f>
        <v>0</v>
      </c>
      <c r="AA317" s="11">
        <f>VLOOKUP(L317,'[1]singkron data'!D:L,9,FALSE)</f>
        <v>0</v>
      </c>
      <c r="AB317" s="11" t="s">
        <v>694</v>
      </c>
      <c r="AC317" s="11">
        <f>VLOOKUP(L317,'[1]singkron data'!D:M,10,FALSE)</f>
        <v>0</v>
      </c>
      <c r="AD317" s="11"/>
      <c r="AE317" s="11">
        <f>VLOOKUP(L317,'[1]singkron data'!D:P,13,FALSE)</f>
        <v>0</v>
      </c>
      <c r="AF317" s="11"/>
      <c r="AG317" s="11" t="e">
        <f>VLOOKUP(L317,'[1]update kontrak'!E:K,6,FALSE)</f>
        <v>#N/A</v>
      </c>
      <c r="AH317" s="11" t="e">
        <f>VLOOKUP(L317,'[1]update kontrak'!E:K,7,FALSE)</f>
        <v>#N/A</v>
      </c>
      <c r="AI317" s="11"/>
      <c r="AJ317" s="11" t="str">
        <f>VLOOKUP(L317,[1]rekap!D:M,1,FALSE)</f>
        <v>Kakupang</v>
      </c>
      <c r="AK317" s="11">
        <f>VLOOKUP(L317,'[1]singkron data'!D:E,2,FALSE)</f>
        <v>0</v>
      </c>
      <c r="AL317" s="11" t="str">
        <f>VLOOKUP(L317,'[1]update 521'!D:D,1,FALSE)</f>
        <v>Kakupang</v>
      </c>
      <c r="AM317" s="11" t="s">
        <v>96</v>
      </c>
      <c r="AN317" s="11" t="e">
        <f>VLOOKUP(L317,[1]Sheet19!E:L,8,FALSE)</f>
        <v>#N/A</v>
      </c>
      <c r="AO317" s="11" t="e">
        <f>VLOOKUP(L317,[1]Sheet19!E:K,7,FALSE)</f>
        <v>#N/A</v>
      </c>
      <c r="AP317" s="12"/>
    </row>
    <row r="318" spans="1:42" ht="15" x14ac:dyDescent="0.2">
      <c r="A318" s="8" t="s">
        <v>42</v>
      </c>
      <c r="B318" s="9" t="s">
        <v>43</v>
      </c>
      <c r="C318" s="9">
        <v>174</v>
      </c>
      <c r="D318" s="9" t="s">
        <v>688</v>
      </c>
      <c r="E318" s="9">
        <v>74</v>
      </c>
      <c r="F318" s="9" t="s">
        <v>799</v>
      </c>
      <c r="G318" s="9" t="s">
        <v>715</v>
      </c>
      <c r="H318" s="9" t="s">
        <v>287</v>
      </c>
      <c r="I318" s="9" t="s">
        <v>716</v>
      </c>
      <c r="J318" s="9" t="s">
        <v>845</v>
      </c>
      <c r="K318" s="9" t="s">
        <v>848</v>
      </c>
      <c r="L318" s="9" t="s">
        <v>848</v>
      </c>
      <c r="M318" s="9" t="s">
        <v>51</v>
      </c>
      <c r="N318" s="9">
        <v>500</v>
      </c>
      <c r="O318" s="9" t="s">
        <v>72</v>
      </c>
      <c r="P318" s="9">
        <v>270</v>
      </c>
      <c r="Q318" s="9">
        <v>270</v>
      </c>
      <c r="R318" s="9">
        <v>1.5</v>
      </c>
      <c r="S318" s="9">
        <v>-1.1048009999999999</v>
      </c>
      <c r="T318" s="9">
        <v>128.33641700000001</v>
      </c>
      <c r="U318" s="9"/>
      <c r="V318" s="11">
        <f>VLOOKUP(L318,'[1]singkron data'!D:E,2,FALSE)</f>
        <v>0</v>
      </c>
      <c r="W318" s="13" t="str">
        <f>VLOOKUP(L318,[1]Sheet18!E:F,2,FALSE)</f>
        <v>belum ada</v>
      </c>
      <c r="X318" s="11"/>
      <c r="Y318" s="11">
        <f>VLOOKUP(L318,'[1]singkron data'!D:H,5,FALSE)</f>
        <v>0</v>
      </c>
      <c r="Z318" s="11">
        <f>VLOOKUP(L318,'[1]singkron data'!D:I,6,FALSE)</f>
        <v>0</v>
      </c>
      <c r="AA318" s="11">
        <f>VLOOKUP(L318,'[1]singkron data'!D:L,9,FALSE)</f>
        <v>0</v>
      </c>
      <c r="AB318" s="11" t="s">
        <v>694</v>
      </c>
      <c r="AC318" s="11">
        <f>VLOOKUP(L318,'[1]singkron data'!D:M,10,FALSE)</f>
        <v>0</v>
      </c>
      <c r="AD318" s="11"/>
      <c r="AE318" s="11">
        <f>VLOOKUP(L318,'[1]singkron data'!D:P,13,FALSE)</f>
        <v>0</v>
      </c>
      <c r="AF318" s="11" t="s">
        <v>55</v>
      </c>
      <c r="AG318" s="11" t="e">
        <f>VLOOKUP(L318,'[1]update kontrak'!E:K,6,FALSE)</f>
        <v>#N/A</v>
      </c>
      <c r="AH318" s="11" t="e">
        <f>VLOOKUP(L318,'[1]update kontrak'!E:K,7,FALSE)</f>
        <v>#N/A</v>
      </c>
      <c r="AI318" s="11"/>
      <c r="AJ318" s="11" t="str">
        <f>VLOOKUP(L318,[1]rekap!D:M,1,FALSE)</f>
        <v>Pulau Gala</v>
      </c>
      <c r="AK318" s="11">
        <f>VLOOKUP(L318,'[1]singkron data'!D:E,2,FALSE)</f>
        <v>0</v>
      </c>
      <c r="AL318" s="11" t="str">
        <f>VLOOKUP(L318,'[1]update 521'!D:D,1,FALSE)</f>
        <v>Pulau Gala</v>
      </c>
      <c r="AM318" s="11" t="s">
        <v>96</v>
      </c>
      <c r="AN318" s="11" t="e">
        <f>VLOOKUP(L318,[1]Sheet19!E:L,8,FALSE)</f>
        <v>#N/A</v>
      </c>
      <c r="AO318" s="11" t="e">
        <f>VLOOKUP(L318,[1]Sheet19!E:K,7,FALSE)</f>
        <v>#N/A</v>
      </c>
      <c r="AP318" s="12"/>
    </row>
    <row r="319" spans="1:42" ht="15" x14ac:dyDescent="0.2">
      <c r="A319" s="8" t="s">
        <v>42</v>
      </c>
      <c r="B319" s="9" t="s">
        <v>43</v>
      </c>
      <c r="C319" s="9">
        <v>175</v>
      </c>
      <c r="D319" s="9" t="s">
        <v>688</v>
      </c>
      <c r="E319" s="9">
        <v>75</v>
      </c>
      <c r="F319" s="9" t="s">
        <v>714</v>
      </c>
      <c r="G319" s="9" t="s">
        <v>715</v>
      </c>
      <c r="H319" s="9" t="s">
        <v>287</v>
      </c>
      <c r="I319" s="9" t="s">
        <v>716</v>
      </c>
      <c r="J319" s="9" t="s">
        <v>849</v>
      </c>
      <c r="K319" s="9" t="s">
        <v>850</v>
      </c>
      <c r="L319" s="9" t="s">
        <v>850</v>
      </c>
      <c r="M319" s="9" t="s">
        <v>51</v>
      </c>
      <c r="N319" s="9">
        <v>225</v>
      </c>
      <c r="O319" s="9">
        <v>150</v>
      </c>
      <c r="P319" s="9">
        <v>54</v>
      </c>
      <c r="Q319" s="9">
        <v>204</v>
      </c>
      <c r="R319" s="9">
        <v>0.1</v>
      </c>
      <c r="S319" s="9">
        <v>-0.76</v>
      </c>
      <c r="T319" s="9">
        <v>127.3</v>
      </c>
      <c r="U319" s="9"/>
      <c r="V319" s="11">
        <f>VLOOKUP(L319,'[1]singkron data'!D:E,2,FALSE)</f>
        <v>0</v>
      </c>
      <c r="W319" s="13" t="str">
        <f>VLOOKUP(L319,[1]Sheet18!E:F,2,FALSE)</f>
        <v>belum ada</v>
      </c>
      <c r="X319" s="11" t="s">
        <v>55</v>
      </c>
      <c r="Y319" s="11">
        <f>VLOOKUP(L319,'[1]singkron data'!D:H,5,FALSE)</f>
        <v>0</v>
      </c>
      <c r="Z319" s="11">
        <f>VLOOKUP(L319,'[1]singkron data'!D:I,6,FALSE)</f>
        <v>0</v>
      </c>
      <c r="AA319" s="11">
        <f>VLOOKUP(L319,'[1]singkron data'!D:L,9,FALSE)</f>
        <v>0</v>
      </c>
      <c r="AB319" s="11" t="s">
        <v>694</v>
      </c>
      <c r="AC319" s="11">
        <f>VLOOKUP(L319,'[1]singkron data'!D:M,10,FALSE)</f>
        <v>0</v>
      </c>
      <c r="AD319" s="11"/>
      <c r="AE319" s="11">
        <f>VLOOKUP(L319,'[1]singkron data'!D:P,13,FALSE)</f>
        <v>0</v>
      </c>
      <c r="AF319" s="11" t="s">
        <v>55</v>
      </c>
      <c r="AG319" s="11" t="e">
        <f>VLOOKUP(L319,'[1]update kontrak'!E:K,6,FALSE)</f>
        <v>#N/A</v>
      </c>
      <c r="AH319" s="11" t="e">
        <f>VLOOKUP(L319,'[1]update kontrak'!E:K,7,FALSE)</f>
        <v>#N/A</v>
      </c>
      <c r="AI319" s="11"/>
      <c r="AJ319" s="11" t="str">
        <f>VLOOKUP(L319,[1]rekap!D:M,1,FALSE)</f>
        <v>Lele</v>
      </c>
      <c r="AK319" s="11">
        <f>VLOOKUP(L319,'[1]singkron data'!D:E,2,FALSE)</f>
        <v>0</v>
      </c>
      <c r="AL319" s="11" t="str">
        <f>VLOOKUP(L319,'[1]update 521'!D:D,1,FALSE)</f>
        <v>Lele</v>
      </c>
      <c r="AM319" s="11" t="s">
        <v>96</v>
      </c>
      <c r="AN319" s="11" t="e">
        <f>VLOOKUP(L319,[1]Sheet19!E:L,8,FALSE)</f>
        <v>#N/A</v>
      </c>
      <c r="AO319" s="11" t="e">
        <f>VLOOKUP(L319,[1]Sheet19!E:K,7,FALSE)</f>
        <v>#N/A</v>
      </c>
      <c r="AP319" s="12"/>
    </row>
    <row r="320" spans="1:42" ht="15" x14ac:dyDescent="0.2">
      <c r="A320" s="8" t="s">
        <v>42</v>
      </c>
      <c r="B320" s="9" t="s">
        <v>43</v>
      </c>
      <c r="C320" s="9">
        <v>176</v>
      </c>
      <c r="D320" s="9" t="s">
        <v>688</v>
      </c>
      <c r="E320" s="9">
        <v>76</v>
      </c>
      <c r="F320" s="9" t="s">
        <v>851</v>
      </c>
      <c r="G320" s="9" t="s">
        <v>715</v>
      </c>
      <c r="H320" s="9" t="s">
        <v>287</v>
      </c>
      <c r="I320" s="9" t="s">
        <v>852</v>
      </c>
      <c r="J320" s="9" t="s">
        <v>853</v>
      </c>
      <c r="K320" s="9" t="s">
        <v>851</v>
      </c>
      <c r="L320" s="9" t="s">
        <v>851</v>
      </c>
      <c r="M320" s="9" t="s">
        <v>65</v>
      </c>
      <c r="N320" s="9">
        <v>190</v>
      </c>
      <c r="O320" s="9">
        <v>150</v>
      </c>
      <c r="P320" s="9">
        <v>20</v>
      </c>
      <c r="Q320" s="9">
        <v>170</v>
      </c>
      <c r="R320" s="9">
        <v>0.76</v>
      </c>
      <c r="S320" s="9">
        <v>0.49149599999999999</v>
      </c>
      <c r="T320" s="9">
        <v>128.66892899999999</v>
      </c>
      <c r="U320" s="9"/>
      <c r="V320" s="11">
        <f>VLOOKUP(L320,'[1]singkron data'!D:E,2,FALSE)</f>
        <v>0</v>
      </c>
      <c r="W320" s="13" t="str">
        <f>VLOOKUP(L320,[1]Sheet18!E:F,2,FALSE)</f>
        <v>belum ada</v>
      </c>
      <c r="X320" s="11" t="s">
        <v>55</v>
      </c>
      <c r="Y320" s="11">
        <f>VLOOKUP(L320,'[1]singkron data'!D:H,5,FALSE)</f>
        <v>0</v>
      </c>
      <c r="Z320" s="11">
        <f>VLOOKUP(L320,'[1]singkron data'!D:I,6,FALSE)</f>
        <v>0</v>
      </c>
      <c r="AA320" s="11">
        <f>VLOOKUP(L320,'[1]singkron data'!D:L,9,FALSE)</f>
        <v>0</v>
      </c>
      <c r="AB320" s="11" t="s">
        <v>694</v>
      </c>
      <c r="AC320" s="11">
        <f>VLOOKUP(L320,'[1]singkron data'!D:M,10,FALSE)</f>
        <v>0</v>
      </c>
      <c r="AD320" s="11"/>
      <c r="AE320" s="11">
        <f>VLOOKUP(L320,'[1]singkron data'!D:P,13,FALSE)</f>
        <v>0</v>
      </c>
      <c r="AF320" s="11" t="s">
        <v>55</v>
      </c>
      <c r="AG320" s="11" t="e">
        <f>VLOOKUP(L320,'[1]update kontrak'!E:K,6,FALSE)</f>
        <v>#N/A</v>
      </c>
      <c r="AH320" s="11" t="e">
        <f>VLOOKUP(L320,'[1]update kontrak'!E:K,7,FALSE)</f>
        <v>#N/A</v>
      </c>
      <c r="AI320" s="11"/>
      <c r="AJ320" s="11" t="str">
        <f>VLOOKUP(L320,[1]rekap!D:M,1,FALSE)</f>
        <v>Sakam</v>
      </c>
      <c r="AK320" s="11">
        <f>VLOOKUP(L320,'[1]singkron data'!D:E,2,FALSE)</f>
        <v>0</v>
      </c>
      <c r="AL320" s="11" t="str">
        <f>VLOOKUP(L320,'[1]update 521'!D:D,1,FALSE)</f>
        <v>Sakam</v>
      </c>
      <c r="AM320" s="11" t="s">
        <v>96</v>
      </c>
      <c r="AN320" s="11" t="e">
        <f>VLOOKUP(L320,[1]Sheet19!E:L,8,FALSE)</f>
        <v>#N/A</v>
      </c>
      <c r="AO320" s="11" t="e">
        <f>VLOOKUP(L320,[1]Sheet19!E:K,7,FALSE)</f>
        <v>#N/A</v>
      </c>
      <c r="AP320" s="12"/>
    </row>
    <row r="321" spans="1:42" ht="15" x14ac:dyDescent="0.2">
      <c r="A321" s="8" t="s">
        <v>42</v>
      </c>
      <c r="B321" s="9" t="s">
        <v>43</v>
      </c>
      <c r="C321" s="9">
        <v>177</v>
      </c>
      <c r="D321" s="9" t="s">
        <v>688</v>
      </c>
      <c r="E321" s="9">
        <v>77</v>
      </c>
      <c r="F321" s="9" t="s">
        <v>851</v>
      </c>
      <c r="G321" s="9" t="s">
        <v>715</v>
      </c>
      <c r="H321" s="9" t="s">
        <v>287</v>
      </c>
      <c r="I321" s="9" t="s">
        <v>852</v>
      </c>
      <c r="J321" s="9" t="s">
        <v>854</v>
      </c>
      <c r="K321" s="9" t="s">
        <v>855</v>
      </c>
      <c r="L321" s="9" t="s">
        <v>855</v>
      </c>
      <c r="M321" s="9" t="s">
        <v>51</v>
      </c>
      <c r="N321" s="9">
        <v>200</v>
      </c>
      <c r="O321" s="9">
        <v>60</v>
      </c>
      <c r="P321" s="9">
        <v>40</v>
      </c>
      <c r="Q321" s="9">
        <v>100</v>
      </c>
      <c r="R321" s="9">
        <v>0.25</v>
      </c>
      <c r="S321" s="9">
        <v>0.317749</v>
      </c>
      <c r="T321" s="9">
        <v>128.78107499999999</v>
      </c>
      <c r="U321" s="9"/>
      <c r="V321" s="11">
        <f>VLOOKUP(L321,'[1]singkron data'!D:E,2,FALSE)</f>
        <v>0</v>
      </c>
      <c r="W321" s="11"/>
      <c r="X321" s="11"/>
      <c r="Y321" s="11">
        <f>VLOOKUP(L321,'[1]singkron data'!D:H,5,FALSE)</f>
        <v>0</v>
      </c>
      <c r="Z321" s="11">
        <f>VLOOKUP(L321,'[1]singkron data'!D:I,6,FALSE)</f>
        <v>0</v>
      </c>
      <c r="AA321" s="11">
        <f>VLOOKUP(L321,'[1]singkron data'!D:L,9,FALSE)</f>
        <v>0</v>
      </c>
      <c r="AB321" s="11" t="s">
        <v>694</v>
      </c>
      <c r="AC321" s="11">
        <f>VLOOKUP(L321,'[1]singkron data'!D:M,10,FALSE)</f>
        <v>0</v>
      </c>
      <c r="AD321" s="11"/>
      <c r="AE321" s="11">
        <f>VLOOKUP(L321,'[1]singkron data'!D:P,13,FALSE)</f>
        <v>0</v>
      </c>
      <c r="AF321" s="11"/>
      <c r="AG321" s="11" t="e">
        <f>VLOOKUP(L321,'[1]update kontrak'!E:K,6,FALSE)</f>
        <v>#N/A</v>
      </c>
      <c r="AH321" s="11" t="e">
        <f>VLOOKUP(L321,'[1]update kontrak'!E:K,7,FALSE)</f>
        <v>#N/A</v>
      </c>
      <c r="AI321" s="11"/>
      <c r="AJ321" s="11" t="str">
        <f>VLOOKUP(L321,[1]rekap!D:M,1,FALSE)</f>
        <v>Bilifitu</v>
      </c>
      <c r="AK321" s="11">
        <f>VLOOKUP(L321,'[1]singkron data'!D:E,2,FALSE)</f>
        <v>0</v>
      </c>
      <c r="AL321" s="11" t="str">
        <f>VLOOKUP(L321,'[1]update 521'!D:D,1,FALSE)</f>
        <v>Bilifitu</v>
      </c>
      <c r="AM321" s="11" t="s">
        <v>96</v>
      </c>
      <c r="AN321" s="11" t="e">
        <f>VLOOKUP(L321,[1]Sheet19!E:L,8,FALSE)</f>
        <v>#N/A</v>
      </c>
      <c r="AO321" s="11" t="e">
        <f>VLOOKUP(L321,[1]Sheet19!E:K,7,FALSE)</f>
        <v>#N/A</v>
      </c>
      <c r="AP321" s="12"/>
    </row>
    <row r="322" spans="1:42" ht="15" x14ac:dyDescent="0.2">
      <c r="A322" s="8" t="s">
        <v>42</v>
      </c>
      <c r="B322" s="9" t="s">
        <v>43</v>
      </c>
      <c r="C322" s="9">
        <v>178</v>
      </c>
      <c r="D322" s="9" t="s">
        <v>688</v>
      </c>
      <c r="E322" s="9">
        <v>78</v>
      </c>
      <c r="F322" s="9" t="s">
        <v>851</v>
      </c>
      <c r="G322" s="9" t="s">
        <v>715</v>
      </c>
      <c r="H322" s="9" t="s">
        <v>287</v>
      </c>
      <c r="I322" s="9" t="s">
        <v>852</v>
      </c>
      <c r="J322" s="9" t="s">
        <v>856</v>
      </c>
      <c r="K322" s="9" t="s">
        <v>857</v>
      </c>
      <c r="L322" s="9" t="s">
        <v>857</v>
      </c>
      <c r="M322" s="9" t="s">
        <v>51</v>
      </c>
      <c r="N322" s="9">
        <v>50</v>
      </c>
      <c r="O322" s="9">
        <v>10</v>
      </c>
      <c r="P322" s="9">
        <v>32</v>
      </c>
      <c r="Q322" s="9">
        <v>42</v>
      </c>
      <c r="R322" s="9">
        <v>0.26</v>
      </c>
      <c r="S322" s="9">
        <v>0.399117</v>
      </c>
      <c r="T322" s="9">
        <v>128.289502</v>
      </c>
      <c r="U322" s="9"/>
      <c r="V322" s="11">
        <f>VLOOKUP(L322,'[1]singkron data'!D:E,2,FALSE)</f>
        <v>0</v>
      </c>
      <c r="W322" s="11"/>
      <c r="X322" s="11"/>
      <c r="Y322" s="11">
        <f>VLOOKUP(L322,'[1]singkron data'!D:H,5,FALSE)</f>
        <v>0</v>
      </c>
      <c r="Z322" s="11">
        <f>VLOOKUP(L322,'[1]singkron data'!D:I,6,FALSE)</f>
        <v>0</v>
      </c>
      <c r="AA322" s="11">
        <f>VLOOKUP(L322,'[1]singkron data'!D:L,9,FALSE)</f>
        <v>0</v>
      </c>
      <c r="AB322" s="11" t="s">
        <v>694</v>
      </c>
      <c r="AC322" s="11">
        <f>VLOOKUP(L322,'[1]singkron data'!D:M,10,FALSE)</f>
        <v>0</v>
      </c>
      <c r="AD322" s="11"/>
      <c r="AE322" s="11">
        <f>VLOOKUP(L322,'[1]singkron data'!D:P,13,FALSE)</f>
        <v>0</v>
      </c>
      <c r="AF322" s="11"/>
      <c r="AG322" s="11" t="e">
        <f>VLOOKUP(L322,'[1]update kontrak'!E:K,6,FALSE)</f>
        <v>#N/A</v>
      </c>
      <c r="AH322" s="11" t="e">
        <f>VLOOKUP(L322,'[1]update kontrak'!E:K,7,FALSE)</f>
        <v>#N/A</v>
      </c>
      <c r="AI322" s="11"/>
      <c r="AJ322" s="11" t="str">
        <f>VLOOKUP(L322,[1]rekap!D:M,1,FALSE)</f>
        <v>Messa</v>
      </c>
      <c r="AK322" s="11">
        <f>VLOOKUP(L322,'[1]singkron data'!D:E,2,FALSE)</f>
        <v>0</v>
      </c>
      <c r="AL322" s="11" t="str">
        <f>VLOOKUP(L322,'[1]update 521'!D:D,1,FALSE)</f>
        <v>Messa</v>
      </c>
      <c r="AM322" s="11" t="s">
        <v>96</v>
      </c>
      <c r="AN322" s="11" t="e">
        <f>VLOOKUP(L322,[1]Sheet19!E:L,8,FALSE)</f>
        <v>#N/A</v>
      </c>
      <c r="AO322" s="11" t="e">
        <f>VLOOKUP(L322,[1]Sheet19!E:K,7,FALSE)</f>
        <v>#N/A</v>
      </c>
      <c r="AP322" s="12"/>
    </row>
    <row r="323" spans="1:42" ht="15" x14ac:dyDescent="0.2">
      <c r="A323" s="8" t="s">
        <v>42</v>
      </c>
      <c r="B323" s="9" t="s">
        <v>43</v>
      </c>
      <c r="C323" s="9">
        <v>179</v>
      </c>
      <c r="D323" s="9" t="s">
        <v>688</v>
      </c>
      <c r="E323" s="9">
        <v>79</v>
      </c>
      <c r="F323" s="9" t="s">
        <v>851</v>
      </c>
      <c r="G323" s="9" t="s">
        <v>715</v>
      </c>
      <c r="H323" s="9" t="s">
        <v>287</v>
      </c>
      <c r="I323" s="9" t="s">
        <v>759</v>
      </c>
      <c r="J323" s="9" t="s">
        <v>858</v>
      </c>
      <c r="K323" s="9" t="s">
        <v>859</v>
      </c>
      <c r="L323" s="9" t="s">
        <v>859</v>
      </c>
      <c r="M323" s="9" t="s">
        <v>51</v>
      </c>
      <c r="N323" s="9">
        <v>46</v>
      </c>
      <c r="O323" s="9">
        <v>15</v>
      </c>
      <c r="P323" s="9">
        <v>43</v>
      </c>
      <c r="Q323" s="9">
        <v>58</v>
      </c>
      <c r="R323" s="9">
        <v>1</v>
      </c>
      <c r="S323" s="9">
        <v>0.54961000000000004</v>
      </c>
      <c r="T323" s="9">
        <v>128.61886000000001</v>
      </c>
      <c r="U323" s="9"/>
      <c r="V323" s="11">
        <f>VLOOKUP(L323,'[1]singkron data'!D:E,2,FALSE)</f>
        <v>0</v>
      </c>
      <c r="W323" s="13" t="str">
        <f>VLOOKUP(L323,[1]Sheet18!E:F,2,FALSE)</f>
        <v>belum ada</v>
      </c>
      <c r="X323" s="11" t="s">
        <v>55</v>
      </c>
      <c r="Y323" s="11">
        <f>VLOOKUP(L323,'[1]singkron data'!D:H,5,FALSE)</f>
        <v>0</v>
      </c>
      <c r="Z323" s="11">
        <f>VLOOKUP(L323,'[1]singkron data'!D:I,6,FALSE)</f>
        <v>0</v>
      </c>
      <c r="AA323" s="11">
        <f>VLOOKUP(L323,'[1]singkron data'!D:L,9,FALSE)</f>
        <v>0</v>
      </c>
      <c r="AB323" s="11" t="s">
        <v>694</v>
      </c>
      <c r="AC323" s="11">
        <f>VLOOKUP(L323,'[1]singkron data'!D:M,10,FALSE)</f>
        <v>0</v>
      </c>
      <c r="AD323" s="11"/>
      <c r="AE323" s="11">
        <f>VLOOKUP(L323,'[1]singkron data'!D:P,13,FALSE)</f>
        <v>0</v>
      </c>
      <c r="AF323" s="11" t="s">
        <v>55</v>
      </c>
      <c r="AG323" s="11" t="e">
        <f>VLOOKUP(L323,'[1]update kontrak'!E:K,6,FALSE)</f>
        <v>#N/A</v>
      </c>
      <c r="AH323" s="11" t="e">
        <f>VLOOKUP(L323,'[1]update kontrak'!E:K,7,FALSE)</f>
        <v>#N/A</v>
      </c>
      <c r="AI323" s="11"/>
      <c r="AJ323" s="11" t="str">
        <f>VLOOKUP(L323,[1]rekap!D:M,1,FALSE)</f>
        <v>Sil</v>
      </c>
      <c r="AK323" s="11">
        <f>VLOOKUP(L323,'[1]singkron data'!D:E,2,FALSE)</f>
        <v>0</v>
      </c>
      <c r="AL323" s="11" t="str">
        <f>VLOOKUP(L323,'[1]update 521'!D:D,1,FALSE)</f>
        <v>Sil</v>
      </c>
      <c r="AM323" s="11" t="s">
        <v>96</v>
      </c>
      <c r="AN323" s="11" t="e">
        <f>VLOOKUP(L323,[1]Sheet19!E:L,8,FALSE)</f>
        <v>#N/A</v>
      </c>
      <c r="AO323" s="11" t="e">
        <f>VLOOKUP(L323,[1]Sheet19!E:K,7,FALSE)</f>
        <v>#N/A</v>
      </c>
      <c r="AP323" s="12"/>
    </row>
    <row r="324" spans="1:42" ht="15" x14ac:dyDescent="0.2">
      <c r="A324" s="8" t="s">
        <v>42</v>
      </c>
      <c r="B324" s="9" t="s">
        <v>43</v>
      </c>
      <c r="C324" s="9">
        <v>180</v>
      </c>
      <c r="D324" s="9" t="s">
        <v>688</v>
      </c>
      <c r="E324" s="9">
        <v>80</v>
      </c>
      <c r="F324" s="9" t="s">
        <v>860</v>
      </c>
      <c r="G324" s="9" t="s">
        <v>715</v>
      </c>
      <c r="H324" s="9" t="s">
        <v>287</v>
      </c>
      <c r="I324" s="9" t="s">
        <v>861</v>
      </c>
      <c r="J324" s="9" t="s">
        <v>862</v>
      </c>
      <c r="K324" s="9" t="s">
        <v>863</v>
      </c>
      <c r="L324" s="9" t="s">
        <v>863</v>
      </c>
      <c r="M324" s="9" t="s">
        <v>51</v>
      </c>
      <c r="N324" s="9">
        <v>103</v>
      </c>
      <c r="O324" s="9">
        <v>50</v>
      </c>
      <c r="P324" s="9">
        <v>18</v>
      </c>
      <c r="Q324" s="9">
        <v>68</v>
      </c>
      <c r="R324" s="9">
        <v>1</v>
      </c>
      <c r="S324" s="9">
        <v>2.4290470000000002</v>
      </c>
      <c r="T324" s="9">
        <v>128.68944300000001</v>
      </c>
      <c r="U324" s="9"/>
      <c r="V324" s="11">
        <f>VLOOKUP(L324,'[1]singkron data'!D:E,2,FALSE)</f>
        <v>0</v>
      </c>
      <c r="W324" s="13" t="str">
        <f>VLOOKUP(L324,[1]Sheet18!E:F,2,FALSE)</f>
        <v>belum ada</v>
      </c>
      <c r="X324" s="11" t="s">
        <v>55</v>
      </c>
      <c r="Y324" s="11">
        <f>VLOOKUP(L324,'[1]singkron data'!D:H,5,FALSE)</f>
        <v>0</v>
      </c>
      <c r="Z324" s="11">
        <f>VLOOKUP(L324,'[1]singkron data'!D:I,6,FALSE)</f>
        <v>0</v>
      </c>
      <c r="AA324" s="11">
        <f>VLOOKUP(L324,'[1]singkron data'!D:L,9,FALSE)</f>
        <v>0</v>
      </c>
      <c r="AB324" s="11" t="s">
        <v>694</v>
      </c>
      <c r="AC324" s="11">
        <f>VLOOKUP(L324,'[1]singkron data'!D:M,10,FALSE)</f>
        <v>0</v>
      </c>
      <c r="AD324" s="11"/>
      <c r="AE324" s="11">
        <f>VLOOKUP(L324,'[1]singkron data'!D:P,13,FALSE)</f>
        <v>0</v>
      </c>
      <c r="AF324" s="11" t="s">
        <v>55</v>
      </c>
      <c r="AG324" s="11" t="e">
        <f>VLOOKUP(L324,'[1]update kontrak'!E:K,6,FALSE)</f>
        <v>#N/A</v>
      </c>
      <c r="AH324" s="11" t="e">
        <f>VLOOKUP(L324,'[1]update kontrak'!E:K,7,FALSE)</f>
        <v>#N/A</v>
      </c>
      <c r="AI324" s="11"/>
      <c r="AJ324" s="11" t="str">
        <f>VLOOKUP(L324,[1]rekap!D:M,1,FALSE)</f>
        <v>Gorua</v>
      </c>
      <c r="AK324" s="11">
        <f>VLOOKUP(L324,'[1]singkron data'!D:E,2,FALSE)</f>
        <v>0</v>
      </c>
      <c r="AL324" s="11" t="str">
        <f>VLOOKUP(L324,'[1]update 521'!D:D,1,FALSE)</f>
        <v>Gorua</v>
      </c>
      <c r="AM324" s="11" t="s">
        <v>96</v>
      </c>
      <c r="AN324" s="11" t="e">
        <f>VLOOKUP(L324,[1]Sheet19!E:L,8,FALSE)</f>
        <v>#N/A</v>
      </c>
      <c r="AO324" s="11" t="e">
        <f>VLOOKUP(L324,[1]Sheet19!E:K,7,FALSE)</f>
        <v>#N/A</v>
      </c>
      <c r="AP324" s="12"/>
    </row>
    <row r="325" spans="1:42" ht="15" x14ac:dyDescent="0.2">
      <c r="A325" s="8" t="s">
        <v>42</v>
      </c>
      <c r="B325" s="9" t="s">
        <v>43</v>
      </c>
      <c r="C325" s="9">
        <v>181</v>
      </c>
      <c r="D325" s="9" t="s">
        <v>688</v>
      </c>
      <c r="E325" s="9">
        <v>81</v>
      </c>
      <c r="F325" s="9" t="s">
        <v>860</v>
      </c>
      <c r="G325" s="9" t="s">
        <v>715</v>
      </c>
      <c r="H325" s="9" t="s">
        <v>287</v>
      </c>
      <c r="I325" s="9" t="s">
        <v>861</v>
      </c>
      <c r="J325" s="9" t="s">
        <v>862</v>
      </c>
      <c r="K325" s="9" t="s">
        <v>864</v>
      </c>
      <c r="L325" s="9" t="s">
        <v>864</v>
      </c>
      <c r="M325" s="9" t="s">
        <v>51</v>
      </c>
      <c r="N325" s="9">
        <v>65</v>
      </c>
      <c r="O325" s="9">
        <v>40</v>
      </c>
      <c r="P325" s="9">
        <v>10</v>
      </c>
      <c r="Q325" s="9">
        <v>50</v>
      </c>
      <c r="R325" s="9">
        <v>0.14000000000000001</v>
      </c>
      <c r="S325" s="9">
        <v>2.3758360000000001</v>
      </c>
      <c r="T325" s="9">
        <v>128.656858</v>
      </c>
      <c r="U325" s="9"/>
      <c r="V325" s="11">
        <f>VLOOKUP(L325,'[1]singkron data'!D:E,2,FALSE)</f>
        <v>0</v>
      </c>
      <c r="W325" s="13" t="str">
        <f>VLOOKUP(L325,[1]Sheet18!E:F,2,FALSE)</f>
        <v>belum ada</v>
      </c>
      <c r="X325" s="11"/>
      <c r="Y325" s="11">
        <f>VLOOKUP(L325,'[1]singkron data'!D:H,5,FALSE)</f>
        <v>0</v>
      </c>
      <c r="Z325" s="11">
        <f>VLOOKUP(L325,'[1]singkron data'!D:I,6,FALSE)</f>
        <v>0</v>
      </c>
      <c r="AA325" s="11">
        <f>VLOOKUP(L325,'[1]singkron data'!D:L,9,FALSE)</f>
        <v>0</v>
      </c>
      <c r="AB325" s="11" t="s">
        <v>694</v>
      </c>
      <c r="AC325" s="11">
        <f>VLOOKUP(L325,'[1]singkron data'!D:M,10,FALSE)</f>
        <v>0</v>
      </c>
      <c r="AD325" s="11"/>
      <c r="AE325" s="11">
        <f>VLOOKUP(L325,'[1]singkron data'!D:P,13,FALSE)</f>
        <v>0</v>
      </c>
      <c r="AF325" s="11" t="s">
        <v>55</v>
      </c>
      <c r="AG325" s="11" t="e">
        <f>VLOOKUP(L325,'[1]update kontrak'!E:K,6,FALSE)</f>
        <v>#N/A</v>
      </c>
      <c r="AH325" s="11" t="e">
        <f>VLOOKUP(L325,'[1]update kontrak'!E:K,7,FALSE)</f>
        <v>#N/A</v>
      </c>
      <c r="AI325" s="11"/>
      <c r="AJ325" s="11" t="str">
        <f>VLOOKUP(L325,[1]rekap!D:M,1,FALSE)</f>
        <v>Loleo Jaya</v>
      </c>
      <c r="AK325" s="11">
        <f>VLOOKUP(L325,'[1]singkron data'!D:E,2,FALSE)</f>
        <v>0</v>
      </c>
      <c r="AL325" s="11" t="str">
        <f>VLOOKUP(L325,'[1]update 521'!D:D,1,FALSE)</f>
        <v>Loleo Jaya</v>
      </c>
      <c r="AM325" s="11" t="s">
        <v>96</v>
      </c>
      <c r="AN325" s="11" t="e">
        <f>VLOOKUP(L325,[1]Sheet19!E:L,8,FALSE)</f>
        <v>#N/A</v>
      </c>
      <c r="AO325" s="11" t="e">
        <f>VLOOKUP(L325,[1]Sheet19!E:K,7,FALSE)</f>
        <v>#N/A</v>
      </c>
      <c r="AP325" s="12"/>
    </row>
    <row r="326" spans="1:42" ht="15" x14ac:dyDescent="0.2">
      <c r="A326" s="8" t="s">
        <v>42</v>
      </c>
      <c r="B326" s="9" t="s">
        <v>43</v>
      </c>
      <c r="C326" s="9">
        <v>182</v>
      </c>
      <c r="D326" s="9" t="s">
        <v>688</v>
      </c>
      <c r="E326" s="9">
        <v>82</v>
      </c>
      <c r="F326" s="9" t="s">
        <v>860</v>
      </c>
      <c r="G326" s="9" t="s">
        <v>715</v>
      </c>
      <c r="H326" s="9" t="s">
        <v>287</v>
      </c>
      <c r="I326" s="9" t="s">
        <v>861</v>
      </c>
      <c r="J326" s="9" t="s">
        <v>862</v>
      </c>
      <c r="K326" s="9" t="s">
        <v>865</v>
      </c>
      <c r="L326" s="9" t="s">
        <v>865</v>
      </c>
      <c r="M326" s="9" t="s">
        <v>51</v>
      </c>
      <c r="N326" s="9">
        <v>25</v>
      </c>
      <c r="O326" s="9">
        <v>7</v>
      </c>
      <c r="P326" s="9">
        <v>12</v>
      </c>
      <c r="Q326" s="9">
        <v>19</v>
      </c>
      <c r="R326" s="9">
        <v>0.6</v>
      </c>
      <c r="S326" s="9">
        <v>2.3976000000000002</v>
      </c>
      <c r="T326" s="9">
        <v>128.66695000000001</v>
      </c>
      <c r="U326" s="9"/>
      <c r="V326" s="11">
        <f>VLOOKUP(L326,'[1]singkron data'!D:E,2,FALSE)</f>
        <v>0</v>
      </c>
      <c r="W326" s="13" t="str">
        <f>VLOOKUP(L326,[1]Sheet18!E:F,2,FALSE)</f>
        <v>belum ada</v>
      </c>
      <c r="X326" s="11"/>
      <c r="Y326" s="11">
        <f>VLOOKUP(L326,'[1]singkron data'!D:H,5,FALSE)</f>
        <v>0</v>
      </c>
      <c r="Z326" s="11">
        <f>VLOOKUP(L326,'[1]singkron data'!D:I,6,FALSE)</f>
        <v>0</v>
      </c>
      <c r="AA326" s="11">
        <f>VLOOKUP(L326,'[1]singkron data'!D:L,9,FALSE)</f>
        <v>0</v>
      </c>
      <c r="AB326" s="11" t="s">
        <v>694</v>
      </c>
      <c r="AC326" s="11">
        <f>VLOOKUP(L326,'[1]singkron data'!D:M,10,FALSE)</f>
        <v>0</v>
      </c>
      <c r="AD326" s="11"/>
      <c r="AE326" s="11">
        <f>VLOOKUP(L326,'[1]singkron data'!D:P,13,FALSE)</f>
        <v>0</v>
      </c>
      <c r="AF326" s="11" t="s">
        <v>55</v>
      </c>
      <c r="AG326" s="11" t="e">
        <f>VLOOKUP(L326,'[1]update kontrak'!E:K,6,FALSE)</f>
        <v>#N/A</v>
      </c>
      <c r="AH326" s="11" t="e">
        <f>VLOOKUP(L326,'[1]update kontrak'!E:K,7,FALSE)</f>
        <v>#N/A</v>
      </c>
      <c r="AI326" s="11"/>
      <c r="AJ326" s="11" t="str">
        <f>VLOOKUP(L326,[1]rekap!D:M,1,FALSE)</f>
        <v>Maba</v>
      </c>
      <c r="AK326" s="11">
        <f>VLOOKUP(L326,'[1]singkron data'!D:E,2,FALSE)</f>
        <v>0</v>
      </c>
      <c r="AL326" s="11" t="str">
        <f>VLOOKUP(L326,'[1]update 521'!D:D,1,FALSE)</f>
        <v>Maba</v>
      </c>
      <c r="AM326" s="11" t="s">
        <v>96</v>
      </c>
      <c r="AN326" s="11" t="e">
        <f>VLOOKUP(L326,[1]Sheet19!E:L,8,FALSE)</f>
        <v>#N/A</v>
      </c>
      <c r="AO326" s="11" t="e">
        <f>VLOOKUP(L326,[1]Sheet19!E:K,7,FALSE)</f>
        <v>#N/A</v>
      </c>
      <c r="AP326" s="12"/>
    </row>
    <row r="327" spans="1:42" ht="15" x14ac:dyDescent="0.2">
      <c r="A327" s="8" t="s">
        <v>42</v>
      </c>
      <c r="B327" s="9" t="s">
        <v>43</v>
      </c>
      <c r="C327" s="9">
        <v>183</v>
      </c>
      <c r="D327" s="9" t="s">
        <v>688</v>
      </c>
      <c r="E327" s="9">
        <v>83</v>
      </c>
      <c r="F327" s="9" t="s">
        <v>860</v>
      </c>
      <c r="G327" s="9" t="s">
        <v>715</v>
      </c>
      <c r="H327" s="9" t="s">
        <v>287</v>
      </c>
      <c r="I327" s="9" t="s">
        <v>861</v>
      </c>
      <c r="J327" s="9" t="s">
        <v>866</v>
      </c>
      <c r="K327" s="9" t="s">
        <v>867</v>
      </c>
      <c r="L327" s="9" t="s">
        <v>867</v>
      </c>
      <c r="M327" s="9" t="s">
        <v>51</v>
      </c>
      <c r="N327" s="9">
        <v>150</v>
      </c>
      <c r="O327" s="9">
        <v>125</v>
      </c>
      <c r="P327" s="9">
        <v>25</v>
      </c>
      <c r="Q327" s="9">
        <v>150</v>
      </c>
      <c r="R327" s="9">
        <v>0.15</v>
      </c>
      <c r="S327" s="9">
        <v>2.571434</v>
      </c>
      <c r="T327" s="9">
        <v>128.60772700000001</v>
      </c>
      <c r="U327" s="9"/>
      <c r="V327" s="11">
        <f>VLOOKUP(L327,'[1]singkron data'!D:E,2,FALSE)</f>
        <v>0</v>
      </c>
      <c r="W327" s="13" t="str">
        <f>VLOOKUP(L327,[1]Sheet18!E:F,2,FALSE)</f>
        <v>belum ada</v>
      </c>
      <c r="X327" s="11"/>
      <c r="Y327" s="11">
        <f>VLOOKUP(L327,'[1]singkron data'!D:H,5,FALSE)</f>
        <v>0</v>
      </c>
      <c r="Z327" s="11">
        <f>VLOOKUP(L327,'[1]singkron data'!D:I,6,FALSE)</f>
        <v>0</v>
      </c>
      <c r="AA327" s="11">
        <f>VLOOKUP(L327,'[1]singkron data'!D:L,9,FALSE)</f>
        <v>0</v>
      </c>
      <c r="AB327" s="11" t="s">
        <v>694</v>
      </c>
      <c r="AC327" s="11">
        <f>VLOOKUP(L327,'[1]singkron data'!D:M,10,FALSE)</f>
        <v>0</v>
      </c>
      <c r="AD327" s="11"/>
      <c r="AE327" s="11">
        <f>VLOOKUP(L327,'[1]singkron data'!D:P,13,FALSE)</f>
        <v>0</v>
      </c>
      <c r="AF327" s="11" t="s">
        <v>55</v>
      </c>
      <c r="AG327" s="11" t="e">
        <f>VLOOKUP(L327,'[1]update kontrak'!E:K,6,FALSE)</f>
        <v>#N/A</v>
      </c>
      <c r="AH327" s="11" t="e">
        <f>VLOOKUP(L327,'[1]update kontrak'!E:K,7,FALSE)</f>
        <v>#N/A</v>
      </c>
      <c r="AI327" s="11"/>
      <c r="AJ327" s="11" t="str">
        <f>VLOOKUP(L327,[1]rekap!D:M,1,FALSE)</f>
        <v>Pangeo</v>
      </c>
      <c r="AK327" s="11">
        <f>VLOOKUP(L327,'[1]singkron data'!D:E,2,FALSE)</f>
        <v>0</v>
      </c>
      <c r="AL327" s="11" t="str">
        <f>VLOOKUP(L327,'[1]update 521'!D:D,1,FALSE)</f>
        <v>Pangeo</v>
      </c>
      <c r="AM327" s="11" t="s">
        <v>96</v>
      </c>
      <c r="AN327" s="11" t="e">
        <f>VLOOKUP(L327,[1]Sheet19!E:L,8,FALSE)</f>
        <v>#N/A</v>
      </c>
      <c r="AO327" s="11" t="e">
        <f>VLOOKUP(L327,[1]Sheet19!E:K,7,FALSE)</f>
        <v>#N/A</v>
      </c>
      <c r="AP327" s="12"/>
    </row>
    <row r="328" spans="1:42" ht="15" x14ac:dyDescent="0.2">
      <c r="A328" s="8" t="s">
        <v>42</v>
      </c>
      <c r="B328" s="9" t="s">
        <v>43</v>
      </c>
      <c r="C328" s="9">
        <v>184</v>
      </c>
      <c r="D328" s="9" t="s">
        <v>688</v>
      </c>
      <c r="E328" s="9">
        <v>84</v>
      </c>
      <c r="F328" s="9" t="s">
        <v>860</v>
      </c>
      <c r="G328" s="9" t="s">
        <v>715</v>
      </c>
      <c r="H328" s="9" t="s">
        <v>287</v>
      </c>
      <c r="I328" s="9" t="s">
        <v>861</v>
      </c>
      <c r="J328" s="9" t="s">
        <v>866</v>
      </c>
      <c r="K328" s="9" t="s">
        <v>868</v>
      </c>
      <c r="L328" s="9" t="s">
        <v>868</v>
      </c>
      <c r="M328" s="9" t="s">
        <v>51</v>
      </c>
      <c r="N328" s="9">
        <v>40</v>
      </c>
      <c r="O328" s="9">
        <v>10</v>
      </c>
      <c r="P328" s="9">
        <v>19</v>
      </c>
      <c r="Q328" s="9">
        <v>29</v>
      </c>
      <c r="R328" s="9">
        <v>0.13</v>
      </c>
      <c r="S328" s="9">
        <v>2.5557588</v>
      </c>
      <c r="T328" s="9">
        <v>128.42814540000001</v>
      </c>
      <c r="U328" s="9"/>
      <c r="V328" s="11">
        <f>VLOOKUP(L328,'[1]singkron data'!D:E,2,FALSE)</f>
        <v>0</v>
      </c>
      <c r="W328" s="11"/>
      <c r="X328" s="11"/>
      <c r="Y328" s="11">
        <f>VLOOKUP(L328,'[1]singkron data'!D:H,5,FALSE)</f>
        <v>0</v>
      </c>
      <c r="Z328" s="11">
        <f>VLOOKUP(L328,'[1]singkron data'!D:I,6,FALSE)</f>
        <v>0</v>
      </c>
      <c r="AA328" s="11">
        <f>VLOOKUP(L328,'[1]singkron data'!D:L,9,FALSE)</f>
        <v>0</v>
      </c>
      <c r="AB328" s="11" t="s">
        <v>694</v>
      </c>
      <c r="AC328" s="11">
        <f>VLOOKUP(L328,'[1]singkron data'!D:M,10,FALSE)</f>
        <v>0</v>
      </c>
      <c r="AD328" s="11"/>
      <c r="AE328" s="11">
        <f>VLOOKUP(L328,'[1]singkron data'!D:P,13,FALSE)</f>
        <v>0</v>
      </c>
      <c r="AF328" s="11"/>
      <c r="AG328" s="11" t="e">
        <f>VLOOKUP(L328,'[1]update kontrak'!E:K,6,FALSE)</f>
        <v>#N/A</v>
      </c>
      <c r="AH328" s="11" t="e">
        <f>VLOOKUP(L328,'[1]update kontrak'!E:K,7,FALSE)</f>
        <v>#N/A</v>
      </c>
      <c r="AI328" s="11"/>
      <c r="AJ328" s="11" t="str">
        <f>VLOOKUP(L328,[1]rekap!D:M,1,FALSE)</f>
        <v>Titigogoli</v>
      </c>
      <c r="AK328" s="11">
        <f>VLOOKUP(L328,'[1]singkron data'!D:E,2,FALSE)</f>
        <v>0</v>
      </c>
      <c r="AL328" s="11" t="str">
        <f>VLOOKUP(L328,'[1]update 521'!D:D,1,FALSE)</f>
        <v>Titigogoli</v>
      </c>
      <c r="AM328" s="11" t="s">
        <v>96</v>
      </c>
      <c r="AN328" s="11" t="e">
        <f>VLOOKUP(L328,[1]Sheet19!E:L,8,FALSE)</f>
        <v>#N/A</v>
      </c>
      <c r="AO328" s="11" t="e">
        <f>VLOOKUP(L328,[1]Sheet19!E:K,7,FALSE)</f>
        <v>#N/A</v>
      </c>
      <c r="AP328" s="12"/>
    </row>
    <row r="329" spans="1:42" ht="15" x14ac:dyDescent="0.2">
      <c r="A329" s="8" t="s">
        <v>42</v>
      </c>
      <c r="B329" s="9" t="s">
        <v>43</v>
      </c>
      <c r="C329" s="9">
        <v>185</v>
      </c>
      <c r="D329" s="9" t="s">
        <v>688</v>
      </c>
      <c r="E329" s="9">
        <v>85</v>
      </c>
      <c r="F329" s="9" t="s">
        <v>869</v>
      </c>
      <c r="G329" s="9" t="s">
        <v>690</v>
      </c>
      <c r="H329" s="9" t="s">
        <v>287</v>
      </c>
      <c r="I329" s="9" t="s">
        <v>743</v>
      </c>
      <c r="J329" s="9" t="s">
        <v>870</v>
      </c>
      <c r="K329" s="9" t="s">
        <v>869</v>
      </c>
      <c r="L329" s="9" t="s">
        <v>869</v>
      </c>
      <c r="M329" s="9" t="s">
        <v>51</v>
      </c>
      <c r="N329" s="9">
        <v>90</v>
      </c>
      <c r="O329" s="9">
        <v>20</v>
      </c>
      <c r="P329" s="9">
        <v>90</v>
      </c>
      <c r="Q329" s="9">
        <v>110</v>
      </c>
      <c r="R329" s="9">
        <v>1.3</v>
      </c>
      <c r="S329" s="9">
        <v>-2.8617900000000001</v>
      </c>
      <c r="T329" s="9">
        <v>128.70748</v>
      </c>
      <c r="U329" s="9"/>
      <c r="V329" s="11">
        <f>VLOOKUP(L329,'[1]singkron data'!D:E,2,FALSE)</f>
        <v>0</v>
      </c>
      <c r="W329" s="11">
        <f>VLOOKUP(L329,'[1]data 1129'!F:H,3,FALSE)</f>
        <v>0</v>
      </c>
      <c r="X329" s="11"/>
      <c r="Y329" s="11">
        <f>VLOOKUP(L329,'[1]singkron data'!D:H,5,FALSE)</f>
        <v>0</v>
      </c>
      <c r="Z329" s="11">
        <f>VLOOKUP(L329,'[1]singkron data'!D:I,6,FALSE)</f>
        <v>0</v>
      </c>
      <c r="AA329" s="11">
        <f>VLOOKUP(L329,'[1]singkron data'!D:L,9,FALSE)</f>
        <v>0</v>
      </c>
      <c r="AB329" s="11" t="s">
        <v>694</v>
      </c>
      <c r="AC329" s="11">
        <f>VLOOKUP(L329,'[1]singkron data'!D:M,10,FALSE)</f>
        <v>0</v>
      </c>
      <c r="AD329" s="11"/>
      <c r="AE329" s="11">
        <f>VLOOKUP(L329,'[1]singkron data'!D:P,13,FALSE)</f>
        <v>0</v>
      </c>
      <c r="AF329" s="11"/>
      <c r="AG329" s="11" t="e">
        <f>VLOOKUP(L329,'[1]update kontrak'!E:K,6,FALSE)</f>
        <v>#N/A</v>
      </c>
      <c r="AH329" s="11" t="e">
        <f>VLOOKUP(L329,'[1]update kontrak'!E:K,7,FALSE)</f>
        <v>#N/A</v>
      </c>
      <c r="AI329" s="11"/>
      <c r="AJ329" s="11" t="str">
        <f>VLOOKUP(L329,[1]rekap!D:M,1,FALSE)</f>
        <v>Sukaraja</v>
      </c>
      <c r="AK329" s="11">
        <f>VLOOKUP(L329,'[1]singkron data'!D:E,2,FALSE)</f>
        <v>0</v>
      </c>
      <c r="AL329" s="11" t="str">
        <f>VLOOKUP(L329,'[1]update 521'!D:D,1,FALSE)</f>
        <v>Sukaraja</v>
      </c>
      <c r="AM329" s="11" t="s">
        <v>96</v>
      </c>
      <c r="AN329" s="11" t="e">
        <f>VLOOKUP(L329,[1]Sheet19!E:L,8,FALSE)</f>
        <v>#N/A</v>
      </c>
      <c r="AO329" s="11" t="e">
        <f>VLOOKUP(L329,[1]Sheet19!E:K,7,FALSE)</f>
        <v>#N/A</v>
      </c>
      <c r="AP329" s="12"/>
    </row>
    <row r="330" spans="1:42" ht="15" x14ac:dyDescent="0.2">
      <c r="A330" s="8" t="s">
        <v>42</v>
      </c>
      <c r="B330" s="9" t="s">
        <v>43</v>
      </c>
      <c r="C330" s="9">
        <v>186</v>
      </c>
      <c r="D330" s="9" t="s">
        <v>688</v>
      </c>
      <c r="E330" s="9">
        <v>86</v>
      </c>
      <c r="F330" s="9" t="s">
        <v>869</v>
      </c>
      <c r="G330" s="9" t="s">
        <v>690</v>
      </c>
      <c r="H330" s="9" t="s">
        <v>287</v>
      </c>
      <c r="I330" s="9" t="s">
        <v>743</v>
      </c>
      <c r="J330" s="9" t="s">
        <v>871</v>
      </c>
      <c r="K330" s="9" t="s">
        <v>872</v>
      </c>
      <c r="L330" s="9" t="s">
        <v>872</v>
      </c>
      <c r="M330" s="9" t="s">
        <v>51</v>
      </c>
      <c r="N330" s="9">
        <v>120</v>
      </c>
      <c r="O330" s="9" t="s">
        <v>72</v>
      </c>
      <c r="P330" s="9" t="s">
        <v>72</v>
      </c>
      <c r="Q330" s="9">
        <v>48</v>
      </c>
      <c r="R330" s="9">
        <v>0.47</v>
      </c>
      <c r="S330" s="9">
        <v>-2.8510149999999999</v>
      </c>
      <c r="T330" s="9">
        <v>128.544894</v>
      </c>
      <c r="U330" s="9"/>
      <c r="V330" s="11">
        <f>VLOOKUP(L330,'[1]singkron data'!D:E,2,FALSE)</f>
        <v>0</v>
      </c>
      <c r="W330" s="11">
        <f>VLOOKUP(L330,'[1]data 1129'!F:H,3,FALSE)</f>
        <v>0</v>
      </c>
      <c r="X330" s="11"/>
      <c r="Y330" s="11">
        <f>VLOOKUP(L330,'[1]singkron data'!D:H,5,FALSE)</f>
        <v>0</v>
      </c>
      <c r="Z330" s="11">
        <f>VLOOKUP(L330,'[1]singkron data'!D:I,6,FALSE)</f>
        <v>0</v>
      </c>
      <c r="AA330" s="11">
        <f>VLOOKUP(L330,'[1]singkron data'!D:L,9,FALSE)</f>
        <v>0</v>
      </c>
      <c r="AB330" s="11" t="s">
        <v>694</v>
      </c>
      <c r="AC330" s="11">
        <f>VLOOKUP(L330,'[1]singkron data'!D:M,10,FALSE)</f>
        <v>0</v>
      </c>
      <c r="AD330" s="11"/>
      <c r="AE330" s="11">
        <f>VLOOKUP(L330,'[1]singkron data'!D:P,13,FALSE)</f>
        <v>0</v>
      </c>
      <c r="AF330" s="11"/>
      <c r="AG330" s="11" t="e">
        <f>VLOOKUP(L330,'[1]update kontrak'!E:K,6,FALSE)</f>
        <v>#N/A</v>
      </c>
      <c r="AH330" s="11" t="e">
        <f>VLOOKUP(L330,'[1]update kontrak'!E:K,7,FALSE)</f>
        <v>#N/A</v>
      </c>
      <c r="AI330" s="11"/>
      <c r="AJ330" s="11" t="str">
        <f>VLOOKUP(L330,[1]rekap!D:M,1,FALSE)</f>
        <v>Kasieh</v>
      </c>
      <c r="AK330" s="11">
        <f>VLOOKUP(L330,'[1]singkron data'!D:E,2,FALSE)</f>
        <v>0</v>
      </c>
      <c r="AL330" s="11" t="str">
        <f>VLOOKUP(L330,'[1]update 521'!D:D,1,FALSE)</f>
        <v>Kasieh</v>
      </c>
      <c r="AM330" s="11" t="s">
        <v>96</v>
      </c>
      <c r="AN330" s="11" t="e">
        <f>VLOOKUP(L330,[1]Sheet19!E:L,8,FALSE)</f>
        <v>#N/A</v>
      </c>
      <c r="AO330" s="11" t="e">
        <f>VLOOKUP(L330,[1]Sheet19!E:K,7,FALSE)</f>
        <v>#N/A</v>
      </c>
      <c r="AP330" s="12"/>
    </row>
    <row r="331" spans="1:42" ht="15" x14ac:dyDescent="0.2">
      <c r="A331" s="8" t="s">
        <v>42</v>
      </c>
      <c r="B331" s="9" t="s">
        <v>43</v>
      </c>
      <c r="C331" s="9">
        <v>187</v>
      </c>
      <c r="D331" s="9" t="s">
        <v>688</v>
      </c>
      <c r="E331" s="9">
        <v>87</v>
      </c>
      <c r="F331" s="9" t="s">
        <v>869</v>
      </c>
      <c r="G331" s="9" t="s">
        <v>690</v>
      </c>
      <c r="H331" s="9" t="s">
        <v>287</v>
      </c>
      <c r="I331" s="9" t="s">
        <v>743</v>
      </c>
      <c r="J331" s="9" t="s">
        <v>748</v>
      </c>
      <c r="K331" s="9" t="s">
        <v>873</v>
      </c>
      <c r="L331" s="9" t="s">
        <v>873</v>
      </c>
      <c r="M331" s="9" t="s">
        <v>51</v>
      </c>
      <c r="N331" s="9">
        <v>220</v>
      </c>
      <c r="O331" s="9">
        <v>25</v>
      </c>
      <c r="P331" s="9">
        <v>63</v>
      </c>
      <c r="Q331" s="9">
        <v>88</v>
      </c>
      <c r="R331" s="9">
        <v>1</v>
      </c>
      <c r="S331" s="9">
        <v>-2.955406</v>
      </c>
      <c r="T331" s="9">
        <v>128.119711</v>
      </c>
      <c r="U331" s="9"/>
      <c r="V331" s="11">
        <f>VLOOKUP(L331,'[1]singkron data'!D:E,2,FALSE)</f>
        <v>0</v>
      </c>
      <c r="W331" s="11">
        <f>VLOOKUP(L331,'[1]data 1129'!F:H,3,FALSE)</f>
        <v>0</v>
      </c>
      <c r="X331" s="11"/>
      <c r="Y331" s="11">
        <f>VLOOKUP(L331,'[1]singkron data'!D:H,5,FALSE)</f>
        <v>0</v>
      </c>
      <c r="Z331" s="11">
        <f>VLOOKUP(L331,'[1]singkron data'!D:I,6,FALSE)</f>
        <v>0</v>
      </c>
      <c r="AA331" s="11">
        <f>VLOOKUP(L331,'[1]singkron data'!D:L,9,FALSE)</f>
        <v>0</v>
      </c>
      <c r="AB331" s="11" t="s">
        <v>694</v>
      </c>
      <c r="AC331" s="11">
        <f>VLOOKUP(L331,'[1]singkron data'!D:M,10,FALSE)</f>
        <v>0</v>
      </c>
      <c r="AD331" s="11"/>
      <c r="AE331" s="11">
        <f>VLOOKUP(L331,'[1]singkron data'!D:P,13,FALSE)</f>
        <v>0</v>
      </c>
      <c r="AF331" s="11"/>
      <c r="AG331" s="11" t="e">
        <f>VLOOKUP(L331,'[1]update kontrak'!E:K,6,FALSE)</f>
        <v>#N/A</v>
      </c>
      <c r="AH331" s="11" t="e">
        <f>VLOOKUP(L331,'[1]update kontrak'!E:K,7,FALSE)</f>
        <v>#N/A</v>
      </c>
      <c r="AI331" s="11"/>
      <c r="AJ331" s="11" t="str">
        <f>VLOOKUP(L331,[1]rekap!D:M,1,FALSE)</f>
        <v>Kawa</v>
      </c>
      <c r="AK331" s="11">
        <f>VLOOKUP(L331,'[1]singkron data'!D:E,2,FALSE)</f>
        <v>0</v>
      </c>
      <c r="AL331" s="11" t="str">
        <f>VLOOKUP(L331,'[1]update 521'!D:D,1,FALSE)</f>
        <v>Kawa</v>
      </c>
      <c r="AM331" s="11" t="s">
        <v>96</v>
      </c>
      <c r="AN331" s="11" t="e">
        <f>VLOOKUP(L331,[1]Sheet19!E:L,8,FALSE)</f>
        <v>#N/A</v>
      </c>
      <c r="AO331" s="11" t="e">
        <f>VLOOKUP(L331,[1]Sheet19!E:K,7,FALSE)</f>
        <v>#N/A</v>
      </c>
      <c r="AP331" s="12"/>
    </row>
    <row r="332" spans="1:42" ht="15" x14ac:dyDescent="0.2">
      <c r="A332" s="8" t="s">
        <v>42</v>
      </c>
      <c r="B332" s="9" t="s">
        <v>43</v>
      </c>
      <c r="C332" s="9">
        <v>188</v>
      </c>
      <c r="D332" s="9" t="s">
        <v>688</v>
      </c>
      <c r="E332" s="9">
        <v>88</v>
      </c>
      <c r="F332" s="9" t="s">
        <v>874</v>
      </c>
      <c r="G332" s="9" t="s">
        <v>715</v>
      </c>
      <c r="H332" s="9" t="s">
        <v>287</v>
      </c>
      <c r="I332" s="9" t="s">
        <v>861</v>
      </c>
      <c r="J332" s="9" t="s">
        <v>875</v>
      </c>
      <c r="K332" s="9" t="s">
        <v>876</v>
      </c>
      <c r="L332" s="9" t="s">
        <v>876</v>
      </c>
      <c r="M332" s="9" t="s">
        <v>51</v>
      </c>
      <c r="N332" s="9">
        <v>107</v>
      </c>
      <c r="O332" s="9" t="s">
        <v>72</v>
      </c>
      <c r="P332" s="9">
        <v>66</v>
      </c>
      <c r="Q332" s="9">
        <v>66</v>
      </c>
      <c r="R332" s="9">
        <v>0.37</v>
      </c>
      <c r="S332" s="9">
        <v>2.0581694000000001</v>
      </c>
      <c r="T332" s="9">
        <v>128.2912388</v>
      </c>
      <c r="U332" s="9"/>
      <c r="V332" s="11">
        <f>VLOOKUP(L332,'[1]singkron data'!D:E,2,FALSE)</f>
        <v>0</v>
      </c>
      <c r="W332" s="13" t="str">
        <f>VLOOKUP(L332,[1]Sheet18!E:F,2,FALSE)</f>
        <v>belum ada</v>
      </c>
      <c r="X332" s="11"/>
      <c r="Y332" s="11">
        <f>VLOOKUP(L332,'[1]singkron data'!D:H,5,FALSE)</f>
        <v>0</v>
      </c>
      <c r="Z332" s="11">
        <f>VLOOKUP(L332,'[1]singkron data'!D:I,6,FALSE)</f>
        <v>0</v>
      </c>
      <c r="AA332" s="11">
        <f>VLOOKUP(L332,'[1]singkron data'!D:L,9,FALSE)</f>
        <v>0</v>
      </c>
      <c r="AB332" s="11" t="s">
        <v>694</v>
      </c>
      <c r="AC332" s="11">
        <f>VLOOKUP(L332,'[1]singkron data'!D:M,10,FALSE)</f>
        <v>0</v>
      </c>
      <c r="AD332" s="11"/>
      <c r="AE332" s="11">
        <f>VLOOKUP(L332,'[1]singkron data'!D:P,13,FALSE)</f>
        <v>0</v>
      </c>
      <c r="AF332" s="11" t="s">
        <v>55</v>
      </c>
      <c r="AG332" s="11" t="e">
        <f>VLOOKUP(L332,'[1]update kontrak'!E:K,6,FALSE)</f>
        <v>#N/A</v>
      </c>
      <c r="AH332" s="11" t="e">
        <f>VLOOKUP(L332,'[1]update kontrak'!E:K,7,FALSE)</f>
        <v>#N/A</v>
      </c>
      <c r="AI332" s="11"/>
      <c r="AJ332" s="11" t="str">
        <f>VLOOKUP(L332,[1]rekap!D:M,1,FALSE)</f>
        <v>Daruba</v>
      </c>
      <c r="AK332" s="11">
        <f>VLOOKUP(L332,'[1]singkron data'!D:E,2,FALSE)</f>
        <v>0</v>
      </c>
      <c r="AL332" s="11" t="str">
        <f>VLOOKUP(L332,'[1]update 521'!D:D,1,FALSE)</f>
        <v>Daruba</v>
      </c>
      <c r="AM332" s="11" t="s">
        <v>96</v>
      </c>
      <c r="AN332" s="11" t="e">
        <f>VLOOKUP(L332,[1]Sheet19!E:L,8,FALSE)</f>
        <v>#N/A</v>
      </c>
      <c r="AO332" s="11" t="e">
        <f>VLOOKUP(L332,[1]Sheet19!E:K,7,FALSE)</f>
        <v>#N/A</v>
      </c>
      <c r="AP332" s="12"/>
    </row>
    <row r="333" spans="1:42" ht="15" x14ac:dyDescent="0.2">
      <c r="A333" s="8" t="s">
        <v>42</v>
      </c>
      <c r="B333" s="9" t="s">
        <v>43</v>
      </c>
      <c r="C333" s="9">
        <v>189</v>
      </c>
      <c r="D333" s="9" t="s">
        <v>688</v>
      </c>
      <c r="E333" s="9">
        <v>89</v>
      </c>
      <c r="F333" s="9" t="s">
        <v>874</v>
      </c>
      <c r="G333" s="9" t="s">
        <v>715</v>
      </c>
      <c r="H333" s="9" t="s">
        <v>287</v>
      </c>
      <c r="I333" s="9" t="s">
        <v>861</v>
      </c>
      <c r="J333" s="9" t="s">
        <v>875</v>
      </c>
      <c r="K333" s="9" t="s">
        <v>877</v>
      </c>
      <c r="L333" s="9" t="s">
        <v>877</v>
      </c>
      <c r="M333" s="9" t="s">
        <v>51</v>
      </c>
      <c r="N333" s="9">
        <v>74</v>
      </c>
      <c r="O333" s="9" t="s">
        <v>72</v>
      </c>
      <c r="P333" s="9">
        <v>330</v>
      </c>
      <c r="Q333" s="9">
        <v>330</v>
      </c>
      <c r="R333" s="9">
        <v>0.05</v>
      </c>
      <c r="S333" s="9">
        <v>1.9967509999999999</v>
      </c>
      <c r="T333" s="9">
        <v>128.27091999999999</v>
      </c>
      <c r="U333" s="9"/>
      <c r="V333" s="11">
        <f>VLOOKUP(L333,'[1]singkron data'!D:E,2,FALSE)</f>
        <v>0</v>
      </c>
      <c r="W333" s="13">
        <f>VLOOKUP(L333,[1]Sheet18!E:F,2,FALSE)</f>
        <v>4913777000</v>
      </c>
      <c r="X333" s="11" t="s">
        <v>55</v>
      </c>
      <c r="Y333" s="11">
        <f>VLOOKUP(L333,'[1]singkron data'!D:H,5,FALSE)</f>
        <v>0</v>
      </c>
      <c r="Z333" s="11">
        <f>VLOOKUP(L333,'[1]singkron data'!D:I,6,FALSE)</f>
        <v>0</v>
      </c>
      <c r="AA333" s="11">
        <f>VLOOKUP(L333,'[1]singkron data'!D:L,9,FALSE)</f>
        <v>0</v>
      </c>
      <c r="AB333" s="11" t="s">
        <v>694</v>
      </c>
      <c r="AC333" s="11">
        <f>VLOOKUP(L333,'[1]singkron data'!D:M,10,FALSE)</f>
        <v>0</v>
      </c>
      <c r="AD333" s="11"/>
      <c r="AE333" s="11">
        <f>VLOOKUP(L333,'[1]singkron data'!D:P,13,FALSE)</f>
        <v>0</v>
      </c>
      <c r="AF333" s="11" t="s">
        <v>55</v>
      </c>
      <c r="AG333" s="11" t="e">
        <f>VLOOKUP(L333,'[1]update kontrak'!E:K,6,FALSE)</f>
        <v>#N/A</v>
      </c>
      <c r="AH333" s="11" t="e">
        <f>VLOOKUP(L333,'[1]update kontrak'!E:K,7,FALSE)</f>
        <v>#N/A</v>
      </c>
      <c r="AI333" s="11"/>
      <c r="AJ333" s="11" t="str">
        <f>VLOOKUP(L333,[1]rekap!D:M,1,FALSE)</f>
        <v>Juanga</v>
      </c>
      <c r="AK333" s="11">
        <f>VLOOKUP(L333,'[1]singkron data'!D:E,2,FALSE)</f>
        <v>0</v>
      </c>
      <c r="AL333" s="11" t="str">
        <f>VLOOKUP(L333,'[1]update 521'!D:D,1,FALSE)</f>
        <v>Juanga</v>
      </c>
      <c r="AM333" s="11" t="s">
        <v>96</v>
      </c>
      <c r="AN333" s="11" t="e">
        <f>VLOOKUP(L333,[1]Sheet19!E:L,8,FALSE)</f>
        <v>#N/A</v>
      </c>
      <c r="AO333" s="11" t="e">
        <f>VLOOKUP(L333,[1]Sheet19!E:K,7,FALSE)</f>
        <v>#N/A</v>
      </c>
      <c r="AP333" s="12"/>
    </row>
    <row r="334" spans="1:42" ht="15" x14ac:dyDescent="0.2">
      <c r="A334" s="8" t="s">
        <v>42</v>
      </c>
      <c r="B334" s="9" t="s">
        <v>43</v>
      </c>
      <c r="C334" s="9">
        <v>190</v>
      </c>
      <c r="D334" s="9" t="s">
        <v>688</v>
      </c>
      <c r="E334" s="9">
        <v>90</v>
      </c>
      <c r="F334" s="9" t="s">
        <v>874</v>
      </c>
      <c r="G334" s="9" t="s">
        <v>715</v>
      </c>
      <c r="H334" s="9" t="s">
        <v>287</v>
      </c>
      <c r="I334" s="9" t="s">
        <v>861</v>
      </c>
      <c r="J334" s="9" t="s">
        <v>875</v>
      </c>
      <c r="K334" s="9" t="s">
        <v>878</v>
      </c>
      <c r="L334" s="9" t="s">
        <v>878</v>
      </c>
      <c r="M334" s="9" t="s">
        <v>51</v>
      </c>
      <c r="N334" s="9">
        <v>58</v>
      </c>
      <c r="O334" s="9">
        <v>23</v>
      </c>
      <c r="P334" s="9">
        <v>4</v>
      </c>
      <c r="Q334" s="9">
        <v>27</v>
      </c>
      <c r="R334" s="9">
        <v>0.06</v>
      </c>
      <c r="S334" s="9">
        <v>2.0459559999999999</v>
      </c>
      <c r="T334" s="9">
        <v>128.36716559999999</v>
      </c>
      <c r="U334" s="9"/>
      <c r="V334" s="11">
        <f>VLOOKUP(L334,'[1]singkron data'!D:E,2,FALSE)</f>
        <v>0</v>
      </c>
      <c r="W334" s="13" t="str">
        <f>VLOOKUP(L334,[1]Sheet18!E:F,2,FALSE)</f>
        <v>belum ada</v>
      </c>
      <c r="X334" s="11"/>
      <c r="Y334" s="11">
        <f>VLOOKUP(L334,'[1]singkron data'!D:H,5,FALSE)</f>
        <v>0</v>
      </c>
      <c r="Z334" s="11">
        <f>VLOOKUP(L334,'[1]singkron data'!D:I,6,FALSE)</f>
        <v>0</v>
      </c>
      <c r="AA334" s="11">
        <f>VLOOKUP(L334,'[1]singkron data'!D:L,9,FALSE)</f>
        <v>0</v>
      </c>
      <c r="AB334" s="11" t="s">
        <v>694</v>
      </c>
      <c r="AC334" s="11">
        <f>VLOOKUP(L334,'[1]singkron data'!D:M,10,FALSE)</f>
        <v>0</v>
      </c>
      <c r="AD334" s="11"/>
      <c r="AE334" s="11">
        <f>VLOOKUP(L334,'[1]singkron data'!D:P,13,FALSE)</f>
        <v>0</v>
      </c>
      <c r="AF334" s="11" t="s">
        <v>55</v>
      </c>
      <c r="AG334" s="11" t="e">
        <f>VLOOKUP(L334,'[1]update kontrak'!E:K,6,FALSE)</f>
        <v>#N/A</v>
      </c>
      <c r="AH334" s="11" t="e">
        <f>VLOOKUP(L334,'[1]update kontrak'!E:K,7,FALSE)</f>
        <v>#N/A</v>
      </c>
      <c r="AI334" s="11"/>
      <c r="AJ334" s="11" t="str">
        <f>VLOOKUP(L334,[1]rekap!D:M,1,FALSE)</f>
        <v>Mandiri</v>
      </c>
      <c r="AK334" s="11">
        <f>VLOOKUP(L334,'[1]singkron data'!D:E,2,FALSE)</f>
        <v>0</v>
      </c>
      <c r="AL334" s="11" t="str">
        <f>VLOOKUP(L334,'[1]update 521'!D:D,1,FALSE)</f>
        <v>Mandiri</v>
      </c>
      <c r="AM334" s="11" t="s">
        <v>96</v>
      </c>
      <c r="AN334" s="11" t="e">
        <f>VLOOKUP(L334,[1]Sheet19!E:L,8,FALSE)</f>
        <v>#N/A</v>
      </c>
      <c r="AO334" s="11" t="e">
        <f>VLOOKUP(L334,[1]Sheet19!E:K,7,FALSE)</f>
        <v>#N/A</v>
      </c>
      <c r="AP334" s="12"/>
    </row>
    <row r="335" spans="1:42" ht="15" x14ac:dyDescent="0.2">
      <c r="A335" s="8" t="s">
        <v>42</v>
      </c>
      <c r="B335" s="9" t="s">
        <v>43</v>
      </c>
      <c r="C335" s="9">
        <v>191</v>
      </c>
      <c r="D335" s="9" t="s">
        <v>688</v>
      </c>
      <c r="E335" s="9">
        <v>91</v>
      </c>
      <c r="F335" s="9" t="s">
        <v>874</v>
      </c>
      <c r="G335" s="9" t="s">
        <v>715</v>
      </c>
      <c r="H335" s="9" t="s">
        <v>287</v>
      </c>
      <c r="I335" s="9" t="s">
        <v>861</v>
      </c>
      <c r="J335" s="9" t="s">
        <v>879</v>
      </c>
      <c r="K335" s="9" t="s">
        <v>880</v>
      </c>
      <c r="L335" s="9" t="s">
        <v>880</v>
      </c>
      <c r="M335" s="9" t="s">
        <v>51</v>
      </c>
      <c r="N335" s="9">
        <v>87</v>
      </c>
      <c r="O335" s="9">
        <v>20</v>
      </c>
      <c r="P335" s="9">
        <v>67</v>
      </c>
      <c r="Q335" s="9">
        <v>87</v>
      </c>
      <c r="R335" s="9">
        <v>0.25</v>
      </c>
      <c r="S335" s="9">
        <v>2.2912729999999999</v>
      </c>
      <c r="T335" s="9">
        <v>128.17564200000001</v>
      </c>
      <c r="U335" s="9"/>
      <c r="V335" s="11">
        <f>VLOOKUP(L335,'[1]singkron data'!D:E,2,FALSE)</f>
        <v>0</v>
      </c>
      <c r="W335" s="11"/>
      <c r="X335" s="11"/>
      <c r="Y335" s="11">
        <f>VLOOKUP(L335,'[1]singkron data'!D:H,5,FALSE)</f>
        <v>0</v>
      </c>
      <c r="Z335" s="11">
        <f>VLOOKUP(L335,'[1]singkron data'!D:I,6,FALSE)</f>
        <v>0</v>
      </c>
      <c r="AA335" s="11">
        <f>VLOOKUP(L335,'[1]singkron data'!D:L,9,FALSE)</f>
        <v>0</v>
      </c>
      <c r="AB335" s="11" t="s">
        <v>694</v>
      </c>
      <c r="AC335" s="11">
        <f>VLOOKUP(L335,'[1]singkron data'!D:M,10,FALSE)</f>
        <v>0</v>
      </c>
      <c r="AD335" s="11"/>
      <c r="AE335" s="11">
        <f>VLOOKUP(L335,'[1]singkron data'!D:P,13,FALSE)</f>
        <v>0</v>
      </c>
      <c r="AF335" s="11"/>
      <c r="AG335" s="11" t="e">
        <f>VLOOKUP(L335,'[1]update kontrak'!E:K,6,FALSE)</f>
        <v>#N/A</v>
      </c>
      <c r="AH335" s="11" t="e">
        <f>VLOOKUP(L335,'[1]update kontrak'!E:K,7,FALSE)</f>
        <v>#N/A</v>
      </c>
      <c r="AI335" s="11"/>
      <c r="AJ335" s="11" t="str">
        <f>VLOOKUP(L335,[1]rekap!D:M,1,FALSE)</f>
        <v>Posi-Posi</v>
      </c>
      <c r="AK335" s="11">
        <f>VLOOKUP(L335,'[1]singkron data'!D:E,2,FALSE)</f>
        <v>0</v>
      </c>
      <c r="AL335" s="11" t="str">
        <f>VLOOKUP(L335,'[1]update 521'!D:D,1,FALSE)</f>
        <v>Posi-Posi</v>
      </c>
      <c r="AM335" s="11" t="s">
        <v>96</v>
      </c>
      <c r="AN335" s="11" t="e">
        <f>VLOOKUP(L335,[1]Sheet19!E:L,8,FALSE)</f>
        <v>#N/A</v>
      </c>
      <c r="AO335" s="11" t="e">
        <f>VLOOKUP(L335,[1]Sheet19!E:K,7,FALSE)</f>
        <v>#N/A</v>
      </c>
      <c r="AP335" s="12"/>
    </row>
    <row r="336" spans="1:42" ht="15" x14ac:dyDescent="0.2">
      <c r="A336" s="8" t="s">
        <v>42</v>
      </c>
      <c r="B336" s="9" t="s">
        <v>43</v>
      </c>
      <c r="C336" s="9">
        <v>192</v>
      </c>
      <c r="D336" s="9" t="s">
        <v>688</v>
      </c>
      <c r="E336" s="9">
        <v>92</v>
      </c>
      <c r="F336" s="9" t="s">
        <v>874</v>
      </c>
      <c r="G336" s="9" t="s">
        <v>715</v>
      </c>
      <c r="H336" s="9" t="s">
        <v>287</v>
      </c>
      <c r="I336" s="9" t="s">
        <v>861</v>
      </c>
      <c r="J336" s="9" t="s">
        <v>881</v>
      </c>
      <c r="K336" s="9" t="s">
        <v>882</v>
      </c>
      <c r="L336" s="9" t="s">
        <v>882</v>
      </c>
      <c r="M336" s="9" t="s">
        <v>51</v>
      </c>
      <c r="N336" s="9">
        <v>80</v>
      </c>
      <c r="O336" s="9">
        <v>13</v>
      </c>
      <c r="P336" s="9">
        <v>29</v>
      </c>
      <c r="Q336" s="9">
        <v>42</v>
      </c>
      <c r="R336" s="9">
        <v>0.6</v>
      </c>
      <c r="S336" s="9">
        <v>2.1995722</v>
      </c>
      <c r="T336" s="9">
        <v>128.24775</v>
      </c>
      <c r="U336" s="9"/>
      <c r="V336" s="11">
        <f>VLOOKUP(L336,'[1]singkron data'!D:E,2,FALSE)</f>
        <v>0</v>
      </c>
      <c r="W336" s="13" t="str">
        <f>VLOOKUP(L336,[1]Sheet18!E:F,2,FALSE)</f>
        <v>belum ada</v>
      </c>
      <c r="X336" s="11"/>
      <c r="Y336" s="11">
        <f>VLOOKUP(L336,'[1]singkron data'!D:H,5,FALSE)</f>
        <v>0</v>
      </c>
      <c r="Z336" s="11">
        <f>VLOOKUP(L336,'[1]singkron data'!D:I,6,FALSE)</f>
        <v>0</v>
      </c>
      <c r="AA336" s="11">
        <f>VLOOKUP(L336,'[1]singkron data'!D:L,9,FALSE)</f>
        <v>0</v>
      </c>
      <c r="AB336" s="11" t="s">
        <v>694</v>
      </c>
      <c r="AC336" s="11">
        <f>VLOOKUP(L336,'[1]singkron data'!D:M,10,FALSE)</f>
        <v>0</v>
      </c>
      <c r="AD336" s="11"/>
      <c r="AE336" s="11">
        <f>VLOOKUP(L336,'[1]singkron data'!D:P,13,FALSE)</f>
        <v>0</v>
      </c>
      <c r="AF336" s="11" t="s">
        <v>55</v>
      </c>
      <c r="AG336" s="11" t="e">
        <f>VLOOKUP(L336,'[1]update kontrak'!E:K,6,FALSE)</f>
        <v>#N/A</v>
      </c>
      <c r="AH336" s="11" t="e">
        <f>VLOOKUP(L336,'[1]update kontrak'!E:K,7,FALSE)</f>
        <v>#N/A</v>
      </c>
      <c r="AI336" s="11"/>
      <c r="AJ336" s="11" t="str">
        <f>VLOOKUP(L336,[1]rekap!D:M,1,FALSE)</f>
        <v>Tiley</v>
      </c>
      <c r="AK336" s="11">
        <f>VLOOKUP(L336,'[1]singkron data'!D:E,2,FALSE)</f>
        <v>0</v>
      </c>
      <c r="AL336" s="11" t="str">
        <f>VLOOKUP(L336,'[1]update 521'!D:D,1,FALSE)</f>
        <v>Tiley</v>
      </c>
      <c r="AM336" s="11" t="s">
        <v>96</v>
      </c>
      <c r="AN336" s="11" t="e">
        <f>VLOOKUP(L336,[1]Sheet19!E:L,8,FALSE)</f>
        <v>#N/A</v>
      </c>
      <c r="AO336" s="11" t="e">
        <f>VLOOKUP(L336,[1]Sheet19!E:K,7,FALSE)</f>
        <v>#N/A</v>
      </c>
      <c r="AP336" s="12"/>
    </row>
    <row r="337" spans="1:42" ht="15" x14ac:dyDescent="0.2">
      <c r="A337" s="8" t="s">
        <v>42</v>
      </c>
      <c r="B337" s="9" t="s">
        <v>43</v>
      </c>
      <c r="C337" s="9">
        <v>193</v>
      </c>
      <c r="D337" s="9" t="s">
        <v>688</v>
      </c>
      <c r="E337" s="9">
        <v>93</v>
      </c>
      <c r="F337" s="9" t="s">
        <v>874</v>
      </c>
      <c r="G337" s="9" t="s">
        <v>715</v>
      </c>
      <c r="H337" s="9" t="s">
        <v>287</v>
      </c>
      <c r="I337" s="9" t="s">
        <v>861</v>
      </c>
      <c r="J337" s="9" t="s">
        <v>881</v>
      </c>
      <c r="K337" s="9" t="s">
        <v>883</v>
      </c>
      <c r="L337" s="9" t="s">
        <v>883</v>
      </c>
      <c r="M337" s="9" t="s">
        <v>51</v>
      </c>
      <c r="N337" s="9">
        <v>34</v>
      </c>
      <c r="O337" s="9">
        <v>5</v>
      </c>
      <c r="P337" s="9">
        <v>25</v>
      </c>
      <c r="Q337" s="9">
        <v>30</v>
      </c>
      <c r="R337" s="9">
        <v>0.9</v>
      </c>
      <c r="S337" s="9">
        <v>2.2776070000000002</v>
      </c>
      <c r="T337" s="9">
        <v>128.20472699999999</v>
      </c>
      <c r="U337" s="9"/>
      <c r="V337" s="11">
        <f>VLOOKUP(L337,'[1]singkron data'!D:E,2,FALSE)</f>
        <v>0</v>
      </c>
      <c r="W337" s="13" t="str">
        <f>VLOOKUP(L337,[1]Sheet18!E:F,2,FALSE)</f>
        <v>belum ada</v>
      </c>
      <c r="X337" s="11"/>
      <c r="Y337" s="11">
        <f>VLOOKUP(L337,'[1]singkron data'!D:H,5,FALSE)</f>
        <v>0</v>
      </c>
      <c r="Z337" s="11">
        <f>VLOOKUP(L337,'[1]singkron data'!D:I,6,FALSE)</f>
        <v>0</v>
      </c>
      <c r="AA337" s="11">
        <f>VLOOKUP(L337,'[1]singkron data'!D:L,9,FALSE)</f>
        <v>0</v>
      </c>
      <c r="AB337" s="11" t="s">
        <v>694</v>
      </c>
      <c r="AC337" s="11">
        <f>VLOOKUP(L337,'[1]singkron data'!D:M,10,FALSE)</f>
        <v>0</v>
      </c>
      <c r="AD337" s="11"/>
      <c r="AE337" s="11">
        <f>VLOOKUP(L337,'[1]singkron data'!D:P,13,FALSE)</f>
        <v>0</v>
      </c>
      <c r="AF337" s="11" t="s">
        <v>55</v>
      </c>
      <c r="AG337" s="11" t="e">
        <f>VLOOKUP(L337,'[1]update kontrak'!E:K,6,FALSE)</f>
        <v>#N/A</v>
      </c>
      <c r="AH337" s="11" t="e">
        <f>VLOOKUP(L337,'[1]update kontrak'!E:K,7,FALSE)</f>
        <v>#N/A</v>
      </c>
      <c r="AI337" s="11"/>
      <c r="AJ337" s="11" t="str">
        <f>VLOOKUP(L337,[1]rekap!D:M,1,FALSE)</f>
        <v>Wayabula</v>
      </c>
      <c r="AK337" s="11">
        <f>VLOOKUP(L337,'[1]singkron data'!D:E,2,FALSE)</f>
        <v>0</v>
      </c>
      <c r="AL337" s="11" t="str">
        <f>VLOOKUP(L337,'[1]update 521'!D:D,1,FALSE)</f>
        <v>Wayabula</v>
      </c>
      <c r="AM337" s="11" t="s">
        <v>96</v>
      </c>
      <c r="AN337" s="11" t="e">
        <f>VLOOKUP(L337,[1]Sheet19!E:L,8,FALSE)</f>
        <v>#N/A</v>
      </c>
      <c r="AO337" s="11" t="e">
        <f>VLOOKUP(L337,[1]Sheet19!E:K,7,FALSE)</f>
        <v>#N/A</v>
      </c>
      <c r="AP337" s="12"/>
    </row>
    <row r="338" spans="1:42" ht="15" x14ac:dyDescent="0.2">
      <c r="A338" s="8" t="s">
        <v>42</v>
      </c>
      <c r="B338" s="9" t="s">
        <v>43</v>
      </c>
      <c r="C338" s="9">
        <v>151</v>
      </c>
      <c r="D338" s="9" t="s">
        <v>688</v>
      </c>
      <c r="E338" s="9">
        <v>51</v>
      </c>
      <c r="F338" s="9" t="s">
        <v>884</v>
      </c>
      <c r="G338" s="9" t="s">
        <v>690</v>
      </c>
      <c r="H338" s="9" t="s">
        <v>287</v>
      </c>
      <c r="I338" s="9" t="s">
        <v>707</v>
      </c>
      <c r="J338" s="9" t="s">
        <v>885</v>
      </c>
      <c r="K338" s="9" t="s">
        <v>886</v>
      </c>
      <c r="L338" s="9" t="s">
        <v>886</v>
      </c>
      <c r="M338" s="9" t="s">
        <v>81</v>
      </c>
      <c r="N338" s="9">
        <v>269</v>
      </c>
      <c r="O338" s="9">
        <v>15</v>
      </c>
      <c r="P338" s="9">
        <v>221</v>
      </c>
      <c r="Q338" s="9">
        <v>236</v>
      </c>
      <c r="R338" s="9">
        <v>1</v>
      </c>
      <c r="S338" s="9">
        <v>-8.0960000000000001</v>
      </c>
      <c r="T338" s="9">
        <v>131.0461</v>
      </c>
      <c r="U338" s="9"/>
      <c r="V338" s="11">
        <f>VLOOKUP(L338,'[1]singkron data'!D:E,2,FALSE)</f>
        <v>0</v>
      </c>
      <c r="W338" s="11">
        <f>VLOOKUP(L338,'[1]data 1129'!F:H,3,FALSE)</f>
        <v>0</v>
      </c>
      <c r="X338" s="11"/>
      <c r="Y338" s="11">
        <f>VLOOKUP(L338,'[1]singkron data'!D:H,5,FALSE)</f>
        <v>0</v>
      </c>
      <c r="Z338" s="11">
        <f>VLOOKUP(L338,'[1]singkron data'!D:I,6,FALSE)</f>
        <v>0</v>
      </c>
      <c r="AA338" s="11">
        <f>VLOOKUP(L338,'[1]singkron data'!D:L,9,FALSE)</f>
        <v>0</v>
      </c>
      <c r="AB338" s="11" t="s">
        <v>694</v>
      </c>
      <c r="AC338" s="11">
        <f>VLOOKUP(L338,'[1]singkron data'!D:M,10,FALSE)</f>
        <v>0</v>
      </c>
      <c r="AD338" s="11"/>
      <c r="AE338" s="11">
        <f>VLOOKUP(L338,'[1]singkron data'!D:P,13,FALSE)</f>
        <v>0</v>
      </c>
      <c r="AF338" s="11"/>
      <c r="AG338" s="11" t="e">
        <f>VLOOKUP(L338,'[1]update kontrak'!E:K,6,FALSE)</f>
        <v>#N/A</v>
      </c>
      <c r="AH338" s="11" t="e">
        <f>VLOOKUP(L338,'[1]update kontrak'!E:K,7,FALSE)</f>
        <v>#N/A</v>
      </c>
      <c r="AI338" s="11"/>
      <c r="AJ338" s="11" t="str">
        <f>VLOOKUP(L338,[1]rekap!D:M,1,FALSE)</f>
        <v>Adaut</v>
      </c>
      <c r="AK338" s="11">
        <f>VLOOKUP(L338,'[1]singkron data'!D:E,2,FALSE)</f>
        <v>0</v>
      </c>
      <c r="AL338" s="11" t="str">
        <f>VLOOKUP(L338,'[1]update 521'!D:D,1,FALSE)</f>
        <v>Adaut</v>
      </c>
      <c r="AM338" s="11" t="s">
        <v>96</v>
      </c>
      <c r="AN338" s="11" t="e">
        <f>VLOOKUP(L338,[1]Sheet19!E:L,8,FALSE)</f>
        <v>#N/A</v>
      </c>
      <c r="AO338" s="11" t="e">
        <f>VLOOKUP(L338,[1]Sheet19!E:K,7,FALSE)</f>
        <v>#N/A</v>
      </c>
      <c r="AP338" s="12"/>
    </row>
    <row r="339" spans="1:42" ht="15" x14ac:dyDescent="0.2">
      <c r="A339" s="8" t="s">
        <v>42</v>
      </c>
      <c r="B339" s="9" t="s">
        <v>43</v>
      </c>
      <c r="C339" s="9">
        <v>194</v>
      </c>
      <c r="D339" s="9" t="s">
        <v>688</v>
      </c>
      <c r="E339" s="9">
        <v>94</v>
      </c>
      <c r="F339" s="9" t="s">
        <v>887</v>
      </c>
      <c r="G339" s="9" t="s">
        <v>690</v>
      </c>
      <c r="H339" s="9" t="s">
        <v>287</v>
      </c>
      <c r="I339" s="9" t="s">
        <v>707</v>
      </c>
      <c r="J339" s="9" t="s">
        <v>888</v>
      </c>
      <c r="K339" s="9" t="s">
        <v>889</v>
      </c>
      <c r="L339" s="9" t="s">
        <v>889</v>
      </c>
      <c r="M339" s="9" t="s">
        <v>51</v>
      </c>
      <c r="N339" s="9">
        <v>45</v>
      </c>
      <c r="O339" s="9">
        <v>3</v>
      </c>
      <c r="P339" s="9">
        <v>16</v>
      </c>
      <c r="Q339" s="9">
        <v>19</v>
      </c>
      <c r="R339" s="9">
        <v>0.17</v>
      </c>
      <c r="S339" s="9">
        <v>-7.3317379999999996</v>
      </c>
      <c r="T339" s="9">
        <v>131.44653299999999</v>
      </c>
      <c r="U339" s="9"/>
      <c r="V339" s="11">
        <f>VLOOKUP(L339,'[1]singkron data'!D:E,2,FALSE)</f>
        <v>0</v>
      </c>
      <c r="W339" s="11">
        <f>VLOOKUP(L339,'[1]data 1129'!F:H,3,FALSE)</f>
        <v>0</v>
      </c>
      <c r="X339" s="11"/>
      <c r="Y339" s="11">
        <f>VLOOKUP(L339,'[1]singkron data'!D:H,5,FALSE)</f>
        <v>0</v>
      </c>
      <c r="Z339" s="11">
        <f>VLOOKUP(L339,'[1]singkron data'!D:I,6,FALSE)</f>
        <v>0</v>
      </c>
      <c r="AA339" s="11">
        <f>VLOOKUP(L339,'[1]singkron data'!D:L,9,FALSE)</f>
        <v>0</v>
      </c>
      <c r="AB339" s="11" t="s">
        <v>694</v>
      </c>
      <c r="AC339" s="11">
        <f>VLOOKUP(L339,'[1]singkron data'!D:M,10,FALSE)</f>
        <v>0</v>
      </c>
      <c r="AD339" s="11"/>
      <c r="AE339" s="11">
        <f>VLOOKUP(L339,'[1]singkron data'!D:P,13,FALSE)</f>
        <v>0</v>
      </c>
      <c r="AF339" s="11"/>
      <c r="AG339" s="11" t="e">
        <f>VLOOKUP(L339,'[1]update kontrak'!E:K,6,FALSE)</f>
        <v>#N/A</v>
      </c>
      <c r="AH339" s="11" t="e">
        <f>VLOOKUP(L339,'[1]update kontrak'!E:K,7,FALSE)</f>
        <v>#N/A</v>
      </c>
      <c r="AI339" s="11"/>
      <c r="AJ339" s="11" t="str">
        <f>VLOOKUP(L339,[1]rekap!D:M,1,FALSE)</f>
        <v>Wabar</v>
      </c>
      <c r="AK339" s="11">
        <f>VLOOKUP(L339,'[1]singkron data'!D:E,2,FALSE)</f>
        <v>0</v>
      </c>
      <c r="AL339" s="11" t="str">
        <f>VLOOKUP(L339,'[1]update 521'!D:D,1,FALSE)</f>
        <v>Wabar</v>
      </c>
      <c r="AM339" s="11" t="s">
        <v>96</v>
      </c>
      <c r="AN339" s="11" t="e">
        <f>VLOOKUP(L339,[1]Sheet19!E:L,8,FALSE)</f>
        <v>#N/A</v>
      </c>
      <c r="AO339" s="11" t="e">
        <f>VLOOKUP(L339,[1]Sheet19!E:K,7,FALSE)</f>
        <v>#N/A</v>
      </c>
      <c r="AP339" s="12"/>
    </row>
    <row r="340" spans="1:42" ht="15" x14ac:dyDescent="0.2">
      <c r="A340" s="8" t="s">
        <v>42</v>
      </c>
      <c r="B340" s="9" t="s">
        <v>43</v>
      </c>
      <c r="C340" s="9">
        <v>195</v>
      </c>
      <c r="D340" s="9" t="s">
        <v>688</v>
      </c>
      <c r="E340" s="9">
        <v>95</v>
      </c>
      <c r="F340" s="9" t="s">
        <v>887</v>
      </c>
      <c r="G340" s="9" t="s">
        <v>690</v>
      </c>
      <c r="H340" s="9" t="s">
        <v>287</v>
      </c>
      <c r="I340" s="9" t="s">
        <v>707</v>
      </c>
      <c r="J340" s="9" t="s">
        <v>888</v>
      </c>
      <c r="K340" s="9" t="s">
        <v>887</v>
      </c>
      <c r="L340" s="9" t="s">
        <v>887</v>
      </c>
      <c r="M340" s="9" t="s">
        <v>51</v>
      </c>
      <c r="N340" s="9">
        <v>323</v>
      </c>
      <c r="O340" s="9">
        <v>20</v>
      </c>
      <c r="P340" s="9">
        <v>76</v>
      </c>
      <c r="Q340" s="9">
        <v>96</v>
      </c>
      <c r="R340" s="9">
        <v>0.53</v>
      </c>
      <c r="S340" s="9">
        <v>-7.0983000000000001</v>
      </c>
      <c r="T340" s="9">
        <v>131.4443</v>
      </c>
      <c r="U340" s="9"/>
      <c r="V340" s="11">
        <f>VLOOKUP(L340,'[1]singkron data'!D:E,2,FALSE)</f>
        <v>0</v>
      </c>
      <c r="W340" s="11">
        <f>VLOOKUP(L340,'[1]data 1129'!F:H,3,FALSE)</f>
        <v>0</v>
      </c>
      <c r="X340" s="11"/>
      <c r="Y340" s="11">
        <f>VLOOKUP(L340,'[1]singkron data'!D:H,5,FALSE)</f>
        <v>0</v>
      </c>
      <c r="Z340" s="11">
        <f>VLOOKUP(L340,'[1]singkron data'!D:I,6,FALSE)</f>
        <v>0</v>
      </c>
      <c r="AA340" s="11">
        <f>VLOOKUP(L340,'[1]singkron data'!D:L,9,FALSE)</f>
        <v>0</v>
      </c>
      <c r="AB340" s="11" t="s">
        <v>694</v>
      </c>
      <c r="AC340" s="11">
        <f>VLOOKUP(L340,'[1]singkron data'!D:M,10,FALSE)</f>
        <v>0</v>
      </c>
      <c r="AD340" s="11"/>
      <c r="AE340" s="11">
        <f>VLOOKUP(L340,'[1]singkron data'!D:P,13,FALSE)</f>
        <v>0</v>
      </c>
      <c r="AF340" s="11"/>
      <c r="AG340" s="11" t="e">
        <f>VLOOKUP(L340,'[1]update kontrak'!E:K,6,FALSE)</f>
        <v>#N/A</v>
      </c>
      <c r="AH340" s="11" t="e">
        <f>VLOOKUP(L340,'[1]update kontrak'!E:K,7,FALSE)</f>
        <v>#N/A</v>
      </c>
      <c r="AI340" s="11"/>
      <c r="AJ340" s="11" t="str">
        <f>VLOOKUP(L340,[1]rekap!D:M,1,FALSE)</f>
        <v>Teineman</v>
      </c>
      <c r="AK340" s="11">
        <f>VLOOKUP(L340,'[1]singkron data'!D:E,2,FALSE)</f>
        <v>0</v>
      </c>
      <c r="AL340" s="11" t="str">
        <f>VLOOKUP(L340,'[1]update 521'!D:D,1,FALSE)</f>
        <v>Teineman</v>
      </c>
      <c r="AM340" s="11" t="s">
        <v>96</v>
      </c>
      <c r="AN340" s="11" t="e">
        <f>VLOOKUP(L340,[1]Sheet19!E:L,8,FALSE)</f>
        <v>#N/A</v>
      </c>
      <c r="AO340" s="11" t="e">
        <f>VLOOKUP(L340,[1]Sheet19!E:K,7,FALSE)</f>
        <v>#N/A</v>
      </c>
      <c r="AP340" s="12"/>
    </row>
    <row r="341" spans="1:42" ht="15" x14ac:dyDescent="0.2">
      <c r="A341" s="8" t="s">
        <v>42</v>
      </c>
      <c r="B341" s="9" t="s">
        <v>43</v>
      </c>
      <c r="C341" s="9">
        <v>196</v>
      </c>
      <c r="D341" s="9" t="s">
        <v>688</v>
      </c>
      <c r="E341" s="9">
        <v>96</v>
      </c>
      <c r="F341" s="9" t="s">
        <v>812</v>
      </c>
      <c r="G341" s="9" t="s">
        <v>690</v>
      </c>
      <c r="H341" s="9" t="s">
        <v>287</v>
      </c>
      <c r="I341" s="9" t="s">
        <v>890</v>
      </c>
      <c r="J341" s="9" t="s">
        <v>891</v>
      </c>
      <c r="K341" s="9" t="s">
        <v>892</v>
      </c>
      <c r="L341" s="9" t="s">
        <v>892</v>
      </c>
      <c r="M341" s="9" t="s">
        <v>65</v>
      </c>
      <c r="N341" s="9">
        <v>98</v>
      </c>
      <c r="O341" s="9">
        <v>34</v>
      </c>
      <c r="P341" s="9">
        <v>202</v>
      </c>
      <c r="Q341" s="9">
        <v>236</v>
      </c>
      <c r="R341" s="9">
        <v>0.51</v>
      </c>
      <c r="S341" s="9">
        <v>-3.072778</v>
      </c>
      <c r="T341" s="9">
        <v>126.527778</v>
      </c>
      <c r="U341" s="9"/>
      <c r="V341" s="11">
        <f>VLOOKUP(L341,'[1]singkron data'!D:E,2,FALSE)</f>
        <v>0</v>
      </c>
      <c r="W341" s="11">
        <f>VLOOKUP(L341,'[1]data 1129'!F:H,3,FALSE)</f>
        <v>0</v>
      </c>
      <c r="X341" s="11"/>
      <c r="Y341" s="11">
        <f>VLOOKUP(L341,'[1]singkron data'!D:H,5,FALSE)</f>
        <v>0</v>
      </c>
      <c r="Z341" s="11">
        <f>VLOOKUP(L341,'[1]singkron data'!D:I,6,FALSE)</f>
        <v>0</v>
      </c>
      <c r="AA341" s="11">
        <f>VLOOKUP(L341,'[1]singkron data'!D:L,9,FALSE)</f>
        <v>0</v>
      </c>
      <c r="AB341" s="11" t="s">
        <v>694</v>
      </c>
      <c r="AC341" s="11">
        <f>VLOOKUP(L341,'[1]singkron data'!D:M,10,FALSE)</f>
        <v>0</v>
      </c>
      <c r="AD341" s="11"/>
      <c r="AE341" s="11">
        <f>VLOOKUP(L341,'[1]singkron data'!D:P,13,FALSE)</f>
        <v>0</v>
      </c>
      <c r="AF341" s="11"/>
      <c r="AG341" s="11" t="e">
        <f>VLOOKUP(L341,'[1]update kontrak'!E:K,6,FALSE)</f>
        <v>#N/A</v>
      </c>
      <c r="AH341" s="11" t="e">
        <f>VLOOKUP(L341,'[1]update kontrak'!E:K,7,FALSE)</f>
        <v>#N/A</v>
      </c>
      <c r="AI341" s="11"/>
      <c r="AJ341" s="11" t="str">
        <f>VLOOKUP(L341,[1]rekap!D:M,1,FALSE)</f>
        <v>Wamlana</v>
      </c>
      <c r="AK341" s="11">
        <f>VLOOKUP(L341,'[1]singkron data'!D:E,2,FALSE)</f>
        <v>0</v>
      </c>
      <c r="AL341" s="11" t="str">
        <f>VLOOKUP(L341,'[1]update 521'!D:D,1,FALSE)</f>
        <v>Wamlana</v>
      </c>
      <c r="AM341" s="11" t="s">
        <v>96</v>
      </c>
      <c r="AN341" s="11" t="e">
        <f>VLOOKUP(L341,[1]Sheet19!E:L,8,FALSE)</f>
        <v>#N/A</v>
      </c>
      <c r="AO341" s="11" t="e">
        <f>VLOOKUP(L341,[1]Sheet19!E:K,7,FALSE)</f>
        <v>#N/A</v>
      </c>
      <c r="AP341" s="12"/>
    </row>
    <row r="342" spans="1:42" ht="15" x14ac:dyDescent="0.2">
      <c r="A342" s="8" t="s">
        <v>42</v>
      </c>
      <c r="B342" s="9" t="s">
        <v>43</v>
      </c>
      <c r="C342" s="9">
        <v>197</v>
      </c>
      <c r="D342" s="9" t="s">
        <v>688</v>
      </c>
      <c r="E342" s="9">
        <v>97</v>
      </c>
      <c r="F342" s="9" t="s">
        <v>812</v>
      </c>
      <c r="G342" s="9" t="s">
        <v>690</v>
      </c>
      <c r="H342" s="9" t="s">
        <v>287</v>
      </c>
      <c r="I342" s="9" t="s">
        <v>890</v>
      </c>
      <c r="J342" s="9" t="s">
        <v>893</v>
      </c>
      <c r="K342" s="9" t="s">
        <v>894</v>
      </c>
      <c r="L342" s="9" t="s">
        <v>894</v>
      </c>
      <c r="M342" s="9" t="s">
        <v>51</v>
      </c>
      <c r="N342" s="9">
        <v>322</v>
      </c>
      <c r="O342" s="9">
        <v>20</v>
      </c>
      <c r="P342" s="9">
        <v>101</v>
      </c>
      <c r="Q342" s="9">
        <v>121</v>
      </c>
      <c r="R342" s="9">
        <v>0.53</v>
      </c>
      <c r="S342" s="9">
        <v>-3.3573590000000002</v>
      </c>
      <c r="T342" s="9">
        <v>127.182676</v>
      </c>
      <c r="U342" s="9"/>
      <c r="V342" s="11">
        <f>VLOOKUP(L342,'[1]singkron data'!D:E,2,FALSE)</f>
        <v>0</v>
      </c>
      <c r="W342" s="11">
        <f>VLOOKUP(L342,'[1]data 1129'!F:H,3,FALSE)</f>
        <v>0</v>
      </c>
      <c r="X342" s="11"/>
      <c r="Y342" s="11">
        <f>VLOOKUP(L342,'[1]singkron data'!D:H,5,FALSE)</f>
        <v>0</v>
      </c>
      <c r="Z342" s="11">
        <f>VLOOKUP(L342,'[1]singkron data'!D:I,6,FALSE)</f>
        <v>0</v>
      </c>
      <c r="AA342" s="11">
        <f>VLOOKUP(L342,'[1]singkron data'!D:L,9,FALSE)</f>
        <v>0</v>
      </c>
      <c r="AB342" s="11" t="s">
        <v>694</v>
      </c>
      <c r="AC342" s="11">
        <f>VLOOKUP(L342,'[1]singkron data'!D:M,10,FALSE)</f>
        <v>0</v>
      </c>
      <c r="AD342" s="11"/>
      <c r="AE342" s="11">
        <f>VLOOKUP(L342,'[1]singkron data'!D:P,13,FALSE)</f>
        <v>0</v>
      </c>
      <c r="AF342" s="11"/>
      <c r="AG342" s="11" t="e">
        <f>VLOOKUP(L342,'[1]update kontrak'!E:K,6,FALSE)</f>
        <v>#N/A</v>
      </c>
      <c r="AH342" s="11" t="e">
        <f>VLOOKUP(L342,'[1]update kontrak'!E:K,7,FALSE)</f>
        <v>#N/A</v>
      </c>
      <c r="AI342" s="11"/>
      <c r="AJ342" s="11" t="str">
        <f>VLOOKUP(L342,[1]rekap!D:M,1,FALSE)</f>
        <v>Seith</v>
      </c>
      <c r="AK342" s="11">
        <f>VLOOKUP(L342,'[1]singkron data'!D:E,2,FALSE)</f>
        <v>0</v>
      </c>
      <c r="AL342" s="11" t="str">
        <f>VLOOKUP(L342,'[1]update 521'!D:D,1,FALSE)</f>
        <v>Seith</v>
      </c>
      <c r="AM342" s="11" t="s">
        <v>96</v>
      </c>
      <c r="AN342" s="11" t="e">
        <f>VLOOKUP(L342,[1]Sheet19!E:L,8,FALSE)</f>
        <v>#N/A</v>
      </c>
      <c r="AO342" s="11" t="e">
        <f>VLOOKUP(L342,[1]Sheet19!E:K,7,FALSE)</f>
        <v>#N/A</v>
      </c>
      <c r="AP342" s="12"/>
    </row>
    <row r="343" spans="1:42" ht="15" x14ac:dyDescent="0.2">
      <c r="A343" s="8" t="s">
        <v>42</v>
      </c>
      <c r="B343" s="9" t="s">
        <v>43</v>
      </c>
      <c r="C343" s="9">
        <v>198</v>
      </c>
      <c r="D343" s="9" t="s">
        <v>688</v>
      </c>
      <c r="E343" s="9">
        <v>98</v>
      </c>
      <c r="F343" s="9" t="s">
        <v>895</v>
      </c>
      <c r="G343" s="9" t="s">
        <v>715</v>
      </c>
      <c r="H343" s="9" t="s">
        <v>287</v>
      </c>
      <c r="I343" s="9" t="s">
        <v>759</v>
      </c>
      <c r="J343" s="9" t="s">
        <v>896</v>
      </c>
      <c r="K343" s="9" t="s">
        <v>897</v>
      </c>
      <c r="L343" s="9" t="s">
        <v>897</v>
      </c>
      <c r="M343" s="9" t="s">
        <v>51</v>
      </c>
      <c r="N343" s="9">
        <v>83</v>
      </c>
      <c r="O343" s="9">
        <v>12</v>
      </c>
      <c r="P343" s="9">
        <v>38</v>
      </c>
      <c r="Q343" s="9">
        <v>50</v>
      </c>
      <c r="R343" s="9">
        <v>0.67</v>
      </c>
      <c r="S343" s="9">
        <v>1.520278</v>
      </c>
      <c r="T343" s="9">
        <v>128.413028</v>
      </c>
      <c r="U343" s="9"/>
      <c r="V343" s="11">
        <f>VLOOKUP(L343,'[1]singkron data'!D:E,2,FALSE)</f>
        <v>0</v>
      </c>
      <c r="W343" s="13" t="str">
        <f>VLOOKUP(L343,[1]Sheet18!E:F,2,FALSE)</f>
        <v>belum ada</v>
      </c>
      <c r="X343" s="11"/>
      <c r="Y343" s="11">
        <f>VLOOKUP(L343,'[1]singkron data'!D:H,5,FALSE)</f>
        <v>0</v>
      </c>
      <c r="Z343" s="11">
        <f>VLOOKUP(L343,'[1]singkron data'!D:I,6,FALSE)</f>
        <v>0</v>
      </c>
      <c r="AA343" s="11">
        <f>VLOOKUP(L343,'[1]singkron data'!D:L,9,FALSE)</f>
        <v>0</v>
      </c>
      <c r="AB343" s="11" t="s">
        <v>694</v>
      </c>
      <c r="AC343" s="11">
        <f>VLOOKUP(L343,'[1]singkron data'!D:M,10,FALSE)</f>
        <v>0</v>
      </c>
      <c r="AD343" s="11"/>
      <c r="AE343" s="11">
        <f>VLOOKUP(L343,'[1]singkron data'!D:P,13,FALSE)</f>
        <v>0</v>
      </c>
      <c r="AF343" s="11" t="s">
        <v>55</v>
      </c>
      <c r="AG343" s="11" t="e">
        <f>VLOOKUP(L343,'[1]update kontrak'!E:K,6,FALSE)</f>
        <v>#N/A</v>
      </c>
      <c r="AH343" s="11" t="e">
        <f>VLOOKUP(L343,'[1]update kontrak'!E:K,7,FALSE)</f>
        <v>#N/A</v>
      </c>
      <c r="AI343" s="11"/>
      <c r="AJ343" s="11" t="str">
        <f>VLOOKUP(L343,[1]rekap!D:M,1,FALSE)</f>
        <v>Majiko Tongone</v>
      </c>
      <c r="AK343" s="11">
        <f>VLOOKUP(L343,'[1]singkron data'!D:E,2,FALSE)</f>
        <v>0</v>
      </c>
      <c r="AL343" s="11" t="str">
        <f>VLOOKUP(L343,'[1]update 521'!D:D,1,FALSE)</f>
        <v>Majiko Tongone</v>
      </c>
      <c r="AM343" s="11" t="s">
        <v>96</v>
      </c>
      <c r="AN343" s="11" t="e">
        <f>VLOOKUP(L343,[1]Sheet19!E:L,8,FALSE)</f>
        <v>#N/A</v>
      </c>
      <c r="AO343" s="11" t="e">
        <f>VLOOKUP(L343,[1]Sheet19!E:K,7,FALSE)</f>
        <v>#N/A</v>
      </c>
      <c r="AP343" s="12"/>
    </row>
    <row r="344" spans="1:42" ht="15" x14ac:dyDescent="0.2">
      <c r="A344" s="8" t="s">
        <v>42</v>
      </c>
      <c r="B344" s="9" t="s">
        <v>43</v>
      </c>
      <c r="C344" s="9">
        <v>199</v>
      </c>
      <c r="D344" s="9" t="s">
        <v>688</v>
      </c>
      <c r="E344" s="9">
        <v>99</v>
      </c>
      <c r="F344" s="9" t="s">
        <v>895</v>
      </c>
      <c r="G344" s="9" t="s">
        <v>715</v>
      </c>
      <c r="H344" s="9" t="s">
        <v>287</v>
      </c>
      <c r="I344" s="9" t="s">
        <v>756</v>
      </c>
      <c r="J344" s="9" t="s">
        <v>898</v>
      </c>
      <c r="K344" s="9" t="s">
        <v>899</v>
      </c>
      <c r="L344" s="9" t="s">
        <v>899</v>
      </c>
      <c r="M344" s="9" t="s">
        <v>51</v>
      </c>
      <c r="N344" s="9">
        <v>129</v>
      </c>
      <c r="O344" s="9">
        <v>50</v>
      </c>
      <c r="P344" s="9">
        <v>79</v>
      </c>
      <c r="Q344" s="9">
        <v>129</v>
      </c>
      <c r="R344" s="9">
        <v>0.71</v>
      </c>
      <c r="S344" s="9">
        <v>1.511482</v>
      </c>
      <c r="T344" s="9">
        <v>128.69346100000001</v>
      </c>
      <c r="U344" s="9"/>
      <c r="V344" s="11">
        <f>VLOOKUP(L344,'[1]singkron data'!D:E,2,FALSE)</f>
        <v>0</v>
      </c>
      <c r="W344" s="13" t="str">
        <f>VLOOKUP(L344,[1]Sheet18!E:F,2,FALSE)</f>
        <v>belum ada</v>
      </c>
      <c r="X344" s="11"/>
      <c r="Y344" s="11">
        <f>VLOOKUP(L344,'[1]singkron data'!D:H,5,FALSE)</f>
        <v>0</v>
      </c>
      <c r="Z344" s="11">
        <f>VLOOKUP(L344,'[1]singkron data'!D:I,6,FALSE)</f>
        <v>0</v>
      </c>
      <c r="AA344" s="11">
        <f>VLOOKUP(L344,'[1]singkron data'!D:L,9,FALSE)</f>
        <v>0</v>
      </c>
      <c r="AB344" s="11" t="s">
        <v>694</v>
      </c>
      <c r="AC344" s="11">
        <f>VLOOKUP(L344,'[1]singkron data'!D:M,10,FALSE)</f>
        <v>0</v>
      </c>
      <c r="AD344" s="11"/>
      <c r="AE344" s="11">
        <f>VLOOKUP(L344,'[1]singkron data'!D:P,13,FALSE)</f>
        <v>0</v>
      </c>
      <c r="AF344" s="11" t="s">
        <v>55</v>
      </c>
      <c r="AG344" s="11" t="e">
        <f>VLOOKUP(L344,'[1]update kontrak'!E:K,6,FALSE)</f>
        <v>#N/A</v>
      </c>
      <c r="AH344" s="11" t="e">
        <f>VLOOKUP(L344,'[1]update kontrak'!E:K,7,FALSE)</f>
        <v>#N/A</v>
      </c>
      <c r="AI344" s="11"/>
      <c r="AJ344" s="11" t="str">
        <f>VLOOKUP(L344,[1]rekap!D:M,1,FALSE)</f>
        <v>Dama</v>
      </c>
      <c r="AK344" s="11">
        <f>VLOOKUP(L344,'[1]singkron data'!D:E,2,FALSE)</f>
        <v>0</v>
      </c>
      <c r="AL344" s="11" t="str">
        <f>VLOOKUP(L344,'[1]update 521'!D:D,1,FALSE)</f>
        <v>Dama</v>
      </c>
      <c r="AM344" s="11" t="s">
        <v>96</v>
      </c>
      <c r="AN344" s="11" t="e">
        <f>VLOOKUP(L344,[1]Sheet19!E:L,8,FALSE)</f>
        <v>#N/A</v>
      </c>
      <c r="AO344" s="11" t="e">
        <f>VLOOKUP(L344,[1]Sheet19!E:K,7,FALSE)</f>
        <v>#N/A</v>
      </c>
      <c r="AP344" s="12"/>
    </row>
    <row r="345" spans="1:42" ht="15" x14ac:dyDescent="0.2">
      <c r="A345" s="8" t="s">
        <v>42</v>
      </c>
      <c r="B345" s="9" t="s">
        <v>43</v>
      </c>
      <c r="C345" s="9">
        <v>200</v>
      </c>
      <c r="D345" s="9" t="s">
        <v>688</v>
      </c>
      <c r="E345" s="9">
        <v>100</v>
      </c>
      <c r="F345" s="9" t="s">
        <v>895</v>
      </c>
      <c r="G345" s="9" t="s">
        <v>715</v>
      </c>
      <c r="H345" s="9" t="s">
        <v>287</v>
      </c>
      <c r="I345" s="9" t="s">
        <v>759</v>
      </c>
      <c r="J345" s="9" t="s">
        <v>900</v>
      </c>
      <c r="K345" s="9" t="s">
        <v>901</v>
      </c>
      <c r="L345" s="9" t="s">
        <v>901</v>
      </c>
      <c r="M345" s="9" t="s">
        <v>51</v>
      </c>
      <c r="N345" s="9">
        <v>52</v>
      </c>
      <c r="O345" s="9">
        <v>2</v>
      </c>
      <c r="P345" s="9">
        <v>26</v>
      </c>
      <c r="Q345" s="9">
        <v>28</v>
      </c>
      <c r="R345" s="9">
        <v>1</v>
      </c>
      <c r="S345" s="9">
        <v>1.507306</v>
      </c>
      <c r="T345" s="9">
        <v>128.68549999999999</v>
      </c>
      <c r="U345" s="9"/>
      <c r="V345" s="11">
        <f>VLOOKUP(L345,'[1]singkron data'!D:E,2,FALSE)</f>
        <v>0</v>
      </c>
      <c r="W345" s="13" t="str">
        <f>VLOOKUP(L345,[1]Sheet18!E:F,2,FALSE)</f>
        <v>belum ada</v>
      </c>
      <c r="X345" s="11"/>
      <c r="Y345" s="11">
        <f>VLOOKUP(L345,'[1]singkron data'!D:H,5,FALSE)</f>
        <v>0</v>
      </c>
      <c r="Z345" s="11">
        <f>VLOOKUP(L345,'[1]singkron data'!D:I,6,FALSE)</f>
        <v>0</v>
      </c>
      <c r="AA345" s="11">
        <f>VLOOKUP(L345,'[1]singkron data'!D:L,9,FALSE)</f>
        <v>0</v>
      </c>
      <c r="AB345" s="11" t="s">
        <v>694</v>
      </c>
      <c r="AC345" s="11">
        <f>VLOOKUP(L345,'[1]singkron data'!D:M,10,FALSE)</f>
        <v>0</v>
      </c>
      <c r="AD345" s="11"/>
      <c r="AE345" s="11">
        <f>VLOOKUP(L345,'[1]singkron data'!D:P,13,FALSE)</f>
        <v>0</v>
      </c>
      <c r="AF345" s="11" t="s">
        <v>55</v>
      </c>
      <c r="AG345" s="11" t="e">
        <f>VLOOKUP(L345,'[1]update kontrak'!E:K,6,FALSE)</f>
        <v>#N/A</v>
      </c>
      <c r="AH345" s="11" t="e">
        <f>VLOOKUP(L345,'[1]update kontrak'!E:K,7,FALSE)</f>
        <v>#N/A</v>
      </c>
      <c r="AI345" s="11"/>
      <c r="AJ345" s="11" t="str">
        <f>VLOOKUP(L345,[1]rekap!D:M,1,FALSE)</f>
        <v>Patlean</v>
      </c>
      <c r="AK345" s="11">
        <f>VLOOKUP(L345,'[1]singkron data'!D:E,2,FALSE)</f>
        <v>0</v>
      </c>
      <c r="AL345" s="11" t="str">
        <f>VLOOKUP(L345,'[1]update 521'!D:D,1,FALSE)</f>
        <v>Patlean</v>
      </c>
      <c r="AM345" s="11" t="s">
        <v>96</v>
      </c>
      <c r="AN345" s="11" t="e">
        <f>VLOOKUP(L345,[1]Sheet19!E:L,8,FALSE)</f>
        <v>#N/A</v>
      </c>
      <c r="AO345" s="11" t="e">
        <f>VLOOKUP(L345,[1]Sheet19!E:K,7,FALSE)</f>
        <v>#N/A</v>
      </c>
      <c r="AP345" s="12"/>
    </row>
    <row r="346" spans="1:42" ht="15" x14ac:dyDescent="0.2">
      <c r="A346" s="8" t="s">
        <v>42</v>
      </c>
      <c r="B346" s="9" t="s">
        <v>43</v>
      </c>
      <c r="C346" s="9">
        <v>119</v>
      </c>
      <c r="D346" s="9" t="s">
        <v>688</v>
      </c>
      <c r="E346" s="9">
        <v>19</v>
      </c>
      <c r="F346" s="9" t="s">
        <v>902</v>
      </c>
      <c r="G346" s="9" t="s">
        <v>690</v>
      </c>
      <c r="H346" s="9" t="s">
        <v>287</v>
      </c>
      <c r="I346" s="9" t="s">
        <v>767</v>
      </c>
      <c r="J346" s="9" t="s">
        <v>903</v>
      </c>
      <c r="K346" s="9" t="s">
        <v>904</v>
      </c>
      <c r="L346" s="9" t="s">
        <v>904</v>
      </c>
      <c r="M346" s="9" t="s">
        <v>51</v>
      </c>
      <c r="N346" s="9">
        <v>70</v>
      </c>
      <c r="O346" s="9">
        <v>7</v>
      </c>
      <c r="P346" s="9">
        <v>23</v>
      </c>
      <c r="Q346" s="9">
        <v>30</v>
      </c>
      <c r="R346" s="9">
        <v>0.2</v>
      </c>
      <c r="S346" s="9">
        <v>-5.8372999999999999</v>
      </c>
      <c r="T346" s="9">
        <v>132.89109999999999</v>
      </c>
      <c r="U346" s="9"/>
      <c r="V346" s="11" t="s">
        <v>770</v>
      </c>
      <c r="W346" s="11">
        <f>VLOOKUP(L346,'[1]data 1129'!F:H,3,FALSE)</f>
        <v>0</v>
      </c>
      <c r="X346" s="11"/>
      <c r="Y346" s="11">
        <f>VLOOKUP(L346,'[1]singkron data'!D:H,5,FALSE)</f>
        <v>0</v>
      </c>
      <c r="Z346" s="11">
        <f>VLOOKUP(L346,'[1]singkron data'!D:I,6,FALSE)</f>
        <v>0</v>
      </c>
      <c r="AA346" s="11" t="s">
        <v>771</v>
      </c>
      <c r="AB346" s="11" t="s">
        <v>694</v>
      </c>
      <c r="AC346" s="11" t="s">
        <v>772</v>
      </c>
      <c r="AD346" s="11"/>
      <c r="AE346" s="11">
        <f>VLOOKUP(L346,'[1]singkron data'!D:P,13,FALSE)</f>
        <v>0</v>
      </c>
      <c r="AF346" s="11"/>
      <c r="AG346" s="11" t="e">
        <f>VLOOKUP(L346,'[1]update kontrak'!E:K,6,FALSE)</f>
        <v>#N/A</v>
      </c>
      <c r="AH346" s="11" t="e">
        <f>VLOOKUP(L346,'[1]update kontrak'!E:K,7,FALSE)</f>
        <v>#N/A</v>
      </c>
      <c r="AI346" s="11"/>
      <c r="AJ346" s="11" t="str">
        <f>VLOOKUP(L346,[1]rekap!D:M,1,FALSE)</f>
        <v>Tamangil Nuhuyanat</v>
      </c>
      <c r="AK346" s="11" t="str">
        <f>VLOOKUP(L346,'[1]singkron data'!D:E,2,FALSE)</f>
        <v>PT. Sapta Manuggal Karya (Menengah)</v>
      </c>
      <c r="AL346" s="11" t="str">
        <f>VLOOKUP(L346,'[1]update 521'!D:D,1,FALSE)</f>
        <v>Tamangil Nuhuyanat</v>
      </c>
      <c r="AM346" s="11" t="s">
        <v>96</v>
      </c>
      <c r="AN346" s="11" t="e">
        <f>VLOOKUP(L346,[1]Sheet19!E:L,8,FALSE)</f>
        <v>#N/A</v>
      </c>
      <c r="AO346" s="11" t="e">
        <f>VLOOKUP(L346,[1]Sheet19!E:K,7,FALSE)</f>
        <v>#N/A</v>
      </c>
      <c r="AP346" s="12"/>
    </row>
    <row r="347" spans="1:42" ht="15" x14ac:dyDescent="0.2">
      <c r="A347" s="8" t="s">
        <v>42</v>
      </c>
      <c r="B347" s="9" t="s">
        <v>43</v>
      </c>
      <c r="C347" s="9">
        <v>201</v>
      </c>
      <c r="D347" s="9" t="s">
        <v>688</v>
      </c>
      <c r="E347" s="9">
        <v>101</v>
      </c>
      <c r="F347" s="9" t="s">
        <v>902</v>
      </c>
      <c r="G347" s="9" t="s">
        <v>690</v>
      </c>
      <c r="H347" s="9" t="s">
        <v>287</v>
      </c>
      <c r="I347" s="9" t="s">
        <v>767</v>
      </c>
      <c r="J347" s="9" t="s">
        <v>905</v>
      </c>
      <c r="K347" s="9" t="s">
        <v>906</v>
      </c>
      <c r="L347" s="9" t="s">
        <v>906</v>
      </c>
      <c r="M347" s="9" t="s">
        <v>51</v>
      </c>
      <c r="N347" s="9">
        <v>200</v>
      </c>
      <c r="O347" s="9">
        <v>5</v>
      </c>
      <c r="P347" s="9">
        <v>27</v>
      </c>
      <c r="Q347" s="9">
        <v>32</v>
      </c>
      <c r="R347" s="9">
        <v>1</v>
      </c>
      <c r="S347" s="9">
        <v>-5.3684840999999999</v>
      </c>
      <c r="T347" s="9">
        <v>133.0920251</v>
      </c>
      <c r="U347" s="9"/>
      <c r="V347" s="11" t="s">
        <v>770</v>
      </c>
      <c r="W347" s="11">
        <f>VLOOKUP(L347,'[1]data 1129'!F:H,3,FALSE)</f>
        <v>0</v>
      </c>
      <c r="X347" s="11"/>
      <c r="Y347" s="11">
        <f>VLOOKUP(L347,'[1]singkron data'!D:H,5,FALSE)</f>
        <v>0</v>
      </c>
      <c r="Z347" s="11">
        <f>VLOOKUP(L347,'[1]singkron data'!D:I,6,FALSE)</f>
        <v>0</v>
      </c>
      <c r="AA347" s="11" t="s">
        <v>771</v>
      </c>
      <c r="AB347" s="11" t="s">
        <v>694</v>
      </c>
      <c r="AC347" s="11" t="s">
        <v>772</v>
      </c>
      <c r="AD347" s="11"/>
      <c r="AE347" s="11">
        <f>VLOOKUP(L347,'[1]singkron data'!D:P,13,FALSE)</f>
        <v>0</v>
      </c>
      <c r="AF347" s="11"/>
      <c r="AG347" s="11" t="e">
        <f>VLOOKUP(L347,'[1]update kontrak'!E:K,6,FALSE)</f>
        <v>#N/A</v>
      </c>
      <c r="AH347" s="11" t="e">
        <f>VLOOKUP(L347,'[1]update kontrak'!E:K,7,FALSE)</f>
        <v>#N/A</v>
      </c>
      <c r="AI347" s="11"/>
      <c r="AJ347" s="11" t="str">
        <f>VLOOKUP(L347,[1]rekap!D:M,1,FALSE)</f>
        <v>Hoor Kristen</v>
      </c>
      <c r="AK347" s="11" t="str">
        <f>VLOOKUP(L347,'[1]singkron data'!D:E,2,FALSE)</f>
        <v>PT. Sapta Manuggal Karya (Menengah)</v>
      </c>
      <c r="AL347" s="11" t="str">
        <f>VLOOKUP(L347,'[1]update 521'!D:D,1,FALSE)</f>
        <v>Hoor Kristen</v>
      </c>
      <c r="AM347" s="11" t="s">
        <v>96</v>
      </c>
      <c r="AN347" s="11" t="e">
        <f>VLOOKUP(L347,[1]Sheet19!E:L,8,FALSE)</f>
        <v>#N/A</v>
      </c>
      <c r="AO347" s="11" t="e">
        <f>VLOOKUP(L347,[1]Sheet19!E:K,7,FALSE)</f>
        <v>#N/A</v>
      </c>
      <c r="AP347" s="12"/>
    </row>
    <row r="348" spans="1:42" ht="15" x14ac:dyDescent="0.2">
      <c r="A348" s="8" t="s">
        <v>42</v>
      </c>
      <c r="B348" s="9" t="s">
        <v>43</v>
      </c>
      <c r="C348" s="9">
        <v>202</v>
      </c>
      <c r="D348" s="9" t="s">
        <v>688</v>
      </c>
      <c r="E348" s="9">
        <v>102</v>
      </c>
      <c r="F348" s="9" t="s">
        <v>902</v>
      </c>
      <c r="G348" s="9" t="s">
        <v>690</v>
      </c>
      <c r="H348" s="9" t="s">
        <v>287</v>
      </c>
      <c r="I348" s="9" t="s">
        <v>767</v>
      </c>
      <c r="J348" s="9" t="s">
        <v>907</v>
      </c>
      <c r="K348" s="9" t="s">
        <v>902</v>
      </c>
      <c r="L348" s="9" t="s">
        <v>902</v>
      </c>
      <c r="M348" s="9" t="s">
        <v>51</v>
      </c>
      <c r="N348" s="9">
        <v>305</v>
      </c>
      <c r="O348" s="9">
        <v>55</v>
      </c>
      <c r="P348" s="9">
        <v>20</v>
      </c>
      <c r="Q348" s="9">
        <v>75</v>
      </c>
      <c r="R348" s="9">
        <v>0.64</v>
      </c>
      <c r="S348" s="9">
        <v>-5.7240995000000003</v>
      </c>
      <c r="T348" s="9">
        <v>132.942632</v>
      </c>
      <c r="U348" s="9"/>
      <c r="V348" s="11" t="s">
        <v>770</v>
      </c>
      <c r="W348" s="11">
        <f>VLOOKUP(L348,'[1]data 1129'!F:H,3,FALSE)</f>
        <v>0</v>
      </c>
      <c r="X348" s="11"/>
      <c r="Y348" s="11">
        <f>VLOOKUP(L348,'[1]singkron data'!D:H,5,FALSE)</f>
        <v>0</v>
      </c>
      <c r="Z348" s="11">
        <f>VLOOKUP(L348,'[1]singkron data'!D:I,6,FALSE)</f>
        <v>0</v>
      </c>
      <c r="AA348" s="11" t="s">
        <v>771</v>
      </c>
      <c r="AB348" s="11" t="s">
        <v>694</v>
      </c>
      <c r="AC348" s="11" t="s">
        <v>772</v>
      </c>
      <c r="AD348" s="11"/>
      <c r="AE348" s="11">
        <f>VLOOKUP(L348,'[1]singkron data'!D:P,13,FALSE)</f>
        <v>0</v>
      </c>
      <c r="AF348" s="11"/>
      <c r="AG348" s="11" t="e">
        <f>VLOOKUP(L348,'[1]update kontrak'!E:K,6,FALSE)</f>
        <v>#N/A</v>
      </c>
      <c r="AH348" s="11" t="e">
        <f>VLOOKUP(L348,'[1]update kontrak'!E:K,7,FALSE)</f>
        <v>#N/A</v>
      </c>
      <c r="AI348" s="11"/>
      <c r="AJ348" s="11" t="str">
        <f>VLOOKUP(L348,[1]rekap!D:M,1,FALSE)</f>
        <v>Watuar</v>
      </c>
      <c r="AK348" s="11" t="str">
        <f>VLOOKUP(L348,'[1]singkron data'!D:E,2,FALSE)</f>
        <v>PT. Sapta Manuggal Karya (Menengah)</v>
      </c>
      <c r="AL348" s="11" t="str">
        <f>VLOOKUP(L348,'[1]update 521'!D:D,1,FALSE)</f>
        <v>Watuar</v>
      </c>
      <c r="AM348" s="11" t="s">
        <v>96</v>
      </c>
      <c r="AN348" s="11" t="e">
        <f>VLOOKUP(L348,[1]Sheet19!E:L,8,FALSE)</f>
        <v>#N/A</v>
      </c>
      <c r="AO348" s="11" t="e">
        <f>VLOOKUP(L348,[1]Sheet19!E:K,7,FALSE)</f>
        <v>#N/A</v>
      </c>
      <c r="AP348" s="12"/>
    </row>
    <row r="349" spans="1:42" ht="15" x14ac:dyDescent="0.2">
      <c r="A349" s="8" t="s">
        <v>42</v>
      </c>
      <c r="B349" s="9" t="s">
        <v>43</v>
      </c>
      <c r="C349" s="9">
        <v>805</v>
      </c>
      <c r="D349" s="9" t="s">
        <v>908</v>
      </c>
      <c r="E349" s="9">
        <v>1</v>
      </c>
      <c r="F349" s="9" t="s">
        <v>909</v>
      </c>
      <c r="G349" s="9" t="s">
        <v>910</v>
      </c>
      <c r="H349" s="9" t="s">
        <v>911</v>
      </c>
      <c r="I349" s="9" t="s">
        <v>912</v>
      </c>
      <c r="J349" s="9" t="s">
        <v>913</v>
      </c>
      <c r="K349" s="9" t="s">
        <v>909</v>
      </c>
      <c r="L349" s="9" t="s">
        <v>909</v>
      </c>
      <c r="M349" s="9" t="s">
        <v>65</v>
      </c>
      <c r="N349" s="9">
        <v>2000</v>
      </c>
      <c r="O349" s="9">
        <v>15</v>
      </c>
      <c r="P349" s="9">
        <v>210</v>
      </c>
      <c r="Q349" s="9">
        <v>225</v>
      </c>
      <c r="R349" s="9">
        <v>1</v>
      </c>
      <c r="S349" s="9">
        <v>-1.51935</v>
      </c>
      <c r="T349" s="9">
        <v>134.20112</v>
      </c>
      <c r="U349" s="9"/>
      <c r="V349" s="11" t="s">
        <v>694</v>
      </c>
      <c r="W349" s="11"/>
      <c r="X349" s="11"/>
      <c r="Y349" s="11" t="e">
        <f>VLOOKUP(L349,'[1]singkron data'!D:H,5,FALSE)</f>
        <v>#N/A</v>
      </c>
      <c r="Z349" s="11" t="e">
        <f>VLOOKUP(L349,'[1]singkron data'!D:I,6,FALSE)</f>
        <v>#N/A</v>
      </c>
      <c r="AA349" s="11" t="e">
        <f>VLOOKUP(L349,'[1]singkron data'!D:L,9,FALSE)</f>
        <v>#N/A</v>
      </c>
      <c r="AB349" s="11" t="s">
        <v>694</v>
      </c>
      <c r="AC349" s="11" t="e">
        <f>VLOOKUP(L349,'[1]singkron data'!D:M,10,FALSE)</f>
        <v>#N/A</v>
      </c>
      <c r="AD349" s="11"/>
      <c r="AE349" s="11" t="e">
        <f>VLOOKUP(L349,'[1]singkron data'!D:P,13,FALSE)</f>
        <v>#N/A</v>
      </c>
      <c r="AF349" s="11"/>
      <c r="AG349" s="11" t="e">
        <f>VLOOKUP(L349,'[1]update kontrak'!E:K,6,FALSE)</f>
        <v>#N/A</v>
      </c>
      <c r="AH349" s="11" t="e">
        <f>VLOOKUP(L349,'[1]update kontrak'!E:K,7,FALSE)</f>
        <v>#N/A</v>
      </c>
      <c r="AI349" s="11"/>
      <c r="AJ349" s="11" t="str">
        <f>VLOOKUP(L349,[1]rekap!D:M,1,FALSE)</f>
        <v>Abreso</v>
      </c>
      <c r="AK349" s="11" t="e">
        <f>VLOOKUP(L349,'[1]singkron data'!D:E,2,FALSE)</f>
        <v>#N/A</v>
      </c>
      <c r="AL349" s="11" t="str">
        <f>VLOOKUP(L349,'[1]update 521'!D:D,1,FALSE)</f>
        <v>Abreso</v>
      </c>
      <c r="AM349" s="11" t="e">
        <f>VLOOKUP(L349,[1]Sheet18!I:M,5,FALSE)</f>
        <v>#N/A</v>
      </c>
      <c r="AN349" s="11" t="e">
        <f>VLOOKUP(L349,[1]Sheet19!E:L,8,FALSE)</f>
        <v>#N/A</v>
      </c>
      <c r="AO349" s="11" t="e">
        <f>VLOOKUP(L349,[1]Sheet19!E:K,7,FALSE)</f>
        <v>#N/A</v>
      </c>
      <c r="AP349" s="12"/>
    </row>
    <row r="350" spans="1:42" ht="15" x14ac:dyDescent="0.2">
      <c r="A350" s="8" t="s">
        <v>42</v>
      </c>
      <c r="B350" s="9" t="s">
        <v>43</v>
      </c>
      <c r="C350" s="9">
        <v>806</v>
      </c>
      <c r="D350" s="9" t="s">
        <v>908</v>
      </c>
      <c r="E350" s="9">
        <v>2</v>
      </c>
      <c r="F350" s="9" t="s">
        <v>914</v>
      </c>
      <c r="G350" s="9" t="s">
        <v>910</v>
      </c>
      <c r="H350" s="9" t="s">
        <v>911</v>
      </c>
      <c r="I350" s="9" t="s">
        <v>915</v>
      </c>
      <c r="J350" s="9" t="s">
        <v>916</v>
      </c>
      <c r="K350" s="9" t="s">
        <v>917</v>
      </c>
      <c r="L350" s="9" t="s">
        <v>917</v>
      </c>
      <c r="M350" s="9" t="s">
        <v>65</v>
      </c>
      <c r="N350" s="9">
        <v>23</v>
      </c>
      <c r="O350" s="9" t="s">
        <v>72</v>
      </c>
      <c r="P350" s="9">
        <v>23</v>
      </c>
      <c r="Q350" s="9">
        <v>23</v>
      </c>
      <c r="R350" s="9">
        <v>1</v>
      </c>
      <c r="S350" s="9">
        <v>-2.1212399999999998</v>
      </c>
      <c r="T350" s="9">
        <v>133.53308000000001</v>
      </c>
      <c r="U350" s="9"/>
      <c r="V350" s="11" t="s">
        <v>694</v>
      </c>
      <c r="W350" s="11"/>
      <c r="X350" s="11"/>
      <c r="Y350" s="11" t="e">
        <f>VLOOKUP(L350,'[1]singkron data'!D:H,5,FALSE)</f>
        <v>#N/A</v>
      </c>
      <c r="Z350" s="11" t="e">
        <f>VLOOKUP(L350,'[1]singkron data'!D:I,6,FALSE)</f>
        <v>#N/A</v>
      </c>
      <c r="AA350" s="11" t="e">
        <f>VLOOKUP(L350,'[1]singkron data'!D:L,9,FALSE)</f>
        <v>#N/A</v>
      </c>
      <c r="AB350" s="11" t="s">
        <v>694</v>
      </c>
      <c r="AC350" s="11" t="e">
        <f>VLOOKUP(L350,'[1]singkron data'!D:M,10,FALSE)</f>
        <v>#N/A</v>
      </c>
      <c r="AD350" s="11"/>
      <c r="AE350" s="11" t="e">
        <f>VLOOKUP(L350,'[1]singkron data'!D:P,13,FALSE)</f>
        <v>#N/A</v>
      </c>
      <c r="AF350" s="11"/>
      <c r="AG350" s="11" t="e">
        <f>VLOOKUP(L350,'[1]update kontrak'!E:K,6,FALSE)</f>
        <v>#N/A</v>
      </c>
      <c r="AH350" s="11" t="e">
        <f>VLOOKUP(L350,'[1]update kontrak'!E:K,7,FALSE)</f>
        <v>#N/A</v>
      </c>
      <c r="AI350" s="11"/>
      <c r="AJ350" s="11" t="str">
        <f>VLOOKUP(L350,[1]rekap!D:M,1,FALSE)</f>
        <v>Bintuni Timur</v>
      </c>
      <c r="AK350" s="11" t="e">
        <f>VLOOKUP(L350,'[1]singkron data'!D:E,2,FALSE)</f>
        <v>#N/A</v>
      </c>
      <c r="AL350" s="11" t="str">
        <f>VLOOKUP(L350,'[1]update 521'!D:D,1,FALSE)</f>
        <v>Bintuni Timur</v>
      </c>
      <c r="AM350" s="11" t="e">
        <f>VLOOKUP(L350,[1]Sheet18!I:M,5,FALSE)</f>
        <v>#N/A</v>
      </c>
      <c r="AN350" s="11" t="e">
        <f>VLOOKUP(L350,[1]Sheet19!E:L,8,FALSE)</f>
        <v>#N/A</v>
      </c>
      <c r="AO350" s="11" t="e">
        <f>VLOOKUP(L350,[1]Sheet19!E:K,7,FALSE)</f>
        <v>#N/A</v>
      </c>
      <c r="AP350" s="12"/>
    </row>
    <row r="351" spans="1:42" ht="15" x14ac:dyDescent="0.2">
      <c r="A351" s="8" t="s">
        <v>42</v>
      </c>
      <c r="B351" s="9" t="s">
        <v>43</v>
      </c>
      <c r="C351" s="9">
        <v>807</v>
      </c>
      <c r="D351" s="9" t="s">
        <v>908</v>
      </c>
      <c r="E351" s="9">
        <v>3</v>
      </c>
      <c r="F351" s="9" t="s">
        <v>909</v>
      </c>
      <c r="G351" s="9" t="s">
        <v>910</v>
      </c>
      <c r="H351" s="9" t="s">
        <v>911</v>
      </c>
      <c r="I351" s="9" t="s">
        <v>912</v>
      </c>
      <c r="J351" s="9" t="s">
        <v>918</v>
      </c>
      <c r="K351" s="9" t="s">
        <v>918</v>
      </c>
      <c r="L351" s="9" t="s">
        <v>918</v>
      </c>
      <c r="M351" s="9" t="s">
        <v>51</v>
      </c>
      <c r="N351" s="9">
        <v>125</v>
      </c>
      <c r="O351" s="9" t="s">
        <v>72</v>
      </c>
      <c r="P351" s="9">
        <v>54</v>
      </c>
      <c r="Q351" s="9">
        <v>54</v>
      </c>
      <c r="R351" s="9">
        <v>2</v>
      </c>
      <c r="S351" s="9">
        <v>-1.3424400000000001</v>
      </c>
      <c r="T351" s="9">
        <v>134.25519</v>
      </c>
      <c r="U351" s="9"/>
      <c r="V351" s="11" t="s">
        <v>694</v>
      </c>
      <c r="W351" s="11"/>
      <c r="X351" s="11"/>
      <c r="Y351" s="11" t="e">
        <f>VLOOKUP(L351,'[1]singkron data'!D:H,5,FALSE)</f>
        <v>#N/A</v>
      </c>
      <c r="Z351" s="11" t="e">
        <f>VLOOKUP(L351,'[1]singkron data'!D:I,6,FALSE)</f>
        <v>#N/A</v>
      </c>
      <c r="AA351" s="11" t="e">
        <f>VLOOKUP(L351,'[1]singkron data'!D:L,9,FALSE)</f>
        <v>#N/A</v>
      </c>
      <c r="AB351" s="11" t="s">
        <v>694</v>
      </c>
      <c r="AC351" s="11" t="e">
        <f>VLOOKUP(L351,'[1]singkron data'!D:M,10,FALSE)</f>
        <v>#N/A</v>
      </c>
      <c r="AD351" s="11"/>
      <c r="AE351" s="11" t="e">
        <f>VLOOKUP(L351,'[1]singkron data'!D:P,13,FALSE)</f>
        <v>#N/A</v>
      </c>
      <c r="AF351" s="11"/>
      <c r="AG351" s="11" t="e">
        <f>VLOOKUP(L351,'[1]update kontrak'!E:K,6,FALSE)</f>
        <v>#N/A</v>
      </c>
      <c r="AH351" s="11" t="e">
        <f>VLOOKUP(L351,'[1]update kontrak'!E:K,7,FALSE)</f>
        <v>#N/A</v>
      </c>
      <c r="AI351" s="11"/>
      <c r="AJ351" s="11" t="str">
        <f>VLOOKUP(L351,[1]rekap!D:M,1,FALSE)</f>
        <v>Oransbari</v>
      </c>
      <c r="AK351" s="11" t="e">
        <f>VLOOKUP(L351,'[1]singkron data'!D:E,2,FALSE)</f>
        <v>#N/A</v>
      </c>
      <c r="AL351" s="11" t="str">
        <f>VLOOKUP(L351,'[1]update 521'!D:D,1,FALSE)</f>
        <v>Oransbari</v>
      </c>
      <c r="AM351" s="11" t="e">
        <f>VLOOKUP(L351,[1]Sheet18!I:M,5,FALSE)</f>
        <v>#N/A</v>
      </c>
      <c r="AN351" s="11" t="e">
        <f>VLOOKUP(L351,[1]Sheet19!E:L,8,FALSE)</f>
        <v>#N/A</v>
      </c>
      <c r="AO351" s="11" t="e">
        <f>VLOOKUP(L351,[1]Sheet19!E:K,7,FALSE)</f>
        <v>#N/A</v>
      </c>
      <c r="AP351" s="12"/>
    </row>
    <row r="352" spans="1:42" ht="15" x14ac:dyDescent="0.2">
      <c r="A352" s="8" t="s">
        <v>42</v>
      </c>
      <c r="B352" s="9" t="s">
        <v>43</v>
      </c>
      <c r="C352" s="9">
        <v>808</v>
      </c>
      <c r="D352" s="9" t="s">
        <v>908</v>
      </c>
      <c r="E352" s="9">
        <v>4</v>
      </c>
      <c r="F352" s="9" t="s">
        <v>909</v>
      </c>
      <c r="G352" s="9" t="s">
        <v>910</v>
      </c>
      <c r="H352" s="9" t="s">
        <v>911</v>
      </c>
      <c r="I352" s="9" t="s">
        <v>919</v>
      </c>
      <c r="J352" s="9" t="s">
        <v>912</v>
      </c>
      <c r="K352" s="9" t="s">
        <v>920</v>
      </c>
      <c r="L352" s="9" t="s">
        <v>920</v>
      </c>
      <c r="M352" s="9" t="s">
        <v>51</v>
      </c>
      <c r="N352" s="9">
        <v>85</v>
      </c>
      <c r="O352" s="9">
        <v>30</v>
      </c>
      <c r="P352" s="9">
        <v>53</v>
      </c>
      <c r="Q352" s="9">
        <v>83</v>
      </c>
      <c r="R352" s="9">
        <v>0.62</v>
      </c>
      <c r="S352" s="9">
        <v>-0.89700088</v>
      </c>
      <c r="T352" s="9">
        <v>134.03204740000001</v>
      </c>
      <c r="U352" s="9"/>
      <c r="V352" s="11" t="s">
        <v>694</v>
      </c>
      <c r="W352" s="11"/>
      <c r="X352" s="11"/>
      <c r="Y352" s="11" t="e">
        <f>VLOOKUP(L352,'[1]singkron data'!D:H,5,FALSE)</f>
        <v>#N/A</v>
      </c>
      <c r="Z352" s="11" t="e">
        <f>VLOOKUP(L352,'[1]singkron data'!D:I,6,FALSE)</f>
        <v>#N/A</v>
      </c>
      <c r="AA352" s="11" t="e">
        <f>VLOOKUP(L352,'[1]singkron data'!D:L,9,FALSE)</f>
        <v>#N/A</v>
      </c>
      <c r="AB352" s="11" t="s">
        <v>694</v>
      </c>
      <c r="AC352" s="11" t="e">
        <f>VLOOKUP(L352,'[1]singkron data'!D:M,10,FALSE)</f>
        <v>#N/A</v>
      </c>
      <c r="AD352" s="11"/>
      <c r="AE352" s="11" t="e">
        <f>VLOOKUP(L352,'[1]singkron data'!D:P,13,FALSE)</f>
        <v>#N/A</v>
      </c>
      <c r="AF352" s="11"/>
      <c r="AG352" s="11" t="e">
        <f>VLOOKUP(L352,'[1]update kontrak'!E:K,6,FALSE)</f>
        <v>#N/A</v>
      </c>
      <c r="AH352" s="11" t="e">
        <f>VLOOKUP(L352,'[1]update kontrak'!E:K,7,FALSE)</f>
        <v>#N/A</v>
      </c>
      <c r="AI352" s="11"/>
      <c r="AJ352" s="11" t="str">
        <f>VLOOKUP(L352,[1]rekap!D:M,1,FALSE)</f>
        <v>Sowi</v>
      </c>
      <c r="AK352" s="11" t="e">
        <f>VLOOKUP(L352,'[1]singkron data'!D:E,2,FALSE)</f>
        <v>#N/A</v>
      </c>
      <c r="AL352" s="11" t="str">
        <f>VLOOKUP(L352,'[1]update 521'!D:D,1,FALSE)</f>
        <v>Sowi</v>
      </c>
      <c r="AM352" s="11" t="e">
        <f>VLOOKUP(L352,[1]Sheet18!I:M,5,FALSE)</f>
        <v>#N/A</v>
      </c>
      <c r="AN352" s="11" t="e">
        <f>VLOOKUP(L352,[1]Sheet19!E:L,8,FALSE)</f>
        <v>#N/A</v>
      </c>
      <c r="AO352" s="11" t="e">
        <f>VLOOKUP(L352,[1]Sheet19!E:K,7,FALSE)</f>
        <v>#N/A</v>
      </c>
      <c r="AP352" s="12"/>
    </row>
    <row r="353" spans="1:42" ht="15" x14ac:dyDescent="0.2">
      <c r="A353" s="8" t="s">
        <v>42</v>
      </c>
      <c r="B353" s="9" t="s">
        <v>43</v>
      </c>
      <c r="C353" s="9">
        <v>809</v>
      </c>
      <c r="D353" s="9" t="s">
        <v>908</v>
      </c>
      <c r="E353" s="9">
        <v>5</v>
      </c>
      <c r="F353" s="9" t="s">
        <v>909</v>
      </c>
      <c r="G353" s="9" t="s">
        <v>910</v>
      </c>
      <c r="H353" s="9" t="s">
        <v>911</v>
      </c>
      <c r="I353" s="9" t="s">
        <v>912</v>
      </c>
      <c r="J353" s="9" t="s">
        <v>921</v>
      </c>
      <c r="K353" s="9" t="s">
        <v>922</v>
      </c>
      <c r="L353" s="9" t="s">
        <v>922</v>
      </c>
      <c r="M353" s="9" t="s">
        <v>51</v>
      </c>
      <c r="N353" s="9">
        <v>133</v>
      </c>
      <c r="O353" s="9" t="s">
        <v>72</v>
      </c>
      <c r="P353" s="9">
        <v>75</v>
      </c>
      <c r="Q353" s="9">
        <v>75</v>
      </c>
      <c r="R353" s="9">
        <v>1</v>
      </c>
      <c r="S353" s="9">
        <v>-1.6458299999999999</v>
      </c>
      <c r="T353" s="9">
        <v>134.08260000000001</v>
      </c>
      <c r="U353" s="9"/>
      <c r="V353" s="11" t="s">
        <v>694</v>
      </c>
      <c r="W353" s="11"/>
      <c r="X353" s="11"/>
      <c r="Y353" s="11" t="e">
        <f>VLOOKUP(L353,'[1]singkron data'!D:H,5,FALSE)</f>
        <v>#N/A</v>
      </c>
      <c r="Z353" s="11" t="e">
        <f>VLOOKUP(L353,'[1]singkron data'!D:I,6,FALSE)</f>
        <v>#N/A</v>
      </c>
      <c r="AA353" s="11" t="e">
        <f>VLOOKUP(L353,'[1]singkron data'!D:L,9,FALSE)</f>
        <v>#N/A</v>
      </c>
      <c r="AB353" s="11" t="s">
        <v>694</v>
      </c>
      <c r="AC353" s="11" t="e">
        <f>VLOOKUP(L353,'[1]singkron data'!D:M,10,FALSE)</f>
        <v>#N/A</v>
      </c>
      <c r="AD353" s="11"/>
      <c r="AE353" s="11" t="e">
        <f>VLOOKUP(L353,'[1]singkron data'!D:P,13,FALSE)</f>
        <v>#N/A</v>
      </c>
      <c r="AF353" s="11"/>
      <c r="AG353" s="11" t="e">
        <f>VLOOKUP(L353,'[1]update kontrak'!E:K,6,FALSE)</f>
        <v>#N/A</v>
      </c>
      <c r="AH353" s="11" t="e">
        <f>VLOOKUP(L353,'[1]update kontrak'!E:K,7,FALSE)</f>
        <v>#N/A</v>
      </c>
      <c r="AI353" s="11"/>
      <c r="AJ353" s="11" t="str">
        <f>VLOOKUP(L353,[1]rekap!D:M,1,FALSE)</f>
        <v>Yekwandi</v>
      </c>
      <c r="AK353" s="11" t="e">
        <f>VLOOKUP(L353,'[1]singkron data'!D:E,2,FALSE)</f>
        <v>#N/A</v>
      </c>
      <c r="AL353" s="11" t="str">
        <f>VLOOKUP(L353,'[1]update 521'!D:D,1,FALSE)</f>
        <v>Yekwandi</v>
      </c>
      <c r="AM353" s="11" t="e">
        <f>VLOOKUP(L353,[1]Sheet18!I:M,5,FALSE)</f>
        <v>#N/A</v>
      </c>
      <c r="AN353" s="11" t="e">
        <f>VLOOKUP(L353,[1]Sheet19!E:L,8,FALSE)</f>
        <v>#N/A</v>
      </c>
      <c r="AO353" s="11" t="e">
        <f>VLOOKUP(L353,[1]Sheet19!E:K,7,FALSE)</f>
        <v>#N/A</v>
      </c>
      <c r="AP353" s="12"/>
    </row>
    <row r="354" spans="1:42" ht="15" x14ac:dyDescent="0.2">
      <c r="A354" s="8" t="s">
        <v>42</v>
      </c>
      <c r="B354" s="9" t="s">
        <v>43</v>
      </c>
      <c r="C354" s="9">
        <v>810</v>
      </c>
      <c r="D354" s="9" t="s">
        <v>908</v>
      </c>
      <c r="E354" s="9">
        <v>6</v>
      </c>
      <c r="F354" s="9" t="s">
        <v>923</v>
      </c>
      <c r="G354" s="9" t="s">
        <v>908</v>
      </c>
      <c r="H354" s="9" t="s">
        <v>911</v>
      </c>
      <c r="I354" s="9" t="s">
        <v>924</v>
      </c>
      <c r="J354" s="9" t="s">
        <v>925</v>
      </c>
      <c r="K354" s="9" t="s">
        <v>923</v>
      </c>
      <c r="L354" s="9" t="s">
        <v>923</v>
      </c>
      <c r="M354" s="9" t="s">
        <v>65</v>
      </c>
      <c r="N354" s="9">
        <v>86</v>
      </c>
      <c r="O354" s="9">
        <v>1</v>
      </c>
      <c r="P354" s="9">
        <v>11</v>
      </c>
      <c r="Q354" s="9">
        <v>12</v>
      </c>
      <c r="R354" s="9">
        <v>0.35</v>
      </c>
      <c r="S354" s="9">
        <v>-0.83555999999999997</v>
      </c>
      <c r="T354" s="9">
        <v>135.58492000000001</v>
      </c>
      <c r="U354" s="9"/>
      <c r="V354" s="11" t="s">
        <v>694</v>
      </c>
      <c r="W354" s="13">
        <f>VLOOKUP(L354,[1]Sheet18!I:N,6,FALSE)</f>
        <v>16139768000</v>
      </c>
      <c r="X354" s="11" t="s">
        <v>55</v>
      </c>
      <c r="Y354" s="11" t="e">
        <f>VLOOKUP(L354,'[1]singkron data'!D:H,5,FALSE)</f>
        <v>#N/A</v>
      </c>
      <c r="Z354" s="11" t="e">
        <f>VLOOKUP(L354,'[1]singkron data'!D:I,6,FALSE)</f>
        <v>#N/A</v>
      </c>
      <c r="AA354" s="11" t="e">
        <f>VLOOKUP(L354,'[1]singkron data'!D:L,9,FALSE)</f>
        <v>#N/A</v>
      </c>
      <c r="AB354" s="11" t="s">
        <v>694</v>
      </c>
      <c r="AC354" s="11" t="e">
        <f>VLOOKUP(L354,'[1]singkron data'!D:M,10,FALSE)</f>
        <v>#N/A</v>
      </c>
      <c r="AD354" s="11"/>
      <c r="AE354" s="11" t="e">
        <f>VLOOKUP(L354,'[1]singkron data'!D:P,13,FALSE)</f>
        <v>#N/A</v>
      </c>
      <c r="AF354" s="11" t="s">
        <v>55</v>
      </c>
      <c r="AG354" s="11" t="e">
        <f>VLOOKUP(L354,'[1]update kontrak'!E:K,6,FALSE)</f>
        <v>#N/A</v>
      </c>
      <c r="AH354" s="11" t="e">
        <f>VLOOKUP(L354,'[1]update kontrak'!E:K,7,FALSE)</f>
        <v>#N/A</v>
      </c>
      <c r="AI354" s="11"/>
      <c r="AJ354" s="11" t="str">
        <f>VLOOKUP(L354,[1]rekap!D:M,1,FALSE)</f>
        <v>Awaki</v>
      </c>
      <c r="AK354" s="11" t="e">
        <f>VLOOKUP(L354,'[1]singkron data'!D:E,2,FALSE)</f>
        <v>#N/A</v>
      </c>
      <c r="AL354" s="11" t="str">
        <f>VLOOKUP(L354,'[1]update 521'!D:D,1,FALSE)</f>
        <v>Awaki</v>
      </c>
      <c r="AM354" s="11" t="s">
        <v>57</v>
      </c>
      <c r="AN354" s="11" t="e">
        <f>VLOOKUP(L354,[1]Sheet19!E:L,8,FALSE)</f>
        <v>#N/A</v>
      </c>
      <c r="AO354" s="11" t="e">
        <f>VLOOKUP(L354,[1]Sheet19!E:K,7,FALSE)</f>
        <v>#N/A</v>
      </c>
      <c r="AP354" s="12"/>
    </row>
    <row r="355" spans="1:42" ht="15" x14ac:dyDescent="0.2">
      <c r="A355" s="8" t="s">
        <v>42</v>
      </c>
      <c r="B355" s="9" t="s">
        <v>43</v>
      </c>
      <c r="C355" s="9">
        <v>811</v>
      </c>
      <c r="D355" s="9" t="s">
        <v>908</v>
      </c>
      <c r="E355" s="9">
        <v>7</v>
      </c>
      <c r="F355" s="9" t="s">
        <v>923</v>
      </c>
      <c r="G355" s="9" t="s">
        <v>908</v>
      </c>
      <c r="H355" s="9" t="s">
        <v>911</v>
      </c>
      <c r="I355" s="9" t="s">
        <v>924</v>
      </c>
      <c r="J355" s="9" t="s">
        <v>926</v>
      </c>
      <c r="K355" s="9" t="s">
        <v>927</v>
      </c>
      <c r="L355" s="9" t="s">
        <v>927</v>
      </c>
      <c r="M355" s="9" t="s">
        <v>51</v>
      </c>
      <c r="N355" s="9">
        <v>146</v>
      </c>
      <c r="O355" s="9">
        <v>1</v>
      </c>
      <c r="P355" s="9">
        <v>5</v>
      </c>
      <c r="Q355" s="9">
        <v>6</v>
      </c>
      <c r="R355" s="9">
        <v>0.16</v>
      </c>
      <c r="S355" s="9">
        <v>-0.93905000000000005</v>
      </c>
      <c r="T355" s="9">
        <v>135.49462</v>
      </c>
      <c r="U355" s="9"/>
      <c r="V355" s="11" t="s">
        <v>694</v>
      </c>
      <c r="W355" s="13">
        <f>VLOOKUP(L355,[1]Sheet18!I:N,6,FALSE)</f>
        <v>4987920000</v>
      </c>
      <c r="X355" s="11" t="s">
        <v>55</v>
      </c>
      <c r="Y355" s="11" t="e">
        <f>VLOOKUP(L355,'[1]singkron data'!D:H,5,FALSE)</f>
        <v>#N/A</v>
      </c>
      <c r="Z355" s="11" t="e">
        <f>VLOOKUP(L355,'[1]singkron data'!D:I,6,FALSE)</f>
        <v>#N/A</v>
      </c>
      <c r="AA355" s="11" t="e">
        <f>VLOOKUP(L355,'[1]singkron data'!D:L,9,FALSE)</f>
        <v>#N/A</v>
      </c>
      <c r="AB355" s="11" t="s">
        <v>694</v>
      </c>
      <c r="AC355" s="11" t="e">
        <f>VLOOKUP(L355,'[1]singkron data'!D:M,10,FALSE)</f>
        <v>#N/A</v>
      </c>
      <c r="AD355" s="11"/>
      <c r="AE355" s="11" t="e">
        <f>VLOOKUP(L355,'[1]singkron data'!D:P,13,FALSE)</f>
        <v>#N/A</v>
      </c>
      <c r="AF355" s="11" t="s">
        <v>55</v>
      </c>
      <c r="AG355" s="11" t="e">
        <f>VLOOKUP(L355,'[1]update kontrak'!E:K,6,FALSE)</f>
        <v>#N/A</v>
      </c>
      <c r="AH355" s="11" t="e">
        <f>VLOOKUP(L355,'[1]update kontrak'!E:K,7,FALSE)</f>
        <v>#N/A</v>
      </c>
      <c r="AI355" s="11"/>
      <c r="AJ355" s="11" t="str">
        <f>VLOOKUP(L355,[1]rekap!D:M,1,FALSE)</f>
        <v>Duber</v>
      </c>
      <c r="AK355" s="11" t="e">
        <f>VLOOKUP(L355,'[1]singkron data'!D:E,2,FALSE)</f>
        <v>#N/A</v>
      </c>
      <c r="AL355" s="11" t="str">
        <f>VLOOKUP(L355,'[1]update 521'!D:D,1,FALSE)</f>
        <v>Duber</v>
      </c>
      <c r="AM355" s="11" t="s">
        <v>57</v>
      </c>
      <c r="AN355" s="11" t="e">
        <f>VLOOKUP(L355,[1]Sheet19!E:L,8,FALSE)</f>
        <v>#N/A</v>
      </c>
      <c r="AO355" s="11" t="e">
        <f>VLOOKUP(L355,[1]Sheet19!E:K,7,FALSE)</f>
        <v>#N/A</v>
      </c>
      <c r="AP355" s="12"/>
    </row>
    <row r="356" spans="1:42" ht="15" x14ac:dyDescent="0.2">
      <c r="A356" s="8" t="s">
        <v>42</v>
      </c>
      <c r="B356" s="9" t="s">
        <v>43</v>
      </c>
      <c r="C356" s="9">
        <v>812</v>
      </c>
      <c r="D356" s="9" t="s">
        <v>908</v>
      </c>
      <c r="E356" s="9">
        <v>8</v>
      </c>
      <c r="F356" s="9" t="s">
        <v>923</v>
      </c>
      <c r="G356" s="9" t="s">
        <v>908</v>
      </c>
      <c r="H356" s="9" t="s">
        <v>911</v>
      </c>
      <c r="I356" s="9" t="s">
        <v>924</v>
      </c>
      <c r="J356" s="9" t="s">
        <v>925</v>
      </c>
      <c r="K356" s="9" t="s">
        <v>928</v>
      </c>
      <c r="L356" s="9" t="s">
        <v>928</v>
      </c>
      <c r="M356" s="9" t="s">
        <v>51</v>
      </c>
      <c r="N356" s="9">
        <v>706</v>
      </c>
      <c r="O356" s="9">
        <v>4</v>
      </c>
      <c r="P356" s="9">
        <v>4</v>
      </c>
      <c r="Q356" s="9">
        <v>8</v>
      </c>
      <c r="R356" s="9">
        <v>0.81</v>
      </c>
      <c r="S356" s="9">
        <v>-0.83723000000000003</v>
      </c>
      <c r="T356" s="9">
        <v>135.59057999999999</v>
      </c>
      <c r="U356" s="9"/>
      <c r="V356" s="11" t="s">
        <v>694</v>
      </c>
      <c r="W356" s="13">
        <f>VLOOKUP(L356,[1]Sheet18!I:N,6,FALSE)</f>
        <v>3761358000</v>
      </c>
      <c r="X356" s="11" t="s">
        <v>55</v>
      </c>
      <c r="Y356" s="11" t="e">
        <f>VLOOKUP(L356,'[1]singkron data'!D:H,5,FALSE)</f>
        <v>#N/A</v>
      </c>
      <c r="Z356" s="11" t="e">
        <f>VLOOKUP(L356,'[1]singkron data'!D:I,6,FALSE)</f>
        <v>#N/A</v>
      </c>
      <c r="AA356" s="11" t="e">
        <f>VLOOKUP(L356,'[1]singkron data'!D:L,9,FALSE)</f>
        <v>#N/A</v>
      </c>
      <c r="AB356" s="11" t="s">
        <v>694</v>
      </c>
      <c r="AC356" s="11" t="e">
        <f>VLOOKUP(L356,'[1]singkron data'!D:M,10,FALSE)</f>
        <v>#N/A</v>
      </c>
      <c r="AD356" s="11"/>
      <c r="AE356" s="11" t="e">
        <f>VLOOKUP(L356,'[1]singkron data'!D:P,13,FALSE)</f>
        <v>#N/A</v>
      </c>
      <c r="AF356" s="11" t="s">
        <v>55</v>
      </c>
      <c r="AG356" s="11" t="e">
        <f>VLOOKUP(L356,'[1]update kontrak'!E:K,6,FALSE)</f>
        <v>#N/A</v>
      </c>
      <c r="AH356" s="11" t="e">
        <f>VLOOKUP(L356,'[1]update kontrak'!E:K,7,FALSE)</f>
        <v>#N/A</v>
      </c>
      <c r="AI356" s="11"/>
      <c r="AJ356" s="11" t="str">
        <f>VLOOKUP(L356,[1]rekap!D:M,1,FALSE)</f>
        <v>Fanindi</v>
      </c>
      <c r="AK356" s="11" t="e">
        <f>VLOOKUP(L356,'[1]singkron data'!D:E,2,FALSE)</f>
        <v>#N/A</v>
      </c>
      <c r="AL356" s="11" t="str">
        <f>VLOOKUP(L356,'[1]update 521'!D:D,1,FALSE)</f>
        <v>Fanindi</v>
      </c>
      <c r="AM356" s="11" t="s">
        <v>57</v>
      </c>
      <c r="AN356" s="11" t="e">
        <f>VLOOKUP(L356,[1]Sheet19!E:L,8,FALSE)</f>
        <v>#N/A</v>
      </c>
      <c r="AO356" s="11" t="e">
        <f>VLOOKUP(L356,[1]Sheet19!E:K,7,FALSE)</f>
        <v>#N/A</v>
      </c>
      <c r="AP356" s="12"/>
    </row>
    <row r="357" spans="1:42" ht="15" x14ac:dyDescent="0.2">
      <c r="A357" s="8" t="s">
        <v>42</v>
      </c>
      <c r="B357" s="9" t="s">
        <v>43</v>
      </c>
      <c r="C357" s="9">
        <v>813</v>
      </c>
      <c r="D357" s="9" t="s">
        <v>908</v>
      </c>
      <c r="E357" s="9">
        <v>9</v>
      </c>
      <c r="F357" s="9" t="s">
        <v>923</v>
      </c>
      <c r="G357" s="9" t="s">
        <v>908</v>
      </c>
      <c r="H357" s="9" t="s">
        <v>911</v>
      </c>
      <c r="I357" s="9" t="s">
        <v>924</v>
      </c>
      <c r="J357" s="9" t="s">
        <v>929</v>
      </c>
      <c r="K357" s="9" t="s">
        <v>930</v>
      </c>
      <c r="L357" s="9" t="s">
        <v>930</v>
      </c>
      <c r="M357" s="9" t="s">
        <v>51</v>
      </c>
      <c r="N357" s="9">
        <v>100</v>
      </c>
      <c r="O357" s="9">
        <v>36</v>
      </c>
      <c r="P357" s="9">
        <v>30</v>
      </c>
      <c r="Q357" s="9">
        <v>66</v>
      </c>
      <c r="R357" s="9">
        <v>0.06</v>
      </c>
      <c r="S357" s="9">
        <v>-0.83482000000000001</v>
      </c>
      <c r="T357" s="9">
        <v>135.52634</v>
      </c>
      <c r="U357" s="9"/>
      <c r="V357" s="11" t="s">
        <v>694</v>
      </c>
      <c r="W357" s="13">
        <f>VLOOKUP(L357,[1]Sheet18!I:N,6,FALSE)</f>
        <v>5480063000</v>
      </c>
      <c r="X357" s="11" t="s">
        <v>55</v>
      </c>
      <c r="Y357" s="11" t="e">
        <f>VLOOKUP(L357,'[1]singkron data'!D:H,5,FALSE)</f>
        <v>#N/A</v>
      </c>
      <c r="Z357" s="11" t="e">
        <f>VLOOKUP(L357,'[1]singkron data'!D:I,6,FALSE)</f>
        <v>#N/A</v>
      </c>
      <c r="AA357" s="11" t="e">
        <f>VLOOKUP(L357,'[1]singkron data'!D:L,9,FALSE)</f>
        <v>#N/A</v>
      </c>
      <c r="AB357" s="11" t="s">
        <v>694</v>
      </c>
      <c r="AC357" s="11" t="e">
        <f>VLOOKUP(L357,'[1]singkron data'!D:M,10,FALSE)</f>
        <v>#N/A</v>
      </c>
      <c r="AD357" s="11"/>
      <c r="AE357" s="11" t="e">
        <f>VLOOKUP(L357,'[1]singkron data'!D:P,13,FALSE)</f>
        <v>#N/A</v>
      </c>
      <c r="AF357" s="11" t="s">
        <v>55</v>
      </c>
      <c r="AG357" s="11" t="e">
        <f>VLOOKUP(L357,'[1]update kontrak'!E:K,6,FALSE)</f>
        <v>#N/A</v>
      </c>
      <c r="AH357" s="11" t="e">
        <f>VLOOKUP(L357,'[1]update kontrak'!E:K,7,FALSE)</f>
        <v>#N/A</v>
      </c>
      <c r="AI357" s="11"/>
      <c r="AJ357" s="11" t="str">
        <f>VLOOKUP(L357,[1]rekap!D:M,1,FALSE)</f>
        <v>Insumbrei</v>
      </c>
      <c r="AK357" s="11" t="e">
        <f>VLOOKUP(L357,'[1]singkron data'!D:E,2,FALSE)</f>
        <v>#N/A</v>
      </c>
      <c r="AL357" s="11" t="str">
        <f>VLOOKUP(L357,'[1]update 521'!D:D,1,FALSE)</f>
        <v>Insumbrei</v>
      </c>
      <c r="AM357" s="11" t="s">
        <v>57</v>
      </c>
      <c r="AN357" s="11" t="e">
        <f>VLOOKUP(L357,[1]Sheet19!E:L,8,FALSE)</f>
        <v>#N/A</v>
      </c>
      <c r="AO357" s="11" t="e">
        <f>VLOOKUP(L357,[1]Sheet19!E:K,7,FALSE)</f>
        <v>#N/A</v>
      </c>
      <c r="AP357" s="12"/>
    </row>
    <row r="358" spans="1:42" ht="15" x14ac:dyDescent="0.2">
      <c r="A358" s="8" t="s">
        <v>42</v>
      </c>
      <c r="B358" s="9" t="s">
        <v>43</v>
      </c>
      <c r="C358" s="9">
        <v>814</v>
      </c>
      <c r="D358" s="9" t="s">
        <v>908</v>
      </c>
      <c r="E358" s="9">
        <v>10</v>
      </c>
      <c r="F358" s="9" t="s">
        <v>923</v>
      </c>
      <c r="G358" s="9" t="s">
        <v>908</v>
      </c>
      <c r="H358" s="9" t="s">
        <v>911</v>
      </c>
      <c r="I358" s="9" t="s">
        <v>924</v>
      </c>
      <c r="J358" s="9" t="s">
        <v>925</v>
      </c>
      <c r="K358" s="9" t="s">
        <v>931</v>
      </c>
      <c r="L358" s="9" t="s">
        <v>931</v>
      </c>
      <c r="M358" s="9" t="s">
        <v>51</v>
      </c>
      <c r="N358" s="9">
        <v>154</v>
      </c>
      <c r="O358" s="9">
        <v>3</v>
      </c>
      <c r="P358" s="9">
        <v>4</v>
      </c>
      <c r="Q358" s="9">
        <v>7</v>
      </c>
      <c r="R358" s="9">
        <v>0.06</v>
      </c>
      <c r="S358" s="9">
        <v>-0.82828000000000002</v>
      </c>
      <c r="T358" s="9">
        <v>135.57225</v>
      </c>
      <c r="U358" s="9"/>
      <c r="V358" s="11" t="s">
        <v>694</v>
      </c>
      <c r="W358" s="13">
        <f>VLOOKUP(L358,[1]Sheet18!I:N,6,FALSE)</f>
        <v>4456958000</v>
      </c>
      <c r="X358" s="11" t="s">
        <v>55</v>
      </c>
      <c r="Y358" s="11" t="e">
        <f>VLOOKUP(L358,'[1]singkron data'!D:H,5,FALSE)</f>
        <v>#N/A</v>
      </c>
      <c r="Z358" s="11" t="e">
        <f>VLOOKUP(L358,'[1]singkron data'!D:I,6,FALSE)</f>
        <v>#N/A</v>
      </c>
      <c r="AA358" s="11" t="e">
        <f>VLOOKUP(L358,'[1]singkron data'!D:L,9,FALSE)</f>
        <v>#N/A</v>
      </c>
      <c r="AB358" s="11" t="s">
        <v>694</v>
      </c>
      <c r="AC358" s="11" t="e">
        <f>VLOOKUP(L358,'[1]singkron data'!D:M,10,FALSE)</f>
        <v>#N/A</v>
      </c>
      <c r="AD358" s="11"/>
      <c r="AE358" s="11" t="e">
        <f>VLOOKUP(L358,'[1]singkron data'!D:P,13,FALSE)</f>
        <v>#N/A</v>
      </c>
      <c r="AF358" s="11" t="s">
        <v>55</v>
      </c>
      <c r="AG358" s="11" t="e">
        <f>VLOOKUP(L358,'[1]update kontrak'!E:K,6,FALSE)</f>
        <v>#N/A</v>
      </c>
      <c r="AH358" s="11" t="e">
        <f>VLOOKUP(L358,'[1]update kontrak'!E:K,7,FALSE)</f>
        <v>#N/A</v>
      </c>
      <c r="AI358" s="11"/>
      <c r="AJ358" s="11" t="str">
        <f>VLOOKUP(L358,[1]rekap!D:M,1,FALSE)</f>
        <v>Odori</v>
      </c>
      <c r="AK358" s="11" t="e">
        <f>VLOOKUP(L358,'[1]singkron data'!D:E,2,FALSE)</f>
        <v>#N/A</v>
      </c>
      <c r="AL358" s="11" t="str">
        <f>VLOOKUP(L358,'[1]update 521'!D:D,1,FALSE)</f>
        <v>Odori</v>
      </c>
      <c r="AM358" s="11" t="s">
        <v>57</v>
      </c>
      <c r="AN358" s="11" t="e">
        <f>VLOOKUP(L358,[1]Sheet19!E:L,8,FALSE)</f>
        <v>#N/A</v>
      </c>
      <c r="AO358" s="11" t="e">
        <f>VLOOKUP(L358,[1]Sheet19!E:K,7,FALSE)</f>
        <v>#N/A</v>
      </c>
      <c r="AP358" s="12"/>
    </row>
    <row r="359" spans="1:42" ht="15" x14ac:dyDescent="0.2">
      <c r="A359" s="8" t="s">
        <v>42</v>
      </c>
      <c r="B359" s="9" t="s">
        <v>43</v>
      </c>
      <c r="C359" s="9">
        <v>815</v>
      </c>
      <c r="D359" s="9" t="s">
        <v>908</v>
      </c>
      <c r="E359" s="9">
        <v>11</v>
      </c>
      <c r="F359" s="9" t="s">
        <v>923</v>
      </c>
      <c r="G359" s="9" t="s">
        <v>908</v>
      </c>
      <c r="H359" s="9" t="s">
        <v>911</v>
      </c>
      <c r="I359" s="9" t="s">
        <v>924</v>
      </c>
      <c r="J359" s="9" t="s">
        <v>929</v>
      </c>
      <c r="K359" s="9" t="s">
        <v>932</v>
      </c>
      <c r="L359" s="9" t="s">
        <v>932</v>
      </c>
      <c r="M359" s="9" t="s">
        <v>51</v>
      </c>
      <c r="N359" s="9">
        <v>1153</v>
      </c>
      <c r="O359" s="9">
        <v>12</v>
      </c>
      <c r="P359" s="9">
        <v>61</v>
      </c>
      <c r="Q359" s="9">
        <v>73</v>
      </c>
      <c r="R359" s="9">
        <v>1</v>
      </c>
      <c r="S359" s="9">
        <v>-0.82347000000000004</v>
      </c>
      <c r="T359" s="9">
        <v>135.49516</v>
      </c>
      <c r="U359" s="9"/>
      <c r="V359" s="11" t="s">
        <v>694</v>
      </c>
      <c r="W359" s="13">
        <f>VLOOKUP(L359,[1]Sheet18!I:N,6,FALSE)</f>
        <v>5022428000</v>
      </c>
      <c r="X359" s="11" t="s">
        <v>55</v>
      </c>
      <c r="Y359" s="11" t="e">
        <f>VLOOKUP(L359,'[1]singkron data'!D:H,5,FALSE)</f>
        <v>#N/A</v>
      </c>
      <c r="Z359" s="11" t="e">
        <f>VLOOKUP(L359,'[1]singkron data'!D:I,6,FALSE)</f>
        <v>#N/A</v>
      </c>
      <c r="AA359" s="11" t="e">
        <f>VLOOKUP(L359,'[1]singkron data'!D:L,9,FALSE)</f>
        <v>#N/A</v>
      </c>
      <c r="AB359" s="11" t="s">
        <v>694</v>
      </c>
      <c r="AC359" s="11" t="e">
        <f>VLOOKUP(L359,'[1]singkron data'!D:M,10,FALSE)</f>
        <v>#N/A</v>
      </c>
      <c r="AD359" s="11"/>
      <c r="AE359" s="11" t="e">
        <f>VLOOKUP(L359,'[1]singkron data'!D:P,13,FALSE)</f>
        <v>#N/A</v>
      </c>
      <c r="AF359" s="11" t="s">
        <v>55</v>
      </c>
      <c r="AG359" s="11" t="e">
        <f>VLOOKUP(L359,'[1]update kontrak'!E:K,6,FALSE)</f>
        <v>#N/A</v>
      </c>
      <c r="AH359" s="11" t="e">
        <f>VLOOKUP(L359,'[1]update kontrak'!E:K,7,FALSE)</f>
        <v>#N/A</v>
      </c>
      <c r="AI359" s="11"/>
      <c r="AJ359" s="11" t="str">
        <f>VLOOKUP(L359,[1]rekap!D:M,1,FALSE)</f>
        <v>Rayori</v>
      </c>
      <c r="AK359" s="11" t="e">
        <f>VLOOKUP(L359,'[1]singkron data'!D:E,2,FALSE)</f>
        <v>#N/A</v>
      </c>
      <c r="AL359" s="11" t="str">
        <f>VLOOKUP(L359,'[1]update 521'!D:D,1,FALSE)</f>
        <v>Rayori</v>
      </c>
      <c r="AM359" s="11" t="s">
        <v>57</v>
      </c>
      <c r="AN359" s="11" t="e">
        <f>VLOOKUP(L359,[1]Sheet19!E:L,8,FALSE)</f>
        <v>#N/A</v>
      </c>
      <c r="AO359" s="11" t="e">
        <f>VLOOKUP(L359,[1]Sheet19!E:K,7,FALSE)</f>
        <v>#N/A</v>
      </c>
      <c r="AP359" s="12"/>
    </row>
    <row r="360" spans="1:42" ht="15" x14ac:dyDescent="0.2">
      <c r="A360" s="8" t="s">
        <v>42</v>
      </c>
      <c r="B360" s="9" t="s">
        <v>43</v>
      </c>
      <c r="C360" s="9">
        <v>816</v>
      </c>
      <c r="D360" s="9" t="s">
        <v>908</v>
      </c>
      <c r="E360" s="9">
        <v>12</v>
      </c>
      <c r="F360" s="9" t="s">
        <v>923</v>
      </c>
      <c r="G360" s="9" t="s">
        <v>908</v>
      </c>
      <c r="H360" s="9" t="s">
        <v>911</v>
      </c>
      <c r="I360" s="9" t="s">
        <v>924</v>
      </c>
      <c r="J360" s="9" t="s">
        <v>926</v>
      </c>
      <c r="K360" s="9" t="s">
        <v>933</v>
      </c>
      <c r="L360" s="9" t="s">
        <v>933</v>
      </c>
      <c r="M360" s="9" t="s">
        <v>51</v>
      </c>
      <c r="N360" s="9">
        <v>49</v>
      </c>
      <c r="O360" s="9" t="s">
        <v>72</v>
      </c>
      <c r="P360" s="9" t="s">
        <v>72</v>
      </c>
      <c r="Q360" s="9">
        <v>15</v>
      </c>
      <c r="R360" s="9">
        <v>0.15</v>
      </c>
      <c r="S360" s="9">
        <v>-0.87075999999999998</v>
      </c>
      <c r="T360" s="9">
        <v>135.65618000000001</v>
      </c>
      <c r="U360" s="9"/>
      <c r="V360" s="11" t="s">
        <v>694</v>
      </c>
      <c r="W360" s="13">
        <f>VLOOKUP(L360,[1]Sheet18!I:N,6,FALSE)</f>
        <v>5027158000</v>
      </c>
      <c r="X360" s="11" t="s">
        <v>55</v>
      </c>
      <c r="Y360" s="11" t="e">
        <f>VLOOKUP(L360,'[1]singkron data'!D:H,5,FALSE)</f>
        <v>#N/A</v>
      </c>
      <c r="Z360" s="11" t="e">
        <f>VLOOKUP(L360,'[1]singkron data'!D:I,6,FALSE)</f>
        <v>#N/A</v>
      </c>
      <c r="AA360" s="11" t="e">
        <f>VLOOKUP(L360,'[1]singkron data'!D:L,9,FALSE)</f>
        <v>#N/A</v>
      </c>
      <c r="AB360" s="11" t="s">
        <v>694</v>
      </c>
      <c r="AC360" s="11" t="e">
        <f>VLOOKUP(L360,'[1]singkron data'!D:M,10,FALSE)</f>
        <v>#N/A</v>
      </c>
      <c r="AD360" s="11"/>
      <c r="AE360" s="11" t="e">
        <f>VLOOKUP(L360,'[1]singkron data'!D:P,13,FALSE)</f>
        <v>#N/A</v>
      </c>
      <c r="AF360" s="11" t="s">
        <v>55</v>
      </c>
      <c r="AG360" s="11" t="e">
        <f>VLOOKUP(L360,'[1]update kontrak'!E:K,6,FALSE)</f>
        <v>#N/A</v>
      </c>
      <c r="AH360" s="11" t="e">
        <f>VLOOKUP(L360,'[1]update kontrak'!E:K,7,FALSE)</f>
        <v>#N/A</v>
      </c>
      <c r="AI360" s="11"/>
      <c r="AJ360" s="11" t="str">
        <f>VLOOKUP(L360,[1]rekap!D:M,1,FALSE)</f>
        <v>Wombonda</v>
      </c>
      <c r="AK360" s="11" t="e">
        <f>VLOOKUP(L360,'[1]singkron data'!D:E,2,FALSE)</f>
        <v>#N/A</v>
      </c>
      <c r="AL360" s="11" t="str">
        <f>VLOOKUP(L360,'[1]update 521'!D:D,1,FALSE)</f>
        <v>Wombonda</v>
      </c>
      <c r="AM360" s="11" t="s">
        <v>57</v>
      </c>
      <c r="AN360" s="11" t="e">
        <f>VLOOKUP(L360,[1]Sheet19!E:L,8,FALSE)</f>
        <v>#N/A</v>
      </c>
      <c r="AO360" s="11" t="e">
        <f>VLOOKUP(L360,[1]Sheet19!E:K,7,FALSE)</f>
        <v>#N/A</v>
      </c>
      <c r="AP360" s="12"/>
    </row>
    <row r="361" spans="1:42" ht="15" x14ac:dyDescent="0.2">
      <c r="A361" s="8" t="s">
        <v>42</v>
      </c>
      <c r="B361" s="9" t="s">
        <v>43</v>
      </c>
      <c r="C361" s="9">
        <v>817</v>
      </c>
      <c r="D361" s="9" t="s">
        <v>908</v>
      </c>
      <c r="E361" s="9">
        <v>13</v>
      </c>
      <c r="F361" s="9" t="s">
        <v>934</v>
      </c>
      <c r="G361" s="9" t="s">
        <v>908</v>
      </c>
      <c r="H361" s="9" t="s">
        <v>911</v>
      </c>
      <c r="I361" s="9" t="s">
        <v>935</v>
      </c>
      <c r="J361" s="9" t="s">
        <v>936</v>
      </c>
      <c r="K361" s="9" t="s">
        <v>937</v>
      </c>
      <c r="L361" s="9" t="s">
        <v>937</v>
      </c>
      <c r="M361" s="9" t="s">
        <v>51</v>
      </c>
      <c r="N361" s="9">
        <v>195</v>
      </c>
      <c r="O361" s="9">
        <v>60</v>
      </c>
      <c r="P361" s="9">
        <v>23</v>
      </c>
      <c r="Q361" s="9">
        <v>83</v>
      </c>
      <c r="R361" s="9">
        <v>0.8</v>
      </c>
      <c r="S361" s="9">
        <v>-1.79802</v>
      </c>
      <c r="T361" s="9">
        <v>136.87857</v>
      </c>
      <c r="U361" s="9"/>
      <c r="V361" s="11" t="s">
        <v>694</v>
      </c>
      <c r="W361" s="11"/>
      <c r="X361" s="11"/>
      <c r="Y361" s="11" t="e">
        <f>VLOOKUP(L361,'[1]singkron data'!D:H,5,FALSE)</f>
        <v>#N/A</v>
      </c>
      <c r="Z361" s="11" t="e">
        <f>VLOOKUP(L361,'[1]singkron data'!D:I,6,FALSE)</f>
        <v>#N/A</v>
      </c>
      <c r="AA361" s="11" t="e">
        <f>VLOOKUP(L361,'[1]singkron data'!D:L,9,FALSE)</f>
        <v>#N/A</v>
      </c>
      <c r="AB361" s="11" t="s">
        <v>694</v>
      </c>
      <c r="AC361" s="11" t="e">
        <f>VLOOKUP(L361,'[1]singkron data'!D:M,10,FALSE)</f>
        <v>#N/A</v>
      </c>
      <c r="AD361" s="11"/>
      <c r="AE361" s="11" t="e">
        <f>VLOOKUP(L361,'[1]singkron data'!D:P,13,FALSE)</f>
        <v>#N/A</v>
      </c>
      <c r="AF361" s="11"/>
      <c r="AG361" s="11" t="e">
        <f>VLOOKUP(L361,'[1]update kontrak'!E:K,6,FALSE)</f>
        <v>#N/A</v>
      </c>
      <c r="AH361" s="11" t="e">
        <f>VLOOKUP(L361,'[1]update kontrak'!E:K,7,FALSE)</f>
        <v>#N/A</v>
      </c>
      <c r="AI361" s="11"/>
      <c r="AJ361" s="11" t="str">
        <f>VLOOKUP(L361,[1]rekap!D:M,1,FALSE)</f>
        <v>Barawai</v>
      </c>
      <c r="AK361" s="11" t="e">
        <f>VLOOKUP(L361,'[1]singkron data'!D:E,2,FALSE)</f>
        <v>#N/A</v>
      </c>
      <c r="AL361" s="11" t="str">
        <f>VLOOKUP(L361,'[1]update 521'!D:D,1,FALSE)</f>
        <v>Barawai</v>
      </c>
      <c r="AM361" s="11" t="e">
        <f>VLOOKUP(L361,[1]Sheet18!I:M,5,FALSE)</f>
        <v>#N/A</v>
      </c>
      <c r="AN361" s="11" t="e">
        <f>VLOOKUP(L361,[1]Sheet19!E:L,8,FALSE)</f>
        <v>#N/A</v>
      </c>
      <c r="AO361" s="11" t="e">
        <f>VLOOKUP(L361,[1]Sheet19!E:K,7,FALSE)</f>
        <v>#N/A</v>
      </c>
      <c r="AP361" s="12"/>
    </row>
    <row r="362" spans="1:42" ht="15" x14ac:dyDescent="0.2">
      <c r="A362" s="8" t="s">
        <v>42</v>
      </c>
      <c r="B362" s="9" t="s">
        <v>43</v>
      </c>
      <c r="C362" s="9">
        <v>818</v>
      </c>
      <c r="D362" s="9" t="s">
        <v>908</v>
      </c>
      <c r="E362" s="9">
        <v>14</v>
      </c>
      <c r="F362" s="9" t="s">
        <v>934</v>
      </c>
      <c r="G362" s="9" t="s">
        <v>908</v>
      </c>
      <c r="H362" s="9" t="s">
        <v>911</v>
      </c>
      <c r="I362" s="9" t="s">
        <v>938</v>
      </c>
      <c r="J362" s="9" t="s">
        <v>939</v>
      </c>
      <c r="K362" s="9" t="s">
        <v>934</v>
      </c>
      <c r="L362" s="9" t="s">
        <v>934</v>
      </c>
      <c r="M362" s="9" t="s">
        <v>65</v>
      </c>
      <c r="N362" s="9">
        <v>127</v>
      </c>
      <c r="O362" s="9" t="s">
        <v>72</v>
      </c>
      <c r="P362" s="9">
        <v>85</v>
      </c>
      <c r="Q362" s="9">
        <v>85</v>
      </c>
      <c r="R362" s="9">
        <v>0.5</v>
      </c>
      <c r="S362" s="9">
        <v>-1.48695</v>
      </c>
      <c r="T362" s="9">
        <v>137.88739000000001</v>
      </c>
      <c r="U362" s="9"/>
      <c r="V362" s="11" t="s">
        <v>694</v>
      </c>
      <c r="W362" s="11"/>
      <c r="X362" s="11"/>
      <c r="Y362" s="11" t="e">
        <f>VLOOKUP(L362,'[1]singkron data'!D:H,5,FALSE)</f>
        <v>#N/A</v>
      </c>
      <c r="Z362" s="11" t="e">
        <f>VLOOKUP(L362,'[1]singkron data'!D:I,6,FALSE)</f>
        <v>#N/A</v>
      </c>
      <c r="AA362" s="11" t="e">
        <f>VLOOKUP(L362,'[1]singkron data'!D:L,9,FALSE)</f>
        <v>#N/A</v>
      </c>
      <c r="AB362" s="11" t="s">
        <v>694</v>
      </c>
      <c r="AC362" s="11" t="e">
        <f>VLOOKUP(L362,'[1]singkron data'!D:M,10,FALSE)</f>
        <v>#N/A</v>
      </c>
      <c r="AD362" s="11"/>
      <c r="AE362" s="11" t="e">
        <f>VLOOKUP(L362,'[1]singkron data'!D:P,13,FALSE)</f>
        <v>#N/A</v>
      </c>
      <c r="AF362" s="11"/>
      <c r="AG362" s="11" t="e">
        <f>VLOOKUP(L362,'[1]update kontrak'!E:K,6,FALSE)</f>
        <v>#N/A</v>
      </c>
      <c r="AH362" s="11" t="e">
        <f>VLOOKUP(L362,'[1]update kontrak'!E:K,7,FALSE)</f>
        <v>#N/A</v>
      </c>
      <c r="AI362" s="11"/>
      <c r="AJ362" s="11" t="str">
        <f>VLOOKUP(L362,[1]rekap!D:M,1,FALSE)</f>
        <v>Warembori</v>
      </c>
      <c r="AK362" s="11" t="e">
        <f>VLOOKUP(L362,'[1]singkron data'!D:E,2,FALSE)</f>
        <v>#N/A</v>
      </c>
      <c r="AL362" s="11" t="str">
        <f>VLOOKUP(L362,'[1]update 521'!D:D,1,FALSE)</f>
        <v>Warembori</v>
      </c>
      <c r="AM362" s="11" t="e">
        <f>VLOOKUP(L362,[1]Sheet18!I:M,5,FALSE)</f>
        <v>#N/A</v>
      </c>
      <c r="AN362" s="11" t="e">
        <f>VLOOKUP(L362,[1]Sheet19!E:L,8,FALSE)</f>
        <v>#N/A</v>
      </c>
      <c r="AO362" s="11" t="e">
        <f>VLOOKUP(L362,[1]Sheet19!E:K,7,FALSE)</f>
        <v>#N/A</v>
      </c>
      <c r="AP362" s="12"/>
    </row>
    <row r="363" spans="1:42" ht="15" x14ac:dyDescent="0.2">
      <c r="A363" s="8" t="s">
        <v>42</v>
      </c>
      <c r="B363" s="9" t="s">
        <v>43</v>
      </c>
      <c r="C363" s="9">
        <v>819</v>
      </c>
      <c r="D363" s="9" t="s">
        <v>908</v>
      </c>
      <c r="E363" s="9">
        <v>15</v>
      </c>
      <c r="F363" s="9" t="s">
        <v>934</v>
      </c>
      <c r="G363" s="9" t="s">
        <v>908</v>
      </c>
      <c r="H363" s="9" t="s">
        <v>911</v>
      </c>
      <c r="I363" s="9" t="s">
        <v>935</v>
      </c>
      <c r="J363" s="9" t="s">
        <v>940</v>
      </c>
      <c r="K363" s="9" t="s">
        <v>941</v>
      </c>
      <c r="L363" s="9" t="s">
        <v>941</v>
      </c>
      <c r="M363" s="9" t="s">
        <v>51</v>
      </c>
      <c r="N363" s="9">
        <v>50</v>
      </c>
      <c r="O363" s="9">
        <v>50</v>
      </c>
      <c r="P363" s="9">
        <v>5</v>
      </c>
      <c r="Q363" s="9">
        <v>55</v>
      </c>
      <c r="R363" s="9">
        <v>0.48</v>
      </c>
      <c r="S363" s="9">
        <v>-1.8460000000000001</v>
      </c>
      <c r="T363" s="9">
        <v>136.9923</v>
      </c>
      <c r="U363" s="9"/>
      <c r="V363" s="11" t="s">
        <v>694</v>
      </c>
      <c r="W363" s="13">
        <f>VLOOKUP(L363,[1]Sheet18!I:N,6,FALSE)</f>
        <v>6086880000</v>
      </c>
      <c r="X363" s="11" t="s">
        <v>55</v>
      </c>
      <c r="Y363" s="11" t="e">
        <f>VLOOKUP(L363,'[1]singkron data'!D:H,5,FALSE)</f>
        <v>#N/A</v>
      </c>
      <c r="Z363" s="11" t="e">
        <f>VLOOKUP(L363,'[1]singkron data'!D:I,6,FALSE)</f>
        <v>#N/A</v>
      </c>
      <c r="AA363" s="11" t="e">
        <f>VLOOKUP(L363,'[1]singkron data'!D:L,9,FALSE)</f>
        <v>#N/A</v>
      </c>
      <c r="AB363" s="11" t="s">
        <v>694</v>
      </c>
      <c r="AC363" s="11" t="e">
        <f>VLOOKUP(L363,'[1]singkron data'!D:M,10,FALSE)</f>
        <v>#N/A</v>
      </c>
      <c r="AD363" s="11"/>
      <c r="AE363" s="11" t="e">
        <f>VLOOKUP(L363,'[1]singkron data'!D:P,13,FALSE)</f>
        <v>#N/A</v>
      </c>
      <c r="AF363" s="11" t="s">
        <v>55</v>
      </c>
      <c r="AG363" s="11" t="e">
        <f>VLOOKUP(L363,'[1]update kontrak'!E:K,6,FALSE)</f>
        <v>#N/A</v>
      </c>
      <c r="AH363" s="11" t="e">
        <f>VLOOKUP(L363,'[1]update kontrak'!E:K,7,FALSE)</f>
        <v>#N/A</v>
      </c>
      <c r="AI363" s="11"/>
      <c r="AJ363" s="11" t="str">
        <f>VLOOKUP(L363,[1]rekap!D:M,1,FALSE)</f>
        <v>Kaipuri</v>
      </c>
      <c r="AK363" s="11" t="e">
        <f>VLOOKUP(L363,'[1]singkron data'!D:E,2,FALSE)</f>
        <v>#N/A</v>
      </c>
      <c r="AL363" s="11" t="str">
        <f>VLOOKUP(L363,'[1]update 521'!D:D,1,FALSE)</f>
        <v>Kaipuri</v>
      </c>
      <c r="AM363" s="11" t="s">
        <v>57</v>
      </c>
      <c r="AN363" s="11" t="e">
        <f>VLOOKUP(L363,[1]Sheet19!E:L,8,FALSE)</f>
        <v>#N/A</v>
      </c>
      <c r="AO363" s="11" t="e">
        <f>VLOOKUP(L363,[1]Sheet19!E:K,7,FALSE)</f>
        <v>#N/A</v>
      </c>
      <c r="AP363" s="12"/>
    </row>
    <row r="364" spans="1:42" ht="15" x14ac:dyDescent="0.2">
      <c r="A364" s="8" t="s">
        <v>42</v>
      </c>
      <c r="B364" s="9" t="s">
        <v>43</v>
      </c>
      <c r="C364" s="9">
        <v>820</v>
      </c>
      <c r="D364" s="9" t="s">
        <v>908</v>
      </c>
      <c r="E364" s="9">
        <v>16</v>
      </c>
      <c r="F364" s="9" t="s">
        <v>934</v>
      </c>
      <c r="G364" s="9" t="s">
        <v>908</v>
      </c>
      <c r="H364" s="9" t="s">
        <v>911</v>
      </c>
      <c r="I364" s="9" t="s">
        <v>935</v>
      </c>
      <c r="J364" s="9" t="s">
        <v>940</v>
      </c>
      <c r="K364" s="9" t="s">
        <v>942</v>
      </c>
      <c r="L364" s="9" t="s">
        <v>942</v>
      </c>
      <c r="M364" s="9" t="s">
        <v>51</v>
      </c>
      <c r="N364" s="9">
        <v>40</v>
      </c>
      <c r="O364" s="9">
        <v>1</v>
      </c>
      <c r="P364" s="9">
        <v>2</v>
      </c>
      <c r="Q364" s="9">
        <v>3</v>
      </c>
      <c r="R364" s="9">
        <v>0.1</v>
      </c>
      <c r="S364" s="9">
        <v>-1.83725</v>
      </c>
      <c r="T364" s="9">
        <v>137.03414000000001</v>
      </c>
      <c r="U364" s="9"/>
      <c r="V364" s="11" t="s">
        <v>694</v>
      </c>
      <c r="W364" s="13">
        <f>VLOOKUP(L364,[1]Sheet18!I:N,6,FALSE)</f>
        <v>6224132000</v>
      </c>
      <c r="X364" s="11" t="s">
        <v>55</v>
      </c>
      <c r="Y364" s="11" t="e">
        <f>VLOOKUP(L364,'[1]singkron data'!D:H,5,FALSE)</f>
        <v>#N/A</v>
      </c>
      <c r="Z364" s="11" t="e">
        <f>VLOOKUP(L364,'[1]singkron data'!D:I,6,FALSE)</f>
        <v>#N/A</v>
      </c>
      <c r="AA364" s="11" t="e">
        <f>VLOOKUP(L364,'[1]singkron data'!D:L,9,FALSE)</f>
        <v>#N/A</v>
      </c>
      <c r="AB364" s="11" t="s">
        <v>694</v>
      </c>
      <c r="AC364" s="11" t="e">
        <f>VLOOKUP(L364,'[1]singkron data'!D:M,10,FALSE)</f>
        <v>#N/A</v>
      </c>
      <c r="AD364" s="11"/>
      <c r="AE364" s="11" t="e">
        <f>VLOOKUP(L364,'[1]singkron data'!D:P,13,FALSE)</f>
        <v>#N/A</v>
      </c>
      <c r="AF364" s="11" t="s">
        <v>55</v>
      </c>
      <c r="AG364" s="11" t="e">
        <f>VLOOKUP(L364,'[1]update kontrak'!E:K,6,FALSE)</f>
        <v>#N/A</v>
      </c>
      <c r="AH364" s="11" t="e">
        <f>VLOOKUP(L364,'[1]update kontrak'!E:K,7,FALSE)</f>
        <v>#N/A</v>
      </c>
      <c r="AI364" s="11"/>
      <c r="AJ364" s="11" t="str">
        <f>VLOOKUP(L364,[1]rekap!D:M,1,FALSE)</f>
        <v>Mnukwar</v>
      </c>
      <c r="AK364" s="11" t="e">
        <f>VLOOKUP(L364,'[1]singkron data'!D:E,2,FALSE)</f>
        <v>#N/A</v>
      </c>
      <c r="AL364" s="11" t="str">
        <f>VLOOKUP(L364,'[1]update 521'!D:D,1,FALSE)</f>
        <v>Mnukwar</v>
      </c>
      <c r="AM364" s="11" t="s">
        <v>57</v>
      </c>
      <c r="AN364" s="11" t="e">
        <f>VLOOKUP(L364,[1]Sheet19!E:L,8,FALSE)</f>
        <v>#N/A</v>
      </c>
      <c r="AO364" s="11" t="e">
        <f>VLOOKUP(L364,[1]Sheet19!E:K,7,FALSE)</f>
        <v>#N/A</v>
      </c>
      <c r="AP364" s="12"/>
    </row>
    <row r="365" spans="1:42" ht="15" x14ac:dyDescent="0.2">
      <c r="A365" s="8" t="s">
        <v>42</v>
      </c>
      <c r="B365" s="9" t="s">
        <v>43</v>
      </c>
      <c r="C365" s="9">
        <v>821</v>
      </c>
      <c r="D365" s="9" t="s">
        <v>908</v>
      </c>
      <c r="E365" s="9">
        <v>17</v>
      </c>
      <c r="F365" s="9" t="s">
        <v>934</v>
      </c>
      <c r="G365" s="9" t="s">
        <v>908</v>
      </c>
      <c r="H365" s="9" t="s">
        <v>911</v>
      </c>
      <c r="I365" s="9" t="s">
        <v>938</v>
      </c>
      <c r="J365" s="9" t="s">
        <v>943</v>
      </c>
      <c r="K365" s="9" t="s">
        <v>944</v>
      </c>
      <c r="L365" s="9" t="s">
        <v>944</v>
      </c>
      <c r="M365" s="9" t="s">
        <v>51</v>
      </c>
      <c r="N365" s="9">
        <v>96</v>
      </c>
      <c r="O365" s="9">
        <v>15</v>
      </c>
      <c r="P365" s="9">
        <v>13</v>
      </c>
      <c r="Q365" s="9">
        <v>28</v>
      </c>
      <c r="R365" s="9">
        <v>1</v>
      </c>
      <c r="S365" s="9">
        <v>-1.85829</v>
      </c>
      <c r="T365" s="9">
        <v>137.09299999999999</v>
      </c>
      <c r="U365" s="9"/>
      <c r="V365" s="11" t="s">
        <v>694</v>
      </c>
      <c r="W365" s="11"/>
      <c r="X365" s="11"/>
      <c r="Y365" s="11" t="e">
        <f>VLOOKUP(L365,'[1]singkron data'!D:H,5,FALSE)</f>
        <v>#N/A</v>
      </c>
      <c r="Z365" s="11" t="e">
        <f>VLOOKUP(L365,'[1]singkron data'!D:I,6,FALSE)</f>
        <v>#N/A</v>
      </c>
      <c r="AA365" s="11" t="e">
        <f>VLOOKUP(L365,'[1]singkron data'!D:L,9,FALSE)</f>
        <v>#N/A</v>
      </c>
      <c r="AB365" s="11" t="s">
        <v>694</v>
      </c>
      <c r="AC365" s="11" t="e">
        <f>VLOOKUP(L365,'[1]singkron data'!D:M,10,FALSE)</f>
        <v>#N/A</v>
      </c>
      <c r="AD365" s="11"/>
      <c r="AE365" s="11" t="e">
        <f>VLOOKUP(L365,'[1]singkron data'!D:P,13,FALSE)</f>
        <v>#N/A</v>
      </c>
      <c r="AF365" s="11"/>
      <c r="AG365" s="11" t="e">
        <f>VLOOKUP(L365,'[1]update kontrak'!E:K,6,FALSE)</f>
        <v>#N/A</v>
      </c>
      <c r="AH365" s="11" t="e">
        <f>VLOOKUP(L365,'[1]update kontrak'!E:K,7,FALSE)</f>
        <v>#N/A</v>
      </c>
      <c r="AI365" s="11"/>
      <c r="AJ365" s="11" t="str">
        <f>VLOOKUP(L365,[1]rekap!D:M,1,FALSE)</f>
        <v>Poiwai</v>
      </c>
      <c r="AK365" s="11" t="e">
        <f>VLOOKUP(L365,'[1]singkron data'!D:E,2,FALSE)</f>
        <v>#N/A</v>
      </c>
      <c r="AL365" s="11" t="str">
        <f>VLOOKUP(L365,'[1]update 521'!D:D,1,FALSE)</f>
        <v>Poiwai</v>
      </c>
      <c r="AM365" s="11" t="e">
        <f>VLOOKUP(L365,[1]Sheet18!I:M,5,FALSE)</f>
        <v>#N/A</v>
      </c>
      <c r="AN365" s="11" t="e">
        <f>VLOOKUP(L365,[1]Sheet19!E:L,8,FALSE)</f>
        <v>#N/A</v>
      </c>
      <c r="AO365" s="11" t="e">
        <f>VLOOKUP(L365,[1]Sheet19!E:K,7,FALSE)</f>
        <v>#N/A</v>
      </c>
      <c r="AP365" s="12"/>
    </row>
    <row r="366" spans="1:42" ht="15" x14ac:dyDescent="0.2">
      <c r="A366" s="8" t="s">
        <v>42</v>
      </c>
      <c r="B366" s="9" t="s">
        <v>43</v>
      </c>
      <c r="C366" s="9">
        <v>822</v>
      </c>
      <c r="D366" s="9" t="s">
        <v>908</v>
      </c>
      <c r="E366" s="9">
        <v>18</v>
      </c>
      <c r="F366" s="9" t="s">
        <v>934</v>
      </c>
      <c r="G366" s="9" t="s">
        <v>908</v>
      </c>
      <c r="H366" s="9" t="s">
        <v>911</v>
      </c>
      <c r="I366" s="9" t="s">
        <v>938</v>
      </c>
      <c r="J366" s="9" t="s">
        <v>943</v>
      </c>
      <c r="K366" s="9" t="s">
        <v>945</v>
      </c>
      <c r="L366" s="9" t="s">
        <v>945</v>
      </c>
      <c r="M366" s="9" t="s">
        <v>51</v>
      </c>
      <c r="N366" s="9">
        <v>62</v>
      </c>
      <c r="O366" s="9">
        <v>1</v>
      </c>
      <c r="P366" s="9">
        <v>61</v>
      </c>
      <c r="Q366" s="9">
        <v>62</v>
      </c>
      <c r="R366" s="9">
        <v>0.5</v>
      </c>
      <c r="S366" s="9">
        <v>-1.5907089759999999</v>
      </c>
      <c r="T366" s="9">
        <v>137.5938136</v>
      </c>
      <c r="U366" s="9"/>
      <c r="V366" s="11" t="s">
        <v>694</v>
      </c>
      <c r="W366" s="11"/>
      <c r="X366" s="11"/>
      <c r="Y366" s="11" t="e">
        <f>VLOOKUP(L366,'[1]singkron data'!D:H,5,FALSE)</f>
        <v>#N/A</v>
      </c>
      <c r="Z366" s="11" t="e">
        <f>VLOOKUP(L366,'[1]singkron data'!D:I,6,FALSE)</f>
        <v>#N/A</v>
      </c>
      <c r="AA366" s="11" t="e">
        <f>VLOOKUP(L366,'[1]singkron data'!D:L,9,FALSE)</f>
        <v>#N/A</v>
      </c>
      <c r="AB366" s="11" t="s">
        <v>694</v>
      </c>
      <c r="AC366" s="11" t="e">
        <f>VLOOKUP(L366,'[1]singkron data'!D:M,10,FALSE)</f>
        <v>#N/A</v>
      </c>
      <c r="AD366" s="11"/>
      <c r="AE366" s="11" t="e">
        <f>VLOOKUP(L366,'[1]singkron data'!D:P,13,FALSE)</f>
        <v>#N/A</v>
      </c>
      <c r="AF366" s="11"/>
      <c r="AG366" s="11" t="e">
        <f>VLOOKUP(L366,'[1]update kontrak'!E:K,6,FALSE)</f>
        <v>#N/A</v>
      </c>
      <c r="AH366" s="11" t="e">
        <f>VLOOKUP(L366,'[1]update kontrak'!E:K,7,FALSE)</f>
        <v>#N/A</v>
      </c>
      <c r="AI366" s="11"/>
      <c r="AJ366" s="11" t="str">
        <f>VLOOKUP(L366,[1]rekap!D:M,1,FALSE)</f>
        <v>Tamakuri</v>
      </c>
      <c r="AK366" s="11" t="e">
        <f>VLOOKUP(L366,'[1]singkron data'!D:E,2,FALSE)</f>
        <v>#N/A</v>
      </c>
      <c r="AL366" s="11" t="str">
        <f>VLOOKUP(L366,'[1]update 521'!D:D,1,FALSE)</f>
        <v>Tamakuri</v>
      </c>
      <c r="AM366" s="11" t="e">
        <f>VLOOKUP(L366,[1]Sheet18!I:M,5,FALSE)</f>
        <v>#N/A</v>
      </c>
      <c r="AN366" s="11" t="e">
        <f>VLOOKUP(L366,[1]Sheet19!E:L,8,FALSE)</f>
        <v>#N/A</v>
      </c>
      <c r="AO366" s="11" t="e">
        <f>VLOOKUP(L366,[1]Sheet19!E:K,7,FALSE)</f>
        <v>#N/A</v>
      </c>
      <c r="AP366" s="12"/>
    </row>
    <row r="367" spans="1:42" ht="15" x14ac:dyDescent="0.2">
      <c r="A367" s="8" t="s">
        <v>42</v>
      </c>
      <c r="B367" s="9" t="s">
        <v>43</v>
      </c>
      <c r="C367" s="9">
        <v>823</v>
      </c>
      <c r="D367" s="9" t="s">
        <v>908</v>
      </c>
      <c r="E367" s="9">
        <v>19</v>
      </c>
      <c r="F367" s="9" t="s">
        <v>946</v>
      </c>
      <c r="G367" s="9" t="s">
        <v>910</v>
      </c>
      <c r="H367" s="9" t="s">
        <v>911</v>
      </c>
      <c r="I367" s="9" t="s">
        <v>947</v>
      </c>
      <c r="J367" s="9" t="s">
        <v>948</v>
      </c>
      <c r="K367" s="9" t="s">
        <v>949</v>
      </c>
      <c r="L367" s="9" t="s">
        <v>949</v>
      </c>
      <c r="M367" s="9" t="s">
        <v>51</v>
      </c>
      <c r="N367" s="9">
        <v>80</v>
      </c>
      <c r="O367" s="9" t="s">
        <v>72</v>
      </c>
      <c r="P367" s="9">
        <v>22</v>
      </c>
      <c r="Q367" s="9">
        <v>22</v>
      </c>
      <c r="R367" s="9">
        <v>0.63</v>
      </c>
      <c r="S367" s="9">
        <v>-2.6825000000000001</v>
      </c>
      <c r="T367" s="9">
        <v>132.51013</v>
      </c>
      <c r="U367" s="9"/>
      <c r="V367" s="11" t="s">
        <v>694</v>
      </c>
      <c r="W367" s="11"/>
      <c r="X367" s="11"/>
      <c r="Y367" s="11" t="e">
        <f>VLOOKUP(L367,'[1]singkron data'!D:H,5,FALSE)</f>
        <v>#N/A</v>
      </c>
      <c r="Z367" s="11" t="e">
        <f>VLOOKUP(L367,'[1]singkron data'!D:I,6,FALSE)</f>
        <v>#N/A</v>
      </c>
      <c r="AA367" s="11" t="e">
        <f>VLOOKUP(L367,'[1]singkron data'!D:L,9,FALSE)</f>
        <v>#N/A</v>
      </c>
      <c r="AB367" s="11" t="s">
        <v>694</v>
      </c>
      <c r="AC367" s="11" t="e">
        <f>VLOOKUP(L367,'[1]singkron data'!D:M,10,FALSE)</f>
        <v>#N/A</v>
      </c>
      <c r="AD367" s="11"/>
      <c r="AE367" s="11" t="e">
        <f>VLOOKUP(L367,'[1]singkron data'!D:P,13,FALSE)</f>
        <v>#N/A</v>
      </c>
      <c r="AF367" s="11"/>
      <c r="AG367" s="11" t="e">
        <f>VLOOKUP(L367,'[1]update kontrak'!E:K,6,FALSE)</f>
        <v>#N/A</v>
      </c>
      <c r="AH367" s="11" t="e">
        <f>VLOOKUP(L367,'[1]update kontrak'!E:K,7,FALSE)</f>
        <v>#N/A</v>
      </c>
      <c r="AI367" s="11"/>
      <c r="AJ367" s="11" t="str">
        <f>VLOOKUP(L367,[1]rekap!D:M,1,FALSE)</f>
        <v>Andamata</v>
      </c>
      <c r="AK367" s="11" t="e">
        <f>VLOOKUP(L367,'[1]singkron data'!D:E,2,FALSE)</f>
        <v>#N/A</v>
      </c>
      <c r="AL367" s="11" t="str">
        <f>VLOOKUP(L367,'[1]update 521'!D:D,1,FALSE)</f>
        <v>Andamata</v>
      </c>
      <c r="AM367" s="11" t="e">
        <f>VLOOKUP(L367,[1]Sheet18!I:M,5,FALSE)</f>
        <v>#N/A</v>
      </c>
      <c r="AN367" s="11" t="e">
        <f>VLOOKUP(L367,[1]Sheet19!E:L,8,FALSE)</f>
        <v>#N/A</v>
      </c>
      <c r="AO367" s="11" t="e">
        <f>VLOOKUP(L367,[1]Sheet19!E:K,7,FALSE)</f>
        <v>#N/A</v>
      </c>
      <c r="AP367" s="12"/>
    </row>
    <row r="368" spans="1:42" ht="15" x14ac:dyDescent="0.2">
      <c r="A368" s="8" t="s">
        <v>42</v>
      </c>
      <c r="B368" s="9" t="s">
        <v>43</v>
      </c>
      <c r="C368" s="9">
        <v>824</v>
      </c>
      <c r="D368" s="9" t="s">
        <v>908</v>
      </c>
      <c r="E368" s="9">
        <v>20</v>
      </c>
      <c r="F368" s="9" t="s">
        <v>950</v>
      </c>
      <c r="G368" s="9" t="s">
        <v>910</v>
      </c>
      <c r="H368" s="9" t="s">
        <v>911</v>
      </c>
      <c r="I368" s="9" t="s">
        <v>951</v>
      </c>
      <c r="J368" s="9" t="s">
        <v>951</v>
      </c>
      <c r="K368" s="9" t="s">
        <v>950</v>
      </c>
      <c r="L368" s="9" t="s">
        <v>950</v>
      </c>
      <c r="M368" s="9" t="s">
        <v>65</v>
      </c>
      <c r="N368" s="9">
        <v>180</v>
      </c>
      <c r="O368" s="9">
        <v>2</v>
      </c>
      <c r="P368" s="9">
        <v>26</v>
      </c>
      <c r="Q368" s="9">
        <v>28</v>
      </c>
      <c r="R368" s="9">
        <v>1.5</v>
      </c>
      <c r="S368" s="9">
        <v>-3.6086399999999998</v>
      </c>
      <c r="T368" s="9">
        <v>133.70945</v>
      </c>
      <c r="U368" s="9"/>
      <c r="V368" s="11" t="s">
        <v>694</v>
      </c>
      <c r="W368" s="11"/>
      <c r="X368" s="11"/>
      <c r="Y368" s="11" t="e">
        <f>VLOOKUP(L368,'[1]singkron data'!D:H,5,FALSE)</f>
        <v>#N/A</v>
      </c>
      <c r="Z368" s="11" t="e">
        <f>VLOOKUP(L368,'[1]singkron data'!D:I,6,FALSE)</f>
        <v>#N/A</v>
      </c>
      <c r="AA368" s="11" t="e">
        <f>VLOOKUP(L368,'[1]singkron data'!D:L,9,FALSE)</f>
        <v>#N/A</v>
      </c>
      <c r="AB368" s="11" t="s">
        <v>694</v>
      </c>
      <c r="AC368" s="11" t="e">
        <f>VLOOKUP(L368,'[1]singkron data'!D:M,10,FALSE)</f>
        <v>#N/A</v>
      </c>
      <c r="AD368" s="11"/>
      <c r="AE368" s="11" t="e">
        <f>VLOOKUP(L368,'[1]singkron data'!D:P,13,FALSE)</f>
        <v>#N/A</v>
      </c>
      <c r="AF368" s="11"/>
      <c r="AG368" s="11" t="e">
        <f>VLOOKUP(L368,'[1]update kontrak'!E:K,6,FALSE)</f>
        <v>#N/A</v>
      </c>
      <c r="AH368" s="11" t="e">
        <f>VLOOKUP(L368,'[1]update kontrak'!E:K,7,FALSE)</f>
        <v>#N/A</v>
      </c>
      <c r="AI368" s="11"/>
      <c r="AJ368" s="11" t="str">
        <f>VLOOKUP(L368,[1]rekap!D:M,1,FALSE)</f>
        <v>Coa</v>
      </c>
      <c r="AK368" s="11" t="e">
        <f>VLOOKUP(L368,'[1]singkron data'!D:E,2,FALSE)</f>
        <v>#N/A</v>
      </c>
      <c r="AL368" s="11" t="str">
        <f>VLOOKUP(L368,'[1]update 521'!D:D,1,FALSE)</f>
        <v>Coa</v>
      </c>
      <c r="AM368" s="11" t="e">
        <f>VLOOKUP(L368,[1]Sheet18!I:M,5,FALSE)</f>
        <v>#N/A</v>
      </c>
      <c r="AN368" s="11" t="e">
        <f>VLOOKUP(L368,[1]Sheet19!E:L,8,FALSE)</f>
        <v>#N/A</v>
      </c>
      <c r="AO368" s="11" t="e">
        <f>VLOOKUP(L368,[1]Sheet19!E:K,7,FALSE)</f>
        <v>#N/A</v>
      </c>
      <c r="AP368" s="12"/>
    </row>
    <row r="369" spans="1:42" ht="15" x14ac:dyDescent="0.2">
      <c r="A369" s="8" t="s">
        <v>42</v>
      </c>
      <c r="B369" s="9" t="s">
        <v>43</v>
      </c>
      <c r="C369" s="9">
        <v>825</v>
      </c>
      <c r="D369" s="9" t="s">
        <v>908</v>
      </c>
      <c r="E369" s="9">
        <v>21</v>
      </c>
      <c r="F369" s="9" t="s">
        <v>946</v>
      </c>
      <c r="G369" s="9" t="s">
        <v>910</v>
      </c>
      <c r="H369" s="9" t="s">
        <v>911</v>
      </c>
      <c r="I369" s="9" t="s">
        <v>947</v>
      </c>
      <c r="J369" s="9" t="s">
        <v>952</v>
      </c>
      <c r="K369" s="9" t="s">
        <v>946</v>
      </c>
      <c r="L369" s="9" t="s">
        <v>946</v>
      </c>
      <c r="M369" s="9" t="s">
        <v>65</v>
      </c>
      <c r="N369" s="9">
        <v>192</v>
      </c>
      <c r="O369" s="9">
        <v>15</v>
      </c>
      <c r="P369" s="9">
        <v>177</v>
      </c>
      <c r="Q369" s="9">
        <v>192</v>
      </c>
      <c r="R369" s="9">
        <v>0.7</v>
      </c>
      <c r="S369" s="9">
        <v>-2.9402900000000001</v>
      </c>
      <c r="T369" s="9">
        <v>132.32359</v>
      </c>
      <c r="U369" s="9"/>
      <c r="V369" s="11" t="s">
        <v>694</v>
      </c>
      <c r="W369" s="11"/>
      <c r="X369" s="11"/>
      <c r="Y369" s="11" t="e">
        <f>VLOOKUP(L369,'[1]singkron data'!D:H,5,FALSE)</f>
        <v>#N/A</v>
      </c>
      <c r="Z369" s="11" t="e">
        <f>VLOOKUP(L369,'[1]singkron data'!D:I,6,FALSE)</f>
        <v>#N/A</v>
      </c>
      <c r="AA369" s="11" t="e">
        <f>VLOOKUP(L369,'[1]singkron data'!D:L,9,FALSE)</f>
        <v>#N/A</v>
      </c>
      <c r="AB369" s="11" t="s">
        <v>694</v>
      </c>
      <c r="AC369" s="11" t="e">
        <f>VLOOKUP(L369,'[1]singkron data'!D:M,10,FALSE)</f>
        <v>#N/A</v>
      </c>
      <c r="AD369" s="11"/>
      <c r="AE369" s="11" t="e">
        <f>VLOOKUP(L369,'[1]singkron data'!D:P,13,FALSE)</f>
        <v>#N/A</v>
      </c>
      <c r="AF369" s="11"/>
      <c r="AG369" s="11" t="e">
        <f>VLOOKUP(L369,'[1]update kontrak'!E:K,6,FALSE)</f>
        <v>#N/A</v>
      </c>
      <c r="AH369" s="11" t="e">
        <f>VLOOKUP(L369,'[1]update kontrak'!E:K,7,FALSE)</f>
        <v>#N/A</v>
      </c>
      <c r="AI369" s="11"/>
      <c r="AJ369" s="11" t="str">
        <f>VLOOKUP(L369,[1]rekap!D:M,1,FALSE)</f>
        <v>Danaweria</v>
      </c>
      <c r="AK369" s="11" t="e">
        <f>VLOOKUP(L369,'[1]singkron data'!D:E,2,FALSE)</f>
        <v>#N/A</v>
      </c>
      <c r="AL369" s="11" t="str">
        <f>VLOOKUP(L369,'[1]update 521'!D:D,1,FALSE)</f>
        <v>Danaweria</v>
      </c>
      <c r="AM369" s="11" t="e">
        <f>VLOOKUP(L369,[1]Sheet18!I:M,5,FALSE)</f>
        <v>#N/A</v>
      </c>
      <c r="AN369" s="11" t="e">
        <f>VLOOKUP(L369,[1]Sheet19!E:L,8,FALSE)</f>
        <v>#N/A</v>
      </c>
      <c r="AO369" s="11" t="e">
        <f>VLOOKUP(L369,[1]Sheet19!E:K,7,FALSE)</f>
        <v>#N/A</v>
      </c>
      <c r="AP369" s="12"/>
    </row>
    <row r="370" spans="1:42" ht="15" x14ac:dyDescent="0.2">
      <c r="A370" s="8" t="s">
        <v>42</v>
      </c>
      <c r="B370" s="9" t="s">
        <v>43</v>
      </c>
      <c r="C370" s="9">
        <v>826</v>
      </c>
      <c r="D370" s="9" t="s">
        <v>908</v>
      </c>
      <c r="E370" s="9">
        <v>22</v>
      </c>
      <c r="F370" s="9" t="s">
        <v>946</v>
      </c>
      <c r="G370" s="9" t="s">
        <v>910</v>
      </c>
      <c r="H370" s="9" t="s">
        <v>911</v>
      </c>
      <c r="I370" s="9" t="s">
        <v>947</v>
      </c>
      <c r="J370" s="9" t="s">
        <v>953</v>
      </c>
      <c r="K370" s="9" t="s">
        <v>954</v>
      </c>
      <c r="L370" s="9" t="s">
        <v>954</v>
      </c>
      <c r="M370" s="9" t="s">
        <v>51</v>
      </c>
      <c r="N370" s="9">
        <v>18</v>
      </c>
      <c r="O370" s="9" t="s">
        <v>72</v>
      </c>
      <c r="P370" s="9">
        <v>9</v>
      </c>
      <c r="Q370" s="9">
        <v>9</v>
      </c>
      <c r="R370" s="9">
        <v>4.6399999999999997E-2</v>
      </c>
      <c r="S370" s="9">
        <v>-2.7179440000000001</v>
      </c>
      <c r="T370" s="9">
        <v>132.12625</v>
      </c>
      <c r="U370" s="9"/>
      <c r="V370" s="11" t="s">
        <v>694</v>
      </c>
      <c r="W370" s="11"/>
      <c r="X370" s="11"/>
      <c r="Y370" s="11" t="e">
        <f>VLOOKUP(L370,'[1]singkron data'!D:H,5,FALSE)</f>
        <v>#N/A</v>
      </c>
      <c r="Z370" s="11" t="e">
        <f>VLOOKUP(L370,'[1]singkron data'!D:I,6,FALSE)</f>
        <v>#N/A</v>
      </c>
      <c r="AA370" s="11" t="e">
        <f>VLOOKUP(L370,'[1]singkron data'!D:L,9,FALSE)</f>
        <v>#N/A</v>
      </c>
      <c r="AB370" s="11" t="s">
        <v>694</v>
      </c>
      <c r="AC370" s="11" t="e">
        <f>VLOOKUP(L370,'[1]singkron data'!D:M,10,FALSE)</f>
        <v>#N/A</v>
      </c>
      <c r="AD370" s="11"/>
      <c r="AE370" s="11" t="e">
        <f>VLOOKUP(L370,'[1]singkron data'!D:P,13,FALSE)</f>
        <v>#N/A</v>
      </c>
      <c r="AF370" s="11" t="s">
        <v>55</v>
      </c>
      <c r="AG370" s="11" t="e">
        <f>VLOOKUP(L370,'[1]update kontrak'!E:K,6,FALSE)</f>
        <v>#N/A</v>
      </c>
      <c r="AH370" s="11" t="e">
        <f>VLOOKUP(L370,'[1]update kontrak'!E:K,7,FALSE)</f>
        <v>#N/A</v>
      </c>
      <c r="AI370" s="11"/>
      <c r="AJ370" s="11" t="str">
        <f>VLOOKUP(L370,[1]rekap!D:M,1,FALSE)</f>
        <v>Bisa</v>
      </c>
      <c r="AK370" s="11" t="e">
        <f>VLOOKUP(L370,'[1]singkron data'!D:E,2,FALSE)</f>
        <v>#N/A</v>
      </c>
      <c r="AL370" s="11" t="str">
        <f>VLOOKUP(L370,'[1]update 521'!D:D,1,FALSE)</f>
        <v>Bisa</v>
      </c>
      <c r="AM370" s="11" t="e">
        <f>VLOOKUP(L370,[1]Sheet18!I:M,5,FALSE)</f>
        <v>#N/A</v>
      </c>
      <c r="AN370" s="11" t="e">
        <f>VLOOKUP(L370,[1]Sheet19!E:L,8,FALSE)</f>
        <v>#N/A</v>
      </c>
      <c r="AO370" s="11" t="e">
        <f>VLOOKUP(L370,[1]Sheet19!E:K,7,FALSE)</f>
        <v>#N/A</v>
      </c>
      <c r="AP370" s="12"/>
    </row>
    <row r="371" spans="1:42" ht="15" x14ac:dyDescent="0.2">
      <c r="A371" s="8" t="s">
        <v>42</v>
      </c>
      <c r="B371" s="9" t="s">
        <v>43</v>
      </c>
      <c r="C371" s="9">
        <v>827</v>
      </c>
      <c r="D371" s="9" t="s">
        <v>908</v>
      </c>
      <c r="E371" s="9">
        <v>23</v>
      </c>
      <c r="F371" s="9" t="s">
        <v>946</v>
      </c>
      <c r="G371" s="9" t="s">
        <v>910</v>
      </c>
      <c r="H371" s="9" t="s">
        <v>911</v>
      </c>
      <c r="I371" s="9" t="s">
        <v>947</v>
      </c>
      <c r="J371" s="9" t="s">
        <v>953</v>
      </c>
      <c r="K371" s="9" t="s">
        <v>955</v>
      </c>
      <c r="L371" s="9" t="s">
        <v>955</v>
      </c>
      <c r="M371" s="9" t="s">
        <v>51</v>
      </c>
      <c r="N371" s="9">
        <v>97</v>
      </c>
      <c r="O371" s="9" t="s">
        <v>72</v>
      </c>
      <c r="P371" s="9">
        <v>17</v>
      </c>
      <c r="Q371" s="9">
        <v>17</v>
      </c>
      <c r="R371" s="9">
        <v>0.02</v>
      </c>
      <c r="S371" s="9">
        <v>-2.69983</v>
      </c>
      <c r="T371" s="9">
        <v>132.20017000000001</v>
      </c>
      <c r="U371" s="9"/>
      <c r="V371" s="11" t="s">
        <v>694</v>
      </c>
      <c r="W371" s="11"/>
      <c r="X371" s="11"/>
      <c r="Y371" s="11" t="e">
        <f>VLOOKUP(L371,'[1]singkron data'!D:H,5,FALSE)</f>
        <v>#N/A</v>
      </c>
      <c r="Z371" s="11" t="e">
        <f>VLOOKUP(L371,'[1]singkron data'!D:I,6,FALSE)</f>
        <v>#N/A</v>
      </c>
      <c r="AA371" s="11" t="e">
        <f>VLOOKUP(L371,'[1]singkron data'!D:L,9,FALSE)</f>
        <v>#N/A</v>
      </c>
      <c r="AB371" s="11" t="s">
        <v>694</v>
      </c>
      <c r="AC371" s="11" t="e">
        <f>VLOOKUP(L371,'[1]singkron data'!D:M,10,FALSE)</f>
        <v>#N/A</v>
      </c>
      <c r="AD371" s="11"/>
      <c r="AE371" s="11" t="e">
        <f>VLOOKUP(L371,'[1]singkron data'!D:P,13,FALSE)</f>
        <v>#N/A</v>
      </c>
      <c r="AF371" s="11" t="s">
        <v>55</v>
      </c>
      <c r="AG371" s="11" t="e">
        <f>VLOOKUP(L371,'[1]update kontrak'!E:K,6,FALSE)</f>
        <v>#N/A</v>
      </c>
      <c r="AH371" s="11" t="e">
        <f>VLOOKUP(L371,'[1]update kontrak'!E:K,7,FALSE)</f>
        <v>#N/A</v>
      </c>
      <c r="AI371" s="11"/>
      <c r="AJ371" s="11" t="str">
        <f>VLOOKUP(L371,[1]rekap!D:M,1,FALSE)</f>
        <v>Offie</v>
      </c>
      <c r="AK371" s="11" t="e">
        <f>VLOOKUP(L371,'[1]singkron data'!D:E,2,FALSE)</f>
        <v>#N/A</v>
      </c>
      <c r="AL371" s="11" t="str">
        <f>VLOOKUP(L371,'[1]update 521'!D:D,1,FALSE)</f>
        <v>Offie</v>
      </c>
      <c r="AM371" s="11" t="e">
        <f>VLOOKUP(L371,[1]Sheet18!I:M,5,FALSE)</f>
        <v>#N/A</v>
      </c>
      <c r="AN371" s="11" t="e">
        <f>VLOOKUP(L371,[1]Sheet19!E:L,8,FALSE)</f>
        <v>#N/A</v>
      </c>
      <c r="AO371" s="11" t="e">
        <f>VLOOKUP(L371,[1]Sheet19!E:K,7,FALSE)</f>
        <v>#N/A</v>
      </c>
      <c r="AP371" s="12"/>
    </row>
    <row r="372" spans="1:42" ht="15" x14ac:dyDescent="0.2">
      <c r="A372" s="8" t="s">
        <v>42</v>
      </c>
      <c r="B372" s="9" t="s">
        <v>43</v>
      </c>
      <c r="C372" s="9">
        <v>828</v>
      </c>
      <c r="D372" s="9" t="s">
        <v>908</v>
      </c>
      <c r="E372" s="9">
        <v>24</v>
      </c>
      <c r="F372" s="9" t="s">
        <v>956</v>
      </c>
      <c r="G372" s="9" t="s">
        <v>908</v>
      </c>
      <c r="H372" s="9" t="s">
        <v>911</v>
      </c>
      <c r="I372" s="9" t="s">
        <v>957</v>
      </c>
      <c r="J372" s="9" t="s">
        <v>958</v>
      </c>
      <c r="K372" s="9" t="s">
        <v>956</v>
      </c>
      <c r="L372" s="9" t="s">
        <v>956</v>
      </c>
      <c r="M372" s="9" t="s">
        <v>65</v>
      </c>
      <c r="N372" s="9">
        <v>98</v>
      </c>
      <c r="O372" s="9">
        <v>98</v>
      </c>
      <c r="P372" s="9" t="s">
        <v>72</v>
      </c>
      <c r="Q372" s="9">
        <v>98</v>
      </c>
      <c r="R372" s="9">
        <v>0.96</v>
      </c>
      <c r="S372" s="9">
        <v>-2.038821</v>
      </c>
      <c r="T372" s="9">
        <v>139.13057599999999</v>
      </c>
      <c r="U372" s="9"/>
      <c r="V372" s="11" t="s">
        <v>694</v>
      </c>
      <c r="W372" s="11"/>
      <c r="X372" s="11"/>
      <c r="Y372" s="11" t="e">
        <f>VLOOKUP(L372,'[1]singkron data'!D:H,5,FALSE)</f>
        <v>#N/A</v>
      </c>
      <c r="Z372" s="11" t="e">
        <f>VLOOKUP(L372,'[1]singkron data'!D:I,6,FALSE)</f>
        <v>#N/A</v>
      </c>
      <c r="AA372" s="11" t="e">
        <f>VLOOKUP(L372,'[1]singkron data'!D:L,9,FALSE)</f>
        <v>#N/A</v>
      </c>
      <c r="AB372" s="11" t="s">
        <v>694</v>
      </c>
      <c r="AC372" s="11" t="e">
        <f>VLOOKUP(L372,'[1]singkron data'!D:M,10,FALSE)</f>
        <v>#N/A</v>
      </c>
      <c r="AD372" s="11"/>
      <c r="AE372" s="11" t="e">
        <f>VLOOKUP(L372,'[1]singkron data'!D:P,13,FALSE)</f>
        <v>#N/A</v>
      </c>
      <c r="AF372" s="11" t="s">
        <v>55</v>
      </c>
      <c r="AG372" s="11" t="e">
        <f>VLOOKUP(L372,'[1]update kontrak'!E:K,6,FALSE)</f>
        <v>#N/A</v>
      </c>
      <c r="AH372" s="11" t="e">
        <f>VLOOKUP(L372,'[1]update kontrak'!E:K,7,FALSE)</f>
        <v>#N/A</v>
      </c>
      <c r="AI372" s="11"/>
      <c r="AJ372" s="11" t="str">
        <f>VLOOKUP(L372,[1]rekap!D:M,1,FALSE)</f>
        <v>Finyabor</v>
      </c>
      <c r="AK372" s="11" t="e">
        <f>VLOOKUP(L372,'[1]singkron data'!D:E,2,FALSE)</f>
        <v>#N/A</v>
      </c>
      <c r="AL372" s="11" t="str">
        <f>VLOOKUP(L372,'[1]update 521'!D:D,1,FALSE)</f>
        <v>Finyabor</v>
      </c>
      <c r="AM372" s="11" t="e">
        <f>VLOOKUP(L372,[1]Sheet18!I:M,5,FALSE)</f>
        <v>#N/A</v>
      </c>
      <c r="AN372" s="11" t="e">
        <f>VLOOKUP(L372,[1]Sheet19!E:L,8,FALSE)</f>
        <v>#N/A</v>
      </c>
      <c r="AO372" s="11" t="e">
        <f>VLOOKUP(L372,[1]Sheet19!E:K,7,FALSE)</f>
        <v>#N/A</v>
      </c>
      <c r="AP372" s="12"/>
    </row>
    <row r="373" spans="1:42" ht="15" x14ac:dyDescent="0.2">
      <c r="A373" s="8" t="s">
        <v>42</v>
      </c>
      <c r="B373" s="9" t="s">
        <v>43</v>
      </c>
      <c r="C373" s="9">
        <v>829</v>
      </c>
      <c r="D373" s="9" t="s">
        <v>908</v>
      </c>
      <c r="E373" s="9">
        <v>25</v>
      </c>
      <c r="F373" s="9" t="s">
        <v>956</v>
      </c>
      <c r="G373" s="9" t="s">
        <v>908</v>
      </c>
      <c r="H373" s="9" t="s">
        <v>911</v>
      </c>
      <c r="I373" s="9" t="s">
        <v>957</v>
      </c>
      <c r="J373" s="9" t="s">
        <v>959</v>
      </c>
      <c r="K373" s="9" t="s">
        <v>960</v>
      </c>
      <c r="L373" s="9" t="s">
        <v>960</v>
      </c>
      <c r="M373" s="9" t="s">
        <v>51</v>
      </c>
      <c r="N373" s="9">
        <v>12</v>
      </c>
      <c r="O373" s="9">
        <v>8</v>
      </c>
      <c r="P373" s="9">
        <v>5</v>
      </c>
      <c r="Q373" s="9">
        <v>13</v>
      </c>
      <c r="R373" s="9">
        <v>0.28000000000000003</v>
      </c>
      <c r="S373" s="9">
        <v>-2.2888709999999999</v>
      </c>
      <c r="T373" s="9">
        <v>139.612945</v>
      </c>
      <c r="U373" s="9"/>
      <c r="V373" s="11" t="s">
        <v>694</v>
      </c>
      <c r="W373" s="11"/>
      <c r="X373" s="11"/>
      <c r="Y373" s="11" t="e">
        <f>VLOOKUP(L373,'[1]singkron data'!D:H,5,FALSE)</f>
        <v>#N/A</v>
      </c>
      <c r="Z373" s="11" t="e">
        <f>VLOOKUP(L373,'[1]singkron data'!D:I,6,FALSE)</f>
        <v>#N/A</v>
      </c>
      <c r="AA373" s="11" t="e">
        <f>VLOOKUP(L373,'[1]singkron data'!D:L,9,FALSE)</f>
        <v>#N/A</v>
      </c>
      <c r="AB373" s="11" t="s">
        <v>694</v>
      </c>
      <c r="AC373" s="11" t="e">
        <f>VLOOKUP(L373,'[1]singkron data'!D:M,10,FALSE)</f>
        <v>#N/A</v>
      </c>
      <c r="AD373" s="11"/>
      <c r="AE373" s="11" t="e">
        <f>VLOOKUP(L373,'[1]singkron data'!D:P,13,FALSE)</f>
        <v>#N/A</v>
      </c>
      <c r="AF373" s="11"/>
      <c r="AG373" s="11" t="e">
        <f>VLOOKUP(L373,'[1]update kontrak'!E:K,6,FALSE)</f>
        <v>#N/A</v>
      </c>
      <c r="AH373" s="11" t="e">
        <f>VLOOKUP(L373,'[1]update kontrak'!E:K,7,FALSE)</f>
        <v>#N/A</v>
      </c>
      <c r="AI373" s="11"/>
      <c r="AJ373" s="11" t="str">
        <f>VLOOKUP(L373,[1]rekap!D:M,1,FALSE)</f>
        <v>Armopa</v>
      </c>
      <c r="AK373" s="11" t="e">
        <f>VLOOKUP(L373,'[1]singkron data'!D:E,2,FALSE)</f>
        <v>#N/A</v>
      </c>
      <c r="AL373" s="11" t="str">
        <f>VLOOKUP(L373,'[1]update 521'!D:D,1,FALSE)</f>
        <v>Armopa</v>
      </c>
      <c r="AM373" s="11" t="e">
        <f>VLOOKUP(L373,[1]Sheet18!I:M,5,FALSE)</f>
        <v>#N/A</v>
      </c>
      <c r="AN373" s="11" t="e">
        <f>VLOOKUP(L373,[1]Sheet19!E:L,8,FALSE)</f>
        <v>#N/A</v>
      </c>
      <c r="AO373" s="11" t="e">
        <f>VLOOKUP(L373,[1]Sheet19!E:K,7,FALSE)</f>
        <v>#N/A</v>
      </c>
      <c r="AP373" s="12"/>
    </row>
    <row r="374" spans="1:42" ht="15" x14ac:dyDescent="0.2">
      <c r="A374" s="8" t="s">
        <v>42</v>
      </c>
      <c r="B374" s="9" t="s">
        <v>43</v>
      </c>
      <c r="C374" s="9">
        <v>830</v>
      </c>
      <c r="D374" s="9" t="s">
        <v>908</v>
      </c>
      <c r="E374" s="9">
        <v>26</v>
      </c>
      <c r="F374" s="9" t="s">
        <v>956</v>
      </c>
      <c r="G374" s="9" t="s">
        <v>908</v>
      </c>
      <c r="H374" s="9" t="s">
        <v>911</v>
      </c>
      <c r="I374" s="9" t="s">
        <v>957</v>
      </c>
      <c r="J374" s="9" t="s">
        <v>961</v>
      </c>
      <c r="K374" s="9" t="s">
        <v>962</v>
      </c>
      <c r="L374" s="9" t="s">
        <v>962</v>
      </c>
      <c r="M374" s="9" t="s">
        <v>51</v>
      </c>
      <c r="N374" s="9">
        <v>45</v>
      </c>
      <c r="O374" s="9">
        <v>10</v>
      </c>
      <c r="P374" s="9">
        <v>4</v>
      </c>
      <c r="Q374" s="9">
        <v>14</v>
      </c>
      <c r="R374" s="9">
        <v>0.28000000000000003</v>
      </c>
      <c r="S374" s="9">
        <v>-1.9202459999999999</v>
      </c>
      <c r="T374" s="9">
        <v>138.788849</v>
      </c>
      <c r="U374" s="9"/>
      <c r="V374" s="11" t="s">
        <v>694</v>
      </c>
      <c r="W374" s="11"/>
      <c r="X374" s="11"/>
      <c r="Y374" s="11" t="e">
        <f>VLOOKUP(L374,'[1]singkron data'!D:H,5,FALSE)</f>
        <v>#N/A</v>
      </c>
      <c r="Z374" s="11" t="e">
        <f>VLOOKUP(L374,'[1]singkron data'!D:I,6,FALSE)</f>
        <v>#N/A</v>
      </c>
      <c r="AA374" s="11" t="e">
        <f>VLOOKUP(L374,'[1]singkron data'!D:L,9,FALSE)</f>
        <v>#N/A</v>
      </c>
      <c r="AB374" s="11" t="s">
        <v>694</v>
      </c>
      <c r="AC374" s="11" t="e">
        <f>VLOOKUP(L374,'[1]singkron data'!D:M,10,FALSE)</f>
        <v>#N/A</v>
      </c>
      <c r="AD374" s="11"/>
      <c r="AE374" s="11" t="e">
        <f>VLOOKUP(L374,'[1]singkron data'!D:P,13,FALSE)</f>
        <v>#N/A</v>
      </c>
      <c r="AF374" s="11"/>
      <c r="AG374" s="11" t="e">
        <f>VLOOKUP(L374,'[1]update kontrak'!E:K,6,FALSE)</f>
        <v>#N/A</v>
      </c>
      <c r="AH374" s="11" t="e">
        <f>VLOOKUP(L374,'[1]update kontrak'!E:K,7,FALSE)</f>
        <v>#N/A</v>
      </c>
      <c r="AI374" s="11"/>
      <c r="AJ374" s="11" t="str">
        <f>VLOOKUP(L374,[1]rekap!D:M,1,FALSE)</f>
        <v>Bagaiserwar Dua</v>
      </c>
      <c r="AK374" s="11" t="e">
        <f>VLOOKUP(L374,'[1]singkron data'!D:E,2,FALSE)</f>
        <v>#N/A</v>
      </c>
      <c r="AL374" s="11" t="str">
        <f>VLOOKUP(L374,'[1]update 521'!D:D,1,FALSE)</f>
        <v>Bagaiserwar Dua</v>
      </c>
      <c r="AM374" s="11" t="e">
        <f>VLOOKUP(L374,[1]Sheet18!I:M,5,FALSE)</f>
        <v>#N/A</v>
      </c>
      <c r="AN374" s="11" t="e">
        <f>VLOOKUP(L374,[1]Sheet19!E:L,8,FALSE)</f>
        <v>#N/A</v>
      </c>
      <c r="AO374" s="11" t="e">
        <f>VLOOKUP(L374,[1]Sheet19!E:K,7,FALSE)</f>
        <v>#N/A</v>
      </c>
      <c r="AP374" s="12"/>
    </row>
    <row r="375" spans="1:42" ht="15" x14ac:dyDescent="0.2">
      <c r="A375" s="8" t="s">
        <v>42</v>
      </c>
      <c r="B375" s="9" t="s">
        <v>43</v>
      </c>
      <c r="C375" s="9">
        <v>831</v>
      </c>
      <c r="D375" s="9" t="s">
        <v>908</v>
      </c>
      <c r="E375" s="9">
        <v>27</v>
      </c>
      <c r="F375" s="9" t="s">
        <v>956</v>
      </c>
      <c r="G375" s="9" t="s">
        <v>908</v>
      </c>
      <c r="H375" s="9" t="s">
        <v>911</v>
      </c>
      <c r="I375" s="9" t="s">
        <v>957</v>
      </c>
      <c r="J375" s="9" t="s">
        <v>963</v>
      </c>
      <c r="K375" s="9" t="s">
        <v>964</v>
      </c>
      <c r="L375" s="9" t="s">
        <v>964</v>
      </c>
      <c r="M375" s="9" t="s">
        <v>51</v>
      </c>
      <c r="N375" s="9">
        <v>150</v>
      </c>
      <c r="O375" s="9">
        <v>10</v>
      </c>
      <c r="P375" s="9">
        <v>30</v>
      </c>
      <c r="Q375" s="9">
        <v>40</v>
      </c>
      <c r="R375" s="9">
        <v>1</v>
      </c>
      <c r="S375" s="9">
        <v>-2.1147399999999998</v>
      </c>
      <c r="T375" s="9">
        <v>139.25894</v>
      </c>
      <c r="U375" s="9"/>
      <c r="V375" s="11" t="s">
        <v>694</v>
      </c>
      <c r="W375" s="11"/>
      <c r="X375" s="11"/>
      <c r="Y375" s="11" t="e">
        <f>VLOOKUP(L375,'[1]singkron data'!D:H,5,FALSE)</f>
        <v>#N/A</v>
      </c>
      <c r="Z375" s="11" t="e">
        <f>VLOOKUP(L375,'[1]singkron data'!D:I,6,FALSE)</f>
        <v>#N/A</v>
      </c>
      <c r="AA375" s="11" t="e">
        <f>VLOOKUP(L375,'[1]singkron data'!D:L,9,FALSE)</f>
        <v>#N/A</v>
      </c>
      <c r="AB375" s="11" t="s">
        <v>694</v>
      </c>
      <c r="AC375" s="11" t="e">
        <f>VLOOKUP(L375,'[1]singkron data'!D:M,10,FALSE)</f>
        <v>#N/A</v>
      </c>
      <c r="AD375" s="11"/>
      <c r="AE375" s="11" t="e">
        <f>VLOOKUP(L375,'[1]singkron data'!D:P,13,FALSE)</f>
        <v>#N/A</v>
      </c>
      <c r="AF375" s="11" t="s">
        <v>55</v>
      </c>
      <c r="AG375" s="11" t="e">
        <f>VLOOKUP(L375,'[1]update kontrak'!E:K,6,FALSE)</f>
        <v>#N/A</v>
      </c>
      <c r="AH375" s="11" t="e">
        <f>VLOOKUP(L375,'[1]update kontrak'!E:K,7,FALSE)</f>
        <v>#N/A</v>
      </c>
      <c r="AI375" s="11"/>
      <c r="AJ375" s="11" t="str">
        <f>VLOOKUP(L375,[1]rekap!D:M,1,FALSE)</f>
        <v>Betaf</v>
      </c>
      <c r="AK375" s="11" t="e">
        <f>VLOOKUP(L375,'[1]singkron data'!D:E,2,FALSE)</f>
        <v>#N/A</v>
      </c>
      <c r="AL375" s="11" t="str">
        <f>VLOOKUP(L375,'[1]update 521'!D:D,1,FALSE)</f>
        <v>Betaf</v>
      </c>
      <c r="AM375" s="11" t="e">
        <f>VLOOKUP(L375,[1]Sheet18!I:M,5,FALSE)</f>
        <v>#N/A</v>
      </c>
      <c r="AN375" s="11" t="e">
        <f>VLOOKUP(L375,[1]Sheet19!E:L,8,FALSE)</f>
        <v>#N/A</v>
      </c>
      <c r="AO375" s="11" t="e">
        <f>VLOOKUP(L375,[1]Sheet19!E:K,7,FALSE)</f>
        <v>#N/A</v>
      </c>
      <c r="AP375" s="12"/>
    </row>
    <row r="376" spans="1:42" ht="15" x14ac:dyDescent="0.2">
      <c r="A376" s="8" t="s">
        <v>42</v>
      </c>
      <c r="B376" s="9" t="s">
        <v>43</v>
      </c>
      <c r="C376" s="9">
        <v>832</v>
      </c>
      <c r="D376" s="9" t="s">
        <v>908</v>
      </c>
      <c r="E376" s="9">
        <v>28</v>
      </c>
      <c r="F376" s="9" t="s">
        <v>956</v>
      </c>
      <c r="G376" s="9" t="s">
        <v>908</v>
      </c>
      <c r="H376" s="9" t="s">
        <v>911</v>
      </c>
      <c r="I376" s="9" t="s">
        <v>957</v>
      </c>
      <c r="J376" s="9" t="s">
        <v>959</v>
      </c>
      <c r="K376" s="9" t="s">
        <v>965</v>
      </c>
      <c r="L376" s="9" t="s">
        <v>965</v>
      </c>
      <c r="M376" s="9" t="s">
        <v>51</v>
      </c>
      <c r="N376" s="9">
        <v>30</v>
      </c>
      <c r="O376" s="9">
        <v>1</v>
      </c>
      <c r="P376" s="9">
        <v>33</v>
      </c>
      <c r="Q376" s="9">
        <v>34</v>
      </c>
      <c r="R376" s="9">
        <v>0.28000000000000003</v>
      </c>
      <c r="S376" s="9">
        <v>-2.1836500000000001</v>
      </c>
      <c r="T376" s="9">
        <v>139.43455</v>
      </c>
      <c r="U376" s="9"/>
      <c r="V376" s="11" t="s">
        <v>694</v>
      </c>
      <c r="W376" s="11"/>
      <c r="X376" s="11"/>
      <c r="Y376" s="11" t="e">
        <f>VLOOKUP(L376,'[1]singkron data'!D:H,5,FALSE)</f>
        <v>#N/A</v>
      </c>
      <c r="Z376" s="11" t="e">
        <f>VLOOKUP(L376,'[1]singkron data'!D:I,6,FALSE)</f>
        <v>#N/A</v>
      </c>
      <c r="AA376" s="11" t="e">
        <f>VLOOKUP(L376,'[1]singkron data'!D:L,9,FALSE)</f>
        <v>#N/A</v>
      </c>
      <c r="AB376" s="11" t="s">
        <v>694</v>
      </c>
      <c r="AC376" s="11" t="e">
        <f>VLOOKUP(L376,'[1]singkron data'!D:M,10,FALSE)</f>
        <v>#N/A</v>
      </c>
      <c r="AD376" s="11"/>
      <c r="AE376" s="11" t="e">
        <f>VLOOKUP(L376,'[1]singkron data'!D:P,13,FALSE)</f>
        <v>#N/A</v>
      </c>
      <c r="AF376" s="11" t="s">
        <v>55</v>
      </c>
      <c r="AG376" s="11" t="e">
        <f>VLOOKUP(L376,'[1]update kontrak'!E:K,6,FALSE)</f>
        <v>#N/A</v>
      </c>
      <c r="AH376" s="11" t="e">
        <f>VLOOKUP(L376,'[1]update kontrak'!E:K,7,FALSE)</f>
        <v>#N/A</v>
      </c>
      <c r="AI376" s="11"/>
      <c r="AJ376" s="11" t="str">
        <f>VLOOKUP(L376,[1]rekap!D:M,1,FALSE)</f>
        <v>Krim Podena</v>
      </c>
      <c r="AK376" s="11" t="e">
        <f>VLOOKUP(L376,'[1]singkron data'!D:E,2,FALSE)</f>
        <v>#N/A</v>
      </c>
      <c r="AL376" s="11" t="str">
        <f>VLOOKUP(L376,'[1]update 521'!D:D,1,FALSE)</f>
        <v>Krim Podena</v>
      </c>
      <c r="AM376" s="11" t="e">
        <f>VLOOKUP(L376,[1]Sheet18!I:M,5,FALSE)</f>
        <v>#N/A</v>
      </c>
      <c r="AN376" s="11" t="e">
        <f>VLOOKUP(L376,[1]Sheet19!E:L,8,FALSE)</f>
        <v>#N/A</v>
      </c>
      <c r="AO376" s="11" t="e">
        <f>VLOOKUP(L376,[1]Sheet19!E:K,7,FALSE)</f>
        <v>#N/A</v>
      </c>
      <c r="AP376" s="12"/>
    </row>
    <row r="377" spans="1:42" ht="15" x14ac:dyDescent="0.2">
      <c r="A377" s="8" t="s">
        <v>42</v>
      </c>
      <c r="B377" s="9" t="s">
        <v>43</v>
      </c>
      <c r="C377" s="9">
        <v>833</v>
      </c>
      <c r="D377" s="9" t="s">
        <v>908</v>
      </c>
      <c r="E377" s="9">
        <v>29</v>
      </c>
      <c r="F377" s="9" t="s">
        <v>956</v>
      </c>
      <c r="G377" s="9" t="s">
        <v>908</v>
      </c>
      <c r="H377" s="9" t="s">
        <v>911</v>
      </c>
      <c r="I377" s="9" t="s">
        <v>957</v>
      </c>
      <c r="J377" s="9" t="s">
        <v>958</v>
      </c>
      <c r="K377" s="9" t="s">
        <v>966</v>
      </c>
      <c r="L377" s="9" t="s">
        <v>966</v>
      </c>
      <c r="M377" s="9" t="s">
        <v>51</v>
      </c>
      <c r="N377" s="9">
        <v>80</v>
      </c>
      <c r="O377" s="9" t="s">
        <v>72</v>
      </c>
      <c r="P377" s="9">
        <v>50</v>
      </c>
      <c r="Q377" s="9">
        <v>50</v>
      </c>
      <c r="R377" s="9">
        <v>0.27</v>
      </c>
      <c r="S377" s="9">
        <v>-1.97654</v>
      </c>
      <c r="T377" s="9">
        <v>139.00294500000001</v>
      </c>
      <c r="U377" s="9"/>
      <c r="V377" s="11" t="s">
        <v>694</v>
      </c>
      <c r="W377" s="11"/>
      <c r="X377" s="11"/>
      <c r="Y377" s="11" t="e">
        <f>VLOOKUP(L377,'[1]singkron data'!D:H,5,FALSE)</f>
        <v>#N/A</v>
      </c>
      <c r="Z377" s="11" t="e">
        <f>VLOOKUP(L377,'[1]singkron data'!D:I,6,FALSE)</f>
        <v>#N/A</v>
      </c>
      <c r="AA377" s="11" t="e">
        <f>VLOOKUP(L377,'[1]singkron data'!D:L,9,FALSE)</f>
        <v>#N/A</v>
      </c>
      <c r="AB377" s="11" t="s">
        <v>694</v>
      </c>
      <c r="AC377" s="11" t="e">
        <f>VLOOKUP(L377,'[1]singkron data'!D:M,10,FALSE)</f>
        <v>#N/A</v>
      </c>
      <c r="AD377" s="11"/>
      <c r="AE377" s="11" t="e">
        <f>VLOOKUP(L377,'[1]singkron data'!D:P,13,FALSE)</f>
        <v>#N/A</v>
      </c>
      <c r="AF377" s="11" t="s">
        <v>55</v>
      </c>
      <c r="AG377" s="11" t="e">
        <f>VLOOKUP(L377,'[1]update kontrak'!E:K,6,FALSE)</f>
        <v>#N/A</v>
      </c>
      <c r="AH377" s="11" t="e">
        <f>VLOOKUP(L377,'[1]update kontrak'!E:K,7,FALSE)</f>
        <v>#N/A</v>
      </c>
      <c r="AI377" s="11"/>
      <c r="AJ377" s="11" t="str">
        <f>VLOOKUP(L377,[1]rekap!D:M,1,FALSE)</f>
        <v>Tambrawar</v>
      </c>
      <c r="AK377" s="11" t="e">
        <f>VLOOKUP(L377,'[1]singkron data'!D:E,2,FALSE)</f>
        <v>#N/A</v>
      </c>
      <c r="AL377" s="11" t="str">
        <f>VLOOKUP(L377,'[1]update 521'!D:D,1,FALSE)</f>
        <v>Tambrawar</v>
      </c>
      <c r="AM377" s="11" t="e">
        <f>VLOOKUP(L377,[1]Sheet18!I:M,5,FALSE)</f>
        <v>#N/A</v>
      </c>
      <c r="AN377" s="11" t="e">
        <f>VLOOKUP(L377,[1]Sheet19!E:L,8,FALSE)</f>
        <v>#N/A</v>
      </c>
      <c r="AO377" s="11" t="e">
        <f>VLOOKUP(L377,[1]Sheet19!E:K,7,FALSE)</f>
        <v>#N/A</v>
      </c>
      <c r="AP377" s="12"/>
    </row>
    <row r="378" spans="1:42" ht="15" x14ac:dyDescent="0.2">
      <c r="A378" s="8" t="s">
        <v>42</v>
      </c>
      <c r="B378" s="9" t="s">
        <v>43</v>
      </c>
      <c r="C378" s="9">
        <v>834</v>
      </c>
      <c r="D378" s="9" t="s">
        <v>908</v>
      </c>
      <c r="E378" s="9">
        <v>30</v>
      </c>
      <c r="F378" s="9" t="s">
        <v>956</v>
      </c>
      <c r="G378" s="9" t="s">
        <v>908</v>
      </c>
      <c r="H378" s="9" t="s">
        <v>911</v>
      </c>
      <c r="I378" s="9" t="s">
        <v>957</v>
      </c>
      <c r="J378" s="9" t="s">
        <v>959</v>
      </c>
      <c r="K378" s="9" t="s">
        <v>967</v>
      </c>
      <c r="L378" s="9" t="s">
        <v>967</v>
      </c>
      <c r="M378" s="9" t="s">
        <v>51</v>
      </c>
      <c r="N378" s="9">
        <v>11</v>
      </c>
      <c r="O378" s="9">
        <v>3</v>
      </c>
      <c r="P378" s="9">
        <v>8</v>
      </c>
      <c r="Q378" s="9">
        <v>11</v>
      </c>
      <c r="R378" s="9">
        <v>0.4</v>
      </c>
      <c r="S378" s="9">
        <v>-2.2645200000000001</v>
      </c>
      <c r="T378" s="9">
        <v>139.56608</v>
      </c>
      <c r="U378" s="9"/>
      <c r="V378" s="11" t="s">
        <v>694</v>
      </c>
      <c r="W378" s="11"/>
      <c r="X378" s="11"/>
      <c r="Y378" s="11" t="e">
        <f>VLOOKUP(L378,'[1]singkron data'!D:H,5,FALSE)</f>
        <v>#N/A</v>
      </c>
      <c r="Z378" s="11" t="e">
        <f>VLOOKUP(L378,'[1]singkron data'!D:I,6,FALSE)</f>
        <v>#N/A</v>
      </c>
      <c r="AA378" s="11" t="e">
        <f>VLOOKUP(L378,'[1]singkron data'!D:L,9,FALSE)</f>
        <v>#N/A</v>
      </c>
      <c r="AB378" s="11" t="s">
        <v>694</v>
      </c>
      <c r="AC378" s="11" t="e">
        <f>VLOOKUP(L378,'[1]singkron data'!D:M,10,FALSE)</f>
        <v>#N/A</v>
      </c>
      <c r="AD378" s="11"/>
      <c r="AE378" s="11" t="e">
        <f>VLOOKUP(L378,'[1]singkron data'!D:P,13,FALSE)</f>
        <v>#N/A</v>
      </c>
      <c r="AF378" s="11" t="s">
        <v>55</v>
      </c>
      <c r="AG378" s="11" t="e">
        <f>VLOOKUP(L378,'[1]update kontrak'!E:K,6,FALSE)</f>
        <v>#N/A</v>
      </c>
      <c r="AH378" s="11" t="e">
        <f>VLOOKUP(L378,'[1]update kontrak'!E:K,7,FALSE)</f>
        <v>#N/A</v>
      </c>
      <c r="AI378" s="11"/>
      <c r="AJ378" s="11" t="str">
        <f>VLOOKUP(L378,[1]rekap!D:M,1,FALSE)</f>
        <v>Tarontha Srum</v>
      </c>
      <c r="AK378" s="11" t="e">
        <f>VLOOKUP(L378,'[1]singkron data'!D:E,2,FALSE)</f>
        <v>#N/A</v>
      </c>
      <c r="AL378" s="11" t="str">
        <f>VLOOKUP(L378,'[1]update 521'!D:D,1,FALSE)</f>
        <v>Tarontha Srum</v>
      </c>
      <c r="AM378" s="11" t="e">
        <f>VLOOKUP(L378,[1]Sheet18!I:M,5,FALSE)</f>
        <v>#N/A</v>
      </c>
      <c r="AN378" s="11" t="e">
        <f>VLOOKUP(L378,[1]Sheet19!E:L,8,FALSE)</f>
        <v>#N/A</v>
      </c>
      <c r="AO378" s="11" t="e">
        <f>VLOOKUP(L378,[1]Sheet19!E:K,7,FALSE)</f>
        <v>#N/A</v>
      </c>
      <c r="AP378" s="12"/>
    </row>
    <row r="379" spans="1:42" ht="15" x14ac:dyDescent="0.2">
      <c r="A379" s="8" t="s">
        <v>42</v>
      </c>
      <c r="B379" s="9" t="s">
        <v>43</v>
      </c>
      <c r="C379" s="9">
        <v>835</v>
      </c>
      <c r="D379" s="9" t="s">
        <v>908</v>
      </c>
      <c r="E379" s="9">
        <v>31</v>
      </c>
      <c r="F379" s="9" t="s">
        <v>968</v>
      </c>
      <c r="G379" s="9" t="s">
        <v>908</v>
      </c>
      <c r="H379" s="9" t="s">
        <v>911</v>
      </c>
      <c r="I379" s="9" t="s">
        <v>938</v>
      </c>
      <c r="J379" s="9" t="s">
        <v>969</v>
      </c>
      <c r="K379" s="9" t="s">
        <v>970</v>
      </c>
      <c r="L379" s="9" t="s">
        <v>970</v>
      </c>
      <c r="M379" s="9" t="s">
        <v>51</v>
      </c>
      <c r="N379" s="9">
        <v>133</v>
      </c>
      <c r="O379" s="9">
        <v>133</v>
      </c>
      <c r="P379" s="9" t="s">
        <v>72</v>
      </c>
      <c r="Q379" s="9">
        <v>133</v>
      </c>
      <c r="R379" s="9">
        <v>1</v>
      </c>
      <c r="S379" s="9">
        <v>-2.2218249999999999</v>
      </c>
      <c r="T379" s="9">
        <v>137.04131899999999</v>
      </c>
      <c r="U379" s="9"/>
      <c r="V379" s="11" t="s">
        <v>694</v>
      </c>
      <c r="W379" s="11"/>
      <c r="X379" s="11"/>
      <c r="Y379" s="11" t="e">
        <f>VLOOKUP(L379,'[1]singkron data'!D:H,5,FALSE)</f>
        <v>#N/A</v>
      </c>
      <c r="Z379" s="11" t="e">
        <f>VLOOKUP(L379,'[1]singkron data'!D:I,6,FALSE)</f>
        <v>#N/A</v>
      </c>
      <c r="AA379" s="11" t="e">
        <f>VLOOKUP(L379,'[1]singkron data'!D:L,9,FALSE)</f>
        <v>#N/A</v>
      </c>
      <c r="AB379" s="11" t="s">
        <v>694</v>
      </c>
      <c r="AC379" s="11" t="e">
        <f>VLOOKUP(L379,'[1]singkron data'!D:M,10,FALSE)</f>
        <v>#N/A</v>
      </c>
      <c r="AD379" s="11"/>
      <c r="AE379" s="11" t="e">
        <f>VLOOKUP(L379,'[1]singkron data'!D:P,13,FALSE)</f>
        <v>#N/A</v>
      </c>
      <c r="AF379" s="11" t="s">
        <v>55</v>
      </c>
      <c r="AG379" s="11" t="e">
        <f>VLOOKUP(L379,'[1]update kontrak'!E:K,6,FALSE)</f>
        <v>#N/A</v>
      </c>
      <c r="AH379" s="11" t="e">
        <f>VLOOKUP(L379,'[1]update kontrak'!E:K,7,FALSE)</f>
        <v>#N/A</v>
      </c>
      <c r="AI379" s="11"/>
      <c r="AJ379" s="11" t="str">
        <f>VLOOKUP(L379,[1]rekap!D:M,1,FALSE)</f>
        <v>Bariwaro</v>
      </c>
      <c r="AK379" s="11" t="e">
        <f>VLOOKUP(L379,'[1]singkron data'!D:E,2,FALSE)</f>
        <v>#N/A</v>
      </c>
      <c r="AL379" s="11" t="str">
        <f>VLOOKUP(L379,'[1]update 521'!D:D,1,FALSE)</f>
        <v>Bariwaro</v>
      </c>
      <c r="AM379" s="11" t="e">
        <f>VLOOKUP(L379,[1]Sheet18!I:M,5,FALSE)</f>
        <v>#N/A</v>
      </c>
      <c r="AN379" s="11" t="e">
        <f>VLOOKUP(L379,[1]Sheet19!E:L,8,FALSE)</f>
        <v>#N/A</v>
      </c>
      <c r="AO379" s="11" t="e">
        <f>VLOOKUP(L379,[1]Sheet19!E:K,7,FALSE)</f>
        <v>#N/A</v>
      </c>
      <c r="AP379" s="12"/>
    </row>
    <row r="380" spans="1:42" ht="15" x14ac:dyDescent="0.2">
      <c r="A380" s="8" t="s">
        <v>42</v>
      </c>
      <c r="B380" s="9" t="s">
        <v>43</v>
      </c>
      <c r="C380" s="9">
        <v>836</v>
      </c>
      <c r="D380" s="9" t="s">
        <v>908</v>
      </c>
      <c r="E380" s="9">
        <v>32</v>
      </c>
      <c r="F380" s="9" t="s">
        <v>968</v>
      </c>
      <c r="G380" s="9" t="s">
        <v>908</v>
      </c>
      <c r="H380" s="9" t="s">
        <v>911</v>
      </c>
      <c r="I380" s="9" t="s">
        <v>971</v>
      </c>
      <c r="J380" s="9" t="s">
        <v>972</v>
      </c>
      <c r="K380" s="9" t="s">
        <v>968</v>
      </c>
      <c r="L380" s="9" t="s">
        <v>968</v>
      </c>
      <c r="M380" s="9" t="s">
        <v>51</v>
      </c>
      <c r="N380" s="9">
        <v>18</v>
      </c>
      <c r="O380" s="9">
        <v>1</v>
      </c>
      <c r="P380" s="9">
        <v>17</v>
      </c>
      <c r="Q380" s="9">
        <v>18</v>
      </c>
      <c r="R380" s="9">
        <v>3.15E-2</v>
      </c>
      <c r="S380" s="9">
        <v>-2.2061109999999999</v>
      </c>
      <c r="T380" s="9">
        <v>136.446944</v>
      </c>
      <c r="U380" s="9"/>
      <c r="V380" s="11" t="s">
        <v>694</v>
      </c>
      <c r="W380" s="11"/>
      <c r="X380" s="11"/>
      <c r="Y380" s="11" t="e">
        <f>VLOOKUP(L380,'[1]singkron data'!D:H,5,FALSE)</f>
        <v>#N/A</v>
      </c>
      <c r="Z380" s="11" t="e">
        <f>VLOOKUP(L380,'[1]singkron data'!D:I,6,FALSE)</f>
        <v>#N/A</v>
      </c>
      <c r="AA380" s="11" t="e">
        <f>VLOOKUP(L380,'[1]singkron data'!D:L,9,FALSE)</f>
        <v>#N/A</v>
      </c>
      <c r="AB380" s="11" t="s">
        <v>694</v>
      </c>
      <c r="AC380" s="11" t="e">
        <f>VLOOKUP(L380,'[1]singkron data'!D:M,10,FALSE)</f>
        <v>#N/A</v>
      </c>
      <c r="AD380" s="11"/>
      <c r="AE380" s="11" t="e">
        <f>VLOOKUP(L380,'[1]singkron data'!D:P,13,FALSE)</f>
        <v>#N/A</v>
      </c>
      <c r="AF380" s="11" t="s">
        <v>55</v>
      </c>
      <c r="AG380" s="11" t="e">
        <f>VLOOKUP(L380,'[1]update kontrak'!E:K,6,FALSE)</f>
        <v>#N/A</v>
      </c>
      <c r="AH380" s="11" t="e">
        <f>VLOOKUP(L380,'[1]update kontrak'!E:K,7,FALSE)</f>
        <v>#N/A</v>
      </c>
      <c r="AI380" s="11"/>
      <c r="AJ380" s="11" t="str">
        <f>VLOOKUP(L380,[1]rekap!D:M,1,FALSE)</f>
        <v>Ghoyui</v>
      </c>
      <c r="AK380" s="11" t="e">
        <f>VLOOKUP(L380,'[1]singkron data'!D:E,2,FALSE)</f>
        <v>#N/A</v>
      </c>
      <c r="AL380" s="11" t="str">
        <f>VLOOKUP(L380,'[1]update 521'!D:D,1,FALSE)</f>
        <v>Ghoyui</v>
      </c>
      <c r="AM380" s="11" t="e">
        <f>VLOOKUP(L380,[1]Sheet18!I:M,5,FALSE)</f>
        <v>#N/A</v>
      </c>
      <c r="AN380" s="11" t="e">
        <f>VLOOKUP(L380,[1]Sheet19!E:L,8,FALSE)</f>
        <v>#N/A</v>
      </c>
      <c r="AO380" s="11" t="e">
        <f>VLOOKUP(L380,[1]Sheet19!E:K,7,FALSE)</f>
        <v>#N/A</v>
      </c>
      <c r="AP380" s="12"/>
    </row>
    <row r="381" spans="1:42" ht="15" x14ac:dyDescent="0.2">
      <c r="A381" s="8" t="s">
        <v>42</v>
      </c>
      <c r="B381" s="9" t="s">
        <v>43</v>
      </c>
      <c r="C381" s="9">
        <v>837</v>
      </c>
      <c r="D381" s="9" t="s">
        <v>908</v>
      </c>
      <c r="E381" s="9">
        <v>33</v>
      </c>
      <c r="F381" s="9" t="s">
        <v>968</v>
      </c>
      <c r="G381" s="9" t="s">
        <v>908</v>
      </c>
      <c r="H381" s="9" t="s">
        <v>911</v>
      </c>
      <c r="I381" s="9" t="s">
        <v>938</v>
      </c>
      <c r="J381" s="9" t="s">
        <v>969</v>
      </c>
      <c r="K381" s="9" t="s">
        <v>973</v>
      </c>
      <c r="L381" s="9" t="s">
        <v>973</v>
      </c>
      <c r="M381" s="9" t="s">
        <v>51</v>
      </c>
      <c r="N381" s="9">
        <v>65</v>
      </c>
      <c r="O381" s="9" t="s">
        <v>72</v>
      </c>
      <c r="P381" s="9">
        <v>65</v>
      </c>
      <c r="Q381" s="9">
        <v>65</v>
      </c>
      <c r="R381" s="9">
        <v>0.5</v>
      </c>
      <c r="S381" s="9">
        <v>-2.19746</v>
      </c>
      <c r="T381" s="9">
        <v>136.82731999999999</v>
      </c>
      <c r="U381" s="9"/>
      <c r="V381" s="11" t="s">
        <v>694</v>
      </c>
      <c r="W381" s="11"/>
      <c r="X381" s="11"/>
      <c r="Y381" s="11" t="e">
        <f>VLOOKUP(L381,'[1]singkron data'!D:H,5,FALSE)</f>
        <v>#N/A</v>
      </c>
      <c r="Z381" s="11" t="e">
        <f>VLOOKUP(L381,'[1]singkron data'!D:I,6,FALSE)</f>
        <v>#N/A</v>
      </c>
      <c r="AA381" s="11" t="e">
        <f>VLOOKUP(L381,'[1]singkron data'!D:L,9,FALSE)</f>
        <v>#N/A</v>
      </c>
      <c r="AB381" s="11" t="s">
        <v>694</v>
      </c>
      <c r="AC381" s="11" t="e">
        <f>VLOOKUP(L381,'[1]singkron data'!D:M,10,FALSE)</f>
        <v>#N/A</v>
      </c>
      <c r="AD381" s="11"/>
      <c r="AE381" s="11" t="e">
        <f>VLOOKUP(L381,'[1]singkron data'!D:P,13,FALSE)</f>
        <v>#N/A</v>
      </c>
      <c r="AF381" s="11" t="s">
        <v>55</v>
      </c>
      <c r="AG381" s="11" t="e">
        <f>VLOOKUP(L381,'[1]update kontrak'!E:K,6,FALSE)</f>
        <v>#N/A</v>
      </c>
      <c r="AH381" s="11" t="e">
        <f>VLOOKUP(L381,'[1]update kontrak'!E:K,7,FALSE)</f>
        <v>#N/A</v>
      </c>
      <c r="AI381" s="11"/>
      <c r="AJ381" s="11" t="str">
        <f>VLOOKUP(L381,[1]rekap!D:M,1,FALSE)</f>
        <v>Nadofoai</v>
      </c>
      <c r="AK381" s="11" t="e">
        <f>VLOOKUP(L381,'[1]singkron data'!D:E,2,FALSE)</f>
        <v>#N/A</v>
      </c>
      <c r="AL381" s="11" t="str">
        <f>VLOOKUP(L381,'[1]update 521'!D:D,1,FALSE)</f>
        <v>Nadofoai</v>
      </c>
      <c r="AM381" s="11" t="e">
        <f>VLOOKUP(L381,[1]Sheet18!I:M,5,FALSE)</f>
        <v>#N/A</v>
      </c>
      <c r="AN381" s="11" t="e">
        <f>VLOOKUP(L381,[1]Sheet19!E:L,8,FALSE)</f>
        <v>#N/A</v>
      </c>
      <c r="AO381" s="11" t="e">
        <f>VLOOKUP(L381,[1]Sheet19!E:K,7,FALSE)</f>
        <v>#N/A</v>
      </c>
      <c r="AP381" s="12"/>
    </row>
    <row r="382" spans="1:42" ht="15" x14ac:dyDescent="0.2">
      <c r="A382" s="8" t="s">
        <v>42</v>
      </c>
      <c r="B382" s="9" t="s">
        <v>43</v>
      </c>
      <c r="C382" s="9">
        <v>838</v>
      </c>
      <c r="D382" s="9" t="s">
        <v>908</v>
      </c>
      <c r="E382" s="9">
        <v>34</v>
      </c>
      <c r="F382" s="9" t="s">
        <v>968</v>
      </c>
      <c r="G382" s="9" t="s">
        <v>908</v>
      </c>
      <c r="H382" s="9" t="s">
        <v>911</v>
      </c>
      <c r="I382" s="9" t="s">
        <v>971</v>
      </c>
      <c r="J382" s="9" t="s">
        <v>974</v>
      </c>
      <c r="K382" s="9" t="s">
        <v>975</v>
      </c>
      <c r="L382" s="9" t="s">
        <v>975</v>
      </c>
      <c r="M382" s="9" t="s">
        <v>51</v>
      </c>
      <c r="N382" s="9">
        <v>52</v>
      </c>
      <c r="O382" s="9" t="s">
        <v>72</v>
      </c>
      <c r="P382" s="9">
        <v>52</v>
      </c>
      <c r="Q382" s="9">
        <v>52</v>
      </c>
      <c r="R382" s="9">
        <v>6.6500000000000004E-2</v>
      </c>
      <c r="S382" s="9">
        <v>-2.2171930999999998</v>
      </c>
      <c r="T382" s="9">
        <v>136.26213709999999</v>
      </c>
      <c r="U382" s="9"/>
      <c r="V382" s="11" t="s">
        <v>694</v>
      </c>
      <c r="W382" s="11"/>
      <c r="X382" s="11"/>
      <c r="Y382" s="11" t="e">
        <f>VLOOKUP(L382,'[1]singkron data'!D:H,5,FALSE)</f>
        <v>#N/A</v>
      </c>
      <c r="Z382" s="11" t="e">
        <f>VLOOKUP(L382,'[1]singkron data'!D:I,6,FALSE)</f>
        <v>#N/A</v>
      </c>
      <c r="AA382" s="11" t="e">
        <f>VLOOKUP(L382,'[1]singkron data'!D:L,9,FALSE)</f>
        <v>#N/A</v>
      </c>
      <c r="AB382" s="11" t="s">
        <v>694</v>
      </c>
      <c r="AC382" s="11" t="e">
        <f>VLOOKUP(L382,'[1]singkron data'!D:M,10,FALSE)</f>
        <v>#N/A</v>
      </c>
      <c r="AD382" s="11"/>
      <c r="AE382" s="11" t="e">
        <f>VLOOKUP(L382,'[1]singkron data'!D:P,13,FALSE)</f>
        <v>#N/A</v>
      </c>
      <c r="AF382" s="11"/>
      <c r="AG382" s="11" t="e">
        <f>VLOOKUP(L382,'[1]update kontrak'!E:K,6,FALSE)</f>
        <v>#N/A</v>
      </c>
      <c r="AH382" s="11" t="e">
        <f>VLOOKUP(L382,'[1]update kontrak'!E:K,7,FALSE)</f>
        <v>#N/A</v>
      </c>
      <c r="AI382" s="11"/>
      <c r="AJ382" s="11" t="str">
        <f>VLOOKUP(L382,[1]rekap!D:M,1,FALSE)</f>
        <v>Nau</v>
      </c>
      <c r="AK382" s="11" t="e">
        <f>VLOOKUP(L382,'[1]singkron data'!D:E,2,FALSE)</f>
        <v>#N/A</v>
      </c>
      <c r="AL382" s="11" t="str">
        <f>VLOOKUP(L382,'[1]update 521'!D:D,1,FALSE)</f>
        <v>Nau</v>
      </c>
      <c r="AM382" s="11" t="e">
        <f>VLOOKUP(L382,[1]Sheet18!I:M,5,FALSE)</f>
        <v>#N/A</v>
      </c>
      <c r="AN382" s="11" t="e">
        <f>VLOOKUP(L382,[1]Sheet19!E:L,8,FALSE)</f>
        <v>#N/A</v>
      </c>
      <c r="AO382" s="11" t="e">
        <f>VLOOKUP(L382,[1]Sheet19!E:K,7,FALSE)</f>
        <v>#N/A</v>
      </c>
      <c r="AP382" s="12"/>
    </row>
    <row r="383" spans="1:42" ht="15" x14ac:dyDescent="0.2">
      <c r="A383" s="8" t="s">
        <v>42</v>
      </c>
      <c r="B383" s="9" t="s">
        <v>43</v>
      </c>
      <c r="C383" s="9">
        <v>839</v>
      </c>
      <c r="D383" s="9" t="s">
        <v>908</v>
      </c>
      <c r="E383" s="9">
        <v>35</v>
      </c>
      <c r="F383" s="9" t="s">
        <v>968</v>
      </c>
      <c r="G383" s="9" t="s">
        <v>908</v>
      </c>
      <c r="H383" s="9" t="s">
        <v>911</v>
      </c>
      <c r="I383" s="9" t="s">
        <v>971</v>
      </c>
      <c r="J383" s="9" t="s">
        <v>976</v>
      </c>
      <c r="K383" s="9" t="s">
        <v>977</v>
      </c>
      <c r="L383" s="9" t="s">
        <v>977</v>
      </c>
      <c r="M383" s="9" t="s">
        <v>51</v>
      </c>
      <c r="N383" s="9">
        <v>18</v>
      </c>
      <c r="O383" s="9">
        <v>3</v>
      </c>
      <c r="P383" s="9">
        <v>15</v>
      </c>
      <c r="Q383" s="9">
        <v>18</v>
      </c>
      <c r="R383" s="9">
        <v>4.1000000000000002E-2</v>
      </c>
      <c r="S383" s="9">
        <v>-2.226667</v>
      </c>
      <c r="T383" s="9">
        <v>136.38833299999999</v>
      </c>
      <c r="U383" s="9"/>
      <c r="V383" s="11" t="s">
        <v>694</v>
      </c>
      <c r="W383" s="11"/>
      <c r="X383" s="11"/>
      <c r="Y383" s="11" t="e">
        <f>VLOOKUP(L383,'[1]singkron data'!D:H,5,FALSE)</f>
        <v>#N/A</v>
      </c>
      <c r="Z383" s="11" t="e">
        <f>VLOOKUP(L383,'[1]singkron data'!D:I,6,FALSE)</f>
        <v>#N/A</v>
      </c>
      <c r="AA383" s="11" t="e">
        <f>VLOOKUP(L383,'[1]singkron data'!D:L,9,FALSE)</f>
        <v>#N/A</v>
      </c>
      <c r="AB383" s="11" t="s">
        <v>694</v>
      </c>
      <c r="AC383" s="11" t="e">
        <f>VLOOKUP(L383,'[1]singkron data'!D:M,10,FALSE)</f>
        <v>#N/A</v>
      </c>
      <c r="AD383" s="11"/>
      <c r="AE383" s="11" t="e">
        <f>VLOOKUP(L383,'[1]singkron data'!D:P,13,FALSE)</f>
        <v>#N/A</v>
      </c>
      <c r="AF383" s="11"/>
      <c r="AG383" s="11" t="e">
        <f>VLOOKUP(L383,'[1]update kontrak'!E:K,6,FALSE)</f>
        <v>#N/A</v>
      </c>
      <c r="AH383" s="11" t="e">
        <f>VLOOKUP(L383,'[1]update kontrak'!E:K,7,FALSE)</f>
        <v>#N/A</v>
      </c>
      <c r="AI383" s="11"/>
      <c r="AJ383" s="11" t="str">
        <f>VLOOKUP(L383,[1]rekap!D:M,1,FALSE)</f>
        <v>Nonomi</v>
      </c>
      <c r="AK383" s="11" t="e">
        <f>VLOOKUP(L383,'[1]singkron data'!D:E,2,FALSE)</f>
        <v>#N/A</v>
      </c>
      <c r="AL383" s="11" t="str">
        <f>VLOOKUP(L383,'[1]update 521'!D:D,1,FALSE)</f>
        <v>Nonomi</v>
      </c>
      <c r="AM383" s="11" t="e">
        <f>VLOOKUP(L383,[1]Sheet18!I:M,5,FALSE)</f>
        <v>#N/A</v>
      </c>
      <c r="AN383" s="11" t="e">
        <f>VLOOKUP(L383,[1]Sheet19!E:L,8,FALSE)</f>
        <v>#N/A</v>
      </c>
      <c r="AO383" s="11" t="e">
        <f>VLOOKUP(L383,[1]Sheet19!E:K,7,FALSE)</f>
        <v>#N/A</v>
      </c>
      <c r="AP383" s="12"/>
    </row>
    <row r="384" spans="1:42" ht="15" x14ac:dyDescent="0.2">
      <c r="A384" s="8" t="s">
        <v>42</v>
      </c>
      <c r="B384" s="9" t="s">
        <v>43</v>
      </c>
      <c r="C384" s="9">
        <v>840</v>
      </c>
      <c r="D384" s="9" t="s">
        <v>908</v>
      </c>
      <c r="E384" s="9">
        <v>36</v>
      </c>
      <c r="F384" s="9" t="s">
        <v>968</v>
      </c>
      <c r="G384" s="9" t="s">
        <v>908</v>
      </c>
      <c r="H384" s="9" t="s">
        <v>911</v>
      </c>
      <c r="I384" s="9" t="s">
        <v>971</v>
      </c>
      <c r="J384" s="9" t="s">
        <v>978</v>
      </c>
      <c r="K384" s="9" t="s">
        <v>979</v>
      </c>
      <c r="L384" s="9" t="s">
        <v>979</v>
      </c>
      <c r="M384" s="9" t="s">
        <v>51</v>
      </c>
      <c r="N384" s="9">
        <v>10</v>
      </c>
      <c r="O384" s="9" t="s">
        <v>72</v>
      </c>
      <c r="P384" s="9">
        <v>8</v>
      </c>
      <c r="Q384" s="9">
        <v>8</v>
      </c>
      <c r="R384" s="9">
        <v>0.18</v>
      </c>
      <c r="S384" s="9">
        <v>-2.2950013409999999</v>
      </c>
      <c r="T384" s="9">
        <v>136.74255489999999</v>
      </c>
      <c r="U384" s="9"/>
      <c r="V384" s="11" t="s">
        <v>694</v>
      </c>
      <c r="W384" s="11"/>
      <c r="X384" s="11"/>
      <c r="Y384" s="11" t="e">
        <f>VLOOKUP(L384,'[1]singkron data'!D:H,5,FALSE)</f>
        <v>#N/A</v>
      </c>
      <c r="Z384" s="11" t="e">
        <f>VLOOKUP(L384,'[1]singkron data'!D:I,6,FALSE)</f>
        <v>#N/A</v>
      </c>
      <c r="AA384" s="11" t="e">
        <f>VLOOKUP(L384,'[1]singkron data'!D:L,9,FALSE)</f>
        <v>#N/A</v>
      </c>
      <c r="AB384" s="11" t="s">
        <v>694</v>
      </c>
      <c r="AC384" s="11" t="e">
        <f>VLOOKUP(L384,'[1]singkron data'!D:M,10,FALSE)</f>
        <v>#N/A</v>
      </c>
      <c r="AD384" s="11"/>
      <c r="AE384" s="11" t="e">
        <f>VLOOKUP(L384,'[1]singkron data'!D:P,13,FALSE)</f>
        <v>#N/A</v>
      </c>
      <c r="AF384" s="11"/>
      <c r="AG384" s="11" t="e">
        <f>VLOOKUP(L384,'[1]update kontrak'!E:K,6,FALSE)</f>
        <v>#N/A</v>
      </c>
      <c r="AH384" s="11" t="e">
        <f>VLOOKUP(L384,'[1]update kontrak'!E:K,7,FALSE)</f>
        <v>#N/A</v>
      </c>
      <c r="AI384" s="11"/>
      <c r="AJ384" s="11" t="str">
        <f>VLOOKUP(L384,[1]rekap!D:M,1,FALSE)</f>
        <v>Ronarai</v>
      </c>
      <c r="AK384" s="11" t="e">
        <f>VLOOKUP(L384,'[1]singkron data'!D:E,2,FALSE)</f>
        <v>#N/A</v>
      </c>
      <c r="AL384" s="11" t="str">
        <f>VLOOKUP(L384,'[1]update 521'!D:D,1,FALSE)</f>
        <v>Ronarai</v>
      </c>
      <c r="AM384" s="11" t="e">
        <f>VLOOKUP(L384,[1]Sheet18!I:M,5,FALSE)</f>
        <v>#N/A</v>
      </c>
      <c r="AN384" s="11" t="e">
        <f>VLOOKUP(L384,[1]Sheet19!E:L,8,FALSE)</f>
        <v>#N/A</v>
      </c>
      <c r="AO384" s="11" t="e">
        <f>VLOOKUP(L384,[1]Sheet19!E:K,7,FALSE)</f>
        <v>#N/A</v>
      </c>
      <c r="AP384" s="12"/>
    </row>
    <row r="385" spans="1:42" ht="15" x14ac:dyDescent="0.2">
      <c r="A385" s="8" t="s">
        <v>42</v>
      </c>
      <c r="B385" s="9" t="s">
        <v>43</v>
      </c>
      <c r="C385" s="9">
        <v>841</v>
      </c>
      <c r="D385" s="9" t="s">
        <v>908</v>
      </c>
      <c r="E385" s="9">
        <v>37</v>
      </c>
      <c r="F385" s="9" t="s">
        <v>968</v>
      </c>
      <c r="G385" s="9" t="s">
        <v>908</v>
      </c>
      <c r="H385" s="9" t="s">
        <v>911</v>
      </c>
      <c r="I385" s="9" t="s">
        <v>971</v>
      </c>
      <c r="J385" s="9" t="s">
        <v>976</v>
      </c>
      <c r="K385" s="9" t="s">
        <v>980</v>
      </c>
      <c r="L385" s="9" t="s">
        <v>980</v>
      </c>
      <c r="M385" s="9" t="s">
        <v>51</v>
      </c>
      <c r="N385" s="9">
        <v>29</v>
      </c>
      <c r="O385" s="9">
        <v>3</v>
      </c>
      <c r="P385" s="9">
        <v>26</v>
      </c>
      <c r="Q385" s="9">
        <v>29</v>
      </c>
      <c r="R385" s="9">
        <v>8.6199999999999999E-2</v>
      </c>
      <c r="S385" s="9">
        <v>-2.2400529040000001</v>
      </c>
      <c r="T385" s="9">
        <v>136.36902359999999</v>
      </c>
      <c r="U385" s="9"/>
      <c r="V385" s="11" t="s">
        <v>694</v>
      </c>
      <c r="W385" s="11"/>
      <c r="X385" s="11"/>
      <c r="Y385" s="11" t="e">
        <f>VLOOKUP(L385,'[1]singkron data'!D:H,5,FALSE)</f>
        <v>#N/A</v>
      </c>
      <c r="Z385" s="11" t="e">
        <f>VLOOKUP(L385,'[1]singkron data'!D:I,6,FALSE)</f>
        <v>#N/A</v>
      </c>
      <c r="AA385" s="11" t="e">
        <f>VLOOKUP(L385,'[1]singkron data'!D:L,9,FALSE)</f>
        <v>#N/A</v>
      </c>
      <c r="AB385" s="11" t="s">
        <v>694</v>
      </c>
      <c r="AC385" s="11" t="e">
        <f>VLOOKUP(L385,'[1]singkron data'!D:M,10,FALSE)</f>
        <v>#N/A</v>
      </c>
      <c r="AD385" s="11"/>
      <c r="AE385" s="11" t="e">
        <f>VLOOKUP(L385,'[1]singkron data'!D:P,13,FALSE)</f>
        <v>#N/A</v>
      </c>
      <c r="AF385" s="11"/>
      <c r="AG385" s="11" t="e">
        <f>VLOOKUP(L385,'[1]update kontrak'!E:K,6,FALSE)</f>
        <v>#N/A</v>
      </c>
      <c r="AH385" s="11" t="e">
        <f>VLOOKUP(L385,'[1]update kontrak'!E:K,7,FALSE)</f>
        <v>#N/A</v>
      </c>
      <c r="AI385" s="11"/>
      <c r="AJ385" s="11" t="str">
        <f>VLOOKUP(L385,[1]rekap!D:M,1,FALSE)</f>
        <v>Sarafambai</v>
      </c>
      <c r="AK385" s="11" t="e">
        <f>VLOOKUP(L385,'[1]singkron data'!D:E,2,FALSE)</f>
        <v>#N/A</v>
      </c>
      <c r="AL385" s="11" t="str">
        <f>VLOOKUP(L385,'[1]update 521'!D:D,1,FALSE)</f>
        <v>Sarafambai</v>
      </c>
      <c r="AM385" s="11" t="e">
        <f>VLOOKUP(L385,[1]Sheet18!I:M,5,FALSE)</f>
        <v>#N/A</v>
      </c>
      <c r="AN385" s="11" t="e">
        <f>VLOOKUP(L385,[1]Sheet19!E:L,8,FALSE)</f>
        <v>#N/A</v>
      </c>
      <c r="AO385" s="11" t="e">
        <f>VLOOKUP(L385,[1]Sheet19!E:K,7,FALSE)</f>
        <v>#N/A</v>
      </c>
      <c r="AP385" s="12"/>
    </row>
    <row r="386" spans="1:42" ht="15" x14ac:dyDescent="0.2">
      <c r="A386" s="8" t="s">
        <v>42</v>
      </c>
      <c r="B386" s="9" t="s">
        <v>43</v>
      </c>
      <c r="C386" s="9">
        <v>842</v>
      </c>
      <c r="D386" s="9" t="s">
        <v>908</v>
      </c>
      <c r="E386" s="9">
        <v>38</v>
      </c>
      <c r="F386" s="9" t="s">
        <v>968</v>
      </c>
      <c r="G386" s="9" t="s">
        <v>908</v>
      </c>
      <c r="H386" s="9" t="s">
        <v>911</v>
      </c>
      <c r="I386" s="9" t="s">
        <v>971</v>
      </c>
      <c r="J386" s="9" t="s">
        <v>972</v>
      </c>
      <c r="K386" s="9" t="s">
        <v>981</v>
      </c>
      <c r="L386" s="9" t="s">
        <v>981</v>
      </c>
      <c r="M386" s="9" t="s">
        <v>51</v>
      </c>
      <c r="N386" s="9">
        <v>14</v>
      </c>
      <c r="O386" s="9">
        <v>1</v>
      </c>
      <c r="P386" s="9">
        <v>13</v>
      </c>
      <c r="Q386" s="9">
        <v>14</v>
      </c>
      <c r="R386" s="9">
        <v>8.7599999999999997E-2</v>
      </c>
      <c r="S386" s="9">
        <v>-2.2154440000000002</v>
      </c>
      <c r="T386" s="9">
        <v>136.45358300000001</v>
      </c>
      <c r="U386" s="9"/>
      <c r="V386" s="11" t="s">
        <v>694</v>
      </c>
      <c r="W386" s="11"/>
      <c r="X386" s="11"/>
      <c r="Y386" s="11" t="e">
        <f>VLOOKUP(L386,'[1]singkron data'!D:H,5,FALSE)</f>
        <v>#N/A</v>
      </c>
      <c r="Z386" s="11" t="e">
        <f>VLOOKUP(L386,'[1]singkron data'!D:I,6,FALSE)</f>
        <v>#N/A</v>
      </c>
      <c r="AA386" s="11" t="e">
        <f>VLOOKUP(L386,'[1]singkron data'!D:L,9,FALSE)</f>
        <v>#N/A</v>
      </c>
      <c r="AB386" s="11" t="s">
        <v>694</v>
      </c>
      <c r="AC386" s="11" t="e">
        <f>VLOOKUP(L386,'[1]singkron data'!D:M,10,FALSE)</f>
        <v>#N/A</v>
      </c>
      <c r="AD386" s="11"/>
      <c r="AE386" s="11" t="e">
        <f>VLOOKUP(L386,'[1]singkron data'!D:P,13,FALSE)</f>
        <v>#N/A</v>
      </c>
      <c r="AF386" s="11"/>
      <c r="AG386" s="11" t="e">
        <f>VLOOKUP(L386,'[1]update kontrak'!E:K,6,FALSE)</f>
        <v>#N/A</v>
      </c>
      <c r="AH386" s="11" t="e">
        <f>VLOOKUP(L386,'[1]update kontrak'!E:K,7,FALSE)</f>
        <v>#N/A</v>
      </c>
      <c r="AI386" s="11"/>
      <c r="AJ386" s="11" t="str">
        <f>VLOOKUP(L386,[1]rekap!D:M,1,FALSE)</f>
        <v>Ureifaisei I/Sanggae</v>
      </c>
      <c r="AK386" s="11" t="e">
        <f>VLOOKUP(L386,'[1]singkron data'!D:E,2,FALSE)</f>
        <v>#N/A</v>
      </c>
      <c r="AL386" s="11" t="str">
        <f>VLOOKUP(L386,'[1]update 521'!D:D,1,FALSE)</f>
        <v>Ureifaisei I/Sanggae</v>
      </c>
      <c r="AM386" s="11" t="e">
        <f>VLOOKUP(L386,[1]Sheet18!I:M,5,FALSE)</f>
        <v>#N/A</v>
      </c>
      <c r="AN386" s="11" t="e">
        <f>VLOOKUP(L386,[1]Sheet19!E:L,8,FALSE)</f>
        <v>#N/A</v>
      </c>
      <c r="AO386" s="11" t="e">
        <f>VLOOKUP(L386,[1]Sheet19!E:K,7,FALSE)</f>
        <v>#N/A</v>
      </c>
      <c r="AP386" s="12"/>
    </row>
    <row r="387" spans="1:42" ht="15" x14ac:dyDescent="0.2">
      <c r="A387" s="8" t="s">
        <v>42</v>
      </c>
      <c r="B387" s="9" t="s">
        <v>43</v>
      </c>
      <c r="C387" s="9">
        <v>843</v>
      </c>
      <c r="D387" s="9" t="s">
        <v>908</v>
      </c>
      <c r="E387" s="9">
        <v>39</v>
      </c>
      <c r="F387" s="9" t="s">
        <v>982</v>
      </c>
      <c r="G387" s="9" t="s">
        <v>908</v>
      </c>
      <c r="H387" s="9" t="s">
        <v>911</v>
      </c>
      <c r="I387" s="9" t="s">
        <v>935</v>
      </c>
      <c r="J387" s="9" t="s">
        <v>983</v>
      </c>
      <c r="K387" s="9" t="s">
        <v>982</v>
      </c>
      <c r="L387" s="9" t="s">
        <v>982</v>
      </c>
      <c r="M387" s="9" t="s">
        <v>65</v>
      </c>
      <c r="N387" s="9">
        <v>133</v>
      </c>
      <c r="O387" s="9">
        <v>11</v>
      </c>
      <c r="P387" s="9">
        <v>31</v>
      </c>
      <c r="Q387" s="9">
        <v>290</v>
      </c>
      <c r="R387" s="9">
        <v>0.33</v>
      </c>
      <c r="S387" s="9">
        <v>-1.7395499999999999</v>
      </c>
      <c r="T387" s="9">
        <v>135.79884999999999</v>
      </c>
      <c r="U387" s="9"/>
      <c r="V387" s="11" t="s">
        <v>694</v>
      </c>
      <c r="W387" s="13">
        <f>VLOOKUP(L387,[1]Sheet18!I:N,6,FALSE)</f>
        <v>5694456000</v>
      </c>
      <c r="X387" s="11" t="s">
        <v>55</v>
      </c>
      <c r="Y387" s="11" t="e">
        <f>VLOOKUP(L387,'[1]singkron data'!D:H,5,FALSE)</f>
        <v>#N/A</v>
      </c>
      <c r="Z387" s="11" t="e">
        <f>VLOOKUP(L387,'[1]singkron data'!D:I,6,FALSE)</f>
        <v>#N/A</v>
      </c>
      <c r="AA387" s="11" t="e">
        <f>VLOOKUP(L387,'[1]singkron data'!D:L,9,FALSE)</f>
        <v>#N/A</v>
      </c>
      <c r="AB387" s="11" t="s">
        <v>694</v>
      </c>
      <c r="AC387" s="11" t="e">
        <f>VLOOKUP(L387,'[1]singkron data'!D:M,10,FALSE)</f>
        <v>#N/A</v>
      </c>
      <c r="AD387" s="11"/>
      <c r="AE387" s="11" t="e">
        <f>VLOOKUP(L387,'[1]singkron data'!D:P,13,FALSE)</f>
        <v>#N/A</v>
      </c>
      <c r="AF387" s="11" t="s">
        <v>55</v>
      </c>
      <c r="AG387" s="11" t="e">
        <f>VLOOKUP(L387,'[1]update kontrak'!E:K,6,FALSE)</f>
        <v>#N/A</v>
      </c>
      <c r="AH387" s="11" t="e">
        <f>VLOOKUP(L387,'[1]update kontrak'!E:K,7,FALSE)</f>
        <v>#N/A</v>
      </c>
      <c r="AI387" s="11"/>
      <c r="AJ387" s="11" t="str">
        <f>VLOOKUP(L387,[1]rekap!D:M,1,FALSE)</f>
        <v>Inowa</v>
      </c>
      <c r="AK387" s="11" t="e">
        <f>VLOOKUP(L387,'[1]singkron data'!D:E,2,FALSE)</f>
        <v>#N/A</v>
      </c>
      <c r="AL387" s="11" t="str">
        <f>VLOOKUP(L387,'[1]update 521'!D:D,1,FALSE)</f>
        <v>Inowa</v>
      </c>
      <c r="AM387" s="11" t="s">
        <v>57</v>
      </c>
      <c r="AN387" s="11" t="e">
        <f>VLOOKUP(L387,[1]Sheet19!E:L,8,FALSE)</f>
        <v>#N/A</v>
      </c>
      <c r="AO387" s="11" t="e">
        <f>VLOOKUP(L387,[1]Sheet19!E:K,7,FALSE)</f>
        <v>#N/A</v>
      </c>
      <c r="AP387" s="12"/>
    </row>
    <row r="388" spans="1:42" ht="15" x14ac:dyDescent="0.2">
      <c r="A388" s="8" t="s">
        <v>42</v>
      </c>
      <c r="B388" s="9" t="s">
        <v>43</v>
      </c>
      <c r="C388" s="9">
        <v>844</v>
      </c>
      <c r="D388" s="9" t="s">
        <v>908</v>
      </c>
      <c r="E388" s="9">
        <v>40</v>
      </c>
      <c r="F388" s="9" t="s">
        <v>982</v>
      </c>
      <c r="G388" s="9" t="s">
        <v>908</v>
      </c>
      <c r="H388" s="9" t="s">
        <v>911</v>
      </c>
      <c r="I388" s="9" t="s">
        <v>935</v>
      </c>
      <c r="J388" s="9" t="s">
        <v>984</v>
      </c>
      <c r="K388" s="9" t="s">
        <v>985</v>
      </c>
      <c r="L388" s="9" t="s">
        <v>985</v>
      </c>
      <c r="M388" s="9" t="s">
        <v>51</v>
      </c>
      <c r="N388" s="9">
        <v>50</v>
      </c>
      <c r="O388" s="9">
        <v>9</v>
      </c>
      <c r="P388" s="9" t="s">
        <v>72</v>
      </c>
      <c r="Q388" s="9">
        <v>95</v>
      </c>
      <c r="R388" s="9">
        <v>0.24</v>
      </c>
      <c r="S388" s="9">
        <v>-1.6884300000000001</v>
      </c>
      <c r="T388" s="9">
        <v>135.58761000000001</v>
      </c>
      <c r="U388" s="9"/>
      <c r="V388" s="11" t="s">
        <v>694</v>
      </c>
      <c r="W388" s="11"/>
      <c r="X388" s="11"/>
      <c r="Y388" s="11" t="e">
        <f>VLOOKUP(L388,'[1]singkron data'!D:H,5,FALSE)</f>
        <v>#N/A</v>
      </c>
      <c r="Z388" s="11" t="e">
        <f>VLOOKUP(L388,'[1]singkron data'!D:I,6,FALSE)</f>
        <v>#N/A</v>
      </c>
      <c r="AA388" s="11" t="e">
        <f>VLOOKUP(L388,'[1]singkron data'!D:L,9,FALSE)</f>
        <v>#N/A</v>
      </c>
      <c r="AB388" s="11" t="s">
        <v>694</v>
      </c>
      <c r="AC388" s="11" t="e">
        <f>VLOOKUP(L388,'[1]singkron data'!D:M,10,FALSE)</f>
        <v>#N/A</v>
      </c>
      <c r="AD388" s="11"/>
      <c r="AE388" s="11" t="e">
        <f>VLOOKUP(L388,'[1]singkron data'!D:P,13,FALSE)</f>
        <v>#N/A</v>
      </c>
      <c r="AF388" s="11"/>
      <c r="AG388" s="11" t="e">
        <f>VLOOKUP(L388,'[1]update kontrak'!E:K,6,FALSE)</f>
        <v>#N/A</v>
      </c>
      <c r="AH388" s="11" t="e">
        <f>VLOOKUP(L388,'[1]update kontrak'!E:K,7,FALSE)</f>
        <v>#N/A</v>
      </c>
      <c r="AI388" s="11"/>
      <c r="AJ388" s="11" t="str">
        <f>VLOOKUP(L388,[1]rekap!D:M,1,FALSE)</f>
        <v>Jaimaria</v>
      </c>
      <c r="AK388" s="11" t="e">
        <f>VLOOKUP(L388,'[1]singkron data'!D:E,2,FALSE)</f>
        <v>#N/A</v>
      </c>
      <c r="AL388" s="11" t="str">
        <f>VLOOKUP(L388,'[1]update 521'!D:D,1,FALSE)</f>
        <v>Jaimaria</v>
      </c>
      <c r="AM388" s="11" t="e">
        <f>VLOOKUP(L388,[1]Sheet18!I:M,5,FALSE)</f>
        <v>#N/A</v>
      </c>
      <c r="AN388" s="11" t="e">
        <f>VLOOKUP(L388,[1]Sheet19!E:L,8,FALSE)</f>
        <v>#N/A</v>
      </c>
      <c r="AO388" s="11" t="e">
        <f>VLOOKUP(L388,[1]Sheet19!E:K,7,FALSE)</f>
        <v>#N/A</v>
      </c>
      <c r="AP388" s="12"/>
    </row>
    <row r="389" spans="1:42" ht="15" x14ac:dyDescent="0.2">
      <c r="A389" s="8" t="s">
        <v>42</v>
      </c>
      <c r="B389" s="9" t="s">
        <v>43</v>
      </c>
      <c r="C389" s="9">
        <v>845</v>
      </c>
      <c r="D389" s="9" t="s">
        <v>908</v>
      </c>
      <c r="E389" s="9">
        <v>41</v>
      </c>
      <c r="F389" s="9" t="s">
        <v>982</v>
      </c>
      <c r="G389" s="9" t="s">
        <v>908</v>
      </c>
      <c r="H389" s="9" t="s">
        <v>911</v>
      </c>
      <c r="I389" s="9" t="s">
        <v>935</v>
      </c>
      <c r="J389" s="9" t="s">
        <v>983</v>
      </c>
      <c r="K389" s="9" t="s">
        <v>986</v>
      </c>
      <c r="L389" s="9" t="s">
        <v>986</v>
      </c>
      <c r="M389" s="9" t="s">
        <v>51</v>
      </c>
      <c r="N389" s="9">
        <v>160</v>
      </c>
      <c r="O389" s="9">
        <v>25</v>
      </c>
      <c r="P389" s="9">
        <v>21</v>
      </c>
      <c r="Q389" s="9">
        <v>150</v>
      </c>
      <c r="R389" s="9">
        <v>0.5</v>
      </c>
      <c r="S389" s="9">
        <v>-1.76006</v>
      </c>
      <c r="T389" s="9">
        <v>135.78801000000001</v>
      </c>
      <c r="U389" s="9"/>
      <c r="V389" s="11" t="s">
        <v>694</v>
      </c>
      <c r="W389" s="13">
        <f>VLOOKUP(L389,[1]Sheet18!I:N,6,FALSE)</f>
        <v>6174909000</v>
      </c>
      <c r="X389" s="11" t="s">
        <v>55</v>
      </c>
      <c r="Y389" s="11" t="e">
        <f>VLOOKUP(L389,'[1]singkron data'!D:H,5,FALSE)</f>
        <v>#N/A</v>
      </c>
      <c r="Z389" s="11" t="e">
        <f>VLOOKUP(L389,'[1]singkron data'!D:I,6,FALSE)</f>
        <v>#N/A</v>
      </c>
      <c r="AA389" s="11" t="e">
        <f>VLOOKUP(L389,'[1]singkron data'!D:L,9,FALSE)</f>
        <v>#N/A</v>
      </c>
      <c r="AB389" s="11" t="s">
        <v>694</v>
      </c>
      <c r="AC389" s="11" t="e">
        <f>VLOOKUP(L389,'[1]singkron data'!D:M,10,FALSE)</f>
        <v>#N/A</v>
      </c>
      <c r="AD389" s="11"/>
      <c r="AE389" s="11" t="e">
        <f>VLOOKUP(L389,'[1]singkron data'!D:P,13,FALSE)</f>
        <v>#N/A</v>
      </c>
      <c r="AF389" s="11" t="s">
        <v>55</v>
      </c>
      <c r="AG389" s="11" t="e">
        <f>VLOOKUP(L389,'[1]update kontrak'!E:K,6,FALSE)</f>
        <v>#N/A</v>
      </c>
      <c r="AH389" s="11" t="e">
        <f>VLOOKUP(L389,'[1]update kontrak'!E:K,7,FALSE)</f>
        <v>#N/A</v>
      </c>
      <c r="AI389" s="11"/>
      <c r="AJ389" s="11" t="str">
        <f>VLOOKUP(L389,[1]rekap!D:M,1,FALSE)</f>
        <v>Maniri</v>
      </c>
      <c r="AK389" s="11" t="e">
        <f>VLOOKUP(L389,'[1]singkron data'!D:E,2,FALSE)</f>
        <v>#N/A</v>
      </c>
      <c r="AL389" s="11" t="str">
        <f>VLOOKUP(L389,'[1]update 521'!D:D,1,FALSE)</f>
        <v>Maniri</v>
      </c>
      <c r="AM389" s="11" t="s">
        <v>57</v>
      </c>
      <c r="AN389" s="11" t="e">
        <f>VLOOKUP(L389,[1]Sheet19!E:L,8,FALSE)</f>
        <v>#N/A</v>
      </c>
      <c r="AO389" s="11" t="e">
        <f>VLOOKUP(L389,[1]Sheet19!E:K,7,FALSE)</f>
        <v>#N/A</v>
      </c>
      <c r="AP389" s="12"/>
    </row>
    <row r="390" spans="1:42" ht="15" x14ac:dyDescent="0.2">
      <c r="A390" s="8" t="s">
        <v>42</v>
      </c>
      <c r="B390" s="9" t="s">
        <v>43</v>
      </c>
      <c r="C390" s="9">
        <v>846</v>
      </c>
      <c r="D390" s="9" t="s">
        <v>908</v>
      </c>
      <c r="E390" s="9">
        <v>42</v>
      </c>
      <c r="F390" s="9" t="s">
        <v>982</v>
      </c>
      <c r="G390" s="9" t="s">
        <v>908</v>
      </c>
      <c r="H390" s="9" t="s">
        <v>911</v>
      </c>
      <c r="I390" s="9" t="s">
        <v>935</v>
      </c>
      <c r="J390" s="9" t="s">
        <v>983</v>
      </c>
      <c r="K390" s="9" t="s">
        <v>987</v>
      </c>
      <c r="L390" s="9" t="s">
        <v>987</v>
      </c>
      <c r="M390" s="9" t="s">
        <v>51</v>
      </c>
      <c r="N390" s="9">
        <v>138</v>
      </c>
      <c r="O390" s="9">
        <v>16</v>
      </c>
      <c r="P390" s="9">
        <v>15</v>
      </c>
      <c r="Q390" s="9">
        <v>138</v>
      </c>
      <c r="R390" s="9">
        <v>0.55000000000000004</v>
      </c>
      <c r="S390" s="9">
        <v>-1.7455400000000001</v>
      </c>
      <c r="T390" s="9">
        <v>135.87619000000001</v>
      </c>
      <c r="U390" s="9"/>
      <c r="V390" s="11" t="s">
        <v>694</v>
      </c>
      <c r="W390" s="11"/>
      <c r="X390" s="11"/>
      <c r="Y390" s="11" t="e">
        <f>VLOOKUP(L390,'[1]singkron data'!D:H,5,FALSE)</f>
        <v>#N/A</v>
      </c>
      <c r="Z390" s="11" t="e">
        <f>VLOOKUP(L390,'[1]singkron data'!D:I,6,FALSE)</f>
        <v>#N/A</v>
      </c>
      <c r="AA390" s="11" t="e">
        <f>VLOOKUP(L390,'[1]singkron data'!D:L,9,FALSE)</f>
        <v>#N/A</v>
      </c>
      <c r="AB390" s="11" t="s">
        <v>694</v>
      </c>
      <c r="AC390" s="11" t="e">
        <f>VLOOKUP(L390,'[1]singkron data'!D:M,10,FALSE)</f>
        <v>#N/A</v>
      </c>
      <c r="AD390" s="11"/>
      <c r="AE390" s="11" t="e">
        <f>VLOOKUP(L390,'[1]singkron data'!D:P,13,FALSE)</f>
        <v>#N/A</v>
      </c>
      <c r="AF390" s="11"/>
      <c r="AG390" s="11" t="e">
        <f>VLOOKUP(L390,'[1]update kontrak'!E:K,6,FALSE)</f>
        <v>#N/A</v>
      </c>
      <c r="AH390" s="11" t="e">
        <f>VLOOKUP(L390,'[1]update kontrak'!E:K,7,FALSE)</f>
        <v>#N/A</v>
      </c>
      <c r="AI390" s="11"/>
      <c r="AJ390" s="11" t="str">
        <f>VLOOKUP(L390,[1]rekap!D:M,1,FALSE)</f>
        <v>Woiwani</v>
      </c>
      <c r="AK390" s="11" t="e">
        <f>VLOOKUP(L390,'[1]singkron data'!D:E,2,FALSE)</f>
        <v>#N/A</v>
      </c>
      <c r="AL390" s="11" t="str">
        <f>VLOOKUP(L390,'[1]update 521'!D:D,1,FALSE)</f>
        <v>Woiwani</v>
      </c>
      <c r="AM390" s="11" t="e">
        <f>VLOOKUP(L390,[1]Sheet18!I:M,5,FALSE)</f>
        <v>#N/A</v>
      </c>
      <c r="AN390" s="11" t="e">
        <f>VLOOKUP(L390,[1]Sheet19!E:L,8,FALSE)</f>
        <v>#N/A</v>
      </c>
      <c r="AO390" s="11" t="e">
        <f>VLOOKUP(L390,[1]Sheet19!E:K,7,FALSE)</f>
        <v>#N/A</v>
      </c>
      <c r="AP390" s="12"/>
    </row>
    <row r="391" spans="1:42" ht="15" x14ac:dyDescent="0.2">
      <c r="A391" s="8" t="s">
        <v>42</v>
      </c>
      <c r="B391" s="9" t="s">
        <v>43</v>
      </c>
      <c r="C391" s="9">
        <v>847</v>
      </c>
      <c r="D391" s="9" t="s">
        <v>908</v>
      </c>
      <c r="E391" s="9">
        <v>43</v>
      </c>
      <c r="F391" s="9" t="s">
        <v>988</v>
      </c>
      <c r="G391" s="9" t="s">
        <v>989</v>
      </c>
      <c r="H391" s="9" t="s">
        <v>911</v>
      </c>
      <c r="I391" s="9" t="s">
        <v>990</v>
      </c>
      <c r="J391" s="9" t="s">
        <v>991</v>
      </c>
      <c r="K391" s="9" t="s">
        <v>992</v>
      </c>
      <c r="L391" s="9" t="s">
        <v>992</v>
      </c>
      <c r="M391" s="9" t="s">
        <v>65</v>
      </c>
      <c r="N391" s="9">
        <v>184</v>
      </c>
      <c r="O391" s="9">
        <v>52</v>
      </c>
      <c r="P391" s="9">
        <v>12</v>
      </c>
      <c r="Q391" s="9">
        <v>64</v>
      </c>
      <c r="R391" s="9">
        <v>0.1</v>
      </c>
      <c r="S391" s="9">
        <v>-5.7442700000000002</v>
      </c>
      <c r="T391" s="9">
        <v>138.39111</v>
      </c>
      <c r="U391" s="9"/>
      <c r="V391" s="11" t="s">
        <v>694</v>
      </c>
      <c r="W391" s="11"/>
      <c r="X391" s="11"/>
      <c r="Y391" s="11" t="e">
        <f>VLOOKUP(L391,'[1]singkron data'!D:H,5,FALSE)</f>
        <v>#N/A</v>
      </c>
      <c r="Z391" s="11" t="e">
        <f>VLOOKUP(L391,'[1]singkron data'!D:I,6,FALSE)</f>
        <v>#N/A</v>
      </c>
      <c r="AA391" s="11" t="e">
        <f>VLOOKUP(L391,'[1]singkron data'!D:L,9,FALSE)</f>
        <v>#N/A</v>
      </c>
      <c r="AB391" s="11" t="s">
        <v>694</v>
      </c>
      <c r="AC391" s="11" t="e">
        <f>VLOOKUP(L391,'[1]singkron data'!D:M,10,FALSE)</f>
        <v>#N/A</v>
      </c>
      <c r="AD391" s="11"/>
      <c r="AE391" s="11" t="e">
        <f>VLOOKUP(L391,'[1]singkron data'!D:P,13,FALSE)</f>
        <v>#N/A</v>
      </c>
      <c r="AF391" s="11"/>
      <c r="AG391" s="11" t="e">
        <f>VLOOKUP(L391,'[1]update kontrak'!E:K,6,FALSE)</f>
        <v>#N/A</v>
      </c>
      <c r="AH391" s="11" t="e">
        <f>VLOOKUP(L391,'[1]update kontrak'!E:K,7,FALSE)</f>
        <v>#N/A</v>
      </c>
      <c r="AI391" s="11"/>
      <c r="AJ391" s="11" t="str">
        <f>VLOOKUP(L391,[1]rekap!D:M,1,FALSE)</f>
        <v>Bakasai</v>
      </c>
      <c r="AK391" s="11" t="e">
        <f>VLOOKUP(L391,'[1]singkron data'!D:E,2,FALSE)</f>
        <v>#N/A</v>
      </c>
      <c r="AL391" s="11" t="str">
        <f>VLOOKUP(L391,'[1]update 521'!D:D,1,FALSE)</f>
        <v>Bakasai</v>
      </c>
      <c r="AM391" s="11" t="e">
        <f>VLOOKUP(L391,[1]Sheet18!I:M,5,FALSE)</f>
        <v>#N/A</v>
      </c>
      <c r="AN391" s="11" t="e">
        <f>VLOOKUP(L391,[1]Sheet19!E:L,8,FALSE)</f>
        <v>#N/A</v>
      </c>
      <c r="AO391" s="11" t="e">
        <f>VLOOKUP(L391,[1]Sheet19!E:K,7,FALSE)</f>
        <v>#N/A</v>
      </c>
      <c r="AP391" s="12"/>
    </row>
    <row r="392" spans="1:42" ht="15" x14ac:dyDescent="0.2">
      <c r="A392" s="8" t="s">
        <v>42</v>
      </c>
      <c r="B392" s="9" t="s">
        <v>43</v>
      </c>
      <c r="C392" s="9">
        <v>848</v>
      </c>
      <c r="D392" s="9" t="s">
        <v>908</v>
      </c>
      <c r="E392" s="9">
        <v>44</v>
      </c>
      <c r="F392" s="9" t="s">
        <v>988</v>
      </c>
      <c r="G392" s="9" t="s">
        <v>993</v>
      </c>
      <c r="H392" s="9" t="s">
        <v>911</v>
      </c>
      <c r="I392" s="9" t="s">
        <v>994</v>
      </c>
      <c r="J392" s="9" t="s">
        <v>995</v>
      </c>
      <c r="K392" s="9" t="s">
        <v>996</v>
      </c>
      <c r="L392" s="9" t="s">
        <v>996</v>
      </c>
      <c r="M392" s="9" t="s">
        <v>51</v>
      </c>
      <c r="N392" s="9">
        <v>72</v>
      </c>
      <c r="O392" s="9" t="s">
        <v>72</v>
      </c>
      <c r="P392" s="9">
        <v>30</v>
      </c>
      <c r="Q392" s="9">
        <v>30</v>
      </c>
      <c r="R392" s="9">
        <v>1</v>
      </c>
      <c r="S392" s="9">
        <v>-4.7120600000000001</v>
      </c>
      <c r="T392" s="9">
        <v>136.45299</v>
      </c>
      <c r="U392" s="9"/>
      <c r="V392" s="11" t="s">
        <v>694</v>
      </c>
      <c r="W392" s="11"/>
      <c r="X392" s="11"/>
      <c r="Y392" s="11" t="e">
        <f>VLOOKUP(L392,'[1]singkron data'!D:H,5,FALSE)</f>
        <v>#N/A</v>
      </c>
      <c r="Z392" s="11" t="e">
        <f>VLOOKUP(L392,'[1]singkron data'!D:I,6,FALSE)</f>
        <v>#N/A</v>
      </c>
      <c r="AA392" s="11" t="e">
        <f>VLOOKUP(L392,'[1]singkron data'!D:L,9,FALSE)</f>
        <v>#N/A</v>
      </c>
      <c r="AB392" s="11" t="s">
        <v>694</v>
      </c>
      <c r="AC392" s="11" t="e">
        <f>VLOOKUP(L392,'[1]singkron data'!D:M,10,FALSE)</f>
        <v>#N/A</v>
      </c>
      <c r="AD392" s="11"/>
      <c r="AE392" s="11" t="e">
        <f>VLOOKUP(L392,'[1]singkron data'!D:P,13,FALSE)</f>
        <v>#N/A</v>
      </c>
      <c r="AF392" s="11"/>
      <c r="AG392" s="11" t="e">
        <f>VLOOKUP(L392,'[1]update kontrak'!E:K,6,FALSE)</f>
        <v>#N/A</v>
      </c>
      <c r="AH392" s="11" t="e">
        <f>VLOOKUP(L392,'[1]update kontrak'!E:K,7,FALSE)</f>
        <v>#N/A</v>
      </c>
      <c r="AI392" s="11"/>
      <c r="AJ392" s="11" t="str">
        <f>VLOOKUP(L392,[1]rekap!D:M,1,FALSE)</f>
        <v>Atapo</v>
      </c>
      <c r="AK392" s="11" t="e">
        <f>VLOOKUP(L392,'[1]singkron data'!D:E,2,FALSE)</f>
        <v>#N/A</v>
      </c>
      <c r="AL392" s="11" t="str">
        <f>VLOOKUP(L392,'[1]update 521'!D:D,1,FALSE)</f>
        <v>Atapo</v>
      </c>
      <c r="AM392" s="11" t="e">
        <f>VLOOKUP(L392,[1]Sheet18!I:M,5,FALSE)</f>
        <v>#N/A</v>
      </c>
      <c r="AN392" s="11" t="e">
        <f>VLOOKUP(L392,[1]Sheet19!E:L,8,FALSE)</f>
        <v>#N/A</v>
      </c>
      <c r="AO392" s="11" t="e">
        <f>VLOOKUP(L392,[1]Sheet19!E:K,7,FALSE)</f>
        <v>#N/A</v>
      </c>
      <c r="AP392" s="12"/>
    </row>
    <row r="393" spans="1:42" ht="15" x14ac:dyDescent="0.2">
      <c r="A393" s="8" t="s">
        <v>42</v>
      </c>
      <c r="B393" s="9" t="s">
        <v>43</v>
      </c>
      <c r="C393" s="9">
        <v>849</v>
      </c>
      <c r="D393" s="9" t="s">
        <v>908</v>
      </c>
      <c r="E393" s="9">
        <v>45</v>
      </c>
      <c r="F393" s="9" t="s">
        <v>988</v>
      </c>
      <c r="G393" s="9" t="s">
        <v>989</v>
      </c>
      <c r="H393" s="9" t="s">
        <v>911</v>
      </c>
      <c r="I393" s="9" t="s">
        <v>990</v>
      </c>
      <c r="J393" s="9" t="s">
        <v>997</v>
      </c>
      <c r="K393" s="9" t="s">
        <v>998</v>
      </c>
      <c r="L393" s="9" t="s">
        <v>998</v>
      </c>
      <c r="M393" s="9" t="s">
        <v>51</v>
      </c>
      <c r="N393" s="9">
        <v>21</v>
      </c>
      <c r="O393" s="9">
        <v>31</v>
      </c>
      <c r="P393" s="9">
        <v>21</v>
      </c>
      <c r="Q393" s="9">
        <v>52</v>
      </c>
      <c r="R393" s="9">
        <v>0.25</v>
      </c>
      <c r="S393" s="9">
        <v>-5.6935200000000004</v>
      </c>
      <c r="T393" s="9">
        <v>138.13668999999999</v>
      </c>
      <c r="U393" s="9"/>
      <c r="V393" s="11" t="s">
        <v>694</v>
      </c>
      <c r="W393" s="11"/>
      <c r="X393" s="11"/>
      <c r="Y393" s="11" t="e">
        <f>VLOOKUP(L393,'[1]singkron data'!D:H,5,FALSE)</f>
        <v>#N/A</v>
      </c>
      <c r="Z393" s="11" t="e">
        <f>VLOOKUP(L393,'[1]singkron data'!D:I,6,FALSE)</f>
        <v>#N/A</v>
      </c>
      <c r="AA393" s="11" t="e">
        <f>VLOOKUP(L393,'[1]singkron data'!D:L,9,FALSE)</f>
        <v>#N/A</v>
      </c>
      <c r="AB393" s="11" t="s">
        <v>694</v>
      </c>
      <c r="AC393" s="11" t="e">
        <f>VLOOKUP(L393,'[1]singkron data'!D:M,10,FALSE)</f>
        <v>#N/A</v>
      </c>
      <c r="AD393" s="11"/>
      <c r="AE393" s="11" t="e">
        <f>VLOOKUP(L393,'[1]singkron data'!D:P,13,FALSE)</f>
        <v>#N/A</v>
      </c>
      <c r="AF393" s="11"/>
      <c r="AG393" s="11" t="e">
        <f>VLOOKUP(L393,'[1]update kontrak'!E:K,6,FALSE)</f>
        <v>#N/A</v>
      </c>
      <c r="AH393" s="11" t="e">
        <f>VLOOKUP(L393,'[1]update kontrak'!E:K,7,FALSE)</f>
        <v>#N/A</v>
      </c>
      <c r="AI393" s="11"/>
      <c r="AJ393" s="11" t="str">
        <f>VLOOKUP(L393,[1]rekap!D:M,1,FALSE)</f>
        <v>Beriten</v>
      </c>
      <c r="AK393" s="11" t="e">
        <f>VLOOKUP(L393,'[1]singkron data'!D:E,2,FALSE)</f>
        <v>#N/A</v>
      </c>
      <c r="AL393" s="11" t="str">
        <f>VLOOKUP(L393,'[1]update 521'!D:D,1,FALSE)</f>
        <v>Beriten</v>
      </c>
      <c r="AM393" s="11" t="e">
        <f>VLOOKUP(L393,[1]Sheet18!I:M,5,FALSE)</f>
        <v>#N/A</v>
      </c>
      <c r="AN393" s="11" t="e">
        <f>VLOOKUP(L393,[1]Sheet19!E:L,8,FALSE)</f>
        <v>#N/A</v>
      </c>
      <c r="AO393" s="11" t="e">
        <f>VLOOKUP(L393,[1]Sheet19!E:K,7,FALSE)</f>
        <v>#N/A</v>
      </c>
      <c r="AP393" s="12"/>
    </row>
    <row r="394" spans="1:42" ht="15" x14ac:dyDescent="0.2">
      <c r="A394" s="8" t="s">
        <v>42</v>
      </c>
      <c r="B394" s="9" t="s">
        <v>43</v>
      </c>
      <c r="C394" s="9">
        <v>850</v>
      </c>
      <c r="D394" s="9" t="s">
        <v>908</v>
      </c>
      <c r="E394" s="9">
        <v>46</v>
      </c>
      <c r="F394" s="9" t="s">
        <v>988</v>
      </c>
      <c r="G394" s="9" t="s">
        <v>989</v>
      </c>
      <c r="H394" s="9" t="s">
        <v>911</v>
      </c>
      <c r="I394" s="9" t="s">
        <v>990</v>
      </c>
      <c r="J394" s="9" t="s">
        <v>999</v>
      </c>
      <c r="K394" s="9" t="s">
        <v>1000</v>
      </c>
      <c r="L394" s="9" t="s">
        <v>1000</v>
      </c>
      <c r="M394" s="9" t="s">
        <v>51</v>
      </c>
      <c r="N394" s="9">
        <v>512</v>
      </c>
      <c r="O394" s="9" t="s">
        <v>72</v>
      </c>
      <c r="P394" s="9">
        <v>75</v>
      </c>
      <c r="Q394" s="9">
        <v>75</v>
      </c>
      <c r="R394" s="9">
        <v>0.1</v>
      </c>
      <c r="S394" s="9">
        <v>-5.37066</v>
      </c>
      <c r="T394" s="9">
        <v>138.10133999999999</v>
      </c>
      <c r="U394" s="9"/>
      <c r="V394" s="11" t="s">
        <v>694</v>
      </c>
      <c r="W394" s="11"/>
      <c r="X394" s="11"/>
      <c r="Y394" s="11" t="e">
        <f>VLOOKUP(L394,'[1]singkron data'!D:H,5,FALSE)</f>
        <v>#N/A</v>
      </c>
      <c r="Z394" s="11" t="e">
        <f>VLOOKUP(L394,'[1]singkron data'!D:I,6,FALSE)</f>
        <v>#N/A</v>
      </c>
      <c r="AA394" s="11" t="e">
        <f>VLOOKUP(L394,'[1]singkron data'!D:L,9,FALSE)</f>
        <v>#N/A</v>
      </c>
      <c r="AB394" s="11" t="s">
        <v>694</v>
      </c>
      <c r="AC394" s="11" t="e">
        <f>VLOOKUP(L394,'[1]singkron data'!D:M,10,FALSE)</f>
        <v>#N/A</v>
      </c>
      <c r="AD394" s="11"/>
      <c r="AE394" s="11" t="e">
        <f>VLOOKUP(L394,'[1]singkron data'!D:P,13,FALSE)</f>
        <v>#N/A</v>
      </c>
      <c r="AF394" s="11"/>
      <c r="AG394" s="11" t="e">
        <f>VLOOKUP(L394,'[1]update kontrak'!E:K,6,FALSE)</f>
        <v>#N/A</v>
      </c>
      <c r="AH394" s="11" t="e">
        <f>VLOOKUP(L394,'[1]update kontrak'!E:K,7,FALSE)</f>
        <v>#N/A</v>
      </c>
      <c r="AI394" s="11"/>
      <c r="AJ394" s="11" t="str">
        <f>VLOOKUP(L394,[1]rekap!D:M,1,FALSE)</f>
        <v>Jufri</v>
      </c>
      <c r="AK394" s="11" t="e">
        <f>VLOOKUP(L394,'[1]singkron data'!D:E,2,FALSE)</f>
        <v>#N/A</v>
      </c>
      <c r="AL394" s="11" t="str">
        <f>VLOOKUP(L394,'[1]update 521'!D:D,1,FALSE)</f>
        <v>Jufri</v>
      </c>
      <c r="AM394" s="11" t="e">
        <f>VLOOKUP(L394,[1]Sheet18!I:M,5,FALSE)</f>
        <v>#N/A</v>
      </c>
      <c r="AN394" s="11" t="e">
        <f>VLOOKUP(L394,[1]Sheet19!E:L,8,FALSE)</f>
        <v>#N/A</v>
      </c>
      <c r="AO394" s="11" t="e">
        <f>VLOOKUP(L394,[1]Sheet19!E:K,7,FALSE)</f>
        <v>#N/A</v>
      </c>
      <c r="AP394" s="12"/>
    </row>
    <row r="395" spans="1:42" ht="15" x14ac:dyDescent="0.2">
      <c r="A395" s="8" t="s">
        <v>42</v>
      </c>
      <c r="B395" s="9" t="s">
        <v>43</v>
      </c>
      <c r="C395" s="9">
        <v>851</v>
      </c>
      <c r="D395" s="9" t="s">
        <v>908</v>
      </c>
      <c r="E395" s="9">
        <v>47</v>
      </c>
      <c r="F395" s="9" t="s">
        <v>1001</v>
      </c>
      <c r="G395" s="9" t="s">
        <v>908</v>
      </c>
      <c r="H395" s="9" t="s">
        <v>911</v>
      </c>
      <c r="I395" s="9" t="s">
        <v>1002</v>
      </c>
      <c r="J395" s="9" t="s">
        <v>1003</v>
      </c>
      <c r="K395" s="9" t="s">
        <v>1004</v>
      </c>
      <c r="L395" s="9" t="s">
        <v>1004</v>
      </c>
      <c r="M395" s="9" t="s">
        <v>65</v>
      </c>
      <c r="N395" s="9">
        <v>729</v>
      </c>
      <c r="O395" s="9" t="s">
        <v>72</v>
      </c>
      <c r="P395" s="9">
        <v>230</v>
      </c>
      <c r="Q395" s="9">
        <v>230</v>
      </c>
      <c r="R395" s="9">
        <v>1</v>
      </c>
      <c r="S395" s="9">
        <v>-2.5315799999999999</v>
      </c>
      <c r="T395" s="9">
        <v>140.73660000000001</v>
      </c>
      <c r="U395" s="9"/>
      <c r="V395" s="11" t="s">
        <v>694</v>
      </c>
      <c r="W395" s="11"/>
      <c r="X395" s="11"/>
      <c r="Y395" s="11" t="e">
        <f>VLOOKUP(L395,'[1]singkron data'!D:H,5,FALSE)</f>
        <v>#N/A</v>
      </c>
      <c r="Z395" s="11" t="e">
        <f>VLOOKUP(L395,'[1]singkron data'!D:I,6,FALSE)</f>
        <v>#N/A</v>
      </c>
      <c r="AA395" s="11" t="e">
        <f>VLOOKUP(L395,'[1]singkron data'!D:L,9,FALSE)</f>
        <v>#N/A</v>
      </c>
      <c r="AB395" s="11" t="s">
        <v>694</v>
      </c>
      <c r="AC395" s="11" t="e">
        <f>VLOOKUP(L395,'[1]singkron data'!D:M,10,FALSE)</f>
        <v>#N/A</v>
      </c>
      <c r="AD395" s="11"/>
      <c r="AE395" s="11" t="e">
        <f>VLOOKUP(L395,'[1]singkron data'!D:P,13,FALSE)</f>
        <v>#N/A</v>
      </c>
      <c r="AF395" s="11" t="s">
        <v>55</v>
      </c>
      <c r="AG395" s="11" t="e">
        <f>VLOOKUP(L395,'[1]update kontrak'!E:K,6,FALSE)</f>
        <v>#N/A</v>
      </c>
      <c r="AH395" s="11" t="e">
        <f>VLOOKUP(L395,'[1]update kontrak'!E:K,7,FALSE)</f>
        <v>#N/A</v>
      </c>
      <c r="AI395" s="11"/>
      <c r="AJ395" s="11" t="str">
        <f>VLOOKUP(L395,[1]rekap!D:M,1,FALSE)</f>
        <v>Kayo Batu</v>
      </c>
      <c r="AK395" s="11" t="e">
        <f>VLOOKUP(L395,'[1]singkron data'!D:E,2,FALSE)</f>
        <v>#N/A</v>
      </c>
      <c r="AL395" s="11" t="str">
        <f>VLOOKUP(L395,'[1]update 521'!D:D,1,FALSE)</f>
        <v>Kayo Batu</v>
      </c>
      <c r="AM395" s="11" t="e">
        <f>VLOOKUP(L395,[1]Sheet18!I:M,5,FALSE)</f>
        <v>#N/A</v>
      </c>
      <c r="AN395" s="11" t="e">
        <f>VLOOKUP(L395,[1]Sheet19!E:L,8,FALSE)</f>
        <v>#N/A</v>
      </c>
      <c r="AO395" s="11" t="e">
        <f>VLOOKUP(L395,[1]Sheet19!E:K,7,FALSE)</f>
        <v>#N/A</v>
      </c>
      <c r="AP395" s="12"/>
    </row>
    <row r="396" spans="1:42" ht="15" x14ac:dyDescent="0.2">
      <c r="A396" s="8" t="s">
        <v>42</v>
      </c>
      <c r="B396" s="9" t="s">
        <v>43</v>
      </c>
      <c r="C396" s="9">
        <v>852</v>
      </c>
      <c r="D396" s="9" t="s">
        <v>908</v>
      </c>
      <c r="E396" s="9">
        <v>48</v>
      </c>
      <c r="F396" s="9" t="s">
        <v>1001</v>
      </c>
      <c r="G396" s="9" t="s">
        <v>908</v>
      </c>
      <c r="H396" s="9" t="s">
        <v>911</v>
      </c>
      <c r="I396" s="9" t="s">
        <v>513</v>
      </c>
      <c r="J396" s="9" t="s">
        <v>1005</v>
      </c>
      <c r="K396" s="9" t="s">
        <v>1006</v>
      </c>
      <c r="L396" s="9" t="s">
        <v>1006</v>
      </c>
      <c r="M396" s="9" t="s">
        <v>51</v>
      </c>
      <c r="N396" s="9">
        <v>119</v>
      </c>
      <c r="O396" s="9">
        <v>43</v>
      </c>
      <c r="P396" s="9">
        <v>2</v>
      </c>
      <c r="Q396" s="9">
        <v>45</v>
      </c>
      <c r="R396" s="9">
        <v>1</v>
      </c>
      <c r="S396" s="9">
        <v>-2.4164400000000001</v>
      </c>
      <c r="T396" s="9">
        <v>140.42626000000001</v>
      </c>
      <c r="U396" s="9"/>
      <c r="V396" s="11" t="s">
        <v>694</v>
      </c>
      <c r="W396" s="13">
        <f>VLOOKUP(L396,[1]Sheet18!I:N,6,FALSE)</f>
        <v>4425551000</v>
      </c>
      <c r="X396" s="11" t="s">
        <v>55</v>
      </c>
      <c r="Y396" s="11" t="e">
        <f>VLOOKUP(L396,'[1]singkron data'!D:H,5,FALSE)</f>
        <v>#N/A</v>
      </c>
      <c r="Z396" s="11" t="e">
        <f>VLOOKUP(L396,'[1]singkron data'!D:I,6,FALSE)</f>
        <v>#N/A</v>
      </c>
      <c r="AA396" s="11" t="e">
        <f>VLOOKUP(L396,'[1]singkron data'!D:L,9,FALSE)</f>
        <v>#N/A</v>
      </c>
      <c r="AB396" s="11" t="s">
        <v>694</v>
      </c>
      <c r="AC396" s="11" t="e">
        <f>VLOOKUP(L396,'[1]singkron data'!D:M,10,FALSE)</f>
        <v>#N/A</v>
      </c>
      <c r="AD396" s="11"/>
      <c r="AE396" s="11" t="e">
        <f>VLOOKUP(L396,'[1]singkron data'!D:P,13,FALSE)</f>
        <v>#N/A</v>
      </c>
      <c r="AF396" s="11" t="s">
        <v>55</v>
      </c>
      <c r="AG396" s="11" t="e">
        <f>VLOOKUP(L396,'[1]update kontrak'!E:K,6,FALSE)</f>
        <v>#N/A</v>
      </c>
      <c r="AH396" s="11" t="e">
        <f>VLOOKUP(L396,'[1]update kontrak'!E:K,7,FALSE)</f>
        <v>#N/A</v>
      </c>
      <c r="AI396" s="11"/>
      <c r="AJ396" s="11" t="str">
        <f>VLOOKUP(L396,[1]rekap!D:M,1,FALSE)</f>
        <v>Doromena</v>
      </c>
      <c r="AK396" s="11" t="e">
        <f>VLOOKUP(L396,'[1]singkron data'!D:E,2,FALSE)</f>
        <v>#N/A</v>
      </c>
      <c r="AL396" s="11" t="str">
        <f>VLOOKUP(L396,'[1]update 521'!D:D,1,FALSE)</f>
        <v>Doromena</v>
      </c>
      <c r="AM396" s="11" t="s">
        <v>57</v>
      </c>
      <c r="AN396" s="11" t="e">
        <f>VLOOKUP(L396,[1]Sheet19!E:L,8,FALSE)</f>
        <v>#N/A</v>
      </c>
      <c r="AO396" s="11" t="e">
        <f>VLOOKUP(L396,[1]Sheet19!E:K,7,FALSE)</f>
        <v>#N/A</v>
      </c>
      <c r="AP396" s="12"/>
    </row>
    <row r="397" spans="1:42" ht="15" x14ac:dyDescent="0.2">
      <c r="A397" s="8" t="s">
        <v>42</v>
      </c>
      <c r="B397" s="9" t="s">
        <v>43</v>
      </c>
      <c r="C397" s="9">
        <v>853</v>
      </c>
      <c r="D397" s="9" t="s">
        <v>908</v>
      </c>
      <c r="E397" s="9">
        <v>49</v>
      </c>
      <c r="F397" s="9" t="s">
        <v>1007</v>
      </c>
      <c r="G397" s="9" t="s">
        <v>908</v>
      </c>
      <c r="H397" s="9" t="s">
        <v>911</v>
      </c>
      <c r="I397" s="9" t="s">
        <v>513</v>
      </c>
      <c r="J397" s="9" t="s">
        <v>1008</v>
      </c>
      <c r="K397" s="9" t="s">
        <v>1009</v>
      </c>
      <c r="L397" s="9" t="s">
        <v>1009</v>
      </c>
      <c r="M397" s="9" t="s">
        <v>51</v>
      </c>
      <c r="N397" s="9">
        <v>50</v>
      </c>
      <c r="O397" s="9" t="s">
        <v>72</v>
      </c>
      <c r="P397" s="9">
        <v>40</v>
      </c>
      <c r="Q397" s="9">
        <v>40</v>
      </c>
      <c r="R397" s="9">
        <v>4.4999999999999998E-2</v>
      </c>
      <c r="S397" s="9">
        <v>-2.4116678999999999</v>
      </c>
      <c r="T397" s="9">
        <v>140.22777500000001</v>
      </c>
      <c r="U397" s="9"/>
      <c r="V397" s="11" t="s">
        <v>694</v>
      </c>
      <c r="W397" s="11"/>
      <c r="X397" s="11"/>
      <c r="Y397" s="11" t="e">
        <f>VLOOKUP(L397,'[1]singkron data'!D:H,5,FALSE)</f>
        <v>#N/A</v>
      </c>
      <c r="Z397" s="11" t="e">
        <f>VLOOKUP(L397,'[1]singkron data'!D:I,6,FALSE)</f>
        <v>#N/A</v>
      </c>
      <c r="AA397" s="11" t="e">
        <f>VLOOKUP(L397,'[1]singkron data'!D:L,9,FALSE)</f>
        <v>#N/A</v>
      </c>
      <c r="AB397" s="11" t="s">
        <v>694</v>
      </c>
      <c r="AC397" s="11" t="e">
        <f>VLOOKUP(L397,'[1]singkron data'!D:M,10,FALSE)</f>
        <v>#N/A</v>
      </c>
      <c r="AD397" s="11"/>
      <c r="AE397" s="11" t="e">
        <f>VLOOKUP(L397,'[1]singkron data'!D:P,13,FALSE)</f>
        <v>#N/A</v>
      </c>
      <c r="AF397" s="11" t="s">
        <v>55</v>
      </c>
      <c r="AG397" s="11" t="e">
        <f>VLOOKUP(L397,'[1]update kontrak'!E:K,6,FALSE)</f>
        <v>#N/A</v>
      </c>
      <c r="AH397" s="11" t="e">
        <f>VLOOKUP(L397,'[1]update kontrak'!E:K,7,FALSE)</f>
        <v>#N/A</v>
      </c>
      <c r="AI397" s="11"/>
      <c r="AJ397" s="11" t="str">
        <f>VLOOKUP(L397,[1]rekap!D:M,1,FALSE)</f>
        <v>Maruwai</v>
      </c>
      <c r="AK397" s="11" t="e">
        <f>VLOOKUP(L397,'[1]singkron data'!D:E,2,FALSE)</f>
        <v>#N/A</v>
      </c>
      <c r="AL397" s="11" t="str">
        <f>VLOOKUP(L397,'[1]update 521'!D:D,1,FALSE)</f>
        <v>Maruwai</v>
      </c>
      <c r="AM397" s="11" t="e">
        <f>VLOOKUP(L397,[1]Sheet18!I:M,5,FALSE)</f>
        <v>#N/A</v>
      </c>
      <c r="AN397" s="11" t="e">
        <f>VLOOKUP(L397,[1]Sheet19!E:L,8,FALSE)</f>
        <v>#N/A</v>
      </c>
      <c r="AO397" s="11" t="e">
        <f>VLOOKUP(L397,[1]Sheet19!E:K,7,FALSE)</f>
        <v>#N/A</v>
      </c>
      <c r="AP397" s="12"/>
    </row>
    <row r="398" spans="1:42" ht="15" x14ac:dyDescent="0.2">
      <c r="A398" s="8" t="s">
        <v>42</v>
      </c>
      <c r="B398" s="9" t="s">
        <v>43</v>
      </c>
      <c r="C398" s="9">
        <v>854</v>
      </c>
      <c r="D398" s="9" t="s">
        <v>908</v>
      </c>
      <c r="E398" s="9">
        <v>50</v>
      </c>
      <c r="F398" s="9" t="s">
        <v>1010</v>
      </c>
      <c r="G398" s="9" t="s">
        <v>908</v>
      </c>
      <c r="H398" s="9" t="s">
        <v>911</v>
      </c>
      <c r="I398" s="9" t="s">
        <v>935</v>
      </c>
      <c r="J398" s="9" t="s">
        <v>1011</v>
      </c>
      <c r="K398" s="9" t="s">
        <v>1012</v>
      </c>
      <c r="L398" s="9" t="s">
        <v>1012</v>
      </c>
      <c r="M398" s="9" t="s">
        <v>51</v>
      </c>
      <c r="N398" s="9">
        <v>7</v>
      </c>
      <c r="O398" s="9">
        <v>4</v>
      </c>
      <c r="P398" s="9">
        <v>3</v>
      </c>
      <c r="Q398" s="9">
        <v>7</v>
      </c>
      <c r="R398" s="9">
        <v>0.13</v>
      </c>
      <c r="S398" s="9">
        <v>-1.670836</v>
      </c>
      <c r="T398" s="9">
        <v>136.23717300000001</v>
      </c>
      <c r="U398" s="9"/>
      <c r="V398" s="11" t="s">
        <v>694</v>
      </c>
      <c r="W398" s="11"/>
      <c r="X398" s="11"/>
      <c r="Y398" s="11" t="e">
        <f>VLOOKUP(L398,'[1]singkron data'!D:H,5,FALSE)</f>
        <v>#N/A</v>
      </c>
      <c r="Z398" s="11" t="e">
        <f>VLOOKUP(L398,'[1]singkron data'!D:I,6,FALSE)</f>
        <v>#N/A</v>
      </c>
      <c r="AA398" s="11" t="e">
        <f>VLOOKUP(L398,'[1]singkron data'!D:L,9,FALSE)</f>
        <v>#N/A</v>
      </c>
      <c r="AB398" s="11" t="s">
        <v>694</v>
      </c>
      <c r="AC398" s="11" t="e">
        <f>VLOOKUP(L398,'[1]singkron data'!D:M,10,FALSE)</f>
        <v>#N/A</v>
      </c>
      <c r="AD398" s="11"/>
      <c r="AE398" s="11" t="e">
        <f>VLOOKUP(L398,'[1]singkron data'!D:P,13,FALSE)</f>
        <v>#N/A</v>
      </c>
      <c r="AF398" s="11"/>
      <c r="AG398" s="11" t="e">
        <f>VLOOKUP(L398,'[1]update kontrak'!E:K,6,FALSE)</f>
        <v>#N/A</v>
      </c>
      <c r="AH398" s="11" t="e">
        <f>VLOOKUP(L398,'[1]update kontrak'!E:K,7,FALSE)</f>
        <v>#N/A</v>
      </c>
      <c r="AI398" s="11"/>
      <c r="AJ398" s="11" t="str">
        <f>VLOOKUP(L398,[1]rekap!D:M,1,FALSE)</f>
        <v>Kiriyou</v>
      </c>
      <c r="AK398" s="11" t="e">
        <f>VLOOKUP(L398,'[1]singkron data'!D:E,2,FALSE)</f>
        <v>#N/A</v>
      </c>
      <c r="AL398" s="11" t="str">
        <f>VLOOKUP(L398,'[1]update 521'!D:D,1,FALSE)</f>
        <v>Kiriyou</v>
      </c>
      <c r="AM398" s="11" t="e">
        <f>VLOOKUP(L398,[1]Sheet18!I:M,5,FALSE)</f>
        <v>#N/A</v>
      </c>
      <c r="AN398" s="11" t="e">
        <f>VLOOKUP(L398,[1]Sheet19!E:L,8,FALSE)</f>
        <v>#N/A</v>
      </c>
      <c r="AO398" s="11" t="e">
        <f>VLOOKUP(L398,[1]Sheet19!E:K,7,FALSE)</f>
        <v>#N/A</v>
      </c>
      <c r="AP398" s="12"/>
    </row>
    <row r="399" spans="1:42" ht="15" x14ac:dyDescent="0.2">
      <c r="A399" s="8" t="s">
        <v>42</v>
      </c>
      <c r="B399" s="9" t="s">
        <v>43</v>
      </c>
      <c r="C399" s="9">
        <v>855</v>
      </c>
      <c r="D399" s="9" t="s">
        <v>908</v>
      </c>
      <c r="E399" s="9">
        <v>51</v>
      </c>
      <c r="F399" s="9" t="s">
        <v>1010</v>
      </c>
      <c r="G399" s="9" t="s">
        <v>908</v>
      </c>
      <c r="H399" s="9" t="s">
        <v>911</v>
      </c>
      <c r="I399" s="9" t="s">
        <v>935</v>
      </c>
      <c r="J399" s="9" t="s">
        <v>1011</v>
      </c>
      <c r="K399" s="9" t="s">
        <v>1010</v>
      </c>
      <c r="L399" s="9" t="s">
        <v>1010</v>
      </c>
      <c r="M399" s="9" t="s">
        <v>65</v>
      </c>
      <c r="N399" s="9">
        <v>90</v>
      </c>
      <c r="O399" s="9" t="s">
        <v>72</v>
      </c>
      <c r="P399" s="9">
        <v>144</v>
      </c>
      <c r="Q399" s="9">
        <v>144</v>
      </c>
      <c r="R399" s="9">
        <v>1</v>
      </c>
      <c r="S399" s="9">
        <v>-1.70475</v>
      </c>
      <c r="T399" s="9">
        <v>136.46812</v>
      </c>
      <c r="U399" s="9"/>
      <c r="V399" s="11" t="s">
        <v>694</v>
      </c>
      <c r="W399" s="11"/>
      <c r="X399" s="11"/>
      <c r="Y399" s="11" t="e">
        <f>VLOOKUP(L399,'[1]singkron data'!D:H,5,FALSE)</f>
        <v>#N/A</v>
      </c>
      <c r="Z399" s="11" t="e">
        <f>VLOOKUP(L399,'[1]singkron data'!D:I,6,FALSE)</f>
        <v>#N/A</v>
      </c>
      <c r="AA399" s="11" t="e">
        <f>VLOOKUP(L399,'[1]singkron data'!D:L,9,FALSE)</f>
        <v>#N/A</v>
      </c>
      <c r="AB399" s="11" t="s">
        <v>694</v>
      </c>
      <c r="AC399" s="11" t="e">
        <f>VLOOKUP(L399,'[1]singkron data'!D:M,10,FALSE)</f>
        <v>#N/A</v>
      </c>
      <c r="AD399" s="11"/>
      <c r="AE399" s="11" t="e">
        <f>VLOOKUP(L399,'[1]singkron data'!D:P,13,FALSE)</f>
        <v>#N/A</v>
      </c>
      <c r="AF399" s="11"/>
      <c r="AG399" s="11" t="e">
        <f>VLOOKUP(L399,'[1]update kontrak'!E:K,6,FALSE)</f>
        <v>#N/A</v>
      </c>
      <c r="AH399" s="11" t="e">
        <f>VLOOKUP(L399,'[1]update kontrak'!E:K,7,FALSE)</f>
        <v>#N/A</v>
      </c>
      <c r="AI399" s="11"/>
      <c r="AJ399" s="11" t="str">
        <f>VLOOKUP(L399,[1]rekap!D:M,1,FALSE)</f>
        <v>Soromasen</v>
      </c>
      <c r="AK399" s="11" t="e">
        <f>VLOOKUP(L399,'[1]singkron data'!D:E,2,FALSE)</f>
        <v>#N/A</v>
      </c>
      <c r="AL399" s="11" t="str">
        <f>VLOOKUP(L399,'[1]update 521'!D:D,1,FALSE)</f>
        <v>Soromasen</v>
      </c>
      <c r="AM399" s="11" t="e">
        <f>VLOOKUP(L399,[1]Sheet18!I:M,5,FALSE)</f>
        <v>#N/A</v>
      </c>
      <c r="AN399" s="11" t="e">
        <f>VLOOKUP(L399,[1]Sheet19!E:L,8,FALSE)</f>
        <v>#N/A</v>
      </c>
      <c r="AO399" s="11" t="e">
        <f>VLOOKUP(L399,[1]Sheet19!E:K,7,FALSE)</f>
        <v>#N/A</v>
      </c>
      <c r="AP399" s="12"/>
    </row>
    <row r="400" spans="1:42" ht="15" x14ac:dyDescent="0.2">
      <c r="A400" s="8" t="s">
        <v>42</v>
      </c>
      <c r="B400" s="9" t="s">
        <v>43</v>
      </c>
      <c r="C400" s="9">
        <v>856</v>
      </c>
      <c r="D400" s="9" t="s">
        <v>908</v>
      </c>
      <c r="E400" s="9">
        <v>52</v>
      </c>
      <c r="F400" s="9" t="s">
        <v>1013</v>
      </c>
      <c r="G400" s="9" t="s">
        <v>908</v>
      </c>
      <c r="H400" s="9" t="s">
        <v>911</v>
      </c>
      <c r="I400" s="9" t="s">
        <v>1014</v>
      </c>
      <c r="J400" s="9" t="s">
        <v>1015</v>
      </c>
      <c r="K400" s="9" t="s">
        <v>1013</v>
      </c>
      <c r="L400" s="9" t="s">
        <v>1013</v>
      </c>
      <c r="M400" s="9" t="s">
        <v>65</v>
      </c>
      <c r="N400" s="9">
        <v>15</v>
      </c>
      <c r="O400" s="9">
        <v>10</v>
      </c>
      <c r="P400" s="9">
        <v>2</v>
      </c>
      <c r="Q400" s="9">
        <v>12</v>
      </c>
      <c r="R400" s="9">
        <v>1</v>
      </c>
      <c r="S400" s="9">
        <v>-0.93396999999999997</v>
      </c>
      <c r="T400" s="9">
        <v>134.86497</v>
      </c>
      <c r="U400" s="9"/>
      <c r="V400" s="11" t="s">
        <v>694</v>
      </c>
      <c r="W400" s="11"/>
      <c r="X400" s="11"/>
      <c r="Y400" s="11" t="e">
        <f>VLOOKUP(L400,'[1]singkron data'!D:H,5,FALSE)</f>
        <v>#N/A</v>
      </c>
      <c r="Z400" s="11" t="e">
        <f>VLOOKUP(L400,'[1]singkron data'!D:I,6,FALSE)</f>
        <v>#N/A</v>
      </c>
      <c r="AA400" s="11" t="e">
        <f>VLOOKUP(L400,'[1]singkron data'!D:L,9,FALSE)</f>
        <v>#N/A</v>
      </c>
      <c r="AB400" s="11" t="s">
        <v>694</v>
      </c>
      <c r="AC400" s="11" t="e">
        <f>VLOOKUP(L400,'[1]singkron data'!D:M,10,FALSE)</f>
        <v>#N/A</v>
      </c>
      <c r="AD400" s="11"/>
      <c r="AE400" s="11" t="e">
        <f>VLOOKUP(L400,'[1]singkron data'!D:P,13,FALSE)</f>
        <v>#N/A</v>
      </c>
      <c r="AF400" s="11" t="s">
        <v>55</v>
      </c>
      <c r="AG400" s="11" t="e">
        <f>VLOOKUP(L400,'[1]update kontrak'!E:K,6,FALSE)</f>
        <v>#N/A</v>
      </c>
      <c r="AH400" s="11" t="e">
        <f>VLOOKUP(L400,'[1]update kontrak'!E:K,7,FALSE)</f>
        <v>#N/A</v>
      </c>
      <c r="AI400" s="11"/>
      <c r="AJ400" s="11" t="str">
        <f>VLOOKUP(L400,[1]rekap!D:M,1,FALSE)</f>
        <v>Kornasoren</v>
      </c>
      <c r="AK400" s="11" t="e">
        <f>VLOOKUP(L400,'[1]singkron data'!D:E,2,FALSE)</f>
        <v>#N/A</v>
      </c>
      <c r="AL400" s="11" t="str">
        <f>VLOOKUP(L400,'[1]update 521'!D:D,1,FALSE)</f>
        <v>Kornasoren</v>
      </c>
      <c r="AM400" s="11" t="e">
        <f>VLOOKUP(L400,[1]Sheet18!I:M,5,FALSE)</f>
        <v>#N/A</v>
      </c>
      <c r="AN400" s="11" t="e">
        <f>VLOOKUP(L400,[1]Sheet19!E:L,8,FALSE)</f>
        <v>#N/A</v>
      </c>
      <c r="AO400" s="11" t="e">
        <f>VLOOKUP(L400,[1]Sheet19!E:K,7,FALSE)</f>
        <v>#N/A</v>
      </c>
      <c r="AP400" s="12"/>
    </row>
    <row r="401" spans="1:42" ht="15" x14ac:dyDescent="0.2">
      <c r="A401" s="8" t="s">
        <v>42</v>
      </c>
      <c r="B401" s="9" t="s">
        <v>43</v>
      </c>
      <c r="C401" s="9">
        <v>857</v>
      </c>
      <c r="D401" s="9" t="s">
        <v>908</v>
      </c>
      <c r="E401" s="9">
        <v>53</v>
      </c>
      <c r="F401" s="9" t="s">
        <v>1016</v>
      </c>
      <c r="G401" s="9" t="s">
        <v>908</v>
      </c>
      <c r="H401" s="9" t="s">
        <v>911</v>
      </c>
      <c r="I401" s="9" t="s">
        <v>1014</v>
      </c>
      <c r="J401" s="9" t="s">
        <v>1017</v>
      </c>
      <c r="K401" s="9" t="s">
        <v>1018</v>
      </c>
      <c r="L401" s="9" t="s">
        <v>1018</v>
      </c>
      <c r="M401" s="9" t="s">
        <v>51</v>
      </c>
      <c r="N401" s="9">
        <v>50</v>
      </c>
      <c r="O401" s="9">
        <v>30</v>
      </c>
      <c r="P401" s="9">
        <v>4</v>
      </c>
      <c r="Q401" s="9">
        <v>34</v>
      </c>
      <c r="R401" s="9">
        <v>7.0000000000000007E-2</v>
      </c>
      <c r="S401" s="9">
        <v>-1.06124</v>
      </c>
      <c r="T401" s="9">
        <v>134.97790000000001</v>
      </c>
      <c r="U401" s="9"/>
      <c r="V401" s="11" t="s">
        <v>694</v>
      </c>
      <c r="W401" s="13">
        <f>VLOOKUP(L401,[1]Sheet18!I:N,6,FALSE)</f>
        <v>3702394000</v>
      </c>
      <c r="X401" s="11" t="s">
        <v>55</v>
      </c>
      <c r="Y401" s="11" t="e">
        <f>VLOOKUP(L401,'[1]singkron data'!D:H,5,FALSE)</f>
        <v>#N/A</v>
      </c>
      <c r="Z401" s="11" t="e">
        <f>VLOOKUP(L401,'[1]singkron data'!D:I,6,FALSE)</f>
        <v>#N/A</v>
      </c>
      <c r="AA401" s="11" t="e">
        <f>VLOOKUP(L401,'[1]singkron data'!D:L,9,FALSE)</f>
        <v>#N/A</v>
      </c>
      <c r="AB401" s="11" t="s">
        <v>694</v>
      </c>
      <c r="AC401" s="11" t="e">
        <f>VLOOKUP(L401,'[1]singkron data'!D:M,10,FALSE)</f>
        <v>#N/A</v>
      </c>
      <c r="AD401" s="11"/>
      <c r="AE401" s="11" t="e">
        <f>VLOOKUP(L401,'[1]singkron data'!D:P,13,FALSE)</f>
        <v>#N/A</v>
      </c>
      <c r="AF401" s="11" t="s">
        <v>55</v>
      </c>
      <c r="AG401" s="11" t="e">
        <f>VLOOKUP(L401,'[1]update kontrak'!E:K,6,FALSE)</f>
        <v>#N/A</v>
      </c>
      <c r="AH401" s="11" t="e">
        <f>VLOOKUP(L401,'[1]update kontrak'!E:K,7,FALSE)</f>
        <v>#N/A</v>
      </c>
      <c r="AI401" s="11"/>
      <c r="AJ401" s="11" t="str">
        <f>VLOOKUP(L401,[1]rekap!D:M,1,FALSE)</f>
        <v>Mandori</v>
      </c>
      <c r="AK401" s="11" t="e">
        <f>VLOOKUP(L401,'[1]singkron data'!D:E,2,FALSE)</f>
        <v>#N/A</v>
      </c>
      <c r="AL401" s="11" t="str">
        <f>VLOOKUP(L401,'[1]update 521'!D:D,1,FALSE)</f>
        <v>Mandori</v>
      </c>
      <c r="AM401" s="11" t="s">
        <v>57</v>
      </c>
      <c r="AN401" s="11" t="e">
        <f>VLOOKUP(L401,[1]Sheet19!E:L,8,FALSE)</f>
        <v>#N/A</v>
      </c>
      <c r="AO401" s="11" t="e">
        <f>VLOOKUP(L401,[1]Sheet19!E:K,7,FALSE)</f>
        <v>#N/A</v>
      </c>
      <c r="AP401" s="12"/>
    </row>
    <row r="402" spans="1:42" ht="15" x14ac:dyDescent="0.2">
      <c r="A402" s="8" t="s">
        <v>42</v>
      </c>
      <c r="B402" s="9" t="s">
        <v>43</v>
      </c>
      <c r="C402" s="9">
        <v>858</v>
      </c>
      <c r="D402" s="9" t="s">
        <v>908</v>
      </c>
      <c r="E402" s="9">
        <v>54</v>
      </c>
      <c r="F402" s="9" t="s">
        <v>1013</v>
      </c>
      <c r="G402" s="9" t="s">
        <v>908</v>
      </c>
      <c r="H402" s="9" t="s">
        <v>911</v>
      </c>
      <c r="I402" s="9" t="s">
        <v>1014</v>
      </c>
      <c r="J402" s="9" t="s">
        <v>1015</v>
      </c>
      <c r="K402" s="9" t="s">
        <v>1019</v>
      </c>
      <c r="L402" s="9" t="s">
        <v>1019</v>
      </c>
      <c r="M402" s="9" t="s">
        <v>51</v>
      </c>
      <c r="N402" s="9">
        <v>15</v>
      </c>
      <c r="O402" s="9">
        <v>5</v>
      </c>
      <c r="P402" s="9">
        <v>7</v>
      </c>
      <c r="Q402" s="9">
        <v>12</v>
      </c>
      <c r="R402" s="9">
        <v>0.15</v>
      </c>
      <c r="S402" s="9">
        <v>-0.93869000000000002</v>
      </c>
      <c r="T402" s="9">
        <v>134.83472</v>
      </c>
      <c r="U402" s="9"/>
      <c r="V402" s="11" t="s">
        <v>694</v>
      </c>
      <c r="W402" s="11"/>
      <c r="X402" s="11"/>
      <c r="Y402" s="11" t="e">
        <f>VLOOKUP(L402,'[1]singkron data'!D:H,5,FALSE)</f>
        <v>#N/A</v>
      </c>
      <c r="Z402" s="11" t="e">
        <f>VLOOKUP(L402,'[1]singkron data'!D:I,6,FALSE)</f>
        <v>#N/A</v>
      </c>
      <c r="AA402" s="11" t="e">
        <f>VLOOKUP(L402,'[1]singkron data'!D:L,9,FALSE)</f>
        <v>#N/A</v>
      </c>
      <c r="AB402" s="11" t="s">
        <v>694</v>
      </c>
      <c r="AC402" s="11" t="e">
        <f>VLOOKUP(L402,'[1]singkron data'!D:M,10,FALSE)</f>
        <v>#N/A</v>
      </c>
      <c r="AD402" s="11"/>
      <c r="AE402" s="11" t="e">
        <f>VLOOKUP(L402,'[1]singkron data'!D:P,13,FALSE)</f>
        <v>#N/A</v>
      </c>
      <c r="AF402" s="11" t="s">
        <v>55</v>
      </c>
      <c r="AG402" s="11" t="e">
        <f>VLOOKUP(L402,'[1]update kontrak'!E:K,6,FALSE)</f>
        <v>#N/A</v>
      </c>
      <c r="AH402" s="11" t="e">
        <f>VLOOKUP(L402,'[1]update kontrak'!E:K,7,FALSE)</f>
        <v>#N/A</v>
      </c>
      <c r="AI402" s="11"/>
      <c r="AJ402" s="11" t="str">
        <f>VLOOKUP(L402,[1]rekap!D:M,1,FALSE)</f>
        <v>Pyefuri</v>
      </c>
      <c r="AK402" s="11" t="e">
        <f>VLOOKUP(L402,'[1]singkron data'!D:E,2,FALSE)</f>
        <v>#N/A</v>
      </c>
      <c r="AL402" s="11" t="str">
        <f>VLOOKUP(L402,'[1]update 521'!D:D,1,FALSE)</f>
        <v>Pyefuri</v>
      </c>
      <c r="AM402" s="11" t="e">
        <f>VLOOKUP(L402,[1]Sheet18!I:M,5,FALSE)</f>
        <v>#N/A</v>
      </c>
      <c r="AN402" s="11" t="e">
        <f>VLOOKUP(L402,[1]Sheet19!E:L,8,FALSE)</f>
        <v>#N/A</v>
      </c>
      <c r="AO402" s="11" t="e">
        <f>VLOOKUP(L402,[1]Sheet19!E:K,7,FALSE)</f>
        <v>#N/A</v>
      </c>
      <c r="AP402" s="12"/>
    </row>
    <row r="403" spans="1:42" ht="15" x14ac:dyDescent="0.2">
      <c r="A403" s="8" t="s">
        <v>42</v>
      </c>
      <c r="B403" s="9" t="s">
        <v>43</v>
      </c>
      <c r="C403" s="9">
        <v>859</v>
      </c>
      <c r="D403" s="9" t="s">
        <v>908</v>
      </c>
      <c r="E403" s="9">
        <v>55</v>
      </c>
      <c r="F403" s="9" t="s">
        <v>1013</v>
      </c>
      <c r="G403" s="9" t="s">
        <v>908</v>
      </c>
      <c r="H403" s="9" t="s">
        <v>911</v>
      </c>
      <c r="I403" s="9" t="s">
        <v>1014</v>
      </c>
      <c r="J403" s="9" t="s">
        <v>1020</v>
      </c>
      <c r="K403" s="9" t="s">
        <v>1021</v>
      </c>
      <c r="L403" s="9" t="s">
        <v>1021</v>
      </c>
      <c r="M403" s="9" t="s">
        <v>51</v>
      </c>
      <c r="N403" s="9">
        <v>45</v>
      </c>
      <c r="O403" s="9">
        <v>5</v>
      </c>
      <c r="P403" s="9">
        <v>6</v>
      </c>
      <c r="Q403" s="9">
        <v>11</v>
      </c>
      <c r="R403" s="9">
        <v>0.15</v>
      </c>
      <c r="S403" s="9">
        <v>-1.0152099999999999</v>
      </c>
      <c r="T403" s="9">
        <v>134.79713000000001</v>
      </c>
      <c r="U403" s="9"/>
      <c r="V403" s="11" t="s">
        <v>694</v>
      </c>
      <c r="W403" s="13">
        <f>VLOOKUP(L403,[1]Sheet18!I:N,6,FALSE)</f>
        <v>6299627000</v>
      </c>
      <c r="X403" s="11" t="s">
        <v>55</v>
      </c>
      <c r="Y403" s="11" t="e">
        <f>VLOOKUP(L403,'[1]singkron data'!D:H,5,FALSE)</f>
        <v>#N/A</v>
      </c>
      <c r="Z403" s="11" t="e">
        <f>VLOOKUP(L403,'[1]singkron data'!D:I,6,FALSE)</f>
        <v>#N/A</v>
      </c>
      <c r="AA403" s="11" t="e">
        <f>VLOOKUP(L403,'[1]singkron data'!D:L,9,FALSE)</f>
        <v>#N/A</v>
      </c>
      <c r="AB403" s="11" t="s">
        <v>694</v>
      </c>
      <c r="AC403" s="11" t="e">
        <f>VLOOKUP(L403,'[1]singkron data'!D:M,10,FALSE)</f>
        <v>#N/A</v>
      </c>
      <c r="AD403" s="11"/>
      <c r="AE403" s="11" t="e">
        <f>VLOOKUP(L403,'[1]singkron data'!D:P,13,FALSE)</f>
        <v>#N/A</v>
      </c>
      <c r="AF403" s="11" t="s">
        <v>55</v>
      </c>
      <c r="AG403" s="11" t="e">
        <f>VLOOKUP(L403,'[1]update kontrak'!E:K,6,FALSE)</f>
        <v>#N/A</v>
      </c>
      <c r="AH403" s="11" t="e">
        <f>VLOOKUP(L403,'[1]update kontrak'!E:K,7,FALSE)</f>
        <v>#N/A</v>
      </c>
      <c r="AI403" s="11"/>
      <c r="AJ403" s="11" t="str">
        <f>VLOOKUP(L403,[1]rekap!D:M,1,FALSE)</f>
        <v>Serbin</v>
      </c>
      <c r="AK403" s="11" t="e">
        <f>VLOOKUP(L403,'[1]singkron data'!D:E,2,FALSE)</f>
        <v>#N/A</v>
      </c>
      <c r="AL403" s="11" t="str">
        <f>VLOOKUP(L403,'[1]update 521'!D:D,1,FALSE)</f>
        <v>Serbin</v>
      </c>
      <c r="AM403" s="11" t="s">
        <v>57</v>
      </c>
      <c r="AN403" s="11" t="e">
        <f>VLOOKUP(L403,[1]Sheet19!E:L,8,FALSE)</f>
        <v>#N/A</v>
      </c>
      <c r="AO403" s="11" t="e">
        <f>VLOOKUP(L403,[1]Sheet19!E:K,7,FALSE)</f>
        <v>#N/A</v>
      </c>
      <c r="AP403" s="12"/>
    </row>
    <row r="404" spans="1:42" ht="15" x14ac:dyDescent="0.2">
      <c r="A404" s="8" t="s">
        <v>42</v>
      </c>
      <c r="B404" s="9" t="s">
        <v>43</v>
      </c>
      <c r="C404" s="9">
        <v>860</v>
      </c>
      <c r="D404" s="9" t="s">
        <v>908</v>
      </c>
      <c r="E404" s="9">
        <v>56</v>
      </c>
      <c r="F404" s="9" t="s">
        <v>1022</v>
      </c>
      <c r="G404" s="9" t="s">
        <v>908</v>
      </c>
      <c r="H404" s="9" t="s">
        <v>911</v>
      </c>
      <c r="I404" s="9" t="s">
        <v>935</v>
      </c>
      <c r="J404" s="9" t="s">
        <v>1023</v>
      </c>
      <c r="K404" s="9" t="s">
        <v>1024</v>
      </c>
      <c r="L404" s="9" t="s">
        <v>1024</v>
      </c>
      <c r="M404" s="9" t="s">
        <v>51</v>
      </c>
      <c r="N404" s="9">
        <v>36</v>
      </c>
      <c r="O404" s="9">
        <v>14</v>
      </c>
      <c r="P404" s="9">
        <v>18</v>
      </c>
      <c r="Q404" s="9">
        <v>29</v>
      </c>
      <c r="R404" s="9">
        <v>1.1000000000000001</v>
      </c>
      <c r="S404" s="9">
        <v>-1.8793299999999999</v>
      </c>
      <c r="T404" s="9">
        <v>136.49475000000001</v>
      </c>
      <c r="U404" s="9"/>
      <c r="V404" s="11" t="s">
        <v>694</v>
      </c>
      <c r="W404" s="13">
        <f>VLOOKUP(L404,[1]Sheet18!I:N,6,FALSE)</f>
        <v>6903884000</v>
      </c>
      <c r="X404" s="11" t="s">
        <v>55</v>
      </c>
      <c r="Y404" s="11" t="e">
        <f>VLOOKUP(L404,'[1]singkron data'!D:H,5,FALSE)</f>
        <v>#N/A</v>
      </c>
      <c r="Z404" s="11" t="e">
        <f>VLOOKUP(L404,'[1]singkron data'!D:I,6,FALSE)</f>
        <v>#N/A</v>
      </c>
      <c r="AA404" s="11" t="e">
        <f>VLOOKUP(L404,'[1]singkron data'!D:L,9,FALSE)</f>
        <v>#N/A</v>
      </c>
      <c r="AB404" s="11" t="s">
        <v>694</v>
      </c>
      <c r="AC404" s="11" t="e">
        <f>VLOOKUP(L404,'[1]singkron data'!D:M,10,FALSE)</f>
        <v>#N/A</v>
      </c>
      <c r="AD404" s="11"/>
      <c r="AE404" s="11" t="e">
        <f>VLOOKUP(L404,'[1]singkron data'!D:P,13,FALSE)</f>
        <v>#N/A</v>
      </c>
      <c r="AF404" s="11" t="s">
        <v>55</v>
      </c>
      <c r="AG404" s="11" t="e">
        <f>VLOOKUP(L404,'[1]update kontrak'!E:K,6,FALSE)</f>
        <v>#N/A</v>
      </c>
      <c r="AH404" s="11" t="e">
        <f>VLOOKUP(L404,'[1]update kontrak'!E:K,7,FALSE)</f>
        <v>#N/A</v>
      </c>
      <c r="AI404" s="11"/>
      <c r="AJ404" s="11" t="str">
        <f>VLOOKUP(L404,[1]rekap!D:M,1,FALSE)</f>
        <v>Bareraif</v>
      </c>
      <c r="AK404" s="11" t="e">
        <f>VLOOKUP(L404,'[1]singkron data'!D:E,2,FALSE)</f>
        <v>#N/A</v>
      </c>
      <c r="AL404" s="11" t="str">
        <f>VLOOKUP(L404,'[1]update 521'!D:D,1,FALSE)</f>
        <v>Bareraif</v>
      </c>
      <c r="AM404" s="11" t="s">
        <v>57</v>
      </c>
      <c r="AN404" s="11" t="e">
        <f>VLOOKUP(L404,[1]Sheet19!E:L,8,FALSE)</f>
        <v>#N/A</v>
      </c>
      <c r="AO404" s="11" t="e">
        <f>VLOOKUP(L404,[1]Sheet19!E:K,7,FALSE)</f>
        <v>#N/A</v>
      </c>
      <c r="AP404" s="12"/>
    </row>
    <row r="405" spans="1:42" ht="15" x14ac:dyDescent="0.2">
      <c r="A405" s="8" t="s">
        <v>42</v>
      </c>
      <c r="B405" s="9" t="s">
        <v>43</v>
      </c>
      <c r="C405" s="9">
        <v>861</v>
      </c>
      <c r="D405" s="9" t="s">
        <v>908</v>
      </c>
      <c r="E405" s="9">
        <v>57</v>
      </c>
      <c r="F405" s="9" t="s">
        <v>1022</v>
      </c>
      <c r="G405" s="9" t="s">
        <v>908</v>
      </c>
      <c r="H405" s="9" t="s">
        <v>911</v>
      </c>
      <c r="I405" s="9" t="s">
        <v>935</v>
      </c>
      <c r="J405" s="9" t="s">
        <v>1025</v>
      </c>
      <c r="K405" s="9" t="s">
        <v>1026</v>
      </c>
      <c r="L405" s="9" t="s">
        <v>1026</v>
      </c>
      <c r="M405" s="9" t="s">
        <v>51</v>
      </c>
      <c r="N405" s="9">
        <v>75</v>
      </c>
      <c r="O405" s="9">
        <v>70</v>
      </c>
      <c r="P405" s="9">
        <v>5</v>
      </c>
      <c r="Q405" s="9">
        <v>75</v>
      </c>
      <c r="R405" s="9">
        <v>0.4</v>
      </c>
      <c r="S405" s="9">
        <v>-1.86334</v>
      </c>
      <c r="T405" s="9">
        <v>136.61328</v>
      </c>
      <c r="U405" s="9"/>
      <c r="V405" s="11" t="s">
        <v>694</v>
      </c>
      <c r="W405" s="13">
        <f>VLOOKUP(L405,[1]Sheet18!I:N,6,FALSE)</f>
        <v>11345677000</v>
      </c>
      <c r="X405" s="11" t="s">
        <v>55</v>
      </c>
      <c r="Y405" s="11" t="e">
        <f>VLOOKUP(L405,'[1]singkron data'!D:H,5,FALSE)</f>
        <v>#N/A</v>
      </c>
      <c r="Z405" s="11" t="e">
        <f>VLOOKUP(L405,'[1]singkron data'!D:I,6,FALSE)</f>
        <v>#N/A</v>
      </c>
      <c r="AA405" s="11" t="e">
        <f>VLOOKUP(L405,'[1]singkron data'!D:L,9,FALSE)</f>
        <v>#N/A</v>
      </c>
      <c r="AB405" s="11" t="s">
        <v>694</v>
      </c>
      <c r="AC405" s="11" t="e">
        <f>VLOOKUP(L405,'[1]singkron data'!D:M,10,FALSE)</f>
        <v>#N/A</v>
      </c>
      <c r="AD405" s="11"/>
      <c r="AE405" s="11" t="e">
        <f>VLOOKUP(L405,'[1]singkron data'!D:P,13,FALSE)</f>
        <v>#N/A</v>
      </c>
      <c r="AF405" s="11" t="s">
        <v>55</v>
      </c>
      <c r="AG405" s="11" t="e">
        <f>VLOOKUP(L405,'[1]update kontrak'!E:K,6,FALSE)</f>
        <v>#N/A</v>
      </c>
      <c r="AH405" s="11" t="e">
        <f>VLOOKUP(L405,'[1]update kontrak'!E:K,7,FALSE)</f>
        <v>#N/A</v>
      </c>
      <c r="AI405" s="11"/>
      <c r="AJ405" s="11" t="str">
        <f>VLOOKUP(L405,[1]rekap!D:M,1,FALSE)</f>
        <v>Korombobi</v>
      </c>
      <c r="AK405" s="11" t="e">
        <f>VLOOKUP(L405,'[1]singkron data'!D:E,2,FALSE)</f>
        <v>#N/A</v>
      </c>
      <c r="AL405" s="11" t="str">
        <f>VLOOKUP(L405,'[1]update 521'!D:D,1,FALSE)</f>
        <v>Korombobi</v>
      </c>
      <c r="AM405" s="11" t="s">
        <v>57</v>
      </c>
      <c r="AN405" s="11" t="e">
        <f>VLOOKUP(L405,[1]Sheet19!E:L,8,FALSE)</f>
        <v>#N/A</v>
      </c>
      <c r="AO405" s="11" t="e">
        <f>VLOOKUP(L405,[1]Sheet19!E:K,7,FALSE)</f>
        <v>#N/A</v>
      </c>
      <c r="AP405" s="12"/>
    </row>
    <row r="406" spans="1:42" ht="15" x14ac:dyDescent="0.2">
      <c r="A406" s="8" t="s">
        <v>42</v>
      </c>
      <c r="B406" s="9" t="s">
        <v>43</v>
      </c>
      <c r="C406" s="9">
        <v>862</v>
      </c>
      <c r="D406" s="9" t="s">
        <v>908</v>
      </c>
      <c r="E406" s="9">
        <v>58</v>
      </c>
      <c r="F406" s="9" t="s">
        <v>1022</v>
      </c>
      <c r="G406" s="9" t="s">
        <v>908</v>
      </c>
      <c r="H406" s="9" t="s">
        <v>911</v>
      </c>
      <c r="I406" s="9" t="s">
        <v>935</v>
      </c>
      <c r="J406" s="9" t="s">
        <v>1023</v>
      </c>
      <c r="K406" s="9" t="s">
        <v>1027</v>
      </c>
      <c r="L406" s="9" t="s">
        <v>1027</v>
      </c>
      <c r="M406" s="9" t="s">
        <v>51</v>
      </c>
      <c r="N406" s="9">
        <v>71</v>
      </c>
      <c r="O406" s="9">
        <v>51</v>
      </c>
      <c r="P406" s="9">
        <v>20</v>
      </c>
      <c r="Q406" s="9">
        <v>71</v>
      </c>
      <c r="R406" s="9" t="s">
        <v>1028</v>
      </c>
      <c r="S406" s="9">
        <v>-1.8654440000000001</v>
      </c>
      <c r="T406" s="9">
        <v>136.51275000000001</v>
      </c>
      <c r="U406" s="9"/>
      <c r="V406" s="11" t="s">
        <v>694</v>
      </c>
      <c r="W406" s="11"/>
      <c r="X406" s="11"/>
      <c r="Y406" s="11" t="e">
        <f>VLOOKUP(L406,'[1]singkron data'!D:H,5,FALSE)</f>
        <v>#N/A</v>
      </c>
      <c r="Z406" s="11" t="e">
        <f>VLOOKUP(L406,'[1]singkron data'!D:I,6,FALSE)</f>
        <v>#N/A</v>
      </c>
      <c r="AA406" s="11" t="e">
        <f>VLOOKUP(L406,'[1]singkron data'!D:L,9,FALSE)</f>
        <v>#N/A</v>
      </c>
      <c r="AB406" s="11" t="s">
        <v>694</v>
      </c>
      <c r="AC406" s="11" t="e">
        <f>VLOOKUP(L406,'[1]singkron data'!D:M,10,FALSE)</f>
        <v>#N/A</v>
      </c>
      <c r="AD406" s="11"/>
      <c r="AE406" s="11" t="e">
        <f>VLOOKUP(L406,'[1]singkron data'!D:P,13,FALSE)</f>
        <v>#N/A</v>
      </c>
      <c r="AF406" s="11"/>
      <c r="AG406" s="11" t="e">
        <f>VLOOKUP(L406,'[1]update kontrak'!E:K,6,FALSE)</f>
        <v>#N/A</v>
      </c>
      <c r="AH406" s="11" t="e">
        <f>VLOOKUP(L406,'[1]update kontrak'!E:K,7,FALSE)</f>
        <v>#N/A</v>
      </c>
      <c r="AI406" s="11"/>
      <c r="AJ406" s="11" t="str">
        <f>VLOOKUP(L406,[1]rekap!D:M,1,FALSE)</f>
        <v>Ampimoi</v>
      </c>
      <c r="AK406" s="11" t="e">
        <f>VLOOKUP(L406,'[1]singkron data'!D:E,2,FALSE)</f>
        <v>#N/A</v>
      </c>
      <c r="AL406" s="11" t="str">
        <f>VLOOKUP(L406,'[1]update 521'!D:D,1,FALSE)</f>
        <v>Ampimoi</v>
      </c>
      <c r="AM406" s="11" t="e">
        <f>VLOOKUP(L406,[1]Sheet18!I:M,5,FALSE)</f>
        <v>#N/A</v>
      </c>
      <c r="AN406" s="11" t="e">
        <f>VLOOKUP(L406,[1]Sheet19!E:L,8,FALSE)</f>
        <v>#N/A</v>
      </c>
      <c r="AO406" s="11" t="e">
        <f>VLOOKUP(L406,[1]Sheet19!E:K,7,FALSE)</f>
        <v>#N/A</v>
      </c>
      <c r="AP406" s="12"/>
    </row>
    <row r="407" spans="1:42" ht="15" x14ac:dyDescent="0.2">
      <c r="A407" s="8" t="s">
        <v>42</v>
      </c>
      <c r="B407" s="9" t="s">
        <v>43</v>
      </c>
      <c r="C407" s="9">
        <v>863</v>
      </c>
      <c r="D407" s="9" t="s">
        <v>908</v>
      </c>
      <c r="E407" s="9">
        <v>59</v>
      </c>
      <c r="F407" s="9" t="s">
        <v>1029</v>
      </c>
      <c r="G407" s="9" t="s">
        <v>908</v>
      </c>
      <c r="H407" s="9" t="s">
        <v>911</v>
      </c>
      <c r="I407" s="9" t="s">
        <v>924</v>
      </c>
      <c r="J407" s="9" t="s">
        <v>926</v>
      </c>
      <c r="K407" s="9" t="s">
        <v>1029</v>
      </c>
      <c r="L407" s="9" t="s">
        <v>1029</v>
      </c>
      <c r="M407" s="9" t="s">
        <v>65</v>
      </c>
      <c r="N407" s="9">
        <v>80</v>
      </c>
      <c r="O407" s="9">
        <v>6</v>
      </c>
      <c r="P407" s="9">
        <v>40</v>
      </c>
      <c r="Q407" s="9">
        <v>46</v>
      </c>
      <c r="R407" s="9">
        <v>1</v>
      </c>
      <c r="S407" s="9">
        <v>-0.79905000000000004</v>
      </c>
      <c r="T407" s="9">
        <v>135.70242999999999</v>
      </c>
      <c r="U407" s="9"/>
      <c r="V407" s="11" t="s">
        <v>694</v>
      </c>
      <c r="W407" s="13">
        <f>VLOOKUP(L407,[1]Sheet18!I:N,6,FALSE)</f>
        <v>16168902000</v>
      </c>
      <c r="X407" s="11" t="s">
        <v>55</v>
      </c>
      <c r="Y407" s="11" t="e">
        <f>VLOOKUP(L407,'[1]singkron data'!D:H,5,FALSE)</f>
        <v>#N/A</v>
      </c>
      <c r="Z407" s="11" t="e">
        <f>VLOOKUP(L407,'[1]singkron data'!D:I,6,FALSE)</f>
        <v>#N/A</v>
      </c>
      <c r="AA407" s="11" t="e">
        <f>VLOOKUP(L407,'[1]singkron data'!D:L,9,FALSE)</f>
        <v>#N/A</v>
      </c>
      <c r="AB407" s="11" t="s">
        <v>694</v>
      </c>
      <c r="AC407" s="11" t="e">
        <f>VLOOKUP(L407,'[1]singkron data'!D:M,10,FALSE)</f>
        <v>#N/A</v>
      </c>
      <c r="AD407" s="11"/>
      <c r="AE407" s="11" t="e">
        <f>VLOOKUP(L407,'[1]singkron data'!D:P,13,FALSE)</f>
        <v>#N/A</v>
      </c>
      <c r="AF407" s="11" t="s">
        <v>55</v>
      </c>
      <c r="AG407" s="11" t="e">
        <f>VLOOKUP(L407,'[1]update kontrak'!E:K,6,FALSE)</f>
        <v>#N/A</v>
      </c>
      <c r="AH407" s="11" t="e">
        <f>VLOOKUP(L407,'[1]update kontrak'!E:K,7,FALSE)</f>
        <v>#N/A</v>
      </c>
      <c r="AI407" s="11"/>
      <c r="AJ407" s="11" t="str">
        <f>VLOOKUP(L407,[1]rekap!D:M,1,FALSE)</f>
        <v>Marsram</v>
      </c>
      <c r="AK407" s="11" t="e">
        <f>VLOOKUP(L407,'[1]singkron data'!D:E,2,FALSE)</f>
        <v>#N/A</v>
      </c>
      <c r="AL407" s="11" t="str">
        <f>VLOOKUP(L407,'[1]update 521'!D:D,1,FALSE)</f>
        <v>Marsram</v>
      </c>
      <c r="AM407" s="11" t="s">
        <v>57</v>
      </c>
      <c r="AN407" s="11" t="e">
        <f>VLOOKUP(L407,[1]Sheet19!E:L,8,FALSE)</f>
        <v>#N/A</v>
      </c>
      <c r="AO407" s="11" t="e">
        <f>VLOOKUP(L407,[1]Sheet19!E:K,7,FALSE)</f>
        <v>#N/A</v>
      </c>
      <c r="AP407" s="12"/>
    </row>
    <row r="408" spans="1:42" ht="15" x14ac:dyDescent="0.2">
      <c r="A408" s="8" t="s">
        <v>42</v>
      </c>
      <c r="B408" s="9" t="s">
        <v>43</v>
      </c>
      <c r="C408" s="9">
        <v>864</v>
      </c>
      <c r="D408" s="9" t="s">
        <v>908</v>
      </c>
      <c r="E408" s="9">
        <v>60</v>
      </c>
      <c r="F408" s="9" t="s">
        <v>1029</v>
      </c>
      <c r="G408" s="9" t="s">
        <v>908</v>
      </c>
      <c r="H408" s="9" t="s">
        <v>911</v>
      </c>
      <c r="I408" s="9" t="s">
        <v>1014</v>
      </c>
      <c r="J408" s="9" t="s">
        <v>1030</v>
      </c>
      <c r="K408" s="9" t="s">
        <v>1031</v>
      </c>
      <c r="L408" s="9" t="s">
        <v>1031</v>
      </c>
      <c r="M408" s="9" t="s">
        <v>51</v>
      </c>
      <c r="N408" s="9">
        <v>88</v>
      </c>
      <c r="O408" s="9">
        <v>3</v>
      </c>
      <c r="P408" s="9">
        <v>28</v>
      </c>
      <c r="Q408" s="9">
        <v>31</v>
      </c>
      <c r="R408" s="9">
        <v>1</v>
      </c>
      <c r="S408" s="9">
        <v>-0.92227000000000003</v>
      </c>
      <c r="T408" s="9">
        <v>135.77656999999999</v>
      </c>
      <c r="U408" s="9"/>
      <c r="V408" s="11" t="s">
        <v>694</v>
      </c>
      <c r="W408" s="11"/>
      <c r="X408" s="11"/>
      <c r="Y408" s="11" t="e">
        <f>VLOOKUP(L408,'[1]singkron data'!D:H,5,FALSE)</f>
        <v>#N/A</v>
      </c>
      <c r="Z408" s="11" t="e">
        <f>VLOOKUP(L408,'[1]singkron data'!D:I,6,FALSE)</f>
        <v>#N/A</v>
      </c>
      <c r="AA408" s="11" t="e">
        <f>VLOOKUP(L408,'[1]singkron data'!D:L,9,FALSE)</f>
        <v>#N/A</v>
      </c>
      <c r="AB408" s="11" t="s">
        <v>694</v>
      </c>
      <c r="AC408" s="11" t="e">
        <f>VLOOKUP(L408,'[1]singkron data'!D:M,10,FALSE)</f>
        <v>#N/A</v>
      </c>
      <c r="AD408" s="11"/>
      <c r="AE408" s="11" t="e">
        <f>VLOOKUP(L408,'[1]singkron data'!D:P,13,FALSE)</f>
        <v>#N/A</v>
      </c>
      <c r="AF408" s="11" t="s">
        <v>55</v>
      </c>
      <c r="AG408" s="11" t="e">
        <f>VLOOKUP(L408,'[1]update kontrak'!E:K,6,FALSE)</f>
        <v>#N/A</v>
      </c>
      <c r="AH408" s="11" t="e">
        <f>VLOOKUP(L408,'[1]update kontrak'!E:K,7,FALSE)</f>
        <v>#N/A</v>
      </c>
      <c r="AI408" s="11"/>
      <c r="AJ408" s="11" t="str">
        <f>VLOOKUP(L408,[1]rekap!D:M,1,FALSE)</f>
        <v>Ampunbukor</v>
      </c>
      <c r="AK408" s="11" t="e">
        <f>VLOOKUP(L408,'[1]singkron data'!D:E,2,FALSE)</f>
        <v>#N/A</v>
      </c>
      <c r="AL408" s="11" t="str">
        <f>VLOOKUP(L408,'[1]update 521'!D:D,1,FALSE)</f>
        <v>Ampunbukor</v>
      </c>
      <c r="AM408" s="11" t="e">
        <f>VLOOKUP(L408,[1]Sheet18!I:M,5,FALSE)</f>
        <v>#N/A</v>
      </c>
      <c r="AN408" s="11" t="e">
        <f>VLOOKUP(L408,[1]Sheet19!E:L,8,FALSE)</f>
        <v>#N/A</v>
      </c>
      <c r="AO408" s="11" t="e">
        <f>VLOOKUP(L408,[1]Sheet19!E:K,7,FALSE)</f>
        <v>#N/A</v>
      </c>
      <c r="AP408" s="12"/>
    </row>
    <row r="409" spans="1:42" ht="15" x14ac:dyDescent="0.2">
      <c r="A409" s="8" t="s">
        <v>42</v>
      </c>
      <c r="B409" s="9" t="s">
        <v>43</v>
      </c>
      <c r="C409" s="9">
        <v>865</v>
      </c>
      <c r="D409" s="9" t="s">
        <v>908</v>
      </c>
      <c r="E409" s="9">
        <v>61</v>
      </c>
      <c r="F409" s="9" t="s">
        <v>1029</v>
      </c>
      <c r="G409" s="9" t="s">
        <v>908</v>
      </c>
      <c r="H409" s="9" t="s">
        <v>911</v>
      </c>
      <c r="I409" s="9" t="s">
        <v>924</v>
      </c>
      <c r="J409" s="9" t="s">
        <v>926</v>
      </c>
      <c r="K409" s="9" t="s">
        <v>1032</v>
      </c>
      <c r="L409" s="9" t="s">
        <v>1032</v>
      </c>
      <c r="M409" s="9" t="s">
        <v>51</v>
      </c>
      <c r="N409" s="9">
        <v>55</v>
      </c>
      <c r="O409" s="9">
        <v>2</v>
      </c>
      <c r="P409" s="9">
        <v>5</v>
      </c>
      <c r="Q409" s="9">
        <v>15</v>
      </c>
      <c r="R409" s="9">
        <v>0.25</v>
      </c>
      <c r="S409" s="9">
        <v>-0.71530000000000005</v>
      </c>
      <c r="T409" s="9">
        <v>135.78419</v>
      </c>
      <c r="U409" s="9"/>
      <c r="V409" s="11" t="s">
        <v>694</v>
      </c>
      <c r="W409" s="13">
        <f>VLOOKUP(L409,[1]Sheet18!I:N,6,FALSE)</f>
        <v>6251858000</v>
      </c>
      <c r="X409" s="11" t="s">
        <v>55</v>
      </c>
      <c r="Y409" s="11" t="e">
        <f>VLOOKUP(L409,'[1]singkron data'!D:H,5,FALSE)</f>
        <v>#N/A</v>
      </c>
      <c r="Z409" s="11" t="e">
        <f>VLOOKUP(L409,'[1]singkron data'!D:I,6,FALSE)</f>
        <v>#N/A</v>
      </c>
      <c r="AA409" s="11" t="e">
        <f>VLOOKUP(L409,'[1]singkron data'!D:L,9,FALSE)</f>
        <v>#N/A</v>
      </c>
      <c r="AB409" s="11" t="s">
        <v>694</v>
      </c>
      <c r="AC409" s="11" t="e">
        <f>VLOOKUP(L409,'[1]singkron data'!D:M,10,FALSE)</f>
        <v>#N/A</v>
      </c>
      <c r="AD409" s="11"/>
      <c r="AE409" s="11" t="e">
        <f>VLOOKUP(L409,'[1]singkron data'!D:P,13,FALSE)</f>
        <v>#N/A</v>
      </c>
      <c r="AF409" s="11" t="s">
        <v>55</v>
      </c>
      <c r="AG409" s="11" t="e">
        <f>VLOOKUP(L409,'[1]update kontrak'!E:K,6,FALSE)</f>
        <v>#N/A</v>
      </c>
      <c r="AH409" s="11" t="e">
        <f>VLOOKUP(L409,'[1]update kontrak'!E:K,7,FALSE)</f>
        <v>#N/A</v>
      </c>
      <c r="AI409" s="11"/>
      <c r="AJ409" s="11" t="str">
        <f>VLOOKUP(L409,[1]rekap!D:M,1,FALSE)</f>
        <v>Douwbo</v>
      </c>
      <c r="AK409" s="11" t="e">
        <f>VLOOKUP(L409,'[1]singkron data'!D:E,2,FALSE)</f>
        <v>#N/A</v>
      </c>
      <c r="AL409" s="11" t="str">
        <f>VLOOKUP(L409,'[1]update 521'!D:D,1,FALSE)</f>
        <v>Douwbo</v>
      </c>
      <c r="AM409" s="11" t="s">
        <v>57</v>
      </c>
      <c r="AN409" s="11" t="e">
        <f>VLOOKUP(L409,[1]Sheet19!E:L,8,FALSE)</f>
        <v>#N/A</v>
      </c>
      <c r="AO409" s="11" t="e">
        <f>VLOOKUP(L409,[1]Sheet19!E:K,7,FALSE)</f>
        <v>#N/A</v>
      </c>
      <c r="AP409" s="12"/>
    </row>
    <row r="410" spans="1:42" ht="15" x14ac:dyDescent="0.2">
      <c r="A410" s="8" t="s">
        <v>42</v>
      </c>
      <c r="B410" s="9" t="s">
        <v>43</v>
      </c>
      <c r="C410" s="9">
        <v>866</v>
      </c>
      <c r="D410" s="9" t="s">
        <v>908</v>
      </c>
      <c r="E410" s="9">
        <v>62</v>
      </c>
      <c r="F410" s="9" t="s">
        <v>1029</v>
      </c>
      <c r="G410" s="9" t="s">
        <v>908</v>
      </c>
      <c r="H410" s="9" t="s">
        <v>911</v>
      </c>
      <c r="I410" s="9" t="s">
        <v>924</v>
      </c>
      <c r="J410" s="9" t="s">
        <v>926</v>
      </c>
      <c r="K410" s="9" t="s">
        <v>1033</v>
      </c>
      <c r="L410" s="9" t="s">
        <v>1033</v>
      </c>
      <c r="M410" s="9" t="s">
        <v>51</v>
      </c>
      <c r="N410" s="9">
        <v>130</v>
      </c>
      <c r="O410" s="9" t="s">
        <v>72</v>
      </c>
      <c r="P410" s="9">
        <v>20</v>
      </c>
      <c r="Q410" s="9">
        <v>20</v>
      </c>
      <c r="R410" s="9">
        <v>1</v>
      </c>
      <c r="S410" s="9">
        <v>-0.74029</v>
      </c>
      <c r="T410" s="9">
        <v>135.75408999999999</v>
      </c>
      <c r="U410" s="9"/>
      <c r="V410" s="11" t="s">
        <v>694</v>
      </c>
      <c r="W410" s="13">
        <f>VLOOKUP(L410,[1]Sheet18!I:N,6,FALSE)</f>
        <v>7879345000</v>
      </c>
      <c r="X410" s="11" t="s">
        <v>55</v>
      </c>
      <c r="Y410" s="11" t="e">
        <f>VLOOKUP(L410,'[1]singkron data'!D:H,5,FALSE)</f>
        <v>#N/A</v>
      </c>
      <c r="Z410" s="11" t="e">
        <f>VLOOKUP(L410,'[1]singkron data'!D:I,6,FALSE)</f>
        <v>#N/A</v>
      </c>
      <c r="AA410" s="11" t="e">
        <f>VLOOKUP(L410,'[1]singkron data'!D:L,9,FALSE)</f>
        <v>#N/A</v>
      </c>
      <c r="AB410" s="11" t="s">
        <v>694</v>
      </c>
      <c r="AC410" s="11" t="e">
        <f>VLOOKUP(L410,'[1]singkron data'!D:M,10,FALSE)</f>
        <v>#N/A</v>
      </c>
      <c r="AD410" s="11"/>
      <c r="AE410" s="11" t="e">
        <f>VLOOKUP(L410,'[1]singkron data'!D:P,13,FALSE)</f>
        <v>#N/A</v>
      </c>
      <c r="AF410" s="11" t="s">
        <v>55</v>
      </c>
      <c r="AG410" s="11" t="e">
        <f>VLOOKUP(L410,'[1]update kontrak'!E:K,6,FALSE)</f>
        <v>#N/A</v>
      </c>
      <c r="AH410" s="11" t="e">
        <f>VLOOKUP(L410,'[1]update kontrak'!E:K,7,FALSE)</f>
        <v>#N/A</v>
      </c>
      <c r="AI410" s="11"/>
      <c r="AJ410" s="11" t="str">
        <f>VLOOKUP(L410,[1]rekap!D:M,1,FALSE)</f>
        <v>Waryesi</v>
      </c>
      <c r="AK410" s="11" t="e">
        <f>VLOOKUP(L410,'[1]singkron data'!D:E,2,FALSE)</f>
        <v>#N/A</v>
      </c>
      <c r="AL410" s="11" t="str">
        <f>VLOOKUP(L410,'[1]update 521'!D:D,1,FALSE)</f>
        <v>Waryesi</v>
      </c>
      <c r="AM410" s="11" t="s">
        <v>57</v>
      </c>
      <c r="AN410" s="11" t="e">
        <f>VLOOKUP(L410,[1]Sheet19!E:L,8,FALSE)</f>
        <v>#N/A</v>
      </c>
      <c r="AO410" s="11" t="e">
        <f>VLOOKUP(L410,[1]Sheet19!E:K,7,FALSE)</f>
        <v>#N/A</v>
      </c>
      <c r="AP410" s="12"/>
    </row>
    <row r="411" spans="1:42" ht="15" x14ac:dyDescent="0.2">
      <c r="A411" s="8" t="s">
        <v>42</v>
      </c>
      <c r="B411" s="9" t="s">
        <v>43</v>
      </c>
      <c r="C411" s="9">
        <v>867</v>
      </c>
      <c r="D411" s="9" t="s">
        <v>908</v>
      </c>
      <c r="E411" s="9">
        <v>63</v>
      </c>
      <c r="F411" s="9" t="s">
        <v>1029</v>
      </c>
      <c r="G411" s="9" t="s">
        <v>908</v>
      </c>
      <c r="H411" s="9" t="s">
        <v>911</v>
      </c>
      <c r="I411" s="9" t="s">
        <v>1014</v>
      </c>
      <c r="J411" s="9" t="s">
        <v>1034</v>
      </c>
      <c r="K411" s="9" t="s">
        <v>1035</v>
      </c>
      <c r="L411" s="9" t="s">
        <v>1035</v>
      </c>
      <c r="M411" s="9" t="s">
        <v>51</v>
      </c>
      <c r="N411" s="9">
        <v>55</v>
      </c>
      <c r="O411" s="9">
        <v>26</v>
      </c>
      <c r="P411" s="9">
        <v>17</v>
      </c>
      <c r="Q411" s="9">
        <v>43</v>
      </c>
      <c r="R411" s="9">
        <v>1</v>
      </c>
      <c r="S411" s="9">
        <v>-0.91591999999999996</v>
      </c>
      <c r="T411" s="9">
        <v>135.77732</v>
      </c>
      <c r="U411" s="9"/>
      <c r="V411" s="11" t="s">
        <v>694</v>
      </c>
      <c r="W411" s="13">
        <f>VLOOKUP(L411,[1]Sheet18!I:N,6,FALSE)</f>
        <v>14348029000</v>
      </c>
      <c r="X411" s="11" t="s">
        <v>55</v>
      </c>
      <c r="Y411" s="11" t="e">
        <f>VLOOKUP(L411,'[1]singkron data'!D:H,5,FALSE)</f>
        <v>#N/A</v>
      </c>
      <c r="Z411" s="11" t="e">
        <f>VLOOKUP(L411,'[1]singkron data'!D:I,6,FALSE)</f>
        <v>#N/A</v>
      </c>
      <c r="AA411" s="11" t="e">
        <f>VLOOKUP(L411,'[1]singkron data'!D:L,9,FALSE)</f>
        <v>#N/A</v>
      </c>
      <c r="AB411" s="11" t="s">
        <v>694</v>
      </c>
      <c r="AC411" s="11" t="e">
        <f>VLOOKUP(L411,'[1]singkron data'!D:M,10,FALSE)</f>
        <v>#N/A</v>
      </c>
      <c r="AD411" s="11"/>
      <c r="AE411" s="11" t="e">
        <f>VLOOKUP(L411,'[1]singkron data'!D:P,13,FALSE)</f>
        <v>#N/A</v>
      </c>
      <c r="AF411" s="11" t="s">
        <v>55</v>
      </c>
      <c r="AG411" s="11" t="e">
        <f>VLOOKUP(L411,'[1]update kontrak'!E:K,6,FALSE)</f>
        <v>#N/A</v>
      </c>
      <c r="AH411" s="11" t="e">
        <f>VLOOKUP(L411,'[1]update kontrak'!E:K,7,FALSE)</f>
        <v>#N/A</v>
      </c>
      <c r="AI411" s="11"/>
      <c r="AJ411" s="11" t="str">
        <f>VLOOKUP(L411,[1]rekap!D:M,1,FALSE)</f>
        <v>Yenbepioper</v>
      </c>
      <c r="AK411" s="11" t="e">
        <f>VLOOKUP(L411,'[1]singkron data'!D:E,2,FALSE)</f>
        <v>#N/A</v>
      </c>
      <c r="AL411" s="11" t="str">
        <f>VLOOKUP(L411,'[1]update 521'!D:D,1,FALSE)</f>
        <v>Yenbepioper</v>
      </c>
      <c r="AM411" s="11" t="s">
        <v>57</v>
      </c>
      <c r="AN411" s="11" t="e">
        <f>VLOOKUP(L411,[1]Sheet19!E:L,8,FALSE)</f>
        <v>#N/A</v>
      </c>
      <c r="AO411" s="11" t="e">
        <f>VLOOKUP(L411,[1]Sheet19!E:K,7,FALSE)</f>
        <v>#N/A</v>
      </c>
      <c r="AP411" s="12"/>
    </row>
    <row r="412" spans="1:42" ht="15" x14ac:dyDescent="0.2">
      <c r="A412" s="8" t="s">
        <v>42</v>
      </c>
      <c r="B412" s="9" t="s">
        <v>43</v>
      </c>
      <c r="C412" s="9">
        <v>868</v>
      </c>
      <c r="D412" s="9" t="s">
        <v>908</v>
      </c>
      <c r="E412" s="9">
        <v>64</v>
      </c>
      <c r="F412" s="9" t="s">
        <v>1036</v>
      </c>
      <c r="G412" s="9" t="s">
        <v>908</v>
      </c>
      <c r="H412" s="9" t="s">
        <v>911</v>
      </c>
      <c r="I412" s="9" t="s">
        <v>935</v>
      </c>
      <c r="J412" s="9" t="s">
        <v>1037</v>
      </c>
      <c r="K412" s="9" t="s">
        <v>1038</v>
      </c>
      <c r="L412" s="9" t="s">
        <v>1038</v>
      </c>
      <c r="M412" s="9" t="s">
        <v>51</v>
      </c>
      <c r="N412" s="9">
        <v>68</v>
      </c>
      <c r="O412" s="9">
        <v>47</v>
      </c>
      <c r="P412" s="9">
        <v>55</v>
      </c>
      <c r="Q412" s="9">
        <v>102</v>
      </c>
      <c r="R412" s="9">
        <v>0.5</v>
      </c>
      <c r="S412" s="9">
        <v>-1.4912300000000001</v>
      </c>
      <c r="T412" s="9">
        <v>135.15455</v>
      </c>
      <c r="U412" s="9"/>
      <c r="V412" s="11" t="s">
        <v>694</v>
      </c>
      <c r="W412" s="11"/>
      <c r="X412" s="11"/>
      <c r="Y412" s="11" t="e">
        <f>VLOOKUP(L412,'[1]singkron data'!D:H,5,FALSE)</f>
        <v>#N/A</v>
      </c>
      <c r="Z412" s="11" t="e">
        <f>VLOOKUP(L412,'[1]singkron data'!D:I,6,FALSE)</f>
        <v>#N/A</v>
      </c>
      <c r="AA412" s="11" t="e">
        <f>VLOOKUP(L412,'[1]singkron data'!D:L,9,FALSE)</f>
        <v>#N/A</v>
      </c>
      <c r="AB412" s="11" t="s">
        <v>694</v>
      </c>
      <c r="AC412" s="11" t="e">
        <f>VLOOKUP(L412,'[1]singkron data'!D:M,10,FALSE)</f>
        <v>#N/A</v>
      </c>
      <c r="AD412" s="11"/>
      <c r="AE412" s="11" t="e">
        <f>VLOOKUP(L412,'[1]singkron data'!D:P,13,FALSE)</f>
        <v>#N/A</v>
      </c>
      <c r="AF412" s="11"/>
      <c r="AG412" s="11" t="e">
        <f>VLOOKUP(L412,'[1]update kontrak'!E:K,6,FALSE)</f>
        <v>#N/A</v>
      </c>
      <c r="AH412" s="11" t="e">
        <f>VLOOKUP(L412,'[1]update kontrak'!E:K,7,FALSE)</f>
        <v>#N/A</v>
      </c>
      <c r="AI412" s="11"/>
      <c r="AJ412" s="11" t="str">
        <f>VLOOKUP(L412,[1]rekap!D:M,1,FALSE)</f>
        <v>Ausem</v>
      </c>
      <c r="AK412" s="11" t="e">
        <f>VLOOKUP(L412,'[1]singkron data'!D:E,2,FALSE)</f>
        <v>#N/A</v>
      </c>
      <c r="AL412" s="11" t="str">
        <f>VLOOKUP(L412,'[1]update 521'!D:D,1,FALSE)</f>
        <v>Ausem</v>
      </c>
      <c r="AM412" s="11" t="e">
        <f>VLOOKUP(L412,[1]Sheet18!I:M,5,FALSE)</f>
        <v>#N/A</v>
      </c>
      <c r="AN412" s="11" t="e">
        <f>VLOOKUP(L412,[1]Sheet19!E:L,8,FALSE)</f>
        <v>#N/A</v>
      </c>
      <c r="AO412" s="11" t="e">
        <f>VLOOKUP(L412,[1]Sheet19!E:K,7,FALSE)</f>
        <v>#N/A</v>
      </c>
      <c r="AP412" s="12"/>
    </row>
    <row r="413" spans="1:42" ht="15" x14ac:dyDescent="0.2">
      <c r="A413" s="8" t="s">
        <v>42</v>
      </c>
      <c r="B413" s="9" t="s">
        <v>43</v>
      </c>
      <c r="C413" s="9">
        <v>869</v>
      </c>
      <c r="D413" s="9" t="s">
        <v>908</v>
      </c>
      <c r="E413" s="9">
        <v>65</v>
      </c>
      <c r="F413" s="9" t="s">
        <v>1036</v>
      </c>
      <c r="G413" s="9" t="s">
        <v>908</v>
      </c>
      <c r="H413" s="9" t="s">
        <v>911</v>
      </c>
      <c r="I413" s="9" t="s">
        <v>935</v>
      </c>
      <c r="J413" s="9" t="s">
        <v>1037</v>
      </c>
      <c r="K413" s="9" t="s">
        <v>1039</v>
      </c>
      <c r="L413" s="9" t="s">
        <v>1039</v>
      </c>
      <c r="M413" s="9" t="s">
        <v>51</v>
      </c>
      <c r="N413" s="9">
        <v>11</v>
      </c>
      <c r="O413" s="9">
        <v>8</v>
      </c>
      <c r="P413" s="9">
        <v>3</v>
      </c>
      <c r="Q413" s="9">
        <v>11</v>
      </c>
      <c r="R413" s="9">
        <v>0.62</v>
      </c>
      <c r="S413" s="9">
        <v>-1.483417</v>
      </c>
      <c r="T413" s="9">
        <v>135.33455799999999</v>
      </c>
      <c r="U413" s="9"/>
      <c r="V413" s="11" t="s">
        <v>694</v>
      </c>
      <c r="W413" s="13">
        <f>VLOOKUP(L413,[1]Sheet18!I:N,6,FALSE)</f>
        <v>10902438000</v>
      </c>
      <c r="X413" s="11" t="s">
        <v>55</v>
      </c>
      <c r="Y413" s="11" t="e">
        <f>VLOOKUP(L413,'[1]singkron data'!D:H,5,FALSE)</f>
        <v>#N/A</v>
      </c>
      <c r="Z413" s="11" t="e">
        <f>VLOOKUP(L413,'[1]singkron data'!D:I,6,FALSE)</f>
        <v>#N/A</v>
      </c>
      <c r="AA413" s="11" t="e">
        <f>VLOOKUP(L413,'[1]singkron data'!D:L,9,FALSE)</f>
        <v>#N/A</v>
      </c>
      <c r="AB413" s="11" t="s">
        <v>694</v>
      </c>
      <c r="AC413" s="11" t="e">
        <f>VLOOKUP(L413,'[1]singkron data'!D:M,10,FALSE)</f>
        <v>#N/A</v>
      </c>
      <c r="AD413" s="11"/>
      <c r="AE413" s="11" t="e">
        <f>VLOOKUP(L413,'[1]singkron data'!D:P,13,FALSE)</f>
        <v>#N/A</v>
      </c>
      <c r="AF413" s="11" t="s">
        <v>55</v>
      </c>
      <c r="AG413" s="11" t="e">
        <f>VLOOKUP(L413,'[1]update kontrak'!E:K,6,FALSE)</f>
        <v>#N/A</v>
      </c>
      <c r="AH413" s="11" t="e">
        <f>VLOOKUP(L413,'[1]update kontrak'!E:K,7,FALSE)</f>
        <v>#N/A</v>
      </c>
      <c r="AI413" s="11"/>
      <c r="AJ413" s="11" t="str">
        <f>VLOOKUP(L413,[1]rekap!D:M,1,FALSE)</f>
        <v>Miosnum</v>
      </c>
      <c r="AK413" s="11" t="e">
        <f>VLOOKUP(L413,'[1]singkron data'!D:E,2,FALSE)</f>
        <v>#N/A</v>
      </c>
      <c r="AL413" s="11" t="str">
        <f>VLOOKUP(L413,'[1]update 521'!D:D,1,FALSE)</f>
        <v>Miosnum</v>
      </c>
      <c r="AM413" s="11" t="s">
        <v>57</v>
      </c>
      <c r="AN413" s="11" t="e">
        <f>VLOOKUP(L413,[1]Sheet19!E:L,8,FALSE)</f>
        <v>#N/A</v>
      </c>
      <c r="AO413" s="11" t="e">
        <f>VLOOKUP(L413,[1]Sheet19!E:K,7,FALSE)</f>
        <v>#N/A</v>
      </c>
      <c r="AP413" s="12"/>
    </row>
    <row r="414" spans="1:42" ht="15" x14ac:dyDescent="0.2">
      <c r="A414" s="8" t="s">
        <v>42</v>
      </c>
      <c r="B414" s="9" t="s">
        <v>43</v>
      </c>
      <c r="C414" s="9">
        <v>870</v>
      </c>
      <c r="D414" s="9" t="s">
        <v>908</v>
      </c>
      <c r="E414" s="9">
        <v>66</v>
      </c>
      <c r="F414" s="9" t="s">
        <v>1036</v>
      </c>
      <c r="G414" s="9" t="s">
        <v>908</v>
      </c>
      <c r="H414" s="9" t="s">
        <v>911</v>
      </c>
      <c r="I414" s="9" t="s">
        <v>935</v>
      </c>
      <c r="J414" s="9" t="s">
        <v>984</v>
      </c>
      <c r="K414" s="9" t="s">
        <v>1036</v>
      </c>
      <c r="L414" s="9" t="s">
        <v>1036</v>
      </c>
      <c r="M414" s="9" t="s">
        <v>65</v>
      </c>
      <c r="N414" s="9">
        <v>80</v>
      </c>
      <c r="O414" s="9">
        <v>128</v>
      </c>
      <c r="P414" s="9">
        <v>20</v>
      </c>
      <c r="Q414" s="9">
        <v>148</v>
      </c>
      <c r="R414" s="9">
        <v>0.97</v>
      </c>
      <c r="S414" s="9">
        <v>-1.63286</v>
      </c>
      <c r="T414" s="9">
        <v>135.46083999999999</v>
      </c>
      <c r="U414" s="9"/>
      <c r="V414" s="11" t="s">
        <v>694</v>
      </c>
      <c r="W414" s="11"/>
      <c r="X414" s="11"/>
      <c r="Y414" s="11" t="e">
        <f>VLOOKUP(L414,'[1]singkron data'!D:H,5,FALSE)</f>
        <v>#N/A</v>
      </c>
      <c r="Z414" s="11" t="e">
        <f>VLOOKUP(L414,'[1]singkron data'!D:I,6,FALSE)</f>
        <v>#N/A</v>
      </c>
      <c r="AA414" s="11" t="e">
        <f>VLOOKUP(L414,'[1]singkron data'!D:L,9,FALSE)</f>
        <v>#N/A</v>
      </c>
      <c r="AB414" s="11" t="s">
        <v>694</v>
      </c>
      <c r="AC414" s="11" t="e">
        <f>VLOOKUP(L414,'[1]singkron data'!D:M,10,FALSE)</f>
        <v>#N/A</v>
      </c>
      <c r="AD414" s="11"/>
      <c r="AE414" s="11" t="e">
        <f>VLOOKUP(L414,'[1]singkron data'!D:P,13,FALSE)</f>
        <v>#N/A</v>
      </c>
      <c r="AF414" s="11"/>
      <c r="AG414" s="11" t="e">
        <f>VLOOKUP(L414,'[1]update kontrak'!E:K,6,FALSE)</f>
        <v>#N/A</v>
      </c>
      <c r="AH414" s="11" t="e">
        <f>VLOOKUP(L414,'[1]update kontrak'!E:K,7,FALSE)</f>
        <v>#N/A</v>
      </c>
      <c r="AI414" s="11"/>
      <c r="AJ414" s="11" t="str">
        <f>VLOOKUP(L414,[1]rekap!D:M,1,FALSE)</f>
        <v>Woinap</v>
      </c>
      <c r="AK414" s="11" t="e">
        <f>VLOOKUP(L414,'[1]singkron data'!D:E,2,FALSE)</f>
        <v>#N/A</v>
      </c>
      <c r="AL414" s="11" t="str">
        <f>VLOOKUP(L414,'[1]update 521'!D:D,1,FALSE)</f>
        <v>Woinap</v>
      </c>
      <c r="AM414" s="11" t="e">
        <f>VLOOKUP(L414,[1]Sheet18!I:M,5,FALSE)</f>
        <v>#N/A</v>
      </c>
      <c r="AN414" s="11" t="e">
        <f>VLOOKUP(L414,[1]Sheet19!E:L,8,FALSE)</f>
        <v>#N/A</v>
      </c>
      <c r="AO414" s="11" t="e">
        <f>VLOOKUP(L414,[1]Sheet19!E:K,7,FALSE)</f>
        <v>#N/A</v>
      </c>
      <c r="AP414" s="12"/>
    </row>
    <row r="415" spans="1:42" ht="15" x14ac:dyDescent="0.2">
      <c r="A415" s="8" t="s">
        <v>42</v>
      </c>
      <c r="B415" s="9" t="s">
        <v>43</v>
      </c>
      <c r="C415" s="9">
        <v>871</v>
      </c>
      <c r="D415" s="9" t="s">
        <v>908</v>
      </c>
      <c r="E415" s="9">
        <v>67</v>
      </c>
      <c r="F415" s="9" t="s">
        <v>1040</v>
      </c>
      <c r="G415" s="9" t="s">
        <v>908</v>
      </c>
      <c r="H415" s="9" t="s">
        <v>911</v>
      </c>
      <c r="I415" s="9" t="s">
        <v>1014</v>
      </c>
      <c r="J415" s="9" t="s">
        <v>1041</v>
      </c>
      <c r="K415" s="9" t="s">
        <v>1040</v>
      </c>
      <c r="L415" s="9" t="s">
        <v>1040</v>
      </c>
      <c r="M415" s="9" t="s">
        <v>65</v>
      </c>
      <c r="N415" s="9">
        <v>40</v>
      </c>
      <c r="O415" s="9" t="s">
        <v>72</v>
      </c>
      <c r="P415" s="9">
        <v>43</v>
      </c>
      <c r="Q415" s="9">
        <v>43</v>
      </c>
      <c r="R415" s="9">
        <v>1</v>
      </c>
      <c r="S415" s="9">
        <v>-0.90100000000000002</v>
      </c>
      <c r="T415" s="9">
        <v>136.03757999999999</v>
      </c>
      <c r="U415" s="9"/>
      <c r="V415" s="11" t="s">
        <v>694</v>
      </c>
      <c r="W415" s="11"/>
      <c r="X415" s="11"/>
      <c r="Y415" s="11" t="e">
        <f>VLOOKUP(L415,'[1]singkron data'!D:H,5,FALSE)</f>
        <v>#N/A</v>
      </c>
      <c r="Z415" s="11" t="e">
        <f>VLOOKUP(L415,'[1]singkron data'!D:I,6,FALSE)</f>
        <v>#N/A</v>
      </c>
      <c r="AA415" s="11" t="e">
        <f>VLOOKUP(L415,'[1]singkron data'!D:L,9,FALSE)</f>
        <v>#N/A</v>
      </c>
      <c r="AB415" s="11" t="s">
        <v>694</v>
      </c>
      <c r="AC415" s="11" t="e">
        <f>VLOOKUP(L415,'[1]singkron data'!D:M,10,FALSE)</f>
        <v>#N/A</v>
      </c>
      <c r="AD415" s="11"/>
      <c r="AE415" s="11" t="e">
        <f>VLOOKUP(L415,'[1]singkron data'!D:P,13,FALSE)</f>
        <v>#N/A</v>
      </c>
      <c r="AF415" s="11" t="s">
        <v>55</v>
      </c>
      <c r="AG415" s="11" t="e">
        <f>VLOOKUP(L415,'[1]update kontrak'!E:K,6,FALSE)</f>
        <v>#N/A</v>
      </c>
      <c r="AH415" s="11" t="e">
        <f>VLOOKUP(L415,'[1]update kontrak'!E:K,7,FALSE)</f>
        <v>#N/A</v>
      </c>
      <c r="AI415" s="11"/>
      <c r="AJ415" s="11" t="str">
        <f>VLOOKUP(L415,[1]rekap!D:M,1,FALSE)</f>
        <v>Mnuswor</v>
      </c>
      <c r="AK415" s="11" t="e">
        <f>VLOOKUP(L415,'[1]singkron data'!D:E,2,FALSE)</f>
        <v>#N/A</v>
      </c>
      <c r="AL415" s="11" t="str">
        <f>VLOOKUP(L415,'[1]update 521'!D:D,1,FALSE)</f>
        <v>Mnuswor</v>
      </c>
      <c r="AM415" s="11" t="e">
        <f>VLOOKUP(L415,[1]Sheet18!I:M,5,FALSE)</f>
        <v>#N/A</v>
      </c>
      <c r="AN415" s="11" t="e">
        <f>VLOOKUP(L415,[1]Sheet19!E:L,8,FALSE)</f>
        <v>#N/A</v>
      </c>
      <c r="AO415" s="11" t="e">
        <f>VLOOKUP(L415,[1]Sheet19!E:K,7,FALSE)</f>
        <v>#N/A</v>
      </c>
      <c r="AP415" s="12"/>
    </row>
    <row r="416" spans="1:42" ht="15" x14ac:dyDescent="0.2">
      <c r="A416" s="8" t="s">
        <v>42</v>
      </c>
      <c r="B416" s="9" t="s">
        <v>43</v>
      </c>
      <c r="C416" s="9">
        <v>872</v>
      </c>
      <c r="D416" s="9" t="s">
        <v>908</v>
      </c>
      <c r="E416" s="9">
        <v>68</v>
      </c>
      <c r="F416" s="9" t="s">
        <v>1040</v>
      </c>
      <c r="G416" s="9" t="s">
        <v>908</v>
      </c>
      <c r="H416" s="9" t="s">
        <v>911</v>
      </c>
      <c r="I416" s="9" t="s">
        <v>1014</v>
      </c>
      <c r="J416" s="9" t="s">
        <v>1042</v>
      </c>
      <c r="K416" s="9" t="s">
        <v>1043</v>
      </c>
      <c r="L416" s="9" t="s">
        <v>1043</v>
      </c>
      <c r="M416" s="9" t="s">
        <v>51</v>
      </c>
      <c r="N416" s="9">
        <v>28</v>
      </c>
      <c r="O416" s="9">
        <v>25</v>
      </c>
      <c r="P416" s="9">
        <v>3</v>
      </c>
      <c r="Q416" s="9">
        <v>28</v>
      </c>
      <c r="R416" s="9">
        <v>0.1225</v>
      </c>
      <c r="S416" s="9">
        <v>-0.83399999999999996</v>
      </c>
      <c r="T416" s="9">
        <v>136.01724999999999</v>
      </c>
      <c r="U416" s="9"/>
      <c r="V416" s="11" t="s">
        <v>694</v>
      </c>
      <c r="W416" s="13">
        <f>VLOOKUP(L416,[1]Sheet18!I:N,6,FALSE)</f>
        <v>3298524000</v>
      </c>
      <c r="X416" s="11" t="s">
        <v>55</v>
      </c>
      <c r="Y416" s="11" t="e">
        <f>VLOOKUP(L416,'[1]singkron data'!D:H,5,FALSE)</f>
        <v>#N/A</v>
      </c>
      <c r="Z416" s="11" t="e">
        <f>VLOOKUP(L416,'[1]singkron data'!D:I,6,FALSE)</f>
        <v>#N/A</v>
      </c>
      <c r="AA416" s="11" t="e">
        <f>VLOOKUP(L416,'[1]singkron data'!D:L,9,FALSE)</f>
        <v>#N/A</v>
      </c>
      <c r="AB416" s="11" t="s">
        <v>694</v>
      </c>
      <c r="AC416" s="11" t="e">
        <f>VLOOKUP(L416,'[1]singkron data'!D:M,10,FALSE)</f>
        <v>#N/A</v>
      </c>
      <c r="AD416" s="11"/>
      <c r="AE416" s="11" t="e">
        <f>VLOOKUP(L416,'[1]singkron data'!D:P,13,FALSE)</f>
        <v>#N/A</v>
      </c>
      <c r="AF416" s="11" t="s">
        <v>55</v>
      </c>
      <c r="AG416" s="11" t="e">
        <f>VLOOKUP(L416,'[1]update kontrak'!E:K,6,FALSE)</f>
        <v>#N/A</v>
      </c>
      <c r="AH416" s="11" t="e">
        <f>VLOOKUP(L416,'[1]update kontrak'!E:K,7,FALSE)</f>
        <v>#N/A</v>
      </c>
      <c r="AI416" s="11"/>
      <c r="AJ416" s="11" t="str">
        <f>VLOOKUP(L416,[1]rekap!D:M,1,FALSE)</f>
        <v>Bosnabraidi</v>
      </c>
      <c r="AK416" s="11" t="e">
        <f>VLOOKUP(L416,'[1]singkron data'!D:E,2,FALSE)</f>
        <v>#N/A</v>
      </c>
      <c r="AL416" s="11" t="str">
        <f>VLOOKUP(L416,'[1]update 521'!D:D,1,FALSE)</f>
        <v>Bosnabraidi</v>
      </c>
      <c r="AM416" s="11" t="s">
        <v>57</v>
      </c>
      <c r="AN416" s="11" t="e">
        <f>VLOOKUP(L416,[1]Sheet19!E:L,8,FALSE)</f>
        <v>#N/A</v>
      </c>
      <c r="AO416" s="11" t="e">
        <f>VLOOKUP(L416,[1]Sheet19!E:K,7,FALSE)</f>
        <v>#N/A</v>
      </c>
      <c r="AP416" s="12"/>
    </row>
    <row r="417" spans="1:42" ht="15" x14ac:dyDescent="0.2">
      <c r="A417" s="8" t="s">
        <v>42</v>
      </c>
      <c r="B417" s="9" t="s">
        <v>43</v>
      </c>
      <c r="C417" s="9">
        <v>873</v>
      </c>
      <c r="D417" s="9" t="s">
        <v>908</v>
      </c>
      <c r="E417" s="9">
        <v>69</v>
      </c>
      <c r="F417" s="9" t="s">
        <v>1040</v>
      </c>
      <c r="G417" s="9" t="s">
        <v>908</v>
      </c>
      <c r="H417" s="9" t="s">
        <v>911</v>
      </c>
      <c r="I417" s="9" t="s">
        <v>1014</v>
      </c>
      <c r="J417" s="9" t="s">
        <v>1044</v>
      </c>
      <c r="K417" s="9" t="s">
        <v>943</v>
      </c>
      <c r="L417" s="9" t="s">
        <v>943</v>
      </c>
      <c r="M417" s="9" t="s">
        <v>51</v>
      </c>
      <c r="N417" s="9">
        <v>65</v>
      </c>
      <c r="O417" s="9">
        <v>20</v>
      </c>
      <c r="P417" s="9">
        <v>7</v>
      </c>
      <c r="Q417" s="9">
        <v>27</v>
      </c>
      <c r="R417" s="9">
        <v>0.03</v>
      </c>
      <c r="S417" s="9">
        <v>-0.80295000000000005</v>
      </c>
      <c r="T417" s="9">
        <v>135.96146999999999</v>
      </c>
      <c r="U417" s="9"/>
      <c r="V417" s="11" t="s">
        <v>694</v>
      </c>
      <c r="W417" s="13">
        <f>VLOOKUP(L417,[1]Sheet18!I:N,6,FALSE)</f>
        <v>3450422000</v>
      </c>
      <c r="X417" s="11" t="s">
        <v>55</v>
      </c>
      <c r="Y417" s="11" t="e">
        <f>VLOOKUP(L417,'[1]singkron data'!D:H,5,FALSE)</f>
        <v>#N/A</v>
      </c>
      <c r="Z417" s="11" t="e">
        <f>VLOOKUP(L417,'[1]singkron data'!D:I,6,FALSE)</f>
        <v>#N/A</v>
      </c>
      <c r="AA417" s="11" t="e">
        <f>VLOOKUP(L417,'[1]singkron data'!D:L,9,FALSE)</f>
        <v>#N/A</v>
      </c>
      <c r="AB417" s="11" t="s">
        <v>694</v>
      </c>
      <c r="AC417" s="11" t="e">
        <f>VLOOKUP(L417,'[1]singkron data'!D:M,10,FALSE)</f>
        <v>#N/A</v>
      </c>
      <c r="AD417" s="11"/>
      <c r="AE417" s="11" t="e">
        <f>VLOOKUP(L417,'[1]singkron data'!D:P,13,FALSE)</f>
        <v>#N/A</v>
      </c>
      <c r="AF417" s="11" t="s">
        <v>55</v>
      </c>
      <c r="AG417" s="11" t="e">
        <f>VLOOKUP(L417,'[1]update kontrak'!E:K,6,FALSE)</f>
        <v>#N/A</v>
      </c>
      <c r="AH417" s="11" t="e">
        <f>VLOOKUP(L417,'[1]update kontrak'!E:K,7,FALSE)</f>
        <v>#N/A</v>
      </c>
      <c r="AI417" s="11"/>
      <c r="AJ417" s="11" t="str">
        <f>VLOOKUP(L417,[1]rekap!D:M,1,FALSE)</f>
        <v>Sawai</v>
      </c>
      <c r="AK417" s="11" t="e">
        <f>VLOOKUP(L417,'[1]singkron data'!D:E,2,FALSE)</f>
        <v>#N/A</v>
      </c>
      <c r="AL417" s="11" t="str">
        <f>VLOOKUP(L417,'[1]update 521'!D:D,1,FALSE)</f>
        <v>Sawai</v>
      </c>
      <c r="AM417" s="11" t="s">
        <v>57</v>
      </c>
      <c r="AN417" s="11" t="e">
        <f>VLOOKUP(L417,[1]Sheet19!E:L,8,FALSE)</f>
        <v>#N/A</v>
      </c>
      <c r="AO417" s="11" t="e">
        <f>VLOOKUP(L417,[1]Sheet19!E:K,7,FALSE)</f>
        <v>#N/A</v>
      </c>
      <c r="AP417" s="12"/>
    </row>
    <row r="418" spans="1:42" ht="15" x14ac:dyDescent="0.2">
      <c r="A418" s="8" t="s">
        <v>42</v>
      </c>
      <c r="B418" s="9" t="s">
        <v>43</v>
      </c>
      <c r="C418" s="9">
        <v>874</v>
      </c>
      <c r="D418" s="9" t="s">
        <v>908</v>
      </c>
      <c r="E418" s="9">
        <v>70</v>
      </c>
      <c r="F418" s="9" t="s">
        <v>1040</v>
      </c>
      <c r="G418" s="9" t="s">
        <v>908</v>
      </c>
      <c r="H418" s="9" t="s">
        <v>911</v>
      </c>
      <c r="I418" s="9" t="s">
        <v>1014</v>
      </c>
      <c r="J418" s="9" t="s">
        <v>1041</v>
      </c>
      <c r="K418" s="9" t="s">
        <v>1045</v>
      </c>
      <c r="L418" s="9" t="s">
        <v>1045</v>
      </c>
      <c r="M418" s="9" t="s">
        <v>51</v>
      </c>
      <c r="N418" s="9">
        <v>40</v>
      </c>
      <c r="O418" s="9">
        <v>40</v>
      </c>
      <c r="P418" s="9">
        <v>5</v>
      </c>
      <c r="Q418" s="9">
        <v>45</v>
      </c>
      <c r="R418" s="9">
        <v>0.18</v>
      </c>
      <c r="S418" s="9">
        <v>-0.86948999999999999</v>
      </c>
      <c r="T418" s="9">
        <v>136.04633999999999</v>
      </c>
      <c r="U418" s="9"/>
      <c r="V418" s="11" t="s">
        <v>694</v>
      </c>
      <c r="W418" s="13">
        <f>VLOOKUP(L418,[1]Sheet18!I:N,6,FALSE)</f>
        <v>2947172000</v>
      </c>
      <c r="X418" s="11" t="s">
        <v>55</v>
      </c>
      <c r="Y418" s="11" t="e">
        <f>VLOOKUP(L418,'[1]singkron data'!D:H,5,FALSE)</f>
        <v>#N/A</v>
      </c>
      <c r="Z418" s="11" t="e">
        <f>VLOOKUP(L418,'[1]singkron data'!D:I,6,FALSE)</f>
        <v>#N/A</v>
      </c>
      <c r="AA418" s="11" t="e">
        <f>VLOOKUP(L418,'[1]singkron data'!D:L,9,FALSE)</f>
        <v>#N/A</v>
      </c>
      <c r="AB418" s="11" t="s">
        <v>694</v>
      </c>
      <c r="AC418" s="11" t="e">
        <f>VLOOKUP(L418,'[1]singkron data'!D:M,10,FALSE)</f>
        <v>#N/A</v>
      </c>
      <c r="AD418" s="11"/>
      <c r="AE418" s="11" t="e">
        <f>VLOOKUP(L418,'[1]singkron data'!D:P,13,FALSE)</f>
        <v>#N/A</v>
      </c>
      <c r="AF418" s="11" t="s">
        <v>55</v>
      </c>
      <c r="AG418" s="11" t="e">
        <f>VLOOKUP(L418,'[1]update kontrak'!E:K,6,FALSE)</f>
        <v>#N/A</v>
      </c>
      <c r="AH418" s="11" t="e">
        <f>VLOOKUP(L418,'[1]update kontrak'!E:K,7,FALSE)</f>
        <v>#N/A</v>
      </c>
      <c r="AI418" s="11"/>
      <c r="AJ418" s="11" t="str">
        <f>VLOOKUP(L418,[1]rekap!D:M,1,FALSE)</f>
        <v>Yobdi</v>
      </c>
      <c r="AK418" s="11" t="e">
        <f>VLOOKUP(L418,'[1]singkron data'!D:E,2,FALSE)</f>
        <v>#N/A</v>
      </c>
      <c r="AL418" s="11" t="str">
        <f>VLOOKUP(L418,'[1]update 521'!D:D,1,FALSE)</f>
        <v>Yobdi</v>
      </c>
      <c r="AM418" s="11" t="s">
        <v>57</v>
      </c>
      <c r="AN418" s="11" t="e">
        <f>VLOOKUP(L418,[1]Sheet19!E:L,8,FALSE)</f>
        <v>#N/A</v>
      </c>
      <c r="AO418" s="11" t="e">
        <f>VLOOKUP(L418,[1]Sheet19!E:K,7,FALSE)</f>
        <v>#N/A</v>
      </c>
      <c r="AP418" s="12"/>
    </row>
    <row r="419" spans="1:42" ht="15" x14ac:dyDescent="0.2">
      <c r="A419" s="8" t="s">
        <v>42</v>
      </c>
      <c r="B419" s="9" t="s">
        <v>43</v>
      </c>
      <c r="C419" s="9">
        <v>875</v>
      </c>
      <c r="D419" s="9" t="s">
        <v>908</v>
      </c>
      <c r="E419" s="9">
        <v>71</v>
      </c>
      <c r="F419" s="9" t="s">
        <v>982</v>
      </c>
      <c r="G419" s="9" t="s">
        <v>908</v>
      </c>
      <c r="H419" s="9" t="s">
        <v>911</v>
      </c>
      <c r="I419" s="9" t="s">
        <v>935</v>
      </c>
      <c r="J419" s="9" t="s">
        <v>1046</v>
      </c>
      <c r="K419" s="9" t="s">
        <v>1047</v>
      </c>
      <c r="L419" s="9" t="s">
        <v>1047</v>
      </c>
      <c r="M419" s="9" t="s">
        <v>51</v>
      </c>
      <c r="N419" s="9">
        <v>100</v>
      </c>
      <c r="O419" s="9">
        <v>3</v>
      </c>
      <c r="P419" s="9">
        <v>2</v>
      </c>
      <c r="Q419" s="9">
        <v>180</v>
      </c>
      <c r="R419" s="9">
        <v>0.5</v>
      </c>
      <c r="S419" s="9">
        <v>-1.6585000000000001</v>
      </c>
      <c r="T419" s="9">
        <v>135.84067999999999</v>
      </c>
      <c r="U419" s="9"/>
      <c r="V419" s="11" t="s">
        <v>694</v>
      </c>
      <c r="W419" s="13">
        <f>VLOOKUP(L419,[1]Sheet18!I:N,6,FALSE)</f>
        <v>5460444000</v>
      </c>
      <c r="X419" s="11" t="s">
        <v>55</v>
      </c>
      <c r="Y419" s="11" t="e">
        <f>VLOOKUP(L419,'[1]singkron data'!D:H,5,FALSE)</f>
        <v>#N/A</v>
      </c>
      <c r="Z419" s="11" t="e">
        <f>VLOOKUP(L419,'[1]singkron data'!D:I,6,FALSE)</f>
        <v>#N/A</v>
      </c>
      <c r="AA419" s="11" t="e">
        <f>VLOOKUP(L419,'[1]singkron data'!D:L,9,FALSE)</f>
        <v>#N/A</v>
      </c>
      <c r="AB419" s="11" t="s">
        <v>694</v>
      </c>
      <c r="AC419" s="11" t="e">
        <f>VLOOKUP(L419,'[1]singkron data'!D:M,10,FALSE)</f>
        <v>#N/A</v>
      </c>
      <c r="AD419" s="11"/>
      <c r="AE419" s="11" t="e">
        <f>VLOOKUP(L419,'[1]singkron data'!D:P,13,FALSE)</f>
        <v>#N/A</v>
      </c>
      <c r="AF419" s="11" t="s">
        <v>55</v>
      </c>
      <c r="AG419" s="11" t="e">
        <f>VLOOKUP(L419,'[1]update kontrak'!E:K,6,FALSE)</f>
        <v>#N/A</v>
      </c>
      <c r="AH419" s="11" t="e">
        <f>VLOOKUP(L419,'[1]update kontrak'!E:K,7,FALSE)</f>
        <v>#N/A</v>
      </c>
      <c r="AI419" s="11"/>
      <c r="AJ419" s="11" t="str">
        <f>VLOOKUP(L419,[1]rekap!D:M,1,FALSE)</f>
        <v>Munggui</v>
      </c>
      <c r="AK419" s="11" t="e">
        <f>VLOOKUP(L419,'[1]singkron data'!D:E,2,FALSE)</f>
        <v>#N/A</v>
      </c>
      <c r="AL419" s="11" t="str">
        <f>VLOOKUP(L419,'[1]update 521'!D:D,1,FALSE)</f>
        <v>Munggui</v>
      </c>
      <c r="AM419" s="11" t="s">
        <v>57</v>
      </c>
      <c r="AN419" s="11" t="e">
        <f>VLOOKUP(L419,[1]Sheet19!E:L,8,FALSE)</f>
        <v>#N/A</v>
      </c>
      <c r="AO419" s="11" t="e">
        <f>VLOOKUP(L419,[1]Sheet19!E:K,7,FALSE)</f>
        <v>#N/A</v>
      </c>
      <c r="AP419" s="12"/>
    </row>
    <row r="420" spans="1:42" ht="15" x14ac:dyDescent="0.2">
      <c r="A420" s="8" t="s">
        <v>42</v>
      </c>
      <c r="B420" s="9" t="s">
        <v>43</v>
      </c>
      <c r="C420" s="9">
        <v>876</v>
      </c>
      <c r="D420" s="9" t="s">
        <v>908</v>
      </c>
      <c r="E420" s="9">
        <v>72</v>
      </c>
      <c r="F420" s="9" t="s">
        <v>982</v>
      </c>
      <c r="G420" s="9" t="s">
        <v>908</v>
      </c>
      <c r="H420" s="9" t="s">
        <v>911</v>
      </c>
      <c r="I420" s="9" t="s">
        <v>935</v>
      </c>
      <c r="J420" s="9" t="s">
        <v>1048</v>
      </c>
      <c r="K420" s="9" t="s">
        <v>1049</v>
      </c>
      <c r="L420" s="9" t="s">
        <v>1049</v>
      </c>
      <c r="M420" s="9" t="s">
        <v>51</v>
      </c>
      <c r="N420" s="9">
        <v>47</v>
      </c>
      <c r="O420" s="9">
        <v>11</v>
      </c>
      <c r="P420" s="9">
        <v>12</v>
      </c>
      <c r="Q420" s="9">
        <v>102</v>
      </c>
      <c r="R420" s="9">
        <v>0.3</v>
      </c>
      <c r="S420" s="9">
        <v>-1.52616</v>
      </c>
      <c r="T420" s="9">
        <v>135.82852</v>
      </c>
      <c r="U420" s="9"/>
      <c r="V420" s="11" t="s">
        <v>694</v>
      </c>
      <c r="W420" s="11"/>
      <c r="X420" s="11"/>
      <c r="Y420" s="11" t="e">
        <f>VLOOKUP(L420,'[1]singkron data'!D:H,5,FALSE)</f>
        <v>#N/A</v>
      </c>
      <c r="Z420" s="11" t="e">
        <f>VLOOKUP(L420,'[1]singkron data'!D:I,6,FALSE)</f>
        <v>#N/A</v>
      </c>
      <c r="AA420" s="11" t="e">
        <f>VLOOKUP(L420,'[1]singkron data'!D:L,9,FALSE)</f>
        <v>#N/A</v>
      </c>
      <c r="AB420" s="11" t="s">
        <v>694</v>
      </c>
      <c r="AC420" s="11" t="e">
        <f>VLOOKUP(L420,'[1]singkron data'!D:M,10,FALSE)</f>
        <v>#N/A</v>
      </c>
      <c r="AD420" s="11"/>
      <c r="AE420" s="11" t="e">
        <f>VLOOKUP(L420,'[1]singkron data'!D:P,13,FALSE)</f>
        <v>#N/A</v>
      </c>
      <c r="AF420" s="11"/>
      <c r="AG420" s="11" t="e">
        <f>VLOOKUP(L420,'[1]update kontrak'!E:K,6,FALSE)</f>
        <v>#N/A</v>
      </c>
      <c r="AH420" s="11" t="e">
        <f>VLOOKUP(L420,'[1]update kontrak'!E:K,7,FALSE)</f>
        <v>#N/A</v>
      </c>
      <c r="AI420" s="11"/>
      <c r="AJ420" s="11" t="str">
        <f>VLOOKUP(L420,[1]rekap!D:M,1,FALSE)</f>
        <v>Nurawi</v>
      </c>
      <c r="AK420" s="11" t="e">
        <f>VLOOKUP(L420,'[1]singkron data'!D:E,2,FALSE)</f>
        <v>#N/A</v>
      </c>
      <c r="AL420" s="11" t="str">
        <f>VLOOKUP(L420,'[1]update 521'!D:D,1,FALSE)</f>
        <v>Nurawi</v>
      </c>
      <c r="AM420" s="11" t="e">
        <f>VLOOKUP(L420,[1]Sheet18!I:M,5,FALSE)</f>
        <v>#N/A</v>
      </c>
      <c r="AN420" s="11" t="e">
        <f>VLOOKUP(L420,[1]Sheet19!E:L,8,FALSE)</f>
        <v>#N/A</v>
      </c>
      <c r="AO420" s="11" t="e">
        <f>VLOOKUP(L420,[1]Sheet19!E:K,7,FALSE)</f>
        <v>#N/A</v>
      </c>
      <c r="AP420" s="12"/>
    </row>
    <row r="421" spans="1:42" ht="15" x14ac:dyDescent="0.2">
      <c r="A421" s="8" t="s">
        <v>42</v>
      </c>
      <c r="B421" s="9" t="s">
        <v>43</v>
      </c>
      <c r="C421" s="9">
        <v>877</v>
      </c>
      <c r="D421" s="9" t="s">
        <v>908</v>
      </c>
      <c r="E421" s="9">
        <v>73</v>
      </c>
      <c r="F421" s="9" t="s">
        <v>1007</v>
      </c>
      <c r="G421" s="9" t="s">
        <v>908</v>
      </c>
      <c r="H421" s="9" t="s">
        <v>911</v>
      </c>
      <c r="I421" s="9" t="s">
        <v>513</v>
      </c>
      <c r="J421" s="9" t="s">
        <v>1050</v>
      </c>
      <c r="K421" s="9" t="s">
        <v>1051</v>
      </c>
      <c r="L421" s="9" t="s">
        <v>1051</v>
      </c>
      <c r="M421" s="9" t="s">
        <v>65</v>
      </c>
      <c r="N421" s="9">
        <v>135</v>
      </c>
      <c r="O421" s="9">
        <v>6</v>
      </c>
      <c r="P421" s="9">
        <v>17</v>
      </c>
      <c r="Q421" s="9">
        <v>49</v>
      </c>
      <c r="R421" s="9">
        <v>0.5</v>
      </c>
      <c r="S421" s="9">
        <v>-2.3572299999999999</v>
      </c>
      <c r="T421" s="9">
        <v>140.15043</v>
      </c>
      <c r="U421" s="9"/>
      <c r="V421" s="11" t="s">
        <v>694</v>
      </c>
      <c r="W421" s="13">
        <f>VLOOKUP(L421,[1]Sheet18!I:N,6,FALSE)</f>
        <v>15077222000</v>
      </c>
      <c r="X421" s="11" t="s">
        <v>55</v>
      </c>
      <c r="Y421" s="11" t="e">
        <f>VLOOKUP(L421,'[1]singkron data'!D:H,5,FALSE)</f>
        <v>#N/A</v>
      </c>
      <c r="Z421" s="11" t="e">
        <f>VLOOKUP(L421,'[1]singkron data'!D:I,6,FALSE)</f>
        <v>#N/A</v>
      </c>
      <c r="AA421" s="11" t="e">
        <f>VLOOKUP(L421,'[1]singkron data'!D:L,9,FALSE)</f>
        <v>#N/A</v>
      </c>
      <c r="AB421" s="11" t="s">
        <v>694</v>
      </c>
      <c r="AC421" s="11" t="e">
        <f>VLOOKUP(L421,'[1]singkron data'!D:M,10,FALSE)</f>
        <v>#N/A</v>
      </c>
      <c r="AD421" s="11"/>
      <c r="AE421" s="11" t="e">
        <f>VLOOKUP(L421,'[1]singkron data'!D:P,13,FALSE)</f>
        <v>#N/A</v>
      </c>
      <c r="AF421" s="11" t="s">
        <v>55</v>
      </c>
      <c r="AG421" s="11" t="e">
        <f>VLOOKUP(L421,'[1]update kontrak'!E:K,6,FALSE)</f>
        <v>#N/A</v>
      </c>
      <c r="AH421" s="11" t="e">
        <f>VLOOKUP(L421,'[1]update kontrak'!E:K,7,FALSE)</f>
        <v>#N/A</v>
      </c>
      <c r="AI421" s="11"/>
      <c r="AJ421" s="11" t="str">
        <f>VLOOKUP(L421,[1]rekap!D:M,1,FALSE)</f>
        <v>Muris Kecil</v>
      </c>
      <c r="AK421" s="11" t="e">
        <f>VLOOKUP(L421,'[1]singkron data'!D:E,2,FALSE)</f>
        <v>#N/A</v>
      </c>
      <c r="AL421" s="11" t="str">
        <f>VLOOKUP(L421,'[1]update 521'!D:D,1,FALSE)</f>
        <v>Muris Kecil</v>
      </c>
      <c r="AM421" s="11" t="s">
        <v>57</v>
      </c>
      <c r="AN421" s="11" t="e">
        <f>VLOOKUP(L421,[1]Sheet19!E:L,8,FALSE)</f>
        <v>#N/A</v>
      </c>
      <c r="AO421" s="11" t="e">
        <f>VLOOKUP(L421,[1]Sheet19!E:K,7,FALSE)</f>
        <v>#N/A</v>
      </c>
      <c r="AP421" s="12"/>
    </row>
    <row r="422" spans="1:42" ht="15" x14ac:dyDescent="0.2">
      <c r="A422" s="8" t="s">
        <v>42</v>
      </c>
      <c r="B422" s="9" t="s">
        <v>43</v>
      </c>
      <c r="C422" s="9">
        <v>878</v>
      </c>
      <c r="D422" s="9" t="s">
        <v>908</v>
      </c>
      <c r="E422" s="9">
        <v>74</v>
      </c>
      <c r="F422" s="9" t="s">
        <v>1007</v>
      </c>
      <c r="G422" s="9" t="s">
        <v>908</v>
      </c>
      <c r="H422" s="9" t="s">
        <v>911</v>
      </c>
      <c r="I422" s="9" t="s">
        <v>513</v>
      </c>
      <c r="J422" s="9" t="s">
        <v>1050</v>
      </c>
      <c r="K422" s="9" t="s">
        <v>1052</v>
      </c>
      <c r="L422" s="9" t="s">
        <v>1052</v>
      </c>
      <c r="M422" s="9" t="s">
        <v>51</v>
      </c>
      <c r="N422" s="9">
        <v>75</v>
      </c>
      <c r="O422" s="9">
        <v>4</v>
      </c>
      <c r="P422" s="9">
        <v>2</v>
      </c>
      <c r="Q422" s="9">
        <v>50</v>
      </c>
      <c r="R422" s="9">
        <v>0.05</v>
      </c>
      <c r="S422" s="9">
        <v>-2.3479100000000002</v>
      </c>
      <c r="T422" s="9">
        <v>140.13582</v>
      </c>
      <c r="U422" s="9"/>
      <c r="V422" s="11" t="s">
        <v>694</v>
      </c>
      <c r="W422" s="13">
        <f>VLOOKUP(L422,[1]Sheet18!I:N,6,FALSE)</f>
        <v>6776085000</v>
      </c>
      <c r="X422" s="11" t="s">
        <v>55</v>
      </c>
      <c r="Y422" s="11" t="e">
        <f>VLOOKUP(L422,'[1]singkron data'!D:H,5,FALSE)</f>
        <v>#N/A</v>
      </c>
      <c r="Z422" s="11" t="e">
        <f>VLOOKUP(L422,'[1]singkron data'!D:I,6,FALSE)</f>
        <v>#N/A</v>
      </c>
      <c r="AA422" s="11" t="e">
        <f>VLOOKUP(L422,'[1]singkron data'!D:L,9,FALSE)</f>
        <v>#N/A</v>
      </c>
      <c r="AB422" s="11" t="s">
        <v>694</v>
      </c>
      <c r="AC422" s="11" t="e">
        <f>VLOOKUP(L422,'[1]singkron data'!D:M,10,FALSE)</f>
        <v>#N/A</v>
      </c>
      <c r="AD422" s="11"/>
      <c r="AE422" s="11" t="e">
        <f>VLOOKUP(L422,'[1]singkron data'!D:P,13,FALSE)</f>
        <v>#N/A</v>
      </c>
      <c r="AF422" s="11" t="s">
        <v>55</v>
      </c>
      <c r="AG422" s="11" t="e">
        <f>VLOOKUP(L422,'[1]update kontrak'!E:K,6,FALSE)</f>
        <v>#N/A</v>
      </c>
      <c r="AH422" s="11" t="e">
        <f>VLOOKUP(L422,'[1]update kontrak'!E:K,7,FALSE)</f>
        <v>#N/A</v>
      </c>
      <c r="AI422" s="11"/>
      <c r="AJ422" s="11" t="str">
        <f>VLOOKUP(L422,[1]rekap!D:M,1,FALSE)</f>
        <v>Ambora</v>
      </c>
      <c r="AK422" s="11" t="e">
        <f>VLOOKUP(L422,'[1]singkron data'!D:E,2,FALSE)</f>
        <v>#N/A</v>
      </c>
      <c r="AL422" s="11" t="str">
        <f>VLOOKUP(L422,'[1]update 521'!D:D,1,FALSE)</f>
        <v>Ambora</v>
      </c>
      <c r="AM422" s="11" t="s">
        <v>57</v>
      </c>
      <c r="AN422" s="11" t="e">
        <f>VLOOKUP(L422,[1]Sheet19!E:L,8,FALSE)</f>
        <v>#N/A</v>
      </c>
      <c r="AO422" s="11" t="e">
        <f>VLOOKUP(L422,[1]Sheet19!E:K,7,FALSE)</f>
        <v>#N/A</v>
      </c>
      <c r="AP422" s="12"/>
    </row>
    <row r="423" spans="1:42" ht="15" x14ac:dyDescent="0.2">
      <c r="A423" s="8" t="s">
        <v>42</v>
      </c>
      <c r="B423" s="9" t="s">
        <v>43</v>
      </c>
      <c r="C423" s="9">
        <v>879</v>
      </c>
      <c r="D423" s="9" t="s">
        <v>908</v>
      </c>
      <c r="E423" s="9">
        <v>75</v>
      </c>
      <c r="F423" s="9" t="s">
        <v>1007</v>
      </c>
      <c r="G423" s="9" t="s">
        <v>908</v>
      </c>
      <c r="H423" s="9" t="s">
        <v>911</v>
      </c>
      <c r="I423" s="9" t="s">
        <v>513</v>
      </c>
      <c r="J423" s="9" t="s">
        <v>1050</v>
      </c>
      <c r="K423" s="9" t="s">
        <v>1053</v>
      </c>
      <c r="L423" s="9" t="s">
        <v>1053</v>
      </c>
      <c r="M423" s="9" t="s">
        <v>51</v>
      </c>
      <c r="N423" s="9">
        <v>105</v>
      </c>
      <c r="O423" s="9">
        <v>6</v>
      </c>
      <c r="P423" s="9">
        <v>13</v>
      </c>
      <c r="Q423" s="9">
        <v>19</v>
      </c>
      <c r="R423" s="9">
        <v>0.04</v>
      </c>
      <c r="S423" s="9">
        <v>-2.3228800000000001</v>
      </c>
      <c r="T423" s="9">
        <v>140.11552</v>
      </c>
      <c r="U423" s="9"/>
      <c r="V423" s="11" t="s">
        <v>694</v>
      </c>
      <c r="W423" s="13">
        <f>VLOOKUP(L423,[1]Sheet18!I:N,6,FALSE)</f>
        <v>6853739000</v>
      </c>
      <c r="X423" s="11" t="s">
        <v>55</v>
      </c>
      <c r="Y423" s="11" t="e">
        <f>VLOOKUP(L423,'[1]singkron data'!D:H,5,FALSE)</f>
        <v>#N/A</v>
      </c>
      <c r="Z423" s="11" t="e">
        <f>VLOOKUP(L423,'[1]singkron data'!D:I,6,FALSE)</f>
        <v>#N/A</v>
      </c>
      <c r="AA423" s="11" t="e">
        <f>VLOOKUP(L423,'[1]singkron data'!D:L,9,FALSE)</f>
        <v>#N/A</v>
      </c>
      <c r="AB423" s="11" t="s">
        <v>694</v>
      </c>
      <c r="AC423" s="11" t="e">
        <f>VLOOKUP(L423,'[1]singkron data'!D:M,10,FALSE)</f>
        <v>#N/A</v>
      </c>
      <c r="AD423" s="11"/>
      <c r="AE423" s="11" t="e">
        <f>VLOOKUP(L423,'[1]singkron data'!D:P,13,FALSE)</f>
        <v>#N/A</v>
      </c>
      <c r="AF423" s="11" t="s">
        <v>55</v>
      </c>
      <c r="AG423" s="11" t="e">
        <f>VLOOKUP(L423,'[1]update kontrak'!E:K,6,FALSE)</f>
        <v>#N/A</v>
      </c>
      <c r="AH423" s="11" t="e">
        <f>VLOOKUP(L423,'[1]update kontrak'!E:K,7,FALSE)</f>
        <v>#N/A</v>
      </c>
      <c r="AI423" s="11"/>
      <c r="AJ423" s="11" t="str">
        <f>VLOOKUP(L423,[1]rekap!D:M,1,FALSE)</f>
        <v>Kamdera</v>
      </c>
      <c r="AK423" s="11" t="e">
        <f>VLOOKUP(L423,'[1]singkron data'!D:E,2,FALSE)</f>
        <v>#N/A</v>
      </c>
      <c r="AL423" s="11" t="str">
        <f>VLOOKUP(L423,'[1]update 521'!D:D,1,FALSE)</f>
        <v>Kamdera</v>
      </c>
      <c r="AM423" s="11" t="s">
        <v>57</v>
      </c>
      <c r="AN423" s="11" t="e">
        <f>VLOOKUP(L423,[1]Sheet19!E:L,8,FALSE)</f>
        <v>#N/A</v>
      </c>
      <c r="AO423" s="11" t="e">
        <f>VLOOKUP(L423,[1]Sheet19!E:K,7,FALSE)</f>
        <v>#N/A</v>
      </c>
      <c r="AP423" s="12"/>
    </row>
    <row r="424" spans="1:42" ht="15" x14ac:dyDescent="0.2">
      <c r="A424" s="8" t="s">
        <v>42</v>
      </c>
      <c r="B424" s="9" t="s">
        <v>43</v>
      </c>
      <c r="C424" s="9">
        <v>880</v>
      </c>
      <c r="D424" s="9" t="s">
        <v>908</v>
      </c>
      <c r="E424" s="9">
        <v>76</v>
      </c>
      <c r="F424" s="9" t="s">
        <v>1007</v>
      </c>
      <c r="G424" s="9" t="s">
        <v>908</v>
      </c>
      <c r="H424" s="9" t="s">
        <v>911</v>
      </c>
      <c r="I424" s="9" t="s">
        <v>513</v>
      </c>
      <c r="J424" s="9" t="s">
        <v>1005</v>
      </c>
      <c r="K424" s="9" t="s">
        <v>1054</v>
      </c>
      <c r="L424" s="9" t="s">
        <v>1054</v>
      </c>
      <c r="M424" s="9" t="s">
        <v>51</v>
      </c>
      <c r="N424" s="9">
        <v>78</v>
      </c>
      <c r="O424" s="9">
        <v>41</v>
      </c>
      <c r="P424" s="9">
        <v>24</v>
      </c>
      <c r="Q424" s="9">
        <v>65</v>
      </c>
      <c r="R424" s="9">
        <v>0.28000000000000003</v>
      </c>
      <c r="S424" s="9">
        <v>-2.4640300000000002</v>
      </c>
      <c r="T424" s="9">
        <v>140.33578</v>
      </c>
      <c r="U424" s="9"/>
      <c r="V424" s="11" t="s">
        <v>694</v>
      </c>
      <c r="W424" s="13">
        <f>VLOOKUP(L424,[1]Sheet18!I:N,6,FALSE)</f>
        <v>6035688000</v>
      </c>
      <c r="X424" s="11" t="s">
        <v>55</v>
      </c>
      <c r="Y424" s="11" t="e">
        <f>VLOOKUP(L424,'[1]singkron data'!D:H,5,FALSE)</f>
        <v>#N/A</v>
      </c>
      <c r="Z424" s="11" t="e">
        <f>VLOOKUP(L424,'[1]singkron data'!D:I,6,FALSE)</f>
        <v>#N/A</v>
      </c>
      <c r="AA424" s="11" t="e">
        <f>VLOOKUP(L424,'[1]singkron data'!D:L,9,FALSE)</f>
        <v>#N/A</v>
      </c>
      <c r="AB424" s="11" t="s">
        <v>694</v>
      </c>
      <c r="AC424" s="11" t="e">
        <f>VLOOKUP(L424,'[1]singkron data'!D:M,10,FALSE)</f>
        <v>#N/A</v>
      </c>
      <c r="AD424" s="11"/>
      <c r="AE424" s="11" t="e">
        <f>VLOOKUP(L424,'[1]singkron data'!D:P,13,FALSE)</f>
        <v>#N/A</v>
      </c>
      <c r="AF424" s="11" t="s">
        <v>55</v>
      </c>
      <c r="AG424" s="11" t="e">
        <f>VLOOKUP(L424,'[1]update kontrak'!E:K,6,FALSE)</f>
        <v>#N/A</v>
      </c>
      <c r="AH424" s="11" t="e">
        <f>VLOOKUP(L424,'[1]update kontrak'!E:K,7,FALSE)</f>
        <v>#N/A</v>
      </c>
      <c r="AI424" s="11"/>
      <c r="AJ424" s="11" t="str">
        <f>VLOOKUP(L424,[1]rekap!D:M,1,FALSE)</f>
        <v>Kendate</v>
      </c>
      <c r="AK424" s="11" t="e">
        <f>VLOOKUP(L424,'[1]singkron data'!D:E,2,FALSE)</f>
        <v>#N/A</v>
      </c>
      <c r="AL424" s="11" t="str">
        <f>VLOOKUP(L424,'[1]update 521'!D:D,1,FALSE)</f>
        <v>Kendate</v>
      </c>
      <c r="AM424" s="11" t="s">
        <v>57</v>
      </c>
      <c r="AN424" s="11" t="e">
        <f>VLOOKUP(L424,[1]Sheet19!E:L,8,FALSE)</f>
        <v>#N/A</v>
      </c>
      <c r="AO424" s="11" t="e">
        <f>VLOOKUP(L424,[1]Sheet19!E:K,7,FALSE)</f>
        <v>#N/A</v>
      </c>
      <c r="AP424" s="12"/>
    </row>
    <row r="425" spans="1:42" ht="15" x14ac:dyDescent="0.2">
      <c r="A425" s="8" t="s">
        <v>42</v>
      </c>
      <c r="B425" s="9" t="s">
        <v>43</v>
      </c>
      <c r="C425" s="9">
        <v>881</v>
      </c>
      <c r="D425" s="9" t="s">
        <v>908</v>
      </c>
      <c r="E425" s="9">
        <v>77</v>
      </c>
      <c r="F425" s="9" t="s">
        <v>1007</v>
      </c>
      <c r="G425" s="9" t="s">
        <v>908</v>
      </c>
      <c r="H425" s="9" t="s">
        <v>911</v>
      </c>
      <c r="I425" s="9" t="s">
        <v>513</v>
      </c>
      <c r="J425" s="9" t="s">
        <v>1008</v>
      </c>
      <c r="K425" s="9" t="s">
        <v>1055</v>
      </c>
      <c r="L425" s="9" t="s">
        <v>1055</v>
      </c>
      <c r="M425" s="9" t="s">
        <v>51</v>
      </c>
      <c r="N425" s="9">
        <v>630</v>
      </c>
      <c r="O425" s="9">
        <v>7</v>
      </c>
      <c r="P425" s="9">
        <v>428</v>
      </c>
      <c r="Q425" s="9">
        <v>435</v>
      </c>
      <c r="R425" s="9">
        <v>0.03</v>
      </c>
      <c r="S425" s="9">
        <v>-2.4208799999999999</v>
      </c>
      <c r="T425" s="9">
        <v>140.26858999999999</v>
      </c>
      <c r="U425" s="9"/>
      <c r="V425" s="11" t="s">
        <v>694</v>
      </c>
      <c r="W425" s="13">
        <f>VLOOKUP(L425,[1]Sheet18!I:N,6,FALSE)</f>
        <v>6222345000</v>
      </c>
      <c r="X425" s="11" t="s">
        <v>55</v>
      </c>
      <c r="Y425" s="11" t="e">
        <f>VLOOKUP(L425,'[1]singkron data'!D:H,5,FALSE)</f>
        <v>#N/A</v>
      </c>
      <c r="Z425" s="11" t="e">
        <f>VLOOKUP(L425,'[1]singkron data'!D:I,6,FALSE)</f>
        <v>#N/A</v>
      </c>
      <c r="AA425" s="11" t="e">
        <f>VLOOKUP(L425,'[1]singkron data'!D:L,9,FALSE)</f>
        <v>#N/A</v>
      </c>
      <c r="AB425" s="11" t="s">
        <v>694</v>
      </c>
      <c r="AC425" s="11" t="e">
        <f>VLOOKUP(L425,'[1]singkron data'!D:M,10,FALSE)</f>
        <v>#N/A</v>
      </c>
      <c r="AD425" s="11"/>
      <c r="AE425" s="11" t="e">
        <f>VLOOKUP(L425,'[1]singkron data'!D:P,13,FALSE)</f>
        <v>#N/A</v>
      </c>
      <c r="AF425" s="11" t="s">
        <v>55</v>
      </c>
      <c r="AG425" s="11" t="e">
        <f>VLOOKUP(L425,'[1]update kontrak'!E:K,6,FALSE)</f>
        <v>#N/A</v>
      </c>
      <c r="AH425" s="11" t="e">
        <f>VLOOKUP(L425,'[1]update kontrak'!E:K,7,FALSE)</f>
        <v>#N/A</v>
      </c>
      <c r="AI425" s="11"/>
      <c r="AJ425" s="11" t="str">
        <f>VLOOKUP(L425,[1]rekap!D:M,1,FALSE)</f>
        <v>Meukisi</v>
      </c>
      <c r="AK425" s="11" t="e">
        <f>VLOOKUP(L425,'[1]singkron data'!D:E,2,FALSE)</f>
        <v>#N/A</v>
      </c>
      <c r="AL425" s="11" t="str">
        <f>VLOOKUP(L425,'[1]update 521'!D:D,1,FALSE)</f>
        <v>Meukisi</v>
      </c>
      <c r="AM425" s="11" t="s">
        <v>57</v>
      </c>
      <c r="AN425" s="11" t="e">
        <f>VLOOKUP(L425,[1]Sheet19!E:L,8,FALSE)</f>
        <v>#N/A</v>
      </c>
      <c r="AO425" s="11" t="e">
        <f>VLOOKUP(L425,[1]Sheet19!E:K,7,FALSE)</f>
        <v>#N/A</v>
      </c>
      <c r="AP425" s="12"/>
    </row>
    <row r="426" spans="1:42" ht="15" x14ac:dyDescent="0.2">
      <c r="A426" s="8" t="s">
        <v>42</v>
      </c>
      <c r="B426" s="9" t="s">
        <v>43</v>
      </c>
      <c r="C426" s="9">
        <v>882</v>
      </c>
      <c r="D426" s="9" t="s">
        <v>908</v>
      </c>
      <c r="E426" s="9">
        <v>78</v>
      </c>
      <c r="F426" s="9" t="s">
        <v>1007</v>
      </c>
      <c r="G426" s="9" t="s">
        <v>908</v>
      </c>
      <c r="H426" s="9" t="s">
        <v>911</v>
      </c>
      <c r="I426" s="9" t="s">
        <v>513</v>
      </c>
      <c r="J426" s="9" t="s">
        <v>1050</v>
      </c>
      <c r="K426" s="9" t="s">
        <v>1056</v>
      </c>
      <c r="L426" s="9" t="s">
        <v>1056</v>
      </c>
      <c r="M426" s="9" t="s">
        <v>51</v>
      </c>
      <c r="N426" s="9">
        <v>33</v>
      </c>
      <c r="O426" s="9">
        <v>19</v>
      </c>
      <c r="P426" s="9">
        <v>5</v>
      </c>
      <c r="Q426" s="9">
        <v>19</v>
      </c>
      <c r="R426" s="9">
        <v>0.5</v>
      </c>
      <c r="S426" s="9">
        <v>-2.3636400000000002</v>
      </c>
      <c r="T426" s="9">
        <v>140.03729999999999</v>
      </c>
      <c r="U426" s="9"/>
      <c r="V426" s="11" t="s">
        <v>694</v>
      </c>
      <c r="W426" s="13">
        <f>VLOOKUP(L426,[1]Sheet18!I:N,6,FALSE)</f>
        <v>5482387000</v>
      </c>
      <c r="X426" s="11" t="s">
        <v>55</v>
      </c>
      <c r="Y426" s="11" t="e">
        <f>VLOOKUP(L426,'[1]singkron data'!D:H,5,FALSE)</f>
        <v>#N/A</v>
      </c>
      <c r="Z426" s="11" t="e">
        <f>VLOOKUP(L426,'[1]singkron data'!D:I,6,FALSE)</f>
        <v>#N/A</v>
      </c>
      <c r="AA426" s="11" t="e">
        <f>VLOOKUP(L426,'[1]singkron data'!D:L,9,FALSE)</f>
        <v>#N/A</v>
      </c>
      <c r="AB426" s="11" t="s">
        <v>694</v>
      </c>
      <c r="AC426" s="11" t="e">
        <f>VLOOKUP(L426,'[1]singkron data'!D:M,10,FALSE)</f>
        <v>#N/A</v>
      </c>
      <c r="AD426" s="11"/>
      <c r="AE426" s="11" t="e">
        <f>VLOOKUP(L426,'[1]singkron data'!D:P,13,FALSE)</f>
        <v>#N/A</v>
      </c>
      <c r="AF426" s="11" t="s">
        <v>55</v>
      </c>
      <c r="AG426" s="11" t="e">
        <f>VLOOKUP(L426,'[1]update kontrak'!E:K,6,FALSE)</f>
        <v>#N/A</v>
      </c>
      <c r="AH426" s="11" t="e">
        <f>VLOOKUP(L426,'[1]update kontrak'!E:K,7,FALSE)</f>
        <v>#N/A</v>
      </c>
      <c r="AI426" s="11"/>
      <c r="AJ426" s="11" t="str">
        <f>VLOOKUP(L426,[1]rekap!D:M,1,FALSE)</f>
        <v>Muaif</v>
      </c>
      <c r="AK426" s="11" t="e">
        <f>VLOOKUP(L426,'[1]singkron data'!D:E,2,FALSE)</f>
        <v>#N/A</v>
      </c>
      <c r="AL426" s="11" t="str">
        <f>VLOOKUP(L426,'[1]update 521'!D:D,1,FALSE)</f>
        <v>Muaif</v>
      </c>
      <c r="AM426" s="11" t="s">
        <v>57</v>
      </c>
      <c r="AN426" s="11" t="e">
        <f>VLOOKUP(L426,[1]Sheet19!E:L,8,FALSE)</f>
        <v>#N/A</v>
      </c>
      <c r="AO426" s="11" t="e">
        <f>VLOOKUP(L426,[1]Sheet19!E:K,7,FALSE)</f>
        <v>#N/A</v>
      </c>
      <c r="AP426" s="12"/>
    </row>
    <row r="427" spans="1:42" ht="15" x14ac:dyDescent="0.2">
      <c r="A427" s="8" t="s">
        <v>42</v>
      </c>
      <c r="B427" s="9" t="s">
        <v>43</v>
      </c>
      <c r="C427" s="9">
        <v>883</v>
      </c>
      <c r="D427" s="9" t="s">
        <v>908</v>
      </c>
      <c r="E427" s="9">
        <v>79</v>
      </c>
      <c r="F427" s="9" t="s">
        <v>1007</v>
      </c>
      <c r="G427" s="9" t="s">
        <v>908</v>
      </c>
      <c r="H427" s="9" t="s">
        <v>911</v>
      </c>
      <c r="I427" s="9" t="s">
        <v>513</v>
      </c>
      <c r="J427" s="9" t="s">
        <v>1050</v>
      </c>
      <c r="K427" s="9" t="s">
        <v>1057</v>
      </c>
      <c r="L427" s="9" t="s">
        <v>1057</v>
      </c>
      <c r="M427" s="9" t="s">
        <v>51</v>
      </c>
      <c r="N427" s="9">
        <v>46</v>
      </c>
      <c r="O427" s="9">
        <v>10</v>
      </c>
      <c r="P427" s="9">
        <v>3</v>
      </c>
      <c r="Q427" s="9">
        <v>28</v>
      </c>
      <c r="R427" s="9">
        <v>1</v>
      </c>
      <c r="S427" s="9">
        <v>-2.36788</v>
      </c>
      <c r="T427" s="9">
        <v>140.15170000000001</v>
      </c>
      <c r="U427" s="9"/>
      <c r="V427" s="11" t="s">
        <v>694</v>
      </c>
      <c r="W427" s="13">
        <f>VLOOKUP(L427,[1]Sheet18!I:N,6,FALSE)</f>
        <v>5028979000</v>
      </c>
      <c r="X427" s="11" t="s">
        <v>55</v>
      </c>
      <c r="Y427" s="11" t="e">
        <f>VLOOKUP(L427,'[1]singkron data'!D:H,5,FALSE)</f>
        <v>#N/A</v>
      </c>
      <c r="Z427" s="11" t="e">
        <f>VLOOKUP(L427,'[1]singkron data'!D:I,6,FALSE)</f>
        <v>#N/A</v>
      </c>
      <c r="AA427" s="11" t="e">
        <f>VLOOKUP(L427,'[1]singkron data'!D:L,9,FALSE)</f>
        <v>#N/A</v>
      </c>
      <c r="AB427" s="11" t="s">
        <v>694</v>
      </c>
      <c r="AC427" s="11" t="e">
        <f>VLOOKUP(L427,'[1]singkron data'!D:M,10,FALSE)</f>
        <v>#N/A</v>
      </c>
      <c r="AD427" s="11"/>
      <c r="AE427" s="11" t="e">
        <f>VLOOKUP(L427,'[1]singkron data'!D:P,13,FALSE)</f>
        <v>#N/A</v>
      </c>
      <c r="AF427" s="11" t="s">
        <v>55</v>
      </c>
      <c r="AG427" s="11" t="e">
        <f>VLOOKUP(L427,'[1]update kontrak'!E:K,6,FALSE)</f>
        <v>#N/A</v>
      </c>
      <c r="AH427" s="11" t="e">
        <f>VLOOKUP(L427,'[1]update kontrak'!E:K,7,FALSE)</f>
        <v>#N/A</v>
      </c>
      <c r="AI427" s="11"/>
      <c r="AJ427" s="11" t="str">
        <f>VLOOKUP(L427,[1]rekap!D:M,1,FALSE)</f>
        <v>Yakore</v>
      </c>
      <c r="AK427" s="11" t="e">
        <f>VLOOKUP(L427,'[1]singkron data'!D:E,2,FALSE)</f>
        <v>#N/A</v>
      </c>
      <c r="AL427" s="11" t="str">
        <f>VLOOKUP(L427,'[1]update 521'!D:D,1,FALSE)</f>
        <v>Yakore</v>
      </c>
      <c r="AM427" s="11" t="s">
        <v>57</v>
      </c>
      <c r="AN427" s="11" t="e">
        <f>VLOOKUP(L427,[1]Sheet19!E:L,8,FALSE)</f>
        <v>#N/A</v>
      </c>
      <c r="AO427" s="11" t="e">
        <f>VLOOKUP(L427,[1]Sheet19!E:K,7,FALSE)</f>
        <v>#N/A</v>
      </c>
      <c r="AP427" s="12"/>
    </row>
    <row r="428" spans="1:42" ht="15" x14ac:dyDescent="0.2">
      <c r="A428" s="8" t="s">
        <v>42</v>
      </c>
      <c r="B428" s="9" t="s">
        <v>43</v>
      </c>
      <c r="C428" s="9">
        <v>884</v>
      </c>
      <c r="D428" s="9" t="s">
        <v>908</v>
      </c>
      <c r="E428" s="9">
        <v>80</v>
      </c>
      <c r="F428" s="9" t="s">
        <v>1007</v>
      </c>
      <c r="G428" s="9" t="s">
        <v>908</v>
      </c>
      <c r="H428" s="9" t="s">
        <v>911</v>
      </c>
      <c r="I428" s="9" t="s">
        <v>513</v>
      </c>
      <c r="J428" s="9" t="s">
        <v>1050</v>
      </c>
      <c r="K428" s="9" t="s">
        <v>1058</v>
      </c>
      <c r="L428" s="9" t="s">
        <v>1058</v>
      </c>
      <c r="M428" s="9" t="s">
        <v>51</v>
      </c>
      <c r="N428" s="9">
        <v>50</v>
      </c>
      <c r="O428" s="9">
        <v>40</v>
      </c>
      <c r="P428" s="9">
        <v>9</v>
      </c>
      <c r="Q428" s="9">
        <v>49</v>
      </c>
      <c r="R428" s="9">
        <v>0.05</v>
      </c>
      <c r="S428" s="9">
        <v>-2.3429190000000002</v>
      </c>
      <c r="T428" s="9">
        <v>140.14541600000001</v>
      </c>
      <c r="U428" s="9"/>
      <c r="V428" s="11" t="s">
        <v>694</v>
      </c>
      <c r="W428" s="11"/>
      <c r="X428" s="11"/>
      <c r="Y428" s="11" t="e">
        <f>VLOOKUP(L428,'[1]singkron data'!D:H,5,FALSE)</f>
        <v>#N/A</v>
      </c>
      <c r="Z428" s="11" t="e">
        <f>VLOOKUP(L428,'[1]singkron data'!D:I,6,FALSE)</f>
        <v>#N/A</v>
      </c>
      <c r="AA428" s="11" t="e">
        <f>VLOOKUP(L428,'[1]singkron data'!D:L,9,FALSE)</f>
        <v>#N/A</v>
      </c>
      <c r="AB428" s="11" t="s">
        <v>694</v>
      </c>
      <c r="AC428" s="11" t="e">
        <f>VLOOKUP(L428,'[1]singkron data'!D:M,10,FALSE)</f>
        <v>#N/A</v>
      </c>
      <c r="AD428" s="11"/>
      <c r="AE428" s="11" t="e">
        <f>VLOOKUP(L428,'[1]singkron data'!D:P,13,FALSE)</f>
        <v>#N/A</v>
      </c>
      <c r="AF428" s="11" t="s">
        <v>55</v>
      </c>
      <c r="AG428" s="11" t="e">
        <f>VLOOKUP(L428,'[1]update kontrak'!E:K,6,FALSE)</f>
        <v>#N/A</v>
      </c>
      <c r="AH428" s="11" t="e">
        <f>VLOOKUP(L428,'[1]update kontrak'!E:K,7,FALSE)</f>
        <v>#N/A</v>
      </c>
      <c r="AI428" s="11"/>
      <c r="AJ428" s="11" t="str">
        <f>VLOOKUP(L428,[1]rekap!D:M,1,FALSE)</f>
        <v>Yougapsa</v>
      </c>
      <c r="AK428" s="11" t="e">
        <f>VLOOKUP(L428,'[1]singkron data'!D:E,2,FALSE)</f>
        <v>#N/A</v>
      </c>
      <c r="AL428" s="11" t="str">
        <f>VLOOKUP(L428,'[1]update 521'!D:D,1,FALSE)</f>
        <v>Yougapsa</v>
      </c>
      <c r="AM428" s="11" t="e">
        <f>VLOOKUP(L428,[1]Sheet18!I:M,5,FALSE)</f>
        <v>#N/A</v>
      </c>
      <c r="AN428" s="11" t="e">
        <f>VLOOKUP(L428,[1]Sheet19!E:L,8,FALSE)</f>
        <v>#N/A</v>
      </c>
      <c r="AO428" s="11" t="e">
        <f>VLOOKUP(L428,[1]Sheet19!E:K,7,FALSE)</f>
        <v>#N/A</v>
      </c>
      <c r="AP428" s="12"/>
    </row>
    <row r="429" spans="1:42" ht="15" x14ac:dyDescent="0.2">
      <c r="A429" s="8" t="s">
        <v>42</v>
      </c>
      <c r="B429" s="9" t="s">
        <v>43</v>
      </c>
      <c r="C429" s="9">
        <v>885</v>
      </c>
      <c r="D429" s="9" t="s">
        <v>908</v>
      </c>
      <c r="E429" s="9">
        <v>81</v>
      </c>
      <c r="F429" s="9" t="s">
        <v>1059</v>
      </c>
      <c r="G429" s="9" t="s">
        <v>1060</v>
      </c>
      <c r="H429" s="9" t="s">
        <v>911</v>
      </c>
      <c r="I429" s="9" t="s">
        <v>1061</v>
      </c>
      <c r="J429" s="9" t="s">
        <v>1062</v>
      </c>
      <c r="K429" s="9" t="s">
        <v>1059</v>
      </c>
      <c r="L429" s="9" t="s">
        <v>1059</v>
      </c>
      <c r="M429" s="9" t="s">
        <v>65</v>
      </c>
      <c r="N429" s="9">
        <v>480</v>
      </c>
      <c r="O429" s="9">
        <v>42</v>
      </c>
      <c r="P429" s="9">
        <v>192</v>
      </c>
      <c r="Q429" s="9">
        <v>160</v>
      </c>
      <c r="R429" s="9">
        <v>0.3</v>
      </c>
      <c r="S429" s="9">
        <v>-0.86377000000000004</v>
      </c>
      <c r="T429" s="9">
        <v>131.2465</v>
      </c>
      <c r="U429" s="9"/>
      <c r="V429" s="11" t="s">
        <v>694</v>
      </c>
      <c r="W429" s="11"/>
      <c r="X429" s="11"/>
      <c r="Y429" s="11" t="e">
        <f>VLOOKUP(L429,'[1]singkron data'!D:H,5,FALSE)</f>
        <v>#N/A</v>
      </c>
      <c r="Z429" s="11" t="e">
        <f>VLOOKUP(L429,'[1]singkron data'!D:I,6,FALSE)</f>
        <v>#N/A</v>
      </c>
      <c r="AA429" s="11" t="e">
        <f>VLOOKUP(L429,'[1]singkron data'!D:L,9,FALSE)</f>
        <v>#N/A</v>
      </c>
      <c r="AB429" s="11" t="s">
        <v>694</v>
      </c>
      <c r="AC429" s="11" t="e">
        <f>VLOOKUP(L429,'[1]singkron data'!D:M,10,FALSE)</f>
        <v>#N/A</v>
      </c>
      <c r="AD429" s="11"/>
      <c r="AE429" s="11" t="e">
        <f>VLOOKUP(L429,'[1]singkron data'!D:P,13,FALSE)</f>
        <v>#N/A</v>
      </c>
      <c r="AF429" s="11"/>
      <c r="AG429" s="11" t="e">
        <f>VLOOKUP(L429,'[1]update kontrak'!E:K,6,FALSE)</f>
        <v>#N/A</v>
      </c>
      <c r="AH429" s="11" t="e">
        <f>VLOOKUP(L429,'[1]update kontrak'!E:K,7,FALSE)</f>
        <v>#N/A</v>
      </c>
      <c r="AI429" s="11"/>
      <c r="AJ429" s="11" t="str">
        <f>VLOOKUP(L429,[1]rekap!D:M,1,FALSE)</f>
        <v>Rufei</v>
      </c>
      <c r="AK429" s="11" t="e">
        <f>VLOOKUP(L429,'[1]singkron data'!D:E,2,FALSE)</f>
        <v>#N/A</v>
      </c>
      <c r="AL429" s="11" t="str">
        <f>VLOOKUP(L429,'[1]update 521'!D:D,1,FALSE)</f>
        <v>Rufei</v>
      </c>
      <c r="AM429" s="11" t="e">
        <f>VLOOKUP(L429,[1]Sheet18!I:M,5,FALSE)</f>
        <v>#N/A</v>
      </c>
      <c r="AN429" s="11" t="e">
        <f>VLOOKUP(L429,[1]Sheet19!E:L,8,FALSE)</f>
        <v>#N/A</v>
      </c>
      <c r="AO429" s="11" t="e">
        <f>VLOOKUP(L429,[1]Sheet19!E:K,7,FALSE)</f>
        <v>#N/A</v>
      </c>
      <c r="AP429" s="12"/>
    </row>
    <row r="430" spans="1:42" ht="15" x14ac:dyDescent="0.2">
      <c r="A430" s="8" t="s">
        <v>42</v>
      </c>
      <c r="B430" s="9" t="s">
        <v>43</v>
      </c>
      <c r="C430" s="9">
        <v>886</v>
      </c>
      <c r="D430" s="9" t="s">
        <v>908</v>
      </c>
      <c r="E430" s="9">
        <v>82</v>
      </c>
      <c r="F430" s="9" t="s">
        <v>1063</v>
      </c>
      <c r="G430" s="9" t="s">
        <v>1060</v>
      </c>
      <c r="H430" s="9" t="s">
        <v>911</v>
      </c>
      <c r="I430" s="9" t="s">
        <v>1064</v>
      </c>
      <c r="J430" s="9" t="s">
        <v>1065</v>
      </c>
      <c r="K430" s="9" t="s">
        <v>1063</v>
      </c>
      <c r="L430" s="9" t="s">
        <v>1063</v>
      </c>
      <c r="M430" s="9" t="s">
        <v>65</v>
      </c>
      <c r="N430" s="9">
        <v>35</v>
      </c>
      <c r="O430" s="9">
        <v>2</v>
      </c>
      <c r="P430" s="9">
        <v>5</v>
      </c>
      <c r="Q430" s="9">
        <v>35</v>
      </c>
      <c r="R430" s="9">
        <v>1</v>
      </c>
      <c r="S430" s="9">
        <v>-0.63439999999999996</v>
      </c>
      <c r="T430" s="9">
        <v>131.92389</v>
      </c>
      <c r="U430" s="9"/>
      <c r="V430" s="11" t="s">
        <v>694</v>
      </c>
      <c r="W430" s="11"/>
      <c r="X430" s="11"/>
      <c r="Y430" s="11" t="e">
        <f>VLOOKUP(L430,'[1]singkron data'!D:H,5,FALSE)</f>
        <v>#N/A</v>
      </c>
      <c r="Z430" s="11" t="e">
        <f>VLOOKUP(L430,'[1]singkron data'!D:I,6,FALSE)</f>
        <v>#N/A</v>
      </c>
      <c r="AA430" s="11" t="e">
        <f>VLOOKUP(L430,'[1]singkron data'!D:L,9,FALSE)</f>
        <v>#N/A</v>
      </c>
      <c r="AB430" s="11" t="s">
        <v>694</v>
      </c>
      <c r="AC430" s="11" t="e">
        <f>VLOOKUP(L430,'[1]singkron data'!D:M,10,FALSE)</f>
        <v>#N/A</v>
      </c>
      <c r="AD430" s="11"/>
      <c r="AE430" s="11" t="e">
        <f>VLOOKUP(L430,'[1]singkron data'!D:P,13,FALSE)</f>
        <v>#N/A</v>
      </c>
      <c r="AF430" s="11"/>
      <c r="AG430" s="11" t="e">
        <f>VLOOKUP(L430,'[1]update kontrak'!E:K,6,FALSE)</f>
        <v>#N/A</v>
      </c>
      <c r="AH430" s="11" t="e">
        <f>VLOOKUP(L430,'[1]update kontrak'!E:K,7,FALSE)</f>
        <v>#N/A</v>
      </c>
      <c r="AI430" s="11"/>
      <c r="AJ430" s="11" t="str">
        <f>VLOOKUP(L430,[1]rekap!D:M,1,FALSE)</f>
        <v>Sau Uram</v>
      </c>
      <c r="AK430" s="11" t="e">
        <f>VLOOKUP(L430,'[1]singkron data'!D:E,2,FALSE)</f>
        <v>#N/A</v>
      </c>
      <c r="AL430" s="11" t="str">
        <f>VLOOKUP(L430,'[1]update 521'!D:D,1,FALSE)</f>
        <v>Sau Uram</v>
      </c>
      <c r="AM430" s="11" t="e">
        <f>VLOOKUP(L430,[1]Sheet18!I:M,5,FALSE)</f>
        <v>#N/A</v>
      </c>
      <c r="AN430" s="11" t="e">
        <f>VLOOKUP(L430,[1]Sheet19!E:L,8,FALSE)</f>
        <v>#N/A</v>
      </c>
      <c r="AO430" s="11" t="e">
        <f>VLOOKUP(L430,[1]Sheet19!E:K,7,FALSE)</f>
        <v>#N/A</v>
      </c>
      <c r="AP430" s="12"/>
    </row>
    <row r="431" spans="1:42" ht="15" x14ac:dyDescent="0.2">
      <c r="A431" s="8" t="s">
        <v>42</v>
      </c>
      <c r="B431" s="9" t="s">
        <v>43</v>
      </c>
      <c r="C431" s="9">
        <v>887</v>
      </c>
      <c r="D431" s="9" t="s">
        <v>908</v>
      </c>
      <c r="E431" s="9">
        <v>83</v>
      </c>
      <c r="F431" s="9" t="s">
        <v>1066</v>
      </c>
      <c r="G431" s="9" t="s">
        <v>989</v>
      </c>
      <c r="H431" s="9" t="s">
        <v>911</v>
      </c>
      <c r="I431" s="9" t="s">
        <v>1067</v>
      </c>
      <c r="J431" s="9" t="s">
        <v>1068</v>
      </c>
      <c r="K431" s="9" t="s">
        <v>1069</v>
      </c>
      <c r="L431" s="9" t="s">
        <v>1069</v>
      </c>
      <c r="M431" s="9" t="s">
        <v>65</v>
      </c>
      <c r="N431" s="9">
        <v>179</v>
      </c>
      <c r="O431" s="9">
        <v>43</v>
      </c>
      <c r="P431" s="9">
        <v>7</v>
      </c>
      <c r="Q431" s="9">
        <v>50</v>
      </c>
      <c r="R431" s="9">
        <v>1</v>
      </c>
      <c r="S431" s="9">
        <v>-8.3469899999999999</v>
      </c>
      <c r="T431" s="9">
        <v>140.27687</v>
      </c>
      <c r="U431" s="9"/>
      <c r="V431" s="11" t="s">
        <v>694</v>
      </c>
      <c r="W431" s="11"/>
      <c r="X431" s="11"/>
      <c r="Y431" s="11" t="e">
        <f>VLOOKUP(L431,'[1]singkron data'!D:H,5,FALSE)</f>
        <v>#N/A</v>
      </c>
      <c r="Z431" s="11" t="e">
        <f>VLOOKUP(L431,'[1]singkron data'!D:I,6,FALSE)</f>
        <v>#N/A</v>
      </c>
      <c r="AA431" s="11" t="e">
        <f>VLOOKUP(L431,'[1]singkron data'!D:L,9,FALSE)</f>
        <v>#N/A</v>
      </c>
      <c r="AB431" s="11" t="s">
        <v>694</v>
      </c>
      <c r="AC431" s="11" t="e">
        <f>VLOOKUP(L431,'[1]singkron data'!D:M,10,FALSE)</f>
        <v>#N/A</v>
      </c>
      <c r="AD431" s="11"/>
      <c r="AE431" s="11" t="e">
        <f>VLOOKUP(L431,'[1]singkron data'!D:P,13,FALSE)</f>
        <v>#N/A</v>
      </c>
      <c r="AF431" s="11"/>
      <c r="AG431" s="11" t="e">
        <f>VLOOKUP(L431,'[1]update kontrak'!E:K,6,FALSE)</f>
        <v>#N/A</v>
      </c>
      <c r="AH431" s="11" t="e">
        <f>VLOOKUP(L431,'[1]update kontrak'!E:K,7,FALSE)</f>
        <v>#N/A</v>
      </c>
      <c r="AI431" s="11"/>
      <c r="AJ431" s="11" t="str">
        <f>VLOOKUP(L431,[1]rekap!D:M,1,FALSE)</f>
        <v>Kumbe</v>
      </c>
      <c r="AK431" s="11" t="e">
        <f>VLOOKUP(L431,'[1]singkron data'!D:E,2,FALSE)</f>
        <v>#N/A</v>
      </c>
      <c r="AL431" s="11" t="str">
        <f>VLOOKUP(L431,'[1]update 521'!D:D,1,FALSE)</f>
        <v>Kumbe</v>
      </c>
      <c r="AM431" s="11" t="e">
        <f>VLOOKUP(L431,[1]Sheet18!I:M,5,FALSE)</f>
        <v>#N/A</v>
      </c>
      <c r="AN431" s="11" t="e">
        <f>VLOOKUP(L431,[1]Sheet19!E:L,8,FALSE)</f>
        <v>#N/A</v>
      </c>
      <c r="AO431" s="11" t="e">
        <f>VLOOKUP(L431,[1]Sheet19!E:K,7,FALSE)</f>
        <v>#N/A</v>
      </c>
      <c r="AP431" s="12"/>
    </row>
    <row r="432" spans="1:42" ht="15" x14ac:dyDescent="0.2">
      <c r="A432" s="8" t="s">
        <v>42</v>
      </c>
      <c r="B432" s="9" t="s">
        <v>43</v>
      </c>
      <c r="C432" s="9">
        <v>888</v>
      </c>
      <c r="D432" s="9" t="s">
        <v>908</v>
      </c>
      <c r="E432" s="9">
        <v>84</v>
      </c>
      <c r="F432" s="9" t="s">
        <v>1066</v>
      </c>
      <c r="G432" s="9" t="s">
        <v>989</v>
      </c>
      <c r="H432" s="9" t="s">
        <v>911</v>
      </c>
      <c r="I432" s="9" t="s">
        <v>1067</v>
      </c>
      <c r="J432" s="9" t="s">
        <v>1068</v>
      </c>
      <c r="K432" s="9" t="s">
        <v>1070</v>
      </c>
      <c r="L432" s="9" t="s">
        <v>1070</v>
      </c>
      <c r="M432" s="9" t="s">
        <v>51</v>
      </c>
      <c r="N432" s="9">
        <v>100</v>
      </c>
      <c r="O432" s="9" t="s">
        <v>72</v>
      </c>
      <c r="P432" s="9">
        <v>40</v>
      </c>
      <c r="Q432" s="9">
        <v>40</v>
      </c>
      <c r="R432" s="9">
        <v>1</v>
      </c>
      <c r="S432" s="9">
        <v>-8.1259099999999993</v>
      </c>
      <c r="T432" s="9">
        <v>139.96011999999999</v>
      </c>
      <c r="U432" s="9"/>
      <c r="V432" s="11" t="s">
        <v>694</v>
      </c>
      <c r="W432" s="11"/>
      <c r="X432" s="11"/>
      <c r="Y432" s="11" t="e">
        <f>VLOOKUP(L432,'[1]singkron data'!D:H,5,FALSE)</f>
        <v>#N/A</v>
      </c>
      <c r="Z432" s="11" t="e">
        <f>VLOOKUP(L432,'[1]singkron data'!D:I,6,FALSE)</f>
        <v>#N/A</v>
      </c>
      <c r="AA432" s="11" t="e">
        <f>VLOOKUP(L432,'[1]singkron data'!D:L,9,FALSE)</f>
        <v>#N/A</v>
      </c>
      <c r="AB432" s="11" t="s">
        <v>694</v>
      </c>
      <c r="AC432" s="11" t="e">
        <f>VLOOKUP(L432,'[1]singkron data'!D:M,10,FALSE)</f>
        <v>#N/A</v>
      </c>
      <c r="AD432" s="11"/>
      <c r="AE432" s="11" t="e">
        <f>VLOOKUP(L432,'[1]singkron data'!D:P,13,FALSE)</f>
        <v>#N/A</v>
      </c>
      <c r="AF432" s="11"/>
      <c r="AG432" s="11" t="e">
        <f>VLOOKUP(L432,'[1]update kontrak'!E:K,6,FALSE)</f>
        <v>#N/A</v>
      </c>
      <c r="AH432" s="11" t="e">
        <f>VLOOKUP(L432,'[1]update kontrak'!E:K,7,FALSE)</f>
        <v>#N/A</v>
      </c>
      <c r="AI432" s="11"/>
      <c r="AJ432" s="11" t="str">
        <f>VLOOKUP(L432,[1]rekap!D:M,1,FALSE)</f>
        <v>Domande</v>
      </c>
      <c r="AK432" s="11" t="e">
        <f>VLOOKUP(L432,'[1]singkron data'!D:E,2,FALSE)</f>
        <v>#N/A</v>
      </c>
      <c r="AL432" s="11" t="str">
        <f>VLOOKUP(L432,'[1]update 521'!D:D,1,FALSE)</f>
        <v>Domande</v>
      </c>
      <c r="AM432" s="11" t="e">
        <f>VLOOKUP(L432,[1]Sheet18!I:M,5,FALSE)</f>
        <v>#N/A</v>
      </c>
      <c r="AN432" s="11" t="e">
        <f>VLOOKUP(L432,[1]Sheet19!E:L,8,FALSE)</f>
        <v>#N/A</v>
      </c>
      <c r="AO432" s="11" t="e">
        <f>VLOOKUP(L432,[1]Sheet19!E:K,7,FALSE)</f>
        <v>#N/A</v>
      </c>
      <c r="AP432" s="12"/>
    </row>
    <row r="433" spans="1:42" ht="15" x14ac:dyDescent="0.2">
      <c r="A433" s="8" t="s">
        <v>42</v>
      </c>
      <c r="B433" s="9" t="s">
        <v>43</v>
      </c>
      <c r="C433" s="9">
        <v>889</v>
      </c>
      <c r="D433" s="9" t="s">
        <v>908</v>
      </c>
      <c r="E433" s="9">
        <v>85</v>
      </c>
      <c r="F433" s="9" t="s">
        <v>1066</v>
      </c>
      <c r="G433" s="9" t="s">
        <v>989</v>
      </c>
      <c r="H433" s="9" t="s">
        <v>911</v>
      </c>
      <c r="I433" s="9" t="s">
        <v>1067</v>
      </c>
      <c r="J433" s="9" t="s">
        <v>1071</v>
      </c>
      <c r="K433" s="9" t="s">
        <v>1072</v>
      </c>
      <c r="L433" s="9" t="s">
        <v>1072</v>
      </c>
      <c r="M433" s="9" t="s">
        <v>51</v>
      </c>
      <c r="N433" s="9">
        <v>80</v>
      </c>
      <c r="O433" s="9" t="s">
        <v>72</v>
      </c>
      <c r="P433" s="9">
        <v>7</v>
      </c>
      <c r="Q433" s="9">
        <v>7</v>
      </c>
      <c r="R433" s="9">
        <v>0.97</v>
      </c>
      <c r="S433" s="9">
        <v>-8.4631699999999999</v>
      </c>
      <c r="T433" s="9">
        <v>140.32785999999999</v>
      </c>
      <c r="U433" s="9"/>
      <c r="V433" s="11" t="s">
        <v>694</v>
      </c>
      <c r="W433" s="11"/>
      <c r="X433" s="11"/>
      <c r="Y433" s="11" t="e">
        <f>VLOOKUP(L433,'[1]singkron data'!D:H,5,FALSE)</f>
        <v>#N/A</v>
      </c>
      <c r="Z433" s="11" t="e">
        <f>VLOOKUP(L433,'[1]singkron data'!D:I,6,FALSE)</f>
        <v>#N/A</v>
      </c>
      <c r="AA433" s="11" t="e">
        <f>VLOOKUP(L433,'[1]singkron data'!D:L,9,FALSE)</f>
        <v>#N/A</v>
      </c>
      <c r="AB433" s="11" t="s">
        <v>694</v>
      </c>
      <c r="AC433" s="11" t="e">
        <f>VLOOKUP(L433,'[1]singkron data'!D:M,10,FALSE)</f>
        <v>#N/A</v>
      </c>
      <c r="AD433" s="11"/>
      <c r="AE433" s="11" t="e">
        <f>VLOOKUP(L433,'[1]singkron data'!D:P,13,FALSE)</f>
        <v>#N/A</v>
      </c>
      <c r="AF433" s="11"/>
      <c r="AG433" s="11" t="e">
        <f>VLOOKUP(L433,'[1]update kontrak'!E:K,6,FALSE)</f>
        <v>#N/A</v>
      </c>
      <c r="AH433" s="11" t="e">
        <f>VLOOKUP(L433,'[1]update kontrak'!E:K,7,FALSE)</f>
        <v>#N/A</v>
      </c>
      <c r="AI433" s="11"/>
      <c r="AJ433" s="11" t="str">
        <f>VLOOKUP(L433,[1]rekap!D:M,1,FALSE)</f>
        <v>Urumb</v>
      </c>
      <c r="AK433" s="11" t="e">
        <f>VLOOKUP(L433,'[1]singkron data'!D:E,2,FALSE)</f>
        <v>#N/A</v>
      </c>
      <c r="AL433" s="11" t="str">
        <f>VLOOKUP(L433,'[1]update 521'!D:D,1,FALSE)</f>
        <v>Urumb</v>
      </c>
      <c r="AM433" s="11" t="e">
        <f>VLOOKUP(L433,[1]Sheet18!I:M,5,FALSE)</f>
        <v>#N/A</v>
      </c>
      <c r="AN433" s="11" t="e">
        <f>VLOOKUP(L433,[1]Sheet19!E:L,8,FALSE)</f>
        <v>#N/A</v>
      </c>
      <c r="AO433" s="11" t="e">
        <f>VLOOKUP(L433,[1]Sheet19!E:K,7,FALSE)</f>
        <v>#N/A</v>
      </c>
      <c r="AP433" s="12"/>
    </row>
    <row r="434" spans="1:42" ht="15" x14ac:dyDescent="0.2">
      <c r="A434" s="8" t="s">
        <v>42</v>
      </c>
      <c r="B434" s="9" t="s">
        <v>43</v>
      </c>
      <c r="C434" s="9">
        <v>890</v>
      </c>
      <c r="D434" s="9" t="s">
        <v>908</v>
      </c>
      <c r="E434" s="9">
        <v>86</v>
      </c>
      <c r="F434" s="9" t="s">
        <v>1073</v>
      </c>
      <c r="G434" s="9" t="s">
        <v>993</v>
      </c>
      <c r="H434" s="9" t="s">
        <v>911</v>
      </c>
      <c r="I434" s="9" t="s">
        <v>1074</v>
      </c>
      <c r="J434" s="9" t="s">
        <v>1074</v>
      </c>
      <c r="K434" s="9" t="s">
        <v>1073</v>
      </c>
      <c r="L434" s="9" t="s">
        <v>1073</v>
      </c>
      <c r="M434" s="9" t="s">
        <v>65</v>
      </c>
      <c r="N434" s="9">
        <v>839</v>
      </c>
      <c r="O434" s="9">
        <v>70</v>
      </c>
      <c r="P434" s="14">
        <v>1028</v>
      </c>
      <c r="Q434" s="14">
        <v>1098</v>
      </c>
      <c r="R434" s="9">
        <v>0.59</v>
      </c>
      <c r="S434" s="9">
        <v>-3.3439700000000001</v>
      </c>
      <c r="T434" s="9">
        <v>135.51233999999999</v>
      </c>
      <c r="U434" s="9"/>
      <c r="V434" s="11" t="s">
        <v>694</v>
      </c>
      <c r="W434" s="11"/>
      <c r="X434" s="11"/>
      <c r="Y434" s="11" t="e">
        <f>VLOOKUP(L434,'[1]singkron data'!D:H,5,FALSE)</f>
        <v>#N/A</v>
      </c>
      <c r="Z434" s="11" t="e">
        <f>VLOOKUP(L434,'[1]singkron data'!D:I,6,FALSE)</f>
        <v>#N/A</v>
      </c>
      <c r="AA434" s="11" t="e">
        <f>VLOOKUP(L434,'[1]singkron data'!D:L,9,FALSE)</f>
        <v>#N/A</v>
      </c>
      <c r="AB434" s="11" t="s">
        <v>694</v>
      </c>
      <c r="AC434" s="11" t="e">
        <f>VLOOKUP(L434,'[1]singkron data'!D:M,10,FALSE)</f>
        <v>#N/A</v>
      </c>
      <c r="AD434" s="11"/>
      <c r="AE434" s="11" t="e">
        <f>VLOOKUP(L434,'[1]singkron data'!D:P,13,FALSE)</f>
        <v>#N/A</v>
      </c>
      <c r="AF434" s="11"/>
      <c r="AG434" s="11" t="e">
        <f>VLOOKUP(L434,'[1]update kontrak'!E:K,6,FALSE)</f>
        <v>#N/A</v>
      </c>
      <c r="AH434" s="11" t="e">
        <f>VLOOKUP(L434,'[1]update kontrak'!E:K,7,FALSE)</f>
        <v>#N/A</v>
      </c>
      <c r="AI434" s="11"/>
      <c r="AJ434" s="11" t="str">
        <f>VLOOKUP(L434,[1]rekap!D:M,1,FALSE)</f>
        <v>Siriwini</v>
      </c>
      <c r="AK434" s="11" t="e">
        <f>VLOOKUP(L434,'[1]singkron data'!D:E,2,FALSE)</f>
        <v>#N/A</v>
      </c>
      <c r="AL434" s="11" t="str">
        <f>VLOOKUP(L434,'[1]update 521'!D:D,1,FALSE)</f>
        <v>Siriwini</v>
      </c>
      <c r="AM434" s="11" t="e">
        <f>VLOOKUP(L434,[1]Sheet18!I:M,5,FALSE)</f>
        <v>#N/A</v>
      </c>
      <c r="AN434" s="11" t="e">
        <f>VLOOKUP(L434,[1]Sheet19!E:L,8,FALSE)</f>
        <v>#N/A</v>
      </c>
      <c r="AO434" s="11" t="e">
        <f>VLOOKUP(L434,[1]Sheet19!E:K,7,FALSE)</f>
        <v>#N/A</v>
      </c>
      <c r="AP434" s="12"/>
    </row>
    <row r="435" spans="1:42" ht="15" x14ac:dyDescent="0.2">
      <c r="A435" s="8" t="s">
        <v>42</v>
      </c>
      <c r="B435" s="9" t="s">
        <v>43</v>
      </c>
      <c r="C435" s="9">
        <v>891</v>
      </c>
      <c r="D435" s="9" t="s">
        <v>908</v>
      </c>
      <c r="E435" s="9">
        <v>87</v>
      </c>
      <c r="F435" s="9" t="s">
        <v>1073</v>
      </c>
      <c r="G435" s="9" t="s">
        <v>908</v>
      </c>
      <c r="H435" s="9" t="s">
        <v>911</v>
      </c>
      <c r="I435" s="9" t="s">
        <v>971</v>
      </c>
      <c r="J435" s="9" t="s">
        <v>1075</v>
      </c>
      <c r="K435" s="9" t="s">
        <v>1075</v>
      </c>
      <c r="L435" s="9" t="s">
        <v>1075</v>
      </c>
      <c r="M435" s="9" t="s">
        <v>51</v>
      </c>
      <c r="N435" s="9">
        <v>28</v>
      </c>
      <c r="O435" s="9">
        <v>26</v>
      </c>
      <c r="P435" s="9">
        <v>2</v>
      </c>
      <c r="Q435" s="9">
        <v>28</v>
      </c>
      <c r="R435" s="9">
        <v>2</v>
      </c>
      <c r="S435" s="9">
        <v>-2.6913360389999998</v>
      </c>
      <c r="T435" s="9">
        <v>136.0608862</v>
      </c>
      <c r="U435" s="9"/>
      <c r="V435" s="11" t="s">
        <v>694</v>
      </c>
      <c r="W435" s="11"/>
      <c r="X435" s="11"/>
      <c r="Y435" s="11" t="e">
        <f>VLOOKUP(L435,'[1]singkron data'!D:H,5,FALSE)</f>
        <v>#N/A</v>
      </c>
      <c r="Z435" s="11" t="e">
        <f>VLOOKUP(L435,'[1]singkron data'!D:I,6,FALSE)</f>
        <v>#N/A</v>
      </c>
      <c r="AA435" s="11" t="e">
        <f>VLOOKUP(L435,'[1]singkron data'!D:L,9,FALSE)</f>
        <v>#N/A</v>
      </c>
      <c r="AB435" s="11" t="s">
        <v>694</v>
      </c>
      <c r="AC435" s="11" t="e">
        <f>VLOOKUP(L435,'[1]singkron data'!D:M,10,FALSE)</f>
        <v>#N/A</v>
      </c>
      <c r="AD435" s="11"/>
      <c r="AE435" s="11" t="e">
        <f>VLOOKUP(L435,'[1]singkron data'!D:P,13,FALSE)</f>
        <v>#N/A</v>
      </c>
      <c r="AF435" s="11"/>
      <c r="AG435" s="11" t="e">
        <f>VLOOKUP(L435,'[1]update kontrak'!E:K,6,FALSE)</f>
        <v>#N/A</v>
      </c>
      <c r="AH435" s="11" t="e">
        <f>VLOOKUP(L435,'[1]update kontrak'!E:K,7,FALSE)</f>
        <v>#N/A</v>
      </c>
      <c r="AI435" s="11"/>
      <c r="AJ435" s="11" t="str">
        <f>VLOOKUP(L435,[1]rekap!D:M,1,FALSE)</f>
        <v>Wapoga</v>
      </c>
      <c r="AK435" s="11" t="e">
        <f>VLOOKUP(L435,'[1]singkron data'!D:E,2,FALSE)</f>
        <v>#N/A</v>
      </c>
      <c r="AL435" s="11" t="str">
        <f>VLOOKUP(L435,'[1]update 521'!D:D,1,FALSE)</f>
        <v>Wapoga</v>
      </c>
      <c r="AM435" s="11" t="e">
        <f>VLOOKUP(L435,[1]Sheet18!I:M,5,FALSE)</f>
        <v>#N/A</v>
      </c>
      <c r="AN435" s="11" t="e">
        <f>VLOOKUP(L435,[1]Sheet19!E:L,8,FALSE)</f>
        <v>#N/A</v>
      </c>
      <c r="AO435" s="11" t="e">
        <f>VLOOKUP(L435,[1]Sheet19!E:K,7,FALSE)</f>
        <v>#N/A</v>
      </c>
      <c r="AP435" s="12"/>
    </row>
    <row r="436" spans="1:42" ht="15" x14ac:dyDescent="0.2">
      <c r="A436" s="8" t="s">
        <v>42</v>
      </c>
      <c r="B436" s="9" t="s">
        <v>43</v>
      </c>
      <c r="C436" s="9">
        <v>892</v>
      </c>
      <c r="D436" s="9" t="s">
        <v>908</v>
      </c>
      <c r="E436" s="9">
        <v>88</v>
      </c>
      <c r="F436" s="9" t="s">
        <v>1073</v>
      </c>
      <c r="G436" s="9" t="s">
        <v>993</v>
      </c>
      <c r="H436" s="9" t="s">
        <v>911</v>
      </c>
      <c r="I436" s="9" t="s">
        <v>1074</v>
      </c>
      <c r="J436" s="9" t="s">
        <v>1076</v>
      </c>
      <c r="K436" s="9" t="s">
        <v>1077</v>
      </c>
      <c r="L436" s="9" t="s">
        <v>1077</v>
      </c>
      <c r="M436" s="9" t="s">
        <v>51</v>
      </c>
      <c r="N436" s="9">
        <v>77</v>
      </c>
      <c r="O436" s="9">
        <v>23</v>
      </c>
      <c r="P436" s="9">
        <v>27</v>
      </c>
      <c r="Q436" s="9">
        <v>77</v>
      </c>
      <c r="R436" s="9">
        <v>0.31</v>
      </c>
      <c r="S436" s="9">
        <v>-3.0512600000000001</v>
      </c>
      <c r="T436" s="9">
        <v>135.76281</v>
      </c>
      <c r="U436" s="9"/>
      <c r="V436" s="11" t="s">
        <v>694</v>
      </c>
      <c r="W436" s="11"/>
      <c r="X436" s="11"/>
      <c r="Y436" s="11" t="e">
        <f>VLOOKUP(L436,'[1]singkron data'!D:H,5,FALSE)</f>
        <v>#N/A</v>
      </c>
      <c r="Z436" s="11" t="e">
        <f>VLOOKUP(L436,'[1]singkron data'!D:I,6,FALSE)</f>
        <v>#N/A</v>
      </c>
      <c r="AA436" s="11" t="e">
        <f>VLOOKUP(L436,'[1]singkron data'!D:L,9,FALSE)</f>
        <v>#N/A</v>
      </c>
      <c r="AB436" s="11" t="s">
        <v>694</v>
      </c>
      <c r="AC436" s="11" t="e">
        <f>VLOOKUP(L436,'[1]singkron data'!D:M,10,FALSE)</f>
        <v>#N/A</v>
      </c>
      <c r="AD436" s="11"/>
      <c r="AE436" s="11" t="e">
        <f>VLOOKUP(L436,'[1]singkron data'!D:P,13,FALSE)</f>
        <v>#N/A</v>
      </c>
      <c r="AF436" s="11"/>
      <c r="AG436" s="11" t="e">
        <f>VLOOKUP(L436,'[1]update kontrak'!E:K,6,FALSE)</f>
        <v>#N/A</v>
      </c>
      <c r="AH436" s="11" t="e">
        <f>VLOOKUP(L436,'[1]update kontrak'!E:K,7,FALSE)</f>
        <v>#N/A</v>
      </c>
      <c r="AI436" s="11"/>
      <c r="AJ436" s="11" t="str">
        <f>VLOOKUP(L436,[1]rekap!D:M,1,FALSE)</f>
        <v>Weinami</v>
      </c>
      <c r="AK436" s="11" t="e">
        <f>VLOOKUP(L436,'[1]singkron data'!D:E,2,FALSE)</f>
        <v>#N/A</v>
      </c>
      <c r="AL436" s="11" t="str">
        <f>VLOOKUP(L436,'[1]update 521'!D:D,1,FALSE)</f>
        <v>Weinami</v>
      </c>
      <c r="AM436" s="11" t="e">
        <f>VLOOKUP(L436,[1]Sheet18!I:M,5,FALSE)</f>
        <v>#N/A</v>
      </c>
      <c r="AN436" s="11" t="e">
        <f>VLOOKUP(L436,[1]Sheet19!E:L,8,FALSE)</f>
        <v>#N/A</v>
      </c>
      <c r="AO436" s="11" t="e">
        <f>VLOOKUP(L436,[1]Sheet19!E:K,7,FALSE)</f>
        <v>#N/A</v>
      </c>
      <c r="AP436" s="12"/>
    </row>
    <row r="437" spans="1:42" ht="15" x14ac:dyDescent="0.2">
      <c r="A437" s="8" t="s">
        <v>42</v>
      </c>
      <c r="B437" s="9" t="s">
        <v>43</v>
      </c>
      <c r="C437" s="9">
        <v>893</v>
      </c>
      <c r="D437" s="9" t="s">
        <v>908</v>
      </c>
      <c r="E437" s="9">
        <v>89</v>
      </c>
      <c r="F437" s="9" t="s">
        <v>1073</v>
      </c>
      <c r="G437" s="9" t="s">
        <v>908</v>
      </c>
      <c r="H437" s="9" t="s">
        <v>911</v>
      </c>
      <c r="I437" s="9" t="s">
        <v>971</v>
      </c>
      <c r="J437" s="9" t="s">
        <v>1078</v>
      </c>
      <c r="K437" s="9" t="s">
        <v>1079</v>
      </c>
      <c r="L437" s="9" t="s">
        <v>1079</v>
      </c>
      <c r="M437" s="9" t="s">
        <v>51</v>
      </c>
      <c r="N437" s="9">
        <v>32</v>
      </c>
      <c r="O437" s="9" t="s">
        <v>72</v>
      </c>
      <c r="P437" s="9">
        <v>32</v>
      </c>
      <c r="Q437" s="9">
        <v>32</v>
      </c>
      <c r="R437" s="9">
        <v>0.5</v>
      </c>
      <c r="S437" s="9">
        <v>-2.622969946</v>
      </c>
      <c r="T437" s="9">
        <v>136.21444210000001</v>
      </c>
      <c r="U437" s="9"/>
      <c r="V437" s="11" t="s">
        <v>694</v>
      </c>
      <c r="W437" s="11"/>
      <c r="X437" s="11"/>
      <c r="Y437" s="11" t="e">
        <f>VLOOKUP(L437,'[1]singkron data'!D:H,5,FALSE)</f>
        <v>#N/A</v>
      </c>
      <c r="Z437" s="11" t="e">
        <f>VLOOKUP(L437,'[1]singkron data'!D:I,6,FALSE)</f>
        <v>#N/A</v>
      </c>
      <c r="AA437" s="11" t="e">
        <f>VLOOKUP(L437,'[1]singkron data'!D:L,9,FALSE)</f>
        <v>#N/A</v>
      </c>
      <c r="AB437" s="11" t="s">
        <v>694</v>
      </c>
      <c r="AC437" s="11" t="e">
        <f>VLOOKUP(L437,'[1]singkron data'!D:M,10,FALSE)</f>
        <v>#N/A</v>
      </c>
      <c r="AD437" s="11"/>
      <c r="AE437" s="11" t="e">
        <f>VLOOKUP(L437,'[1]singkron data'!D:P,13,FALSE)</f>
        <v>#N/A</v>
      </c>
      <c r="AF437" s="11"/>
      <c r="AG437" s="11" t="e">
        <f>VLOOKUP(L437,'[1]update kontrak'!E:K,6,FALSE)</f>
        <v>#N/A</v>
      </c>
      <c r="AH437" s="11" t="e">
        <f>VLOOKUP(L437,'[1]update kontrak'!E:K,7,FALSE)</f>
        <v>#N/A</v>
      </c>
      <c r="AI437" s="11"/>
      <c r="AJ437" s="11" t="str">
        <f>VLOOKUP(L437,[1]rekap!D:M,1,FALSE)</f>
        <v>Somiangga</v>
      </c>
      <c r="AK437" s="11" t="e">
        <f>VLOOKUP(L437,'[1]singkron data'!D:E,2,FALSE)</f>
        <v>#N/A</v>
      </c>
      <c r="AL437" s="11" t="str">
        <f>VLOOKUP(L437,'[1]update 521'!D:D,1,FALSE)</f>
        <v>Somiangga</v>
      </c>
      <c r="AM437" s="11" t="e">
        <f>VLOOKUP(L437,[1]Sheet18!I:M,5,FALSE)</f>
        <v>#N/A</v>
      </c>
      <c r="AN437" s="11" t="e">
        <f>VLOOKUP(L437,[1]Sheet19!E:L,8,FALSE)</f>
        <v>#N/A</v>
      </c>
      <c r="AO437" s="11" t="e">
        <f>VLOOKUP(L437,[1]Sheet19!E:K,7,FALSE)</f>
        <v>#N/A</v>
      </c>
      <c r="AP437" s="12"/>
    </row>
    <row r="438" spans="1:42" ht="15" x14ac:dyDescent="0.2">
      <c r="A438" s="8" t="s">
        <v>42</v>
      </c>
      <c r="B438" s="9" t="s">
        <v>43</v>
      </c>
      <c r="C438" s="9">
        <v>894</v>
      </c>
      <c r="D438" s="9" t="s">
        <v>908</v>
      </c>
      <c r="E438" s="9">
        <v>90</v>
      </c>
      <c r="F438" s="9" t="s">
        <v>1080</v>
      </c>
      <c r="G438" s="9" t="s">
        <v>989</v>
      </c>
      <c r="H438" s="9" t="s">
        <v>911</v>
      </c>
      <c r="I438" s="9" t="s">
        <v>1081</v>
      </c>
      <c r="J438" s="9" t="s">
        <v>1082</v>
      </c>
      <c r="K438" s="9" t="s">
        <v>1080</v>
      </c>
      <c r="L438" s="9" t="s">
        <v>1080</v>
      </c>
      <c r="M438" s="9" t="s">
        <v>65</v>
      </c>
      <c r="N438" s="9">
        <v>371</v>
      </c>
      <c r="O438" s="9" t="s">
        <v>72</v>
      </c>
      <c r="P438" s="9" t="s">
        <v>72</v>
      </c>
      <c r="Q438" s="9">
        <v>73</v>
      </c>
      <c r="R438" s="9">
        <v>3</v>
      </c>
      <c r="S438" s="9">
        <v>-6.6284999999999998</v>
      </c>
      <c r="T438" s="9">
        <v>138.78945999999999</v>
      </c>
      <c r="U438" s="9"/>
      <c r="V438" s="11" t="s">
        <v>694</v>
      </c>
      <c r="W438" s="11"/>
      <c r="X438" s="11"/>
      <c r="Y438" s="11" t="e">
        <f>VLOOKUP(L438,'[1]singkron data'!D:H,5,FALSE)</f>
        <v>#N/A</v>
      </c>
      <c r="Z438" s="11" t="e">
        <f>VLOOKUP(L438,'[1]singkron data'!D:I,6,FALSE)</f>
        <v>#N/A</v>
      </c>
      <c r="AA438" s="11" t="e">
        <f>VLOOKUP(L438,'[1]singkron data'!D:L,9,FALSE)</f>
        <v>#N/A</v>
      </c>
      <c r="AB438" s="11" t="s">
        <v>694</v>
      </c>
      <c r="AC438" s="11" t="e">
        <f>VLOOKUP(L438,'[1]singkron data'!D:M,10,FALSE)</f>
        <v>#N/A</v>
      </c>
      <c r="AD438" s="11"/>
      <c r="AE438" s="11" t="e">
        <f>VLOOKUP(L438,'[1]singkron data'!D:P,13,FALSE)</f>
        <v>#N/A</v>
      </c>
      <c r="AF438" s="11"/>
      <c r="AG438" s="11" t="e">
        <f>VLOOKUP(L438,'[1]update kontrak'!E:K,6,FALSE)</f>
        <v>#N/A</v>
      </c>
      <c r="AH438" s="11" t="e">
        <f>VLOOKUP(L438,'[1]update kontrak'!E:K,7,FALSE)</f>
        <v>#N/A</v>
      </c>
      <c r="AI438" s="11"/>
      <c r="AJ438" s="11" t="str">
        <f>VLOOKUP(L438,[1]rekap!D:M,1,FALSE)</f>
        <v>Sumuraman</v>
      </c>
      <c r="AK438" s="11" t="e">
        <f>VLOOKUP(L438,'[1]singkron data'!D:E,2,FALSE)</f>
        <v>#N/A</v>
      </c>
      <c r="AL438" s="11" t="str">
        <f>VLOOKUP(L438,'[1]update 521'!D:D,1,FALSE)</f>
        <v>Sumuraman</v>
      </c>
      <c r="AM438" s="11" t="e">
        <f>VLOOKUP(L438,[1]Sheet18!I:M,5,FALSE)</f>
        <v>#N/A</v>
      </c>
      <c r="AN438" s="11" t="e">
        <f>VLOOKUP(L438,[1]Sheet19!E:L,8,FALSE)</f>
        <v>#N/A</v>
      </c>
      <c r="AO438" s="11" t="e">
        <f>VLOOKUP(L438,[1]Sheet19!E:K,7,FALSE)</f>
        <v>#N/A</v>
      </c>
      <c r="AP438" s="12"/>
    </row>
    <row r="439" spans="1:42" ht="15" x14ac:dyDescent="0.2">
      <c r="A439" s="8" t="s">
        <v>42</v>
      </c>
      <c r="B439" s="9" t="s">
        <v>43</v>
      </c>
      <c r="C439" s="9">
        <v>895</v>
      </c>
      <c r="D439" s="9" t="s">
        <v>908</v>
      </c>
      <c r="E439" s="9">
        <v>91</v>
      </c>
      <c r="F439" s="9" t="s">
        <v>1080</v>
      </c>
      <c r="G439" s="9" t="s">
        <v>989</v>
      </c>
      <c r="H439" s="9" t="s">
        <v>911</v>
      </c>
      <c r="I439" s="9" t="s">
        <v>1081</v>
      </c>
      <c r="J439" s="9" t="s">
        <v>1083</v>
      </c>
      <c r="K439" s="9" t="s">
        <v>1084</v>
      </c>
      <c r="L439" s="9" t="s">
        <v>1084</v>
      </c>
      <c r="M439" s="9" t="s">
        <v>51</v>
      </c>
      <c r="N439" s="9">
        <v>304</v>
      </c>
      <c r="O439" s="9" t="s">
        <v>72</v>
      </c>
      <c r="P439" s="9">
        <v>115</v>
      </c>
      <c r="Q439" s="9">
        <v>115</v>
      </c>
      <c r="R439" s="9">
        <v>1</v>
      </c>
      <c r="S439" s="9">
        <v>-6.9089200000000002</v>
      </c>
      <c r="T439" s="9">
        <v>139.23599999999999</v>
      </c>
      <c r="U439" s="9"/>
      <c r="V439" s="11" t="s">
        <v>694</v>
      </c>
      <c r="W439" s="11"/>
      <c r="X439" s="11"/>
      <c r="Y439" s="11" t="e">
        <f>VLOOKUP(L439,'[1]singkron data'!D:H,5,FALSE)</f>
        <v>#N/A</v>
      </c>
      <c r="Z439" s="11" t="e">
        <f>VLOOKUP(L439,'[1]singkron data'!D:I,6,FALSE)</f>
        <v>#N/A</v>
      </c>
      <c r="AA439" s="11" t="e">
        <f>VLOOKUP(L439,'[1]singkron data'!D:L,9,FALSE)</f>
        <v>#N/A</v>
      </c>
      <c r="AB439" s="11" t="s">
        <v>694</v>
      </c>
      <c r="AC439" s="11" t="e">
        <f>VLOOKUP(L439,'[1]singkron data'!D:M,10,FALSE)</f>
        <v>#N/A</v>
      </c>
      <c r="AD439" s="11"/>
      <c r="AE439" s="11" t="e">
        <f>VLOOKUP(L439,'[1]singkron data'!D:P,13,FALSE)</f>
        <v>#N/A</v>
      </c>
      <c r="AF439" s="11"/>
      <c r="AG439" s="11" t="e">
        <f>VLOOKUP(L439,'[1]update kontrak'!E:K,6,FALSE)</f>
        <v>#N/A</v>
      </c>
      <c r="AH439" s="11" t="e">
        <f>VLOOKUP(L439,'[1]update kontrak'!E:K,7,FALSE)</f>
        <v>#N/A</v>
      </c>
      <c r="AI439" s="11"/>
      <c r="AJ439" s="11" t="str">
        <f>VLOOKUP(L439,[1]rekap!D:M,1,FALSE)</f>
        <v>Mur</v>
      </c>
      <c r="AK439" s="11" t="e">
        <f>VLOOKUP(L439,'[1]singkron data'!D:E,2,FALSE)</f>
        <v>#N/A</v>
      </c>
      <c r="AL439" s="11" t="str">
        <f>VLOOKUP(L439,'[1]update 521'!D:D,1,FALSE)</f>
        <v>Mur</v>
      </c>
      <c r="AM439" s="11" t="e">
        <f>VLOOKUP(L439,[1]Sheet18!I:M,5,FALSE)</f>
        <v>#N/A</v>
      </c>
      <c r="AN439" s="11" t="e">
        <f>VLOOKUP(L439,[1]Sheet19!E:L,8,FALSE)</f>
        <v>#N/A</v>
      </c>
      <c r="AO439" s="11" t="e">
        <f>VLOOKUP(L439,[1]Sheet19!E:K,7,FALSE)</f>
        <v>#N/A</v>
      </c>
      <c r="AP439" s="12"/>
    </row>
    <row r="440" spans="1:42" ht="15" x14ac:dyDescent="0.2">
      <c r="A440" s="8" t="s">
        <v>42</v>
      </c>
      <c r="B440" s="9" t="s">
        <v>43</v>
      </c>
      <c r="C440" s="9">
        <v>896</v>
      </c>
      <c r="D440" s="9" t="s">
        <v>908</v>
      </c>
      <c r="E440" s="9">
        <v>92</v>
      </c>
      <c r="F440" s="9" t="s">
        <v>1080</v>
      </c>
      <c r="G440" s="9" t="s">
        <v>989</v>
      </c>
      <c r="H440" s="9" t="s">
        <v>911</v>
      </c>
      <c r="I440" s="9" t="s">
        <v>1081</v>
      </c>
      <c r="J440" s="9" t="s">
        <v>1083</v>
      </c>
      <c r="K440" s="9" t="s">
        <v>1085</v>
      </c>
      <c r="L440" s="9" t="s">
        <v>1085</v>
      </c>
      <c r="M440" s="9" t="s">
        <v>51</v>
      </c>
      <c r="N440" s="9">
        <v>490</v>
      </c>
      <c r="O440" s="9" t="s">
        <v>72</v>
      </c>
      <c r="P440" s="9">
        <v>196</v>
      </c>
      <c r="Q440" s="9">
        <v>196</v>
      </c>
      <c r="R440" s="9">
        <v>1</v>
      </c>
      <c r="S440" s="9">
        <v>-6.8460900000000002</v>
      </c>
      <c r="T440" s="9">
        <v>138.87905000000001</v>
      </c>
      <c r="U440" s="9"/>
      <c r="V440" s="11" t="s">
        <v>694</v>
      </c>
      <c r="W440" s="11"/>
      <c r="X440" s="11"/>
      <c r="Y440" s="11" t="e">
        <f>VLOOKUP(L440,'[1]singkron data'!D:H,5,FALSE)</f>
        <v>#N/A</v>
      </c>
      <c r="Z440" s="11" t="e">
        <f>VLOOKUP(L440,'[1]singkron data'!D:I,6,FALSE)</f>
        <v>#N/A</v>
      </c>
      <c r="AA440" s="11" t="e">
        <f>VLOOKUP(L440,'[1]singkron data'!D:L,9,FALSE)</f>
        <v>#N/A</v>
      </c>
      <c r="AB440" s="11" t="s">
        <v>694</v>
      </c>
      <c r="AC440" s="11" t="e">
        <f>VLOOKUP(L440,'[1]singkron data'!D:M,10,FALSE)</f>
        <v>#N/A</v>
      </c>
      <c r="AD440" s="11"/>
      <c r="AE440" s="11" t="e">
        <f>VLOOKUP(L440,'[1]singkron data'!D:P,13,FALSE)</f>
        <v>#N/A</v>
      </c>
      <c r="AF440" s="11"/>
      <c r="AG440" s="11" t="e">
        <f>VLOOKUP(L440,'[1]update kontrak'!E:K,6,FALSE)</f>
        <v>#N/A</v>
      </c>
      <c r="AH440" s="11" t="e">
        <f>VLOOKUP(L440,'[1]update kontrak'!E:K,7,FALSE)</f>
        <v>#N/A</v>
      </c>
      <c r="AI440" s="11"/>
      <c r="AJ440" s="11" t="str">
        <f>VLOOKUP(L440,[1]rekap!D:M,1,FALSE)</f>
        <v>Wagin</v>
      </c>
      <c r="AK440" s="11" t="e">
        <f>VLOOKUP(L440,'[1]singkron data'!D:E,2,FALSE)</f>
        <v>#N/A</v>
      </c>
      <c r="AL440" s="11" t="str">
        <f>VLOOKUP(L440,'[1]update 521'!D:D,1,FALSE)</f>
        <v>Wagin</v>
      </c>
      <c r="AM440" s="11" t="e">
        <f>VLOOKUP(L440,[1]Sheet18!I:M,5,FALSE)</f>
        <v>#N/A</v>
      </c>
      <c r="AN440" s="11" t="e">
        <f>VLOOKUP(L440,[1]Sheet19!E:L,8,FALSE)</f>
        <v>#N/A</v>
      </c>
      <c r="AO440" s="11" t="e">
        <f>VLOOKUP(L440,[1]Sheet19!E:K,7,FALSE)</f>
        <v>#N/A</v>
      </c>
      <c r="AP440" s="12"/>
    </row>
    <row r="441" spans="1:42" ht="15" x14ac:dyDescent="0.2">
      <c r="A441" s="8" t="s">
        <v>42</v>
      </c>
      <c r="B441" s="9" t="s">
        <v>43</v>
      </c>
      <c r="C441" s="9">
        <v>897</v>
      </c>
      <c r="D441" s="9" t="s">
        <v>908</v>
      </c>
      <c r="E441" s="9">
        <v>93</v>
      </c>
      <c r="F441" s="9" t="s">
        <v>1086</v>
      </c>
      <c r="G441" s="9" t="s">
        <v>908</v>
      </c>
      <c r="H441" s="9" t="s">
        <v>911</v>
      </c>
      <c r="I441" s="9" t="s">
        <v>1014</v>
      </c>
      <c r="J441" s="9" t="s">
        <v>1087</v>
      </c>
      <c r="K441" s="9" t="s">
        <v>1088</v>
      </c>
      <c r="L441" s="9" t="s">
        <v>1088</v>
      </c>
      <c r="M441" s="9" t="s">
        <v>65</v>
      </c>
      <c r="N441" s="9">
        <v>62</v>
      </c>
      <c r="O441" s="9">
        <v>11</v>
      </c>
      <c r="P441" s="9">
        <v>25</v>
      </c>
      <c r="Q441" s="9">
        <v>36</v>
      </c>
      <c r="R441" s="9">
        <v>0.2</v>
      </c>
      <c r="S441" s="9">
        <v>-1.1088899999999999</v>
      </c>
      <c r="T441" s="9">
        <v>136.35471999999999</v>
      </c>
      <c r="U441" s="9"/>
      <c r="V441" s="11" t="s">
        <v>694</v>
      </c>
      <c r="W441" s="13">
        <f>VLOOKUP(L441,[1]Sheet18!I:N,6,FALSE)</f>
        <v>10964387000</v>
      </c>
      <c r="X441" s="11" t="s">
        <v>55</v>
      </c>
      <c r="Y441" s="11" t="e">
        <f>VLOOKUP(L441,'[1]singkron data'!D:H,5,FALSE)</f>
        <v>#N/A</v>
      </c>
      <c r="Z441" s="11" t="e">
        <f>VLOOKUP(L441,'[1]singkron data'!D:I,6,FALSE)</f>
        <v>#N/A</v>
      </c>
      <c r="AA441" s="11" t="e">
        <f>VLOOKUP(L441,'[1]singkron data'!D:L,9,FALSE)</f>
        <v>#N/A</v>
      </c>
      <c r="AB441" s="11" t="s">
        <v>694</v>
      </c>
      <c r="AC441" s="11" t="e">
        <f>VLOOKUP(L441,'[1]singkron data'!D:M,10,FALSE)</f>
        <v>#N/A</v>
      </c>
      <c r="AD441" s="11"/>
      <c r="AE441" s="11" t="e">
        <f>VLOOKUP(L441,'[1]singkron data'!D:P,13,FALSE)</f>
        <v>#N/A</v>
      </c>
      <c r="AF441" s="11" t="s">
        <v>55</v>
      </c>
      <c r="AG441" s="11" t="e">
        <f>VLOOKUP(L441,'[1]update kontrak'!E:K,6,FALSE)</f>
        <v>#N/A</v>
      </c>
      <c r="AH441" s="11" t="e">
        <f>VLOOKUP(L441,'[1]update kontrak'!E:K,7,FALSE)</f>
        <v>#N/A</v>
      </c>
      <c r="AI441" s="11"/>
      <c r="AJ441" s="11" t="str">
        <f>VLOOKUP(L441,[1]rekap!D:M,1,FALSE)</f>
        <v>Tanjung Barari</v>
      </c>
      <c r="AK441" s="11" t="e">
        <f>VLOOKUP(L441,'[1]singkron data'!D:E,2,FALSE)</f>
        <v>#N/A</v>
      </c>
      <c r="AL441" s="11" t="str">
        <f>VLOOKUP(L441,'[1]update 521'!D:D,1,FALSE)</f>
        <v>Tanjung Barari</v>
      </c>
      <c r="AM441" s="11" t="s">
        <v>57</v>
      </c>
      <c r="AN441" s="11" t="e">
        <f>VLOOKUP(L441,[1]Sheet19!E:L,8,FALSE)</f>
        <v>#N/A</v>
      </c>
      <c r="AO441" s="11" t="e">
        <f>VLOOKUP(L441,[1]Sheet19!E:K,7,FALSE)</f>
        <v>#N/A</v>
      </c>
      <c r="AP441" s="12"/>
    </row>
    <row r="442" spans="1:42" ht="15" x14ac:dyDescent="0.2">
      <c r="A442" s="8" t="s">
        <v>42</v>
      </c>
      <c r="B442" s="9" t="s">
        <v>43</v>
      </c>
      <c r="C442" s="9">
        <v>898</v>
      </c>
      <c r="D442" s="9" t="s">
        <v>908</v>
      </c>
      <c r="E442" s="9">
        <v>94</v>
      </c>
      <c r="F442" s="9" t="s">
        <v>1089</v>
      </c>
      <c r="G442" s="9" t="s">
        <v>908</v>
      </c>
      <c r="H442" s="9" t="s">
        <v>911</v>
      </c>
      <c r="I442" s="9" t="s">
        <v>935</v>
      </c>
      <c r="J442" s="9" t="s">
        <v>1090</v>
      </c>
      <c r="K442" s="9" t="s">
        <v>1091</v>
      </c>
      <c r="L442" s="9" t="s">
        <v>1091</v>
      </c>
      <c r="M442" s="9" t="s">
        <v>51</v>
      </c>
      <c r="N442" s="9">
        <v>85</v>
      </c>
      <c r="O442" s="9">
        <v>93</v>
      </c>
      <c r="P442" s="9">
        <v>7</v>
      </c>
      <c r="Q442" s="9">
        <v>100</v>
      </c>
      <c r="R442" s="9">
        <v>0.06</v>
      </c>
      <c r="S442" s="9">
        <v>-1.89655</v>
      </c>
      <c r="T442" s="9">
        <v>136.28719000000001</v>
      </c>
      <c r="U442" s="9"/>
      <c r="V442" s="11" t="s">
        <v>694</v>
      </c>
      <c r="W442" s="11"/>
      <c r="X442" s="11"/>
      <c r="Y442" s="11" t="e">
        <f>VLOOKUP(L442,'[1]singkron data'!D:H,5,FALSE)</f>
        <v>#N/A</v>
      </c>
      <c r="Z442" s="11" t="e">
        <f>VLOOKUP(L442,'[1]singkron data'!D:I,6,FALSE)</f>
        <v>#N/A</v>
      </c>
      <c r="AA442" s="11" t="e">
        <f>VLOOKUP(L442,'[1]singkron data'!D:L,9,FALSE)</f>
        <v>#N/A</v>
      </c>
      <c r="AB442" s="11" t="s">
        <v>694</v>
      </c>
      <c r="AC442" s="11" t="e">
        <f>VLOOKUP(L442,'[1]singkron data'!D:M,10,FALSE)</f>
        <v>#N/A</v>
      </c>
      <c r="AD442" s="11"/>
      <c r="AE442" s="11" t="e">
        <f>VLOOKUP(L442,'[1]singkron data'!D:P,13,FALSE)</f>
        <v>#N/A</v>
      </c>
      <c r="AF442" s="11"/>
      <c r="AG442" s="11" t="e">
        <f>VLOOKUP(L442,'[1]update kontrak'!E:K,6,FALSE)</f>
        <v>#N/A</v>
      </c>
      <c r="AH442" s="11" t="e">
        <f>VLOOKUP(L442,'[1]update kontrak'!E:K,7,FALSE)</f>
        <v>#N/A</v>
      </c>
      <c r="AI442" s="11"/>
      <c r="AJ442" s="11" t="str">
        <f>VLOOKUP(L442,[1]rekap!D:M,1,FALSE)</f>
        <v>Umani</v>
      </c>
      <c r="AK442" s="11" t="e">
        <f>VLOOKUP(L442,'[1]singkron data'!D:E,2,FALSE)</f>
        <v>#N/A</v>
      </c>
      <c r="AL442" s="11" t="str">
        <f>VLOOKUP(L442,'[1]update 521'!D:D,1,FALSE)</f>
        <v>Umani</v>
      </c>
      <c r="AM442" s="11" t="e">
        <f>VLOOKUP(L442,[1]Sheet18!I:M,5,FALSE)</f>
        <v>#N/A</v>
      </c>
      <c r="AN442" s="11" t="e">
        <f>VLOOKUP(L442,[1]Sheet19!E:L,8,FALSE)</f>
        <v>#N/A</v>
      </c>
      <c r="AO442" s="11" t="e">
        <f>VLOOKUP(L442,[1]Sheet19!E:K,7,FALSE)</f>
        <v>#N/A</v>
      </c>
      <c r="AP442" s="12"/>
    </row>
    <row r="443" spans="1:42" ht="15" x14ac:dyDescent="0.2">
      <c r="A443" s="8" t="s">
        <v>42</v>
      </c>
      <c r="B443" s="9" t="s">
        <v>43</v>
      </c>
      <c r="C443" s="9">
        <v>899</v>
      </c>
      <c r="D443" s="9" t="s">
        <v>908</v>
      </c>
      <c r="E443" s="9">
        <v>95</v>
      </c>
      <c r="F443" s="9" t="s">
        <v>1086</v>
      </c>
      <c r="G443" s="9" t="s">
        <v>908</v>
      </c>
      <c r="H443" s="9" t="s">
        <v>911</v>
      </c>
      <c r="I443" s="9" t="s">
        <v>1014</v>
      </c>
      <c r="J443" s="9" t="s">
        <v>1087</v>
      </c>
      <c r="K443" s="9" t="s">
        <v>1092</v>
      </c>
      <c r="L443" s="9" t="s">
        <v>1092</v>
      </c>
      <c r="M443" s="9" t="s">
        <v>51</v>
      </c>
      <c r="N443" s="9">
        <v>24</v>
      </c>
      <c r="O443" s="9">
        <v>17</v>
      </c>
      <c r="P443" s="9">
        <v>8</v>
      </c>
      <c r="Q443" s="9">
        <v>25</v>
      </c>
      <c r="R443" s="9">
        <v>0.15</v>
      </c>
      <c r="S443" s="9">
        <v>-1.133</v>
      </c>
      <c r="T443" s="9">
        <v>136.326167</v>
      </c>
      <c r="U443" s="9"/>
      <c r="V443" s="11" t="s">
        <v>694</v>
      </c>
      <c r="W443" s="13">
        <f>VLOOKUP(L443,[1]Sheet18!I:N,6,FALSE)</f>
        <v>2635225000</v>
      </c>
      <c r="X443" s="11" t="s">
        <v>55</v>
      </c>
      <c r="Y443" s="11" t="e">
        <f>VLOOKUP(L443,'[1]singkron data'!D:H,5,FALSE)</f>
        <v>#N/A</v>
      </c>
      <c r="Z443" s="11" t="e">
        <f>VLOOKUP(L443,'[1]singkron data'!D:I,6,FALSE)</f>
        <v>#N/A</v>
      </c>
      <c r="AA443" s="11" t="e">
        <f>VLOOKUP(L443,'[1]singkron data'!D:L,9,FALSE)</f>
        <v>#N/A</v>
      </c>
      <c r="AB443" s="11" t="s">
        <v>694</v>
      </c>
      <c r="AC443" s="11" t="e">
        <f>VLOOKUP(L443,'[1]singkron data'!D:M,10,FALSE)</f>
        <v>#N/A</v>
      </c>
      <c r="AD443" s="11"/>
      <c r="AE443" s="11" t="e">
        <f>VLOOKUP(L443,'[1]singkron data'!D:P,13,FALSE)</f>
        <v>#N/A</v>
      </c>
      <c r="AF443" s="11" t="s">
        <v>55</v>
      </c>
      <c r="AG443" s="11" t="e">
        <f>VLOOKUP(L443,'[1]update kontrak'!E:K,6,FALSE)</f>
        <v>#N/A</v>
      </c>
      <c r="AH443" s="11" t="e">
        <f>VLOOKUP(L443,'[1]update kontrak'!E:K,7,FALSE)</f>
        <v>#N/A</v>
      </c>
      <c r="AI443" s="11"/>
      <c r="AJ443" s="11" t="str">
        <f>VLOOKUP(L443,[1]rekap!D:M,1,FALSE)</f>
        <v>Anggaduber</v>
      </c>
      <c r="AK443" s="11" t="e">
        <f>VLOOKUP(L443,'[1]singkron data'!D:E,2,FALSE)</f>
        <v>#N/A</v>
      </c>
      <c r="AL443" s="11" t="str">
        <f>VLOOKUP(L443,'[1]update 521'!D:D,1,FALSE)</f>
        <v>Anggaduber</v>
      </c>
      <c r="AM443" s="11" t="s">
        <v>57</v>
      </c>
      <c r="AN443" s="11" t="e">
        <f>VLOOKUP(L443,[1]Sheet19!E:L,8,FALSE)</f>
        <v>#N/A</v>
      </c>
      <c r="AO443" s="11" t="e">
        <f>VLOOKUP(L443,[1]Sheet19!E:K,7,FALSE)</f>
        <v>#N/A</v>
      </c>
      <c r="AP443" s="12"/>
    </row>
    <row r="444" spans="1:42" ht="15" x14ac:dyDescent="0.2">
      <c r="A444" s="8" t="s">
        <v>42</v>
      </c>
      <c r="B444" s="9" t="s">
        <v>43</v>
      </c>
      <c r="C444" s="9">
        <v>900</v>
      </c>
      <c r="D444" s="9" t="s">
        <v>908</v>
      </c>
      <c r="E444" s="9">
        <v>96</v>
      </c>
      <c r="F444" s="9" t="s">
        <v>1086</v>
      </c>
      <c r="G444" s="9" t="s">
        <v>908</v>
      </c>
      <c r="H444" s="9" t="s">
        <v>911</v>
      </c>
      <c r="I444" s="9" t="s">
        <v>1014</v>
      </c>
      <c r="J444" s="9" t="s">
        <v>1087</v>
      </c>
      <c r="K444" s="9" t="s">
        <v>1093</v>
      </c>
      <c r="L444" s="9" t="s">
        <v>1093</v>
      </c>
      <c r="M444" s="9" t="s">
        <v>51</v>
      </c>
      <c r="N444" s="9">
        <v>21</v>
      </c>
      <c r="O444" s="9">
        <v>15</v>
      </c>
      <c r="P444" s="9">
        <v>5</v>
      </c>
      <c r="Q444" s="9">
        <v>20</v>
      </c>
      <c r="R444" s="9">
        <v>0.06</v>
      </c>
      <c r="S444" s="9">
        <v>-1.1306400000000001</v>
      </c>
      <c r="T444" s="9">
        <v>136.32886999999999</v>
      </c>
      <c r="U444" s="9"/>
      <c r="V444" s="11" t="s">
        <v>694</v>
      </c>
      <c r="W444" s="13">
        <f>VLOOKUP(L444,[1]Sheet18!I:N,6,FALSE)</f>
        <v>3023927000</v>
      </c>
      <c r="X444" s="11" t="s">
        <v>55</v>
      </c>
      <c r="Y444" s="11" t="e">
        <f>VLOOKUP(L444,'[1]singkron data'!D:H,5,FALSE)</f>
        <v>#N/A</v>
      </c>
      <c r="Z444" s="11" t="e">
        <f>VLOOKUP(L444,'[1]singkron data'!D:I,6,FALSE)</f>
        <v>#N/A</v>
      </c>
      <c r="AA444" s="11" t="e">
        <f>VLOOKUP(L444,'[1]singkron data'!D:L,9,FALSE)</f>
        <v>#N/A</v>
      </c>
      <c r="AB444" s="11" t="s">
        <v>694</v>
      </c>
      <c r="AC444" s="11" t="e">
        <f>VLOOKUP(L444,'[1]singkron data'!D:M,10,FALSE)</f>
        <v>#N/A</v>
      </c>
      <c r="AD444" s="11"/>
      <c r="AE444" s="11" t="e">
        <f>VLOOKUP(L444,'[1]singkron data'!D:P,13,FALSE)</f>
        <v>#N/A</v>
      </c>
      <c r="AF444" s="11" t="s">
        <v>55</v>
      </c>
      <c r="AG444" s="11" t="e">
        <f>VLOOKUP(L444,'[1]update kontrak'!E:K,6,FALSE)</f>
        <v>#N/A</v>
      </c>
      <c r="AH444" s="11" t="e">
        <f>VLOOKUP(L444,'[1]update kontrak'!E:K,7,FALSE)</f>
        <v>#N/A</v>
      </c>
      <c r="AI444" s="11"/>
      <c r="AJ444" s="11" t="str">
        <f>VLOOKUP(L444,[1]rekap!D:M,1,FALSE)</f>
        <v>Animi</v>
      </c>
      <c r="AK444" s="11" t="e">
        <f>VLOOKUP(L444,'[1]singkron data'!D:E,2,FALSE)</f>
        <v>#N/A</v>
      </c>
      <c r="AL444" s="11" t="str">
        <f>VLOOKUP(L444,'[1]update 521'!D:D,1,FALSE)</f>
        <v>Animi</v>
      </c>
      <c r="AM444" s="11" t="s">
        <v>57</v>
      </c>
      <c r="AN444" s="11" t="e">
        <f>VLOOKUP(L444,[1]Sheet19!E:L,8,FALSE)</f>
        <v>#N/A</v>
      </c>
      <c r="AO444" s="11" t="e">
        <f>VLOOKUP(L444,[1]Sheet19!E:K,7,FALSE)</f>
        <v>#N/A</v>
      </c>
      <c r="AP444" s="12"/>
    </row>
    <row r="445" spans="1:42" ht="15" x14ac:dyDescent="0.2">
      <c r="A445" s="8" t="s">
        <v>42</v>
      </c>
      <c r="B445" s="9" t="s">
        <v>43</v>
      </c>
      <c r="C445" s="9">
        <v>901</v>
      </c>
      <c r="D445" s="9" t="s">
        <v>908</v>
      </c>
      <c r="E445" s="9">
        <v>97</v>
      </c>
      <c r="F445" s="9" t="s">
        <v>1022</v>
      </c>
      <c r="G445" s="9" t="s">
        <v>908</v>
      </c>
      <c r="H445" s="9" t="s">
        <v>911</v>
      </c>
      <c r="I445" s="9" t="s">
        <v>935</v>
      </c>
      <c r="J445" s="9" t="s">
        <v>1094</v>
      </c>
      <c r="K445" s="9" t="s">
        <v>1095</v>
      </c>
      <c r="L445" s="9" t="s">
        <v>1095</v>
      </c>
      <c r="M445" s="9" t="s">
        <v>51</v>
      </c>
      <c r="N445" s="9">
        <v>63</v>
      </c>
      <c r="O445" s="9">
        <v>2</v>
      </c>
      <c r="P445" s="9">
        <v>24</v>
      </c>
      <c r="Q445" s="9">
        <v>62</v>
      </c>
      <c r="R445" s="9">
        <v>0.06</v>
      </c>
      <c r="S445" s="9">
        <v>-1.9051400000000001</v>
      </c>
      <c r="T445" s="9">
        <v>136.33019999999999</v>
      </c>
      <c r="U445" s="9"/>
      <c r="V445" s="11" t="s">
        <v>694</v>
      </c>
      <c r="W445" s="13">
        <f>VLOOKUP(L445,[1]Sheet18!I:N,6,FALSE)</f>
        <v>5403466000</v>
      </c>
      <c r="X445" s="11" t="s">
        <v>55</v>
      </c>
      <c r="Y445" s="11" t="e">
        <f>VLOOKUP(L445,'[1]singkron data'!D:H,5,FALSE)</f>
        <v>#N/A</v>
      </c>
      <c r="Z445" s="11" t="e">
        <f>VLOOKUP(L445,'[1]singkron data'!D:I,6,FALSE)</f>
        <v>#N/A</v>
      </c>
      <c r="AA445" s="11" t="e">
        <f>VLOOKUP(L445,'[1]singkron data'!D:L,9,FALSE)</f>
        <v>#N/A</v>
      </c>
      <c r="AB445" s="11" t="s">
        <v>694</v>
      </c>
      <c r="AC445" s="11" t="e">
        <f>VLOOKUP(L445,'[1]singkron data'!D:M,10,FALSE)</f>
        <v>#N/A</v>
      </c>
      <c r="AD445" s="11"/>
      <c r="AE445" s="11" t="e">
        <f>VLOOKUP(L445,'[1]singkron data'!D:P,13,FALSE)</f>
        <v>#N/A</v>
      </c>
      <c r="AF445" s="11" t="s">
        <v>55</v>
      </c>
      <c r="AG445" s="11" t="e">
        <f>VLOOKUP(L445,'[1]update kontrak'!E:K,6,FALSE)</f>
        <v>#N/A</v>
      </c>
      <c r="AH445" s="11" t="e">
        <f>VLOOKUP(L445,'[1]update kontrak'!E:K,7,FALSE)</f>
        <v>#N/A</v>
      </c>
      <c r="AI445" s="11"/>
      <c r="AJ445" s="11" t="str">
        <f>VLOOKUP(L445,[1]rekap!D:M,1,FALSE)</f>
        <v>Toroa</v>
      </c>
      <c r="AK445" s="11" t="e">
        <f>VLOOKUP(L445,'[1]singkron data'!D:E,2,FALSE)</f>
        <v>#N/A</v>
      </c>
      <c r="AL445" s="11" t="str">
        <f>VLOOKUP(L445,'[1]update 521'!D:D,1,FALSE)</f>
        <v>Toroa</v>
      </c>
      <c r="AM445" s="11" t="s">
        <v>57</v>
      </c>
      <c r="AN445" s="11" t="e">
        <f>VLOOKUP(L445,[1]Sheet19!E:L,8,FALSE)</f>
        <v>#N/A</v>
      </c>
      <c r="AO445" s="11" t="e">
        <f>VLOOKUP(L445,[1]Sheet19!E:K,7,FALSE)</f>
        <v>#N/A</v>
      </c>
      <c r="AP445" s="12"/>
    </row>
    <row r="446" spans="1:42" ht="15" x14ac:dyDescent="0.2">
      <c r="A446" s="8" t="s">
        <v>42</v>
      </c>
      <c r="B446" s="9" t="s">
        <v>43</v>
      </c>
      <c r="C446" s="9">
        <v>902</v>
      </c>
      <c r="D446" s="9" t="s">
        <v>908</v>
      </c>
      <c r="E446" s="9">
        <v>98</v>
      </c>
      <c r="F446" s="9" t="s">
        <v>1022</v>
      </c>
      <c r="G446" s="9" t="s">
        <v>908</v>
      </c>
      <c r="H446" s="9" t="s">
        <v>911</v>
      </c>
      <c r="I446" s="9" t="s">
        <v>935</v>
      </c>
      <c r="J446" s="9" t="s">
        <v>1094</v>
      </c>
      <c r="K446" s="9" t="s">
        <v>1096</v>
      </c>
      <c r="L446" s="9" t="s">
        <v>1096</v>
      </c>
      <c r="M446" s="9" t="s">
        <v>51</v>
      </c>
      <c r="N446" s="9">
        <v>60</v>
      </c>
      <c r="O446" s="9">
        <v>33</v>
      </c>
      <c r="P446" s="9">
        <v>20</v>
      </c>
      <c r="Q446" s="9">
        <v>53</v>
      </c>
      <c r="R446" s="9">
        <v>0.2</v>
      </c>
      <c r="S446" s="9">
        <v>-1.9479200000000001</v>
      </c>
      <c r="T446" s="9">
        <v>136.35626999999999</v>
      </c>
      <c r="U446" s="9"/>
      <c r="V446" s="11" t="s">
        <v>694</v>
      </c>
      <c r="W446" s="11"/>
      <c r="X446" s="11"/>
      <c r="Y446" s="11" t="e">
        <f>VLOOKUP(L446,'[1]singkron data'!D:H,5,FALSE)</f>
        <v>#N/A</v>
      </c>
      <c r="Z446" s="11" t="e">
        <f>VLOOKUP(L446,'[1]singkron data'!D:I,6,FALSE)</f>
        <v>#N/A</v>
      </c>
      <c r="AA446" s="11" t="e">
        <f>VLOOKUP(L446,'[1]singkron data'!D:L,9,FALSE)</f>
        <v>#N/A</v>
      </c>
      <c r="AB446" s="11" t="s">
        <v>694</v>
      </c>
      <c r="AC446" s="11" t="e">
        <f>VLOOKUP(L446,'[1]singkron data'!D:M,10,FALSE)</f>
        <v>#N/A</v>
      </c>
      <c r="AD446" s="11"/>
      <c r="AE446" s="11" t="e">
        <f>VLOOKUP(L446,'[1]singkron data'!D:P,13,FALSE)</f>
        <v>#N/A</v>
      </c>
      <c r="AF446" s="11"/>
      <c r="AG446" s="11" t="e">
        <f>VLOOKUP(L446,'[1]update kontrak'!E:K,6,FALSE)</f>
        <v>#N/A</v>
      </c>
      <c r="AH446" s="11" t="e">
        <f>VLOOKUP(L446,'[1]update kontrak'!E:K,7,FALSE)</f>
        <v>#N/A</v>
      </c>
      <c r="AI446" s="11"/>
      <c r="AJ446" s="11" t="str">
        <f>VLOOKUP(L446,[1]rekap!D:M,1,FALSE)</f>
        <v>Adiwipi</v>
      </c>
      <c r="AK446" s="11" t="e">
        <f>VLOOKUP(L446,'[1]singkron data'!D:E,2,FALSE)</f>
        <v>#N/A</v>
      </c>
      <c r="AL446" s="11" t="str">
        <f>VLOOKUP(L446,'[1]update 521'!D:D,1,FALSE)</f>
        <v>Adiwipi</v>
      </c>
      <c r="AM446" s="11" t="e">
        <f>VLOOKUP(L446,[1]Sheet18!I:M,5,FALSE)</f>
        <v>#N/A</v>
      </c>
      <c r="AN446" s="11" t="e">
        <f>VLOOKUP(L446,[1]Sheet19!E:L,8,FALSE)</f>
        <v>#N/A</v>
      </c>
      <c r="AO446" s="11" t="e">
        <f>VLOOKUP(L446,[1]Sheet19!E:K,7,FALSE)</f>
        <v>#N/A</v>
      </c>
      <c r="AP446" s="12"/>
    </row>
    <row r="447" spans="1:42" ht="15" x14ac:dyDescent="0.2">
      <c r="A447" s="8" t="s">
        <v>42</v>
      </c>
      <c r="B447" s="9" t="s">
        <v>43</v>
      </c>
      <c r="C447" s="9">
        <v>903</v>
      </c>
      <c r="D447" s="9" t="s">
        <v>908</v>
      </c>
      <c r="E447" s="9">
        <v>99</v>
      </c>
      <c r="F447" s="9" t="s">
        <v>1022</v>
      </c>
      <c r="G447" s="9" t="s">
        <v>908</v>
      </c>
      <c r="H447" s="9" t="s">
        <v>911</v>
      </c>
      <c r="I447" s="9" t="s">
        <v>935</v>
      </c>
      <c r="J447" s="9" t="s">
        <v>1097</v>
      </c>
      <c r="K447" s="9" t="s">
        <v>1022</v>
      </c>
      <c r="L447" s="9" t="s">
        <v>1022</v>
      </c>
      <c r="M447" s="9" t="s">
        <v>51</v>
      </c>
      <c r="N447" s="9">
        <v>100</v>
      </c>
      <c r="O447" s="9">
        <v>58</v>
      </c>
      <c r="P447" s="9">
        <v>16</v>
      </c>
      <c r="Q447" s="9">
        <v>29</v>
      </c>
      <c r="R447" s="9">
        <v>0.2</v>
      </c>
      <c r="S447" s="9">
        <v>-1.87307</v>
      </c>
      <c r="T447" s="9">
        <v>136.41418999999999</v>
      </c>
      <c r="U447" s="9"/>
      <c r="V447" s="11" t="s">
        <v>694</v>
      </c>
      <c r="W447" s="13">
        <f>VLOOKUP(L447,[1]Sheet18!I:N,6,FALSE)</f>
        <v>5488808000</v>
      </c>
      <c r="X447" s="11" t="s">
        <v>55</v>
      </c>
      <c r="Y447" s="11" t="e">
        <f>VLOOKUP(L447,'[1]singkron data'!D:H,5,FALSE)</f>
        <v>#N/A</v>
      </c>
      <c r="Z447" s="11" t="e">
        <f>VLOOKUP(L447,'[1]singkron data'!D:I,6,FALSE)</f>
        <v>#N/A</v>
      </c>
      <c r="AA447" s="11" t="e">
        <f>VLOOKUP(L447,'[1]singkron data'!D:L,9,FALSE)</f>
        <v>#N/A</v>
      </c>
      <c r="AB447" s="11" t="s">
        <v>694</v>
      </c>
      <c r="AC447" s="11" t="e">
        <f>VLOOKUP(L447,'[1]singkron data'!D:M,10,FALSE)</f>
        <v>#N/A</v>
      </c>
      <c r="AD447" s="11"/>
      <c r="AE447" s="11" t="e">
        <f>VLOOKUP(L447,'[1]singkron data'!D:P,13,FALSE)</f>
        <v>#N/A</v>
      </c>
      <c r="AF447" s="11" t="s">
        <v>55</v>
      </c>
      <c r="AG447" s="11" t="e">
        <f>VLOOKUP(L447,'[1]update kontrak'!E:K,6,FALSE)</f>
        <v>#N/A</v>
      </c>
      <c r="AH447" s="11" t="e">
        <f>VLOOKUP(L447,'[1]update kontrak'!E:K,7,FALSE)</f>
        <v>#N/A</v>
      </c>
      <c r="AI447" s="11"/>
      <c r="AJ447" s="11" t="str">
        <f>VLOOKUP(L447,[1]rekap!D:M,1,FALSE)</f>
        <v>Wadapi</v>
      </c>
      <c r="AK447" s="11" t="e">
        <f>VLOOKUP(L447,'[1]singkron data'!D:E,2,FALSE)</f>
        <v>#N/A</v>
      </c>
      <c r="AL447" s="11" t="str">
        <f>VLOOKUP(L447,'[1]update 521'!D:D,1,FALSE)</f>
        <v>Wadapi</v>
      </c>
      <c r="AM447" s="11" t="s">
        <v>57</v>
      </c>
      <c r="AN447" s="11" t="e">
        <f>VLOOKUP(L447,[1]Sheet19!E:L,8,FALSE)</f>
        <v>#N/A</v>
      </c>
      <c r="AO447" s="11" t="e">
        <f>VLOOKUP(L447,[1]Sheet19!E:K,7,FALSE)</f>
        <v>#N/A</v>
      </c>
      <c r="AP447" s="12"/>
    </row>
    <row r="448" spans="1:42" ht="15" x14ac:dyDescent="0.2">
      <c r="A448" s="8" t="s">
        <v>42</v>
      </c>
      <c r="B448" s="9" t="s">
        <v>43</v>
      </c>
      <c r="C448" s="9">
        <v>904</v>
      </c>
      <c r="D448" s="9" t="s">
        <v>908</v>
      </c>
      <c r="E448" s="9">
        <v>100</v>
      </c>
      <c r="F448" s="9" t="s">
        <v>1089</v>
      </c>
      <c r="G448" s="9" t="s">
        <v>908</v>
      </c>
      <c r="H448" s="9" t="s">
        <v>911</v>
      </c>
      <c r="I448" s="9" t="s">
        <v>935</v>
      </c>
      <c r="J448" s="9" t="s">
        <v>1098</v>
      </c>
      <c r="K448" s="9" t="s">
        <v>1099</v>
      </c>
      <c r="L448" s="9" t="s">
        <v>1099</v>
      </c>
      <c r="M448" s="9" t="s">
        <v>51</v>
      </c>
      <c r="N448" s="9">
        <v>30</v>
      </c>
      <c r="O448" s="9">
        <v>10</v>
      </c>
      <c r="P448" s="9">
        <v>5</v>
      </c>
      <c r="Q448" s="9">
        <v>22</v>
      </c>
      <c r="R448" s="9">
        <v>0.08</v>
      </c>
      <c r="S448" s="9">
        <v>-1.8742000000000001</v>
      </c>
      <c r="T448" s="9">
        <v>136.29454000000001</v>
      </c>
      <c r="U448" s="9"/>
      <c r="V448" s="11" t="s">
        <v>694</v>
      </c>
      <c r="W448" s="13">
        <f>VLOOKUP(L448,[1]Sheet18!I:N,6,FALSE)</f>
        <v>5502207000</v>
      </c>
      <c r="X448" s="11" t="s">
        <v>55</v>
      </c>
      <c r="Y448" s="11" t="e">
        <f>VLOOKUP(L448,'[1]singkron data'!D:H,5,FALSE)</f>
        <v>#N/A</v>
      </c>
      <c r="Z448" s="11" t="e">
        <f>VLOOKUP(L448,'[1]singkron data'!D:I,6,FALSE)</f>
        <v>#N/A</v>
      </c>
      <c r="AA448" s="11" t="e">
        <f>VLOOKUP(L448,'[1]singkron data'!D:L,9,FALSE)</f>
        <v>#N/A</v>
      </c>
      <c r="AB448" s="11" t="s">
        <v>694</v>
      </c>
      <c r="AC448" s="11" t="e">
        <f>VLOOKUP(L448,'[1]singkron data'!D:M,10,FALSE)</f>
        <v>#N/A</v>
      </c>
      <c r="AD448" s="11"/>
      <c r="AE448" s="11" t="e">
        <f>VLOOKUP(L448,'[1]singkron data'!D:P,13,FALSE)</f>
        <v>#N/A</v>
      </c>
      <c r="AF448" s="11" t="s">
        <v>55</v>
      </c>
      <c r="AG448" s="11" t="e">
        <f>VLOOKUP(L448,'[1]update kontrak'!E:K,6,FALSE)</f>
        <v>#N/A</v>
      </c>
      <c r="AH448" s="11" t="e">
        <f>VLOOKUP(L448,'[1]update kontrak'!E:K,7,FALSE)</f>
        <v>#N/A</v>
      </c>
      <c r="AI448" s="11"/>
      <c r="AJ448" s="11" t="str">
        <f>VLOOKUP(L448,[1]rekap!D:M,1,FALSE)</f>
        <v>Rambai</v>
      </c>
      <c r="AK448" s="11" t="e">
        <f>VLOOKUP(L448,'[1]singkron data'!D:E,2,FALSE)</f>
        <v>#N/A</v>
      </c>
      <c r="AL448" s="11" t="str">
        <f>VLOOKUP(L448,'[1]update 521'!D:D,1,FALSE)</f>
        <v>Rambai</v>
      </c>
      <c r="AM448" s="11" t="s">
        <v>57</v>
      </c>
      <c r="AN448" s="11" t="e">
        <f>VLOOKUP(L448,[1]Sheet19!E:L,8,FALSE)</f>
        <v>#N/A</v>
      </c>
      <c r="AO448" s="11" t="e">
        <f>VLOOKUP(L448,[1]Sheet19!E:K,7,FALSE)</f>
        <v>#N/A</v>
      </c>
      <c r="AP448" s="12"/>
    </row>
    <row r="449" spans="1:42" ht="15" x14ac:dyDescent="0.2">
      <c r="A449" s="8" t="s">
        <v>42</v>
      </c>
      <c r="B449" s="9" t="s">
        <v>43</v>
      </c>
      <c r="C449" s="9">
        <v>905</v>
      </c>
      <c r="D449" s="9" t="s">
        <v>908</v>
      </c>
      <c r="E449" s="9">
        <v>101</v>
      </c>
      <c r="F449" s="9" t="s">
        <v>1089</v>
      </c>
      <c r="G449" s="9" t="s">
        <v>908</v>
      </c>
      <c r="H449" s="9" t="s">
        <v>911</v>
      </c>
      <c r="I449" s="9" t="s">
        <v>935</v>
      </c>
      <c r="J449" s="9" t="s">
        <v>1100</v>
      </c>
      <c r="K449" s="9" t="s">
        <v>1089</v>
      </c>
      <c r="L449" s="9" t="s">
        <v>1089</v>
      </c>
      <c r="M449" s="9" t="s">
        <v>65</v>
      </c>
      <c r="N449" s="9">
        <v>36</v>
      </c>
      <c r="O449" s="9" t="s">
        <v>72</v>
      </c>
      <c r="P449" s="9">
        <v>16</v>
      </c>
      <c r="Q449" s="9">
        <v>16</v>
      </c>
      <c r="R449" s="9">
        <v>0.05</v>
      </c>
      <c r="S449" s="9">
        <v>-1.8914500000000001</v>
      </c>
      <c r="T449" s="9">
        <v>136.25393</v>
      </c>
      <c r="U449" s="9"/>
      <c r="V449" s="11" t="s">
        <v>694</v>
      </c>
      <c r="W449" s="11"/>
      <c r="X449" s="11"/>
      <c r="Y449" s="11" t="e">
        <f>VLOOKUP(L449,'[1]singkron data'!D:H,5,FALSE)</f>
        <v>#N/A</v>
      </c>
      <c r="Z449" s="11" t="e">
        <f>VLOOKUP(L449,'[1]singkron data'!D:I,6,FALSE)</f>
        <v>#N/A</v>
      </c>
      <c r="AA449" s="11" t="e">
        <f>VLOOKUP(L449,'[1]singkron data'!D:L,9,FALSE)</f>
        <v>#N/A</v>
      </c>
      <c r="AB449" s="11" t="s">
        <v>694</v>
      </c>
      <c r="AC449" s="11" t="e">
        <f>VLOOKUP(L449,'[1]singkron data'!D:M,10,FALSE)</f>
        <v>#N/A</v>
      </c>
      <c r="AD449" s="11"/>
      <c r="AE449" s="11" t="e">
        <f>VLOOKUP(L449,'[1]singkron data'!D:P,13,FALSE)</f>
        <v>#N/A</v>
      </c>
      <c r="AF449" s="11"/>
      <c r="AG449" s="11" t="e">
        <f>VLOOKUP(L449,'[1]update kontrak'!E:K,6,FALSE)</f>
        <v>#N/A</v>
      </c>
      <c r="AH449" s="11" t="e">
        <f>VLOOKUP(L449,'[1]update kontrak'!E:K,7,FALSE)</f>
        <v>#N/A</v>
      </c>
      <c r="AI449" s="11"/>
      <c r="AJ449" s="11" t="str">
        <f>VLOOKUP(L449,[1]rekap!D:M,1,FALSE)</f>
        <v>Turu</v>
      </c>
      <c r="AK449" s="11" t="e">
        <f>VLOOKUP(L449,'[1]singkron data'!D:E,2,FALSE)</f>
        <v>#N/A</v>
      </c>
      <c r="AL449" s="11" t="str">
        <f>VLOOKUP(L449,'[1]update 521'!D:D,1,FALSE)</f>
        <v>Turu</v>
      </c>
      <c r="AM449" s="11" t="e">
        <f>VLOOKUP(L449,[1]Sheet18!I:M,5,FALSE)</f>
        <v>#N/A</v>
      </c>
      <c r="AN449" s="11" t="e">
        <f>VLOOKUP(L449,[1]Sheet19!E:L,8,FALSE)</f>
        <v>#N/A</v>
      </c>
      <c r="AO449" s="11" t="e">
        <f>VLOOKUP(L449,[1]Sheet19!E:K,7,FALSE)</f>
        <v>#N/A</v>
      </c>
      <c r="AP449" s="12"/>
    </row>
    <row r="450" spans="1:42" ht="15" x14ac:dyDescent="0.2">
      <c r="A450" s="8" t="s">
        <v>42</v>
      </c>
      <c r="B450" s="9" t="s">
        <v>43</v>
      </c>
      <c r="C450" s="9">
        <v>906</v>
      </c>
      <c r="D450" s="9" t="s">
        <v>908</v>
      </c>
      <c r="E450" s="9">
        <v>102</v>
      </c>
      <c r="F450" s="9" t="s">
        <v>1089</v>
      </c>
      <c r="G450" s="9" t="s">
        <v>908</v>
      </c>
      <c r="H450" s="9" t="s">
        <v>911</v>
      </c>
      <c r="I450" s="9" t="s">
        <v>935</v>
      </c>
      <c r="J450" s="9" t="s">
        <v>1101</v>
      </c>
      <c r="K450" s="9" t="s">
        <v>1102</v>
      </c>
      <c r="L450" s="9" t="s">
        <v>1102</v>
      </c>
      <c r="M450" s="9" t="s">
        <v>51</v>
      </c>
      <c r="N450" s="9">
        <v>60</v>
      </c>
      <c r="O450" s="9">
        <v>28</v>
      </c>
      <c r="P450" s="9">
        <v>11</v>
      </c>
      <c r="Q450" s="9">
        <v>40</v>
      </c>
      <c r="R450" s="9">
        <v>0.1</v>
      </c>
      <c r="S450" s="9">
        <v>-1.8763300000000001</v>
      </c>
      <c r="T450" s="9">
        <v>136.21215000000001</v>
      </c>
      <c r="U450" s="9"/>
      <c r="V450" s="11" t="s">
        <v>694</v>
      </c>
      <c r="W450" s="11"/>
      <c r="X450" s="11"/>
      <c r="Y450" s="11" t="e">
        <f>VLOOKUP(L450,'[1]singkron data'!D:H,5,FALSE)</f>
        <v>#N/A</v>
      </c>
      <c r="Z450" s="11" t="e">
        <f>VLOOKUP(L450,'[1]singkron data'!D:I,6,FALSE)</f>
        <v>#N/A</v>
      </c>
      <c r="AA450" s="11" t="e">
        <f>VLOOKUP(L450,'[1]singkron data'!D:L,9,FALSE)</f>
        <v>#N/A</v>
      </c>
      <c r="AB450" s="11" t="s">
        <v>694</v>
      </c>
      <c r="AC450" s="11" t="e">
        <f>VLOOKUP(L450,'[1]singkron data'!D:M,10,FALSE)</f>
        <v>#N/A</v>
      </c>
      <c r="AD450" s="11"/>
      <c r="AE450" s="11" t="e">
        <f>VLOOKUP(L450,'[1]singkron data'!D:P,13,FALSE)</f>
        <v>#N/A</v>
      </c>
      <c r="AF450" s="11"/>
      <c r="AG450" s="11" t="e">
        <f>VLOOKUP(L450,'[1]update kontrak'!E:K,6,FALSE)</f>
        <v>#N/A</v>
      </c>
      <c r="AH450" s="11" t="e">
        <f>VLOOKUP(L450,'[1]update kontrak'!E:K,7,FALSE)</f>
        <v>#N/A</v>
      </c>
      <c r="AI450" s="11"/>
      <c r="AJ450" s="11" t="str">
        <f>VLOOKUP(L450,[1]rekap!D:M,1,FALSE)</f>
        <v>Ketu Api</v>
      </c>
      <c r="AK450" s="11" t="e">
        <f>VLOOKUP(L450,'[1]singkron data'!D:E,2,FALSE)</f>
        <v>#N/A</v>
      </c>
      <c r="AL450" s="11" t="str">
        <f>VLOOKUP(L450,'[1]update 521'!D:D,1,FALSE)</f>
        <v>Ketu Api</v>
      </c>
      <c r="AM450" s="11" t="e">
        <f>VLOOKUP(L450,[1]Sheet18!I:M,5,FALSE)</f>
        <v>#N/A</v>
      </c>
      <c r="AN450" s="11" t="e">
        <f>VLOOKUP(L450,[1]Sheet19!E:L,8,FALSE)</f>
        <v>#N/A</v>
      </c>
      <c r="AO450" s="11" t="e">
        <f>VLOOKUP(L450,[1]Sheet19!E:K,7,FALSE)</f>
        <v>#N/A</v>
      </c>
      <c r="AP450" s="12"/>
    </row>
    <row r="451" spans="1:42" ht="15" x14ac:dyDescent="0.2">
      <c r="A451" s="8" t="s">
        <v>42</v>
      </c>
      <c r="B451" s="9" t="s">
        <v>43</v>
      </c>
      <c r="C451" s="9">
        <v>907</v>
      </c>
      <c r="D451" s="9" t="s">
        <v>908</v>
      </c>
      <c r="E451" s="9">
        <v>103</v>
      </c>
      <c r="F451" s="9" t="s">
        <v>1089</v>
      </c>
      <c r="G451" s="9" t="s">
        <v>908</v>
      </c>
      <c r="H451" s="9" t="s">
        <v>911</v>
      </c>
      <c r="I451" s="9" t="s">
        <v>935</v>
      </c>
      <c r="J451" s="9" t="s">
        <v>1103</v>
      </c>
      <c r="K451" s="9" t="s">
        <v>1104</v>
      </c>
      <c r="L451" s="9" t="s">
        <v>1104</v>
      </c>
      <c r="M451" s="9" t="s">
        <v>51</v>
      </c>
      <c r="N451" s="9">
        <v>34</v>
      </c>
      <c r="O451" s="9">
        <v>31</v>
      </c>
      <c r="P451" s="9">
        <v>8</v>
      </c>
      <c r="Q451" s="9">
        <v>39</v>
      </c>
      <c r="R451" s="30"/>
      <c r="S451" s="9">
        <v>-1.8179829999999999</v>
      </c>
      <c r="T451" s="9">
        <v>136.02375000000001</v>
      </c>
      <c r="U451" s="9"/>
      <c r="V451" s="11" t="s">
        <v>694</v>
      </c>
      <c r="W451" s="11"/>
      <c r="X451" s="11"/>
      <c r="Y451" s="11" t="e">
        <f>VLOOKUP(L451,'[1]singkron data'!D:H,5,FALSE)</f>
        <v>#N/A</v>
      </c>
      <c r="Z451" s="11" t="e">
        <f>VLOOKUP(L451,'[1]singkron data'!D:I,6,FALSE)</f>
        <v>#N/A</v>
      </c>
      <c r="AA451" s="11" t="e">
        <f>VLOOKUP(L451,'[1]singkron data'!D:L,9,FALSE)</f>
        <v>#N/A</v>
      </c>
      <c r="AB451" s="11" t="s">
        <v>694</v>
      </c>
      <c r="AC451" s="11" t="e">
        <f>VLOOKUP(L451,'[1]singkron data'!D:M,10,FALSE)</f>
        <v>#N/A</v>
      </c>
      <c r="AD451" s="11"/>
      <c r="AE451" s="11" t="e">
        <f>VLOOKUP(L451,'[1]singkron data'!D:P,13,FALSE)</f>
        <v>#N/A</v>
      </c>
      <c r="AF451" s="11"/>
      <c r="AG451" s="11" t="e">
        <f>VLOOKUP(L451,'[1]update kontrak'!E:K,6,FALSE)</f>
        <v>#N/A</v>
      </c>
      <c r="AH451" s="11" t="e">
        <f>VLOOKUP(L451,'[1]update kontrak'!E:K,7,FALSE)</f>
        <v>#N/A</v>
      </c>
      <c r="AI451" s="11"/>
      <c r="AJ451" s="11" t="str">
        <f>VLOOKUP(L451,[1]rekap!D:M,1,FALSE)</f>
        <v>Maria Rotu</v>
      </c>
      <c r="AK451" s="11" t="e">
        <f>VLOOKUP(L451,'[1]singkron data'!D:E,2,FALSE)</f>
        <v>#N/A</v>
      </c>
      <c r="AL451" s="11" t="str">
        <f>VLOOKUP(L451,'[1]update 521'!D:D,1,FALSE)</f>
        <v>Maria Rotu</v>
      </c>
      <c r="AM451" s="11" t="e">
        <f>VLOOKUP(L451,[1]Sheet18!I:M,5,FALSE)</f>
        <v>#N/A</v>
      </c>
      <c r="AN451" s="11" t="e">
        <f>VLOOKUP(L451,[1]Sheet19!E:L,8,FALSE)</f>
        <v>#N/A</v>
      </c>
      <c r="AO451" s="11" t="e">
        <f>VLOOKUP(L451,[1]Sheet19!E:K,7,FALSE)</f>
        <v>#N/A</v>
      </c>
      <c r="AP451" s="12"/>
    </row>
    <row r="452" spans="1:42" ht="15" x14ac:dyDescent="0.2">
      <c r="A452" s="8" t="s">
        <v>42</v>
      </c>
      <c r="B452" s="9" t="s">
        <v>43</v>
      </c>
      <c r="C452" s="9">
        <v>908</v>
      </c>
      <c r="D452" s="9" t="s">
        <v>908</v>
      </c>
      <c r="E452" s="9">
        <v>104</v>
      </c>
      <c r="F452" s="9" t="s">
        <v>1089</v>
      </c>
      <c r="G452" s="9" t="s">
        <v>908</v>
      </c>
      <c r="H452" s="9" t="s">
        <v>911</v>
      </c>
      <c r="I452" s="9" t="s">
        <v>935</v>
      </c>
      <c r="J452" s="9" t="s">
        <v>1103</v>
      </c>
      <c r="K452" s="9" t="s">
        <v>1105</v>
      </c>
      <c r="L452" s="9" t="s">
        <v>1105</v>
      </c>
      <c r="M452" s="9" t="s">
        <v>51</v>
      </c>
      <c r="N452" s="9">
        <v>50</v>
      </c>
      <c r="O452" s="9">
        <v>25</v>
      </c>
      <c r="P452" s="9">
        <v>4</v>
      </c>
      <c r="Q452" s="9">
        <v>29</v>
      </c>
      <c r="R452" s="9">
        <v>0.2</v>
      </c>
      <c r="S452" s="9">
        <v>-1.8521000000000001</v>
      </c>
      <c r="T452" s="9">
        <v>136.12925999999999</v>
      </c>
      <c r="U452" s="9"/>
      <c r="V452" s="11" t="s">
        <v>694</v>
      </c>
      <c r="W452" s="13">
        <f>VLOOKUP(L452,[1]Sheet18!I:N,6,FALSE)</f>
        <v>10767204000</v>
      </c>
      <c r="X452" s="11" t="s">
        <v>55</v>
      </c>
      <c r="Y452" s="11" t="e">
        <f>VLOOKUP(L452,'[1]singkron data'!D:H,5,FALSE)</f>
        <v>#N/A</v>
      </c>
      <c r="Z452" s="11" t="e">
        <f>VLOOKUP(L452,'[1]singkron data'!D:I,6,FALSE)</f>
        <v>#N/A</v>
      </c>
      <c r="AA452" s="11" t="e">
        <f>VLOOKUP(L452,'[1]singkron data'!D:L,9,FALSE)</f>
        <v>#N/A</v>
      </c>
      <c r="AB452" s="11" t="s">
        <v>694</v>
      </c>
      <c r="AC452" s="11" t="e">
        <f>VLOOKUP(L452,'[1]singkron data'!D:M,10,FALSE)</f>
        <v>#N/A</v>
      </c>
      <c r="AD452" s="11"/>
      <c r="AE452" s="11" t="e">
        <f>VLOOKUP(L452,'[1]singkron data'!D:P,13,FALSE)</f>
        <v>#N/A</v>
      </c>
      <c r="AF452" s="11" t="s">
        <v>55</v>
      </c>
      <c r="AG452" s="11" t="e">
        <f>VLOOKUP(L452,'[1]update kontrak'!E:K,6,FALSE)</f>
        <v>#N/A</v>
      </c>
      <c r="AH452" s="11" t="e">
        <f>VLOOKUP(L452,'[1]update kontrak'!E:K,7,FALSE)</f>
        <v>#N/A</v>
      </c>
      <c r="AI452" s="11"/>
      <c r="AJ452" s="11" t="str">
        <f>VLOOKUP(L452,[1]rekap!D:M,1,FALSE)</f>
        <v>Tatui</v>
      </c>
      <c r="AK452" s="11" t="e">
        <f>VLOOKUP(L452,'[1]singkron data'!D:E,2,FALSE)</f>
        <v>#N/A</v>
      </c>
      <c r="AL452" s="11" t="str">
        <f>VLOOKUP(L452,'[1]update 521'!D:D,1,FALSE)</f>
        <v>Tatui</v>
      </c>
      <c r="AM452" s="11" t="s">
        <v>57</v>
      </c>
      <c r="AN452" s="11" t="e">
        <f>VLOOKUP(L452,[1]Sheet19!E:L,8,FALSE)</f>
        <v>#N/A</v>
      </c>
      <c r="AO452" s="11" t="e">
        <f>VLOOKUP(L452,[1]Sheet19!E:K,7,FALSE)</f>
        <v>#N/A</v>
      </c>
      <c r="AP452" s="12"/>
    </row>
    <row r="453" spans="1:42" ht="15" x14ac:dyDescent="0.2">
      <c r="A453" s="8" t="s">
        <v>42</v>
      </c>
      <c r="B453" s="9" t="s">
        <v>43</v>
      </c>
      <c r="C453" s="9">
        <v>909</v>
      </c>
      <c r="D453" s="9" t="s">
        <v>908</v>
      </c>
      <c r="E453" s="9">
        <v>105</v>
      </c>
      <c r="F453" s="9" t="s">
        <v>1106</v>
      </c>
      <c r="G453" s="9" t="s">
        <v>1060</v>
      </c>
      <c r="H453" s="9" t="s">
        <v>911</v>
      </c>
      <c r="I453" s="9" t="s">
        <v>1107</v>
      </c>
      <c r="J453" s="9" t="s">
        <v>1108</v>
      </c>
      <c r="K453" s="9" t="s">
        <v>1106</v>
      </c>
      <c r="L453" s="9" t="s">
        <v>1106</v>
      </c>
      <c r="M453" s="9" t="s">
        <v>65</v>
      </c>
      <c r="N453" s="9">
        <v>723</v>
      </c>
      <c r="O453" s="9">
        <v>25</v>
      </c>
      <c r="P453" s="9">
        <v>580</v>
      </c>
      <c r="Q453" s="9">
        <v>605</v>
      </c>
      <c r="R453" s="9">
        <v>1</v>
      </c>
      <c r="S453" s="9">
        <v>-1.5664400000000001</v>
      </c>
      <c r="T453" s="9">
        <v>131.95248000000001</v>
      </c>
      <c r="U453" s="9"/>
      <c r="V453" s="11" t="s">
        <v>694</v>
      </c>
      <c r="W453" s="11"/>
      <c r="X453" s="11"/>
      <c r="Y453" s="11" t="e">
        <f>VLOOKUP(L453,'[1]singkron data'!D:H,5,FALSE)</f>
        <v>#N/A</v>
      </c>
      <c r="Z453" s="11" t="e">
        <f>VLOOKUP(L453,'[1]singkron data'!D:I,6,FALSE)</f>
        <v>#N/A</v>
      </c>
      <c r="AA453" s="11" t="e">
        <f>VLOOKUP(L453,'[1]singkron data'!D:L,9,FALSE)</f>
        <v>#N/A</v>
      </c>
      <c r="AB453" s="11" t="s">
        <v>694</v>
      </c>
      <c r="AC453" s="11" t="e">
        <f>VLOOKUP(L453,'[1]singkron data'!D:M,10,FALSE)</f>
        <v>#N/A</v>
      </c>
      <c r="AD453" s="11"/>
      <c r="AE453" s="11" t="e">
        <f>VLOOKUP(L453,'[1]singkron data'!D:P,13,FALSE)</f>
        <v>#N/A</v>
      </c>
      <c r="AF453" s="11"/>
      <c r="AG453" s="11" t="e">
        <f>VLOOKUP(L453,'[1]update kontrak'!E:K,6,FALSE)</f>
        <v>#N/A</v>
      </c>
      <c r="AH453" s="11" t="e">
        <f>VLOOKUP(L453,'[1]update kontrak'!E:K,7,FALSE)</f>
        <v>#N/A</v>
      </c>
      <c r="AI453" s="11"/>
      <c r="AJ453" s="11" t="str">
        <f>VLOOKUP(L453,[1]rekap!D:M,1,FALSE)</f>
        <v>Wamargege</v>
      </c>
      <c r="AK453" s="11" t="e">
        <f>VLOOKUP(L453,'[1]singkron data'!D:E,2,FALSE)</f>
        <v>#N/A</v>
      </c>
      <c r="AL453" s="11" t="str">
        <f>VLOOKUP(L453,'[1]update 521'!D:D,1,FALSE)</f>
        <v>Wamargege</v>
      </c>
      <c r="AM453" s="11" t="e">
        <f>VLOOKUP(L453,[1]Sheet18!I:M,5,FALSE)</f>
        <v>#N/A</v>
      </c>
      <c r="AN453" s="11" t="e">
        <f>VLOOKUP(L453,[1]Sheet19!E:L,8,FALSE)</f>
        <v>#N/A</v>
      </c>
      <c r="AO453" s="11" t="e">
        <f>VLOOKUP(L453,[1]Sheet19!E:K,7,FALSE)</f>
        <v>#N/A</v>
      </c>
      <c r="AP453" s="12"/>
    </row>
    <row r="454" spans="1:42" ht="15" x14ac:dyDescent="0.2">
      <c r="A454" s="8" t="s">
        <v>42</v>
      </c>
      <c r="B454" s="9" t="s">
        <v>43</v>
      </c>
      <c r="C454" s="9">
        <v>911</v>
      </c>
      <c r="D454" s="9" t="s">
        <v>908</v>
      </c>
      <c r="E454" s="9">
        <v>107</v>
      </c>
      <c r="F454" s="9" t="s">
        <v>1109</v>
      </c>
      <c r="G454" s="9" t="s">
        <v>989</v>
      </c>
      <c r="H454" s="9" t="s">
        <v>911</v>
      </c>
      <c r="I454" s="9" t="s">
        <v>1067</v>
      </c>
      <c r="J454" s="9" t="s">
        <v>1110</v>
      </c>
      <c r="K454" s="9" t="s">
        <v>1109</v>
      </c>
      <c r="L454" s="9" t="s">
        <v>1109</v>
      </c>
      <c r="M454" s="9" t="s">
        <v>65</v>
      </c>
      <c r="N454" s="9">
        <v>137</v>
      </c>
      <c r="O454" s="9" t="s">
        <v>72</v>
      </c>
      <c r="P454" s="9">
        <v>183</v>
      </c>
      <c r="Q454" s="9">
        <v>183</v>
      </c>
      <c r="R454" s="9">
        <v>1</v>
      </c>
      <c r="S454" s="9">
        <v>-7.5283600000000002</v>
      </c>
      <c r="T454" s="9">
        <v>139.08949000000001</v>
      </c>
      <c r="U454" s="9"/>
      <c r="V454" s="11" t="s">
        <v>694</v>
      </c>
      <c r="W454" s="11"/>
      <c r="X454" s="11"/>
      <c r="Y454" s="11" t="e">
        <f>VLOOKUP(L454,'[1]singkron data'!D:H,5,FALSE)</f>
        <v>#N/A</v>
      </c>
      <c r="Z454" s="11" t="e">
        <f>VLOOKUP(L454,'[1]singkron data'!D:I,6,FALSE)</f>
        <v>#N/A</v>
      </c>
      <c r="AA454" s="11" t="e">
        <f>VLOOKUP(L454,'[1]singkron data'!D:L,9,FALSE)</f>
        <v>#N/A</v>
      </c>
      <c r="AB454" s="11" t="s">
        <v>694</v>
      </c>
      <c r="AC454" s="11" t="e">
        <f>VLOOKUP(L454,'[1]singkron data'!D:M,10,FALSE)</f>
        <v>#N/A</v>
      </c>
      <c r="AD454" s="11"/>
      <c r="AE454" s="11" t="e">
        <f>VLOOKUP(L454,'[1]singkron data'!D:P,13,FALSE)</f>
        <v>#N/A</v>
      </c>
      <c r="AF454" s="11"/>
      <c r="AG454" s="11" t="e">
        <f>VLOOKUP(L454,'[1]update kontrak'!E:K,6,FALSE)</f>
        <v>#N/A</v>
      </c>
      <c r="AH454" s="11" t="e">
        <f>VLOOKUP(L454,'[1]update kontrak'!E:K,7,FALSE)</f>
        <v>#N/A</v>
      </c>
      <c r="AI454" s="11"/>
      <c r="AJ454" s="11" t="str">
        <f>VLOOKUP(L454,[1]rekap!D:M,1,FALSE)</f>
        <v>Wogekel</v>
      </c>
      <c r="AK454" s="11" t="e">
        <f>VLOOKUP(L454,'[1]singkron data'!D:E,2,FALSE)</f>
        <v>#N/A</v>
      </c>
      <c r="AL454" s="11" t="str">
        <f>VLOOKUP(L454,'[1]update 521'!D:D,1,FALSE)</f>
        <v>Wogekel</v>
      </c>
      <c r="AM454" s="11" t="e">
        <f>VLOOKUP(L454,[1]Sheet18!I:M,5,FALSE)</f>
        <v>#N/A</v>
      </c>
      <c r="AN454" s="11" t="e">
        <f>VLOOKUP(L454,[1]Sheet19!E:L,8,FALSE)</f>
        <v>#N/A</v>
      </c>
      <c r="AO454" s="11" t="e">
        <f>VLOOKUP(L454,[1]Sheet19!E:K,7,FALSE)</f>
        <v>#N/A</v>
      </c>
      <c r="AP454" s="12"/>
    </row>
    <row r="455" spans="1:42" ht="15" x14ac:dyDescent="0.2">
      <c r="A455" s="8" t="s">
        <v>42</v>
      </c>
      <c r="B455" s="9" t="s">
        <v>43</v>
      </c>
      <c r="C455" s="9">
        <v>912</v>
      </c>
      <c r="D455" s="9" t="s">
        <v>908</v>
      </c>
      <c r="E455" s="9">
        <v>108</v>
      </c>
      <c r="F455" s="9" t="s">
        <v>1109</v>
      </c>
      <c r="G455" s="9" t="s">
        <v>989</v>
      </c>
      <c r="H455" s="9" t="s">
        <v>911</v>
      </c>
      <c r="I455" s="9" t="s">
        <v>1067</v>
      </c>
      <c r="J455" s="9" t="s">
        <v>1110</v>
      </c>
      <c r="K455" s="9" t="s">
        <v>1111</v>
      </c>
      <c r="L455" s="9" t="s">
        <v>1111</v>
      </c>
      <c r="M455" s="9" t="s">
        <v>51</v>
      </c>
      <c r="N455" s="9">
        <v>182</v>
      </c>
      <c r="O455" s="9" t="s">
        <v>72</v>
      </c>
      <c r="P455" s="9">
        <v>215</v>
      </c>
      <c r="Q455" s="9">
        <v>215</v>
      </c>
      <c r="R455" s="9">
        <v>1</v>
      </c>
      <c r="S455" s="9">
        <v>-7.5143300000000002</v>
      </c>
      <c r="T455" s="9">
        <v>139.03254000000001</v>
      </c>
      <c r="U455" s="9"/>
      <c r="V455" s="11" t="s">
        <v>694</v>
      </c>
      <c r="W455" s="11"/>
      <c r="X455" s="11"/>
      <c r="Y455" s="11" t="e">
        <f>VLOOKUP(L455,'[1]singkron data'!D:H,5,FALSE)</f>
        <v>#N/A</v>
      </c>
      <c r="Z455" s="11" t="e">
        <f>VLOOKUP(L455,'[1]singkron data'!D:I,6,FALSE)</f>
        <v>#N/A</v>
      </c>
      <c r="AA455" s="11" t="e">
        <f>VLOOKUP(L455,'[1]singkron data'!D:L,9,FALSE)</f>
        <v>#N/A</v>
      </c>
      <c r="AB455" s="11" t="s">
        <v>694</v>
      </c>
      <c r="AC455" s="11" t="e">
        <f>VLOOKUP(L455,'[1]singkron data'!D:M,10,FALSE)</f>
        <v>#N/A</v>
      </c>
      <c r="AD455" s="11"/>
      <c r="AE455" s="11" t="e">
        <f>VLOOKUP(L455,'[1]singkron data'!D:P,13,FALSE)</f>
        <v>#N/A</v>
      </c>
      <c r="AF455" s="11"/>
      <c r="AG455" s="11" t="e">
        <f>VLOOKUP(L455,'[1]update kontrak'!E:K,6,FALSE)</f>
        <v>#N/A</v>
      </c>
      <c r="AH455" s="11" t="e">
        <f>VLOOKUP(L455,'[1]update kontrak'!E:K,7,FALSE)</f>
        <v>#N/A</v>
      </c>
      <c r="AI455" s="11"/>
      <c r="AJ455" s="11" t="str">
        <f>VLOOKUP(L455,[1]rekap!D:M,1,FALSE)</f>
        <v>Wanam</v>
      </c>
      <c r="AK455" s="11" t="e">
        <f>VLOOKUP(L455,'[1]singkron data'!D:E,2,FALSE)</f>
        <v>#N/A</v>
      </c>
      <c r="AL455" s="11" t="str">
        <f>VLOOKUP(L455,'[1]update 521'!D:D,1,FALSE)</f>
        <v>Wanam</v>
      </c>
      <c r="AM455" s="11" t="e">
        <f>VLOOKUP(L455,[1]Sheet18!I:M,5,FALSE)</f>
        <v>#N/A</v>
      </c>
      <c r="AN455" s="11" t="e">
        <f>VLOOKUP(L455,[1]Sheet19!E:L,8,FALSE)</f>
        <v>#N/A</v>
      </c>
      <c r="AO455" s="11" t="e">
        <f>VLOOKUP(L455,[1]Sheet19!E:K,7,FALSE)</f>
        <v>#N/A</v>
      </c>
      <c r="AP455" s="12"/>
    </row>
    <row r="456" spans="1:42" ht="15" x14ac:dyDescent="0.2">
      <c r="A456" s="8" t="s">
        <v>42</v>
      </c>
      <c r="B456" s="9" t="s">
        <v>43</v>
      </c>
      <c r="C456" s="9">
        <v>471</v>
      </c>
      <c r="D456" s="9" t="s">
        <v>1112</v>
      </c>
      <c r="E456" s="9">
        <v>1</v>
      </c>
      <c r="F456" s="9" t="s">
        <v>1113</v>
      </c>
      <c r="G456" s="9" t="s">
        <v>1114</v>
      </c>
      <c r="H456" s="9" t="s">
        <v>287</v>
      </c>
      <c r="I456" s="9" t="s">
        <v>1115</v>
      </c>
      <c r="J456" s="9" t="s">
        <v>1116</v>
      </c>
      <c r="K456" s="9" t="s">
        <v>1117</v>
      </c>
      <c r="L456" s="10" t="s">
        <v>1117</v>
      </c>
      <c r="M456" s="9" t="s">
        <v>51</v>
      </c>
      <c r="N456" s="9">
        <v>656</v>
      </c>
      <c r="O456" s="9">
        <v>1</v>
      </c>
      <c r="P456" s="9">
        <v>294</v>
      </c>
      <c r="Q456" s="9">
        <v>295</v>
      </c>
      <c r="R456" s="9">
        <v>0.76</v>
      </c>
      <c r="S456" s="9">
        <v>-5.3255889999999999</v>
      </c>
      <c r="T456" s="9">
        <v>119.35458300000001</v>
      </c>
      <c r="U456" s="9" t="s">
        <v>52</v>
      </c>
      <c r="V456" s="11" t="str">
        <f>VLOOKUP(L456,'[1]singkron data'!D:E,2,FALSE)</f>
        <v>PT. Sinar Mogilolang</v>
      </c>
      <c r="W456" s="13">
        <f>VLOOKUP(L456,'[1]data 1129'!F:H,3,FALSE)</f>
        <v>5197784000</v>
      </c>
      <c r="X456" s="11" t="s">
        <v>55</v>
      </c>
      <c r="Y456" s="11" t="str">
        <f>VLOOKUP(L456,'[1]singkron data'!D:H,5,FALSE)</f>
        <v>Makassar</v>
      </c>
      <c r="Z456" s="11" t="str">
        <f>VLOOKUP(L456,'[1]singkron data'!D:I,6,FALSE)</f>
        <v>Online</v>
      </c>
      <c r="AA456" s="11">
        <f>VLOOKUP(L456,'[1]singkron data'!D:L,9,FALSE)</f>
        <v>0</v>
      </c>
      <c r="AB456" s="11" t="s">
        <v>54</v>
      </c>
      <c r="AC456" s="11">
        <f>VLOOKUP(L456,'[1]singkron data'!D:M,10,FALSE)</f>
        <v>0</v>
      </c>
      <c r="AD456" s="11" t="str">
        <f>VLOOKUP(L456,'[1]data 1129'!F:O,10,FALSE)</f>
        <v>Tahap I 208</v>
      </c>
      <c r="AE456" s="11" t="str">
        <f>VLOOKUP(L456,'[1]singkron data'!D:P,13,FALSE)</f>
        <v>sudah</v>
      </c>
      <c r="AF456" s="11" t="s">
        <v>55</v>
      </c>
      <c r="AG456" s="17">
        <f>VLOOKUP(L456,'[1]update kontrak'!E:K,6,FALSE)</f>
        <v>4297853000</v>
      </c>
      <c r="AH456" s="11" t="str">
        <f>VLOOKUP(L456,'[1]update kontrak'!E:K,7,FALSE)</f>
        <v>KONTRAK</v>
      </c>
      <c r="AI456" s="11" t="s">
        <v>41</v>
      </c>
      <c r="AJ456" s="11" t="str">
        <f>VLOOKUP(L456,[1]rekap!D:M,1,FALSE)</f>
        <v>Boddia</v>
      </c>
      <c r="AK456" s="11" t="str">
        <f>VLOOKUP(L456,'[1]singkron data'!D:E,2,FALSE)</f>
        <v>PT. Sinar Mogilolang</v>
      </c>
      <c r="AL456" s="11" t="str">
        <f>VLOOKUP(L456,'[1]update 521'!D:D,1,FALSE)</f>
        <v>Boddia</v>
      </c>
      <c r="AM456" s="11" t="s">
        <v>57</v>
      </c>
      <c r="AN456" s="17">
        <f>VLOOKUP(L456,[1]Sheet19!E:L,8,FALSE)</f>
        <v>4297853000</v>
      </c>
      <c r="AO456" s="11" t="str">
        <f>VLOOKUP(L456,[1]Sheet19!E:K,7,FALSE)</f>
        <v>KONTRAK</v>
      </c>
      <c r="AP456" s="12" t="s">
        <v>41</v>
      </c>
    </row>
    <row r="457" spans="1:42" ht="15" x14ac:dyDescent="0.2">
      <c r="A457" s="8" t="s">
        <v>42</v>
      </c>
      <c r="B457" s="9" t="s">
        <v>43</v>
      </c>
      <c r="C457" s="9">
        <v>472</v>
      </c>
      <c r="D457" s="9" t="s">
        <v>1112</v>
      </c>
      <c r="E457" s="9">
        <v>2</v>
      </c>
      <c r="F457" s="9" t="s">
        <v>1113</v>
      </c>
      <c r="G457" s="9" t="s">
        <v>1114</v>
      </c>
      <c r="H457" s="9" t="s">
        <v>287</v>
      </c>
      <c r="I457" s="9" t="s">
        <v>1115</v>
      </c>
      <c r="J457" s="9" t="s">
        <v>1118</v>
      </c>
      <c r="K457" s="9" t="s">
        <v>1119</v>
      </c>
      <c r="L457" s="10" t="s">
        <v>1119</v>
      </c>
      <c r="M457" s="9" t="s">
        <v>51</v>
      </c>
      <c r="N457" s="9">
        <v>678</v>
      </c>
      <c r="O457" s="9">
        <v>7</v>
      </c>
      <c r="P457" s="9">
        <v>97</v>
      </c>
      <c r="Q457" s="9">
        <v>104</v>
      </c>
      <c r="R457" s="9">
        <v>0.5</v>
      </c>
      <c r="S457" s="9">
        <v>-5.24587</v>
      </c>
      <c r="T457" s="9">
        <v>119.379981</v>
      </c>
      <c r="U457" s="9" t="s">
        <v>52</v>
      </c>
      <c r="V457" s="11" t="str">
        <f>VLOOKUP(L457,'[1]singkron data'!D:E,2,FALSE)</f>
        <v>PT. Sinar Mogilolang</v>
      </c>
      <c r="W457" s="13">
        <f>VLOOKUP(L457,'[1]data 1129'!F:H,3,FALSE)</f>
        <v>5040531000</v>
      </c>
      <c r="X457" s="11" t="s">
        <v>55</v>
      </c>
      <c r="Y457" s="11" t="str">
        <f>VLOOKUP(L457,'[1]singkron data'!D:H,5,FALSE)</f>
        <v>Makassar</v>
      </c>
      <c r="Z457" s="11" t="str">
        <f>VLOOKUP(L457,'[1]singkron data'!D:I,6,FALSE)</f>
        <v>Online</v>
      </c>
      <c r="AA457" s="11">
        <f>VLOOKUP(L457,'[1]singkron data'!D:L,9,FALSE)</f>
        <v>0</v>
      </c>
      <c r="AB457" s="11" t="s">
        <v>54</v>
      </c>
      <c r="AC457" s="11">
        <f>VLOOKUP(L457,'[1]singkron data'!D:M,10,FALSE)</f>
        <v>0</v>
      </c>
      <c r="AD457" s="11" t="str">
        <f>VLOOKUP(L457,'[1]data 1129'!F:O,10,FALSE)</f>
        <v>Tahap I 208</v>
      </c>
      <c r="AE457" s="11" t="str">
        <f>VLOOKUP(L457,'[1]singkron data'!D:P,13,FALSE)</f>
        <v>sudah</v>
      </c>
      <c r="AF457" s="11" t="s">
        <v>55</v>
      </c>
      <c r="AG457" s="17">
        <f>VLOOKUP(L457,'[1]update kontrak'!E:K,6,FALSE)</f>
        <v>4091880000</v>
      </c>
      <c r="AH457" s="11" t="str">
        <f>VLOOKUP(L457,'[1]update kontrak'!E:K,7,FALSE)</f>
        <v>KONTRAK</v>
      </c>
      <c r="AI457" s="11" t="s">
        <v>41</v>
      </c>
      <c r="AJ457" s="11" t="str">
        <f>VLOOKUP(L457,[1]rekap!D:M,1,FALSE)</f>
        <v>Sampulungan</v>
      </c>
      <c r="AK457" s="11" t="str">
        <f>VLOOKUP(L457,'[1]singkron data'!D:E,2,FALSE)</f>
        <v>PT. Sinar Mogilolang</v>
      </c>
      <c r="AL457" s="11" t="str">
        <f>VLOOKUP(L457,'[1]update 521'!D:D,1,FALSE)</f>
        <v>Sampulungan</v>
      </c>
      <c r="AM457" s="11" t="s">
        <v>57</v>
      </c>
      <c r="AN457" s="17">
        <f>VLOOKUP(L457,[1]Sheet19!E:L,8,FALSE)</f>
        <v>4091880000</v>
      </c>
      <c r="AO457" s="11" t="str">
        <f>VLOOKUP(L457,[1]Sheet19!E:K,7,FALSE)</f>
        <v>KONTRAK</v>
      </c>
      <c r="AP457" s="12" t="s">
        <v>41</v>
      </c>
    </row>
    <row r="458" spans="1:42" ht="15" x14ac:dyDescent="0.2">
      <c r="A458" s="8" t="s">
        <v>42</v>
      </c>
      <c r="B458" s="9" t="s">
        <v>43</v>
      </c>
      <c r="C458" s="9">
        <v>473</v>
      </c>
      <c r="D458" s="9" t="s">
        <v>1112</v>
      </c>
      <c r="E458" s="9">
        <v>3</v>
      </c>
      <c r="F458" s="9" t="s">
        <v>1113</v>
      </c>
      <c r="G458" s="9" t="s">
        <v>1114</v>
      </c>
      <c r="H458" s="9" t="s">
        <v>287</v>
      </c>
      <c r="I458" s="9" t="s">
        <v>1115</v>
      </c>
      <c r="J458" s="9" t="s">
        <v>1120</v>
      </c>
      <c r="K458" s="9" t="s">
        <v>1121</v>
      </c>
      <c r="L458" s="10" t="s">
        <v>1121</v>
      </c>
      <c r="M458" s="9" t="s">
        <v>51</v>
      </c>
      <c r="N458" s="9">
        <v>876</v>
      </c>
      <c r="O458" s="9">
        <v>8</v>
      </c>
      <c r="P458" s="9">
        <v>251</v>
      </c>
      <c r="Q458" s="9">
        <v>259</v>
      </c>
      <c r="R458" s="9">
        <v>0.87</v>
      </c>
      <c r="S458" s="9">
        <v>-5.4783590000000002</v>
      </c>
      <c r="T458" s="9">
        <v>119.42355499999999</v>
      </c>
      <c r="U458" s="9" t="s">
        <v>52</v>
      </c>
      <c r="V458" s="11" t="str">
        <f>VLOOKUP(L458,'[1]singkron data'!D:E,2,FALSE)</f>
        <v>PT. Sinar Mogilolang</v>
      </c>
      <c r="W458" s="13">
        <f>VLOOKUP(L458,'[1]data 1129'!F:H,3,FALSE)</f>
        <v>8793312000</v>
      </c>
      <c r="X458" s="11" t="s">
        <v>55</v>
      </c>
      <c r="Y458" s="11" t="str">
        <f>VLOOKUP(L458,'[1]singkron data'!D:H,5,FALSE)</f>
        <v>Makassar</v>
      </c>
      <c r="Z458" s="11" t="str">
        <f>VLOOKUP(L458,'[1]singkron data'!D:I,6,FALSE)</f>
        <v>Online</v>
      </c>
      <c r="AA458" s="11">
        <f>VLOOKUP(L458,'[1]singkron data'!D:L,9,FALSE)</f>
        <v>0</v>
      </c>
      <c r="AB458" s="11" t="s">
        <v>54</v>
      </c>
      <c r="AC458" s="11">
        <f>VLOOKUP(L458,'[1]singkron data'!D:M,10,FALSE)</f>
        <v>0</v>
      </c>
      <c r="AD458" s="11" t="str">
        <f>VLOOKUP(L458,'[1]data 1129'!F:O,10,FALSE)</f>
        <v>Tahap I 208</v>
      </c>
      <c r="AE458" s="11" t="str">
        <f>VLOOKUP(L458,'[1]singkron data'!D:P,13,FALSE)</f>
        <v>sudah</v>
      </c>
      <c r="AF458" s="11" t="s">
        <v>55</v>
      </c>
      <c r="AG458" s="17">
        <f>VLOOKUP(L458,'[1]update kontrak'!E:K,6,FALSE)</f>
        <v>5118864000</v>
      </c>
      <c r="AH458" s="11" t="str">
        <f>VLOOKUP(L458,'[1]update kontrak'!E:K,7,FALSE)</f>
        <v>KONTRAK</v>
      </c>
      <c r="AI458" s="11" t="s">
        <v>41</v>
      </c>
      <c r="AJ458" s="11" t="str">
        <f>VLOOKUP(L458,[1]rekap!D:M,1,FALSE)</f>
        <v>Topejawa</v>
      </c>
      <c r="AK458" s="11" t="str">
        <f>VLOOKUP(L458,'[1]singkron data'!D:E,2,FALSE)</f>
        <v>PT. Sinar Mogilolang</v>
      </c>
      <c r="AL458" s="11" t="str">
        <f>VLOOKUP(L458,'[1]update 521'!D:D,1,FALSE)</f>
        <v>Topejawa</v>
      </c>
      <c r="AM458" s="11" t="s">
        <v>57</v>
      </c>
      <c r="AN458" s="17">
        <f>VLOOKUP(L458,[1]Sheet19!E:L,8,FALSE)</f>
        <v>5118864000</v>
      </c>
      <c r="AO458" s="11" t="str">
        <f>VLOOKUP(L458,[1]Sheet19!E:K,7,FALSE)</f>
        <v>KONTRAK</v>
      </c>
      <c r="AP458" s="12" t="s">
        <v>41</v>
      </c>
    </row>
    <row r="459" spans="1:42" ht="15" x14ac:dyDescent="0.2">
      <c r="A459" s="8" t="s">
        <v>42</v>
      </c>
      <c r="B459" s="9" t="s">
        <v>43</v>
      </c>
      <c r="C459" s="9">
        <v>474</v>
      </c>
      <c r="D459" s="9" t="s">
        <v>1112</v>
      </c>
      <c r="E459" s="9">
        <v>4</v>
      </c>
      <c r="F459" s="9" t="s">
        <v>1113</v>
      </c>
      <c r="G459" s="9" t="s">
        <v>1114</v>
      </c>
      <c r="H459" s="9" t="s">
        <v>287</v>
      </c>
      <c r="I459" s="9" t="s">
        <v>1115</v>
      </c>
      <c r="J459" s="9" t="s">
        <v>1122</v>
      </c>
      <c r="K459" s="9" t="s">
        <v>1123</v>
      </c>
      <c r="L459" s="10" t="s">
        <v>1123</v>
      </c>
      <c r="M459" s="9" t="s">
        <v>81</v>
      </c>
      <c r="N459" s="9">
        <v>480</v>
      </c>
      <c r="O459" s="9">
        <v>1</v>
      </c>
      <c r="P459" s="9">
        <v>408</v>
      </c>
      <c r="Q459" s="9">
        <v>409</v>
      </c>
      <c r="R459" s="9">
        <v>0.65</v>
      </c>
      <c r="S459" s="9">
        <v>-5.3562560000000001</v>
      </c>
      <c r="T459" s="9">
        <v>119.361774</v>
      </c>
      <c r="U459" s="9" t="s">
        <v>52</v>
      </c>
      <c r="V459" s="11" t="str">
        <f>VLOOKUP(L459,'[1]singkron data'!D:E,2,FALSE)</f>
        <v>PT. Sinar Mogilolang</v>
      </c>
      <c r="W459" s="13">
        <f>VLOOKUP(L459,'[1]data 1129'!F:H,3,FALSE)</f>
        <v>4880000000</v>
      </c>
      <c r="X459" s="11" t="s">
        <v>55</v>
      </c>
      <c r="Y459" s="11" t="str">
        <f>VLOOKUP(L459,'[1]singkron data'!D:H,5,FALSE)</f>
        <v>Makassar</v>
      </c>
      <c r="Z459" s="11" t="str">
        <f>VLOOKUP(L459,'[1]singkron data'!D:I,6,FALSE)</f>
        <v>Online</v>
      </c>
      <c r="AA459" s="11">
        <f>VLOOKUP(L459,'[1]singkron data'!D:L,9,FALSE)</f>
        <v>0</v>
      </c>
      <c r="AB459" s="11" t="s">
        <v>54</v>
      </c>
      <c r="AC459" s="11">
        <f>VLOOKUP(L459,'[1]singkron data'!D:M,10,FALSE)</f>
        <v>0</v>
      </c>
      <c r="AD459" s="11" t="str">
        <f>VLOOKUP(L459,'[1]data 1129'!F:O,10,FALSE)</f>
        <v>Tahap I 208</v>
      </c>
      <c r="AE459" s="11" t="str">
        <f>VLOOKUP(L459,'[1]singkron data'!D:P,13,FALSE)</f>
        <v>sudah</v>
      </c>
      <c r="AF459" s="11" t="s">
        <v>55</v>
      </c>
      <c r="AG459" s="17">
        <f>VLOOKUP(L459,'[1]update kontrak'!E:K,6,FALSE)</f>
        <v>4841773000</v>
      </c>
      <c r="AH459" s="11" t="str">
        <f>VLOOKUP(L459,'[1]update kontrak'!E:K,7,FALSE)</f>
        <v>KONTRAK</v>
      </c>
      <c r="AI459" s="11" t="s">
        <v>41</v>
      </c>
      <c r="AJ459" s="11" t="str">
        <f>VLOOKUP(L459,[1]rekap!D:M,1,FALSE)</f>
        <v>Bonto Kanang</v>
      </c>
      <c r="AK459" s="11" t="str">
        <f>VLOOKUP(L459,'[1]singkron data'!D:E,2,FALSE)</f>
        <v>PT. Sinar Mogilolang</v>
      </c>
      <c r="AL459" s="11" t="str">
        <f>VLOOKUP(L459,'[1]update 521'!D:D,1,FALSE)</f>
        <v>Bonto Kanang</v>
      </c>
      <c r="AM459" s="11" t="s">
        <v>57</v>
      </c>
      <c r="AN459" s="17">
        <f>VLOOKUP(L459,[1]Sheet19!E:L,8,FALSE)</f>
        <v>4841773000</v>
      </c>
      <c r="AO459" s="11" t="str">
        <f>VLOOKUP(L459,[1]Sheet19!E:K,7,FALSE)</f>
        <v>KONTRAK</v>
      </c>
      <c r="AP459" s="12" t="s">
        <v>41</v>
      </c>
    </row>
    <row r="460" spans="1:42" ht="15" x14ac:dyDescent="0.2">
      <c r="A460" s="8" t="s">
        <v>42</v>
      </c>
      <c r="B460" s="9" t="s">
        <v>43</v>
      </c>
      <c r="C460" s="9">
        <v>475</v>
      </c>
      <c r="D460" s="9" t="s">
        <v>1112</v>
      </c>
      <c r="E460" s="9">
        <v>5</v>
      </c>
      <c r="F460" s="9" t="s">
        <v>1124</v>
      </c>
      <c r="G460" s="9" t="s">
        <v>1125</v>
      </c>
      <c r="H460" s="9" t="s">
        <v>287</v>
      </c>
      <c r="I460" s="9" t="s">
        <v>1126</v>
      </c>
      <c r="J460" s="9" t="s">
        <v>1127</v>
      </c>
      <c r="K460" s="9" t="s">
        <v>1128</v>
      </c>
      <c r="L460" s="9" t="s">
        <v>1128</v>
      </c>
      <c r="M460" s="9" t="s">
        <v>51</v>
      </c>
      <c r="N460" s="9">
        <v>135</v>
      </c>
      <c r="O460" s="9">
        <v>7</v>
      </c>
      <c r="P460" s="9">
        <v>15</v>
      </c>
      <c r="Q460" s="9">
        <v>22</v>
      </c>
      <c r="R460" s="9">
        <v>0.33</v>
      </c>
      <c r="S460" s="9">
        <v>1.4608017</v>
      </c>
      <c r="T460" s="9">
        <v>125.22154829999999</v>
      </c>
      <c r="U460" s="9"/>
      <c r="V460" s="11" t="e">
        <f>VLOOKUP(L460,'[1]singkron data'!D:E,2,FALSE)</f>
        <v>#N/A</v>
      </c>
      <c r="W460" s="13">
        <f>VLOOKUP(L460,[1]Sheet18!A:B,2,FALSE)</f>
        <v>4603059000</v>
      </c>
      <c r="X460" s="11" t="s">
        <v>55</v>
      </c>
      <c r="Y460" s="11" t="e">
        <f>VLOOKUP(L460,'[1]singkron data'!D:H,5,FALSE)</f>
        <v>#N/A</v>
      </c>
      <c r="Z460" s="11" t="e">
        <f>VLOOKUP(L460,'[1]singkron data'!D:I,6,FALSE)</f>
        <v>#N/A</v>
      </c>
      <c r="AA460" s="11" t="e">
        <f>VLOOKUP(L460,'[1]singkron data'!D:L,9,FALSE)</f>
        <v>#N/A</v>
      </c>
      <c r="AB460" s="11" t="s">
        <v>694</v>
      </c>
      <c r="AC460" s="11" t="e">
        <f>VLOOKUP(L460,'[1]singkron data'!D:M,10,FALSE)</f>
        <v>#N/A</v>
      </c>
      <c r="AD460" s="11"/>
      <c r="AE460" s="11" t="e">
        <f>VLOOKUP(L460,'[1]singkron data'!D:P,13,FALSE)</f>
        <v>#N/A</v>
      </c>
      <c r="AF460" s="11" t="s">
        <v>55</v>
      </c>
      <c r="AG460" s="11" t="e">
        <f>VLOOKUP(L460,'[1]update kontrak'!E:K,6,FALSE)</f>
        <v>#N/A</v>
      </c>
      <c r="AH460" s="11" t="e">
        <f>VLOOKUP(L460,'[1]update kontrak'!E:K,7,FALSE)</f>
        <v>#N/A</v>
      </c>
      <c r="AI460" s="11"/>
      <c r="AJ460" s="11" t="str">
        <f>VLOOKUP(L460,[1]rekap!D:M,1,FALSE)</f>
        <v>Tandurusa</v>
      </c>
      <c r="AK460" s="11" t="e">
        <f>VLOOKUP(L460,'[1]singkron data'!D:E,2,FALSE)</f>
        <v>#N/A</v>
      </c>
      <c r="AL460" s="11" t="str">
        <f>VLOOKUP(L460,'[1]update 521'!D:D,1,FALSE)</f>
        <v>Tandurusa</v>
      </c>
      <c r="AM460" s="11" t="s">
        <v>57</v>
      </c>
      <c r="AN460" s="11" t="e">
        <f>VLOOKUP(L460,[1]Sheet19!E:L,8,FALSE)</f>
        <v>#N/A</v>
      </c>
      <c r="AO460" s="11" t="s">
        <v>1129</v>
      </c>
      <c r="AP460" s="12"/>
    </row>
    <row r="461" spans="1:42" ht="15" x14ac:dyDescent="0.2">
      <c r="A461" s="8" t="s">
        <v>42</v>
      </c>
      <c r="B461" s="9" t="s">
        <v>43</v>
      </c>
      <c r="C461" s="9">
        <v>476</v>
      </c>
      <c r="D461" s="9" t="s">
        <v>1112</v>
      </c>
      <c r="E461" s="9">
        <v>6</v>
      </c>
      <c r="F461" s="9" t="s">
        <v>1124</v>
      </c>
      <c r="G461" s="9" t="s">
        <v>1125</v>
      </c>
      <c r="H461" s="9" t="s">
        <v>287</v>
      </c>
      <c r="I461" s="9" t="s">
        <v>1126</v>
      </c>
      <c r="J461" s="9" t="s">
        <v>1130</v>
      </c>
      <c r="K461" s="9" t="s">
        <v>1131</v>
      </c>
      <c r="L461" s="9" t="s">
        <v>1131</v>
      </c>
      <c r="M461" s="9" t="s">
        <v>51</v>
      </c>
      <c r="N461" s="9">
        <v>132</v>
      </c>
      <c r="O461" s="9">
        <v>1</v>
      </c>
      <c r="P461" s="9">
        <v>79</v>
      </c>
      <c r="Q461" s="9">
        <v>80</v>
      </c>
      <c r="R461" s="9">
        <v>0.28000000000000003</v>
      </c>
      <c r="S461" s="9">
        <v>1.541199</v>
      </c>
      <c r="T461" s="9">
        <v>125.291394</v>
      </c>
      <c r="U461" s="9"/>
      <c r="V461" s="11" t="e">
        <f>VLOOKUP(L461,'[1]singkron data'!D:E,2,FALSE)</f>
        <v>#N/A</v>
      </c>
      <c r="W461" s="13">
        <f>VLOOKUP(L461,[1]Sheet18!A:B,2,FALSE)</f>
        <v>4976871000</v>
      </c>
      <c r="X461" s="11" t="s">
        <v>55</v>
      </c>
      <c r="Y461" s="11" t="e">
        <f>VLOOKUP(L461,'[1]singkron data'!D:H,5,FALSE)</f>
        <v>#N/A</v>
      </c>
      <c r="Z461" s="11" t="e">
        <f>VLOOKUP(L461,'[1]singkron data'!D:I,6,FALSE)</f>
        <v>#N/A</v>
      </c>
      <c r="AA461" s="11" t="e">
        <f>VLOOKUP(L461,'[1]singkron data'!D:L,9,FALSE)</f>
        <v>#N/A</v>
      </c>
      <c r="AB461" s="11" t="s">
        <v>694</v>
      </c>
      <c r="AC461" s="11" t="e">
        <f>VLOOKUP(L461,'[1]singkron data'!D:M,10,FALSE)</f>
        <v>#N/A</v>
      </c>
      <c r="AD461" s="11"/>
      <c r="AE461" s="11" t="e">
        <f>VLOOKUP(L461,'[1]singkron data'!D:P,13,FALSE)</f>
        <v>#N/A</v>
      </c>
      <c r="AF461" s="11" t="s">
        <v>55</v>
      </c>
      <c r="AG461" s="11" t="e">
        <f>VLOOKUP(L461,'[1]update kontrak'!E:K,6,FALSE)</f>
        <v>#N/A</v>
      </c>
      <c r="AH461" s="11" t="e">
        <f>VLOOKUP(L461,'[1]update kontrak'!E:K,7,FALSE)</f>
        <v>#N/A</v>
      </c>
      <c r="AI461" s="11"/>
      <c r="AJ461" s="11" t="str">
        <f>VLOOKUP(L461,[1]rekap!D:M,1,FALSE)</f>
        <v>Lirang</v>
      </c>
      <c r="AK461" s="11" t="e">
        <f>VLOOKUP(L461,'[1]singkron data'!D:E,2,FALSE)</f>
        <v>#N/A</v>
      </c>
      <c r="AL461" s="11" t="str">
        <f>VLOOKUP(L461,'[1]update 521'!D:D,1,FALSE)</f>
        <v>Lirang</v>
      </c>
      <c r="AM461" s="11" t="s">
        <v>57</v>
      </c>
      <c r="AN461" s="11" t="e">
        <f>VLOOKUP(L461,[1]Sheet19!E:L,8,FALSE)</f>
        <v>#N/A</v>
      </c>
      <c r="AO461" s="11" t="s">
        <v>1129</v>
      </c>
      <c r="AP461" s="12"/>
    </row>
    <row r="462" spans="1:42" ht="15" x14ac:dyDescent="0.2">
      <c r="A462" s="8" t="s">
        <v>42</v>
      </c>
      <c r="B462" s="9" t="s">
        <v>43</v>
      </c>
      <c r="C462" s="9">
        <v>477</v>
      </c>
      <c r="D462" s="9" t="s">
        <v>1112</v>
      </c>
      <c r="E462" s="9">
        <v>7</v>
      </c>
      <c r="F462" s="9" t="s">
        <v>1124</v>
      </c>
      <c r="G462" s="9" t="s">
        <v>1125</v>
      </c>
      <c r="H462" s="9" t="s">
        <v>287</v>
      </c>
      <c r="I462" s="9" t="s">
        <v>1132</v>
      </c>
      <c r="J462" s="9" t="s">
        <v>1133</v>
      </c>
      <c r="K462" s="9" t="s">
        <v>1134</v>
      </c>
      <c r="L462" s="9" t="s">
        <v>1134</v>
      </c>
      <c r="M462" s="9" t="s">
        <v>51</v>
      </c>
      <c r="N462" s="9">
        <v>400</v>
      </c>
      <c r="O462" s="9">
        <v>20</v>
      </c>
      <c r="P462" s="9">
        <v>150</v>
      </c>
      <c r="Q462" s="9">
        <v>170</v>
      </c>
      <c r="R462" s="9">
        <v>1</v>
      </c>
      <c r="S462" s="9">
        <v>1.3553999999999999</v>
      </c>
      <c r="T462" s="9">
        <v>125.07389999999999</v>
      </c>
      <c r="U462" s="9"/>
      <c r="V462" s="11" t="e">
        <f>VLOOKUP(L462,'[1]singkron data'!D:E,2,FALSE)</f>
        <v>#N/A</v>
      </c>
      <c r="W462" s="13">
        <f>VLOOKUP(L462,[1]Sheet18!A:B,2,FALSE)</f>
        <v>4642447000</v>
      </c>
      <c r="X462" s="11" t="s">
        <v>55</v>
      </c>
      <c r="Y462" s="11" t="e">
        <f>VLOOKUP(L462,'[1]singkron data'!D:H,5,FALSE)</f>
        <v>#N/A</v>
      </c>
      <c r="Z462" s="11" t="e">
        <f>VLOOKUP(L462,'[1]singkron data'!D:I,6,FALSE)</f>
        <v>#N/A</v>
      </c>
      <c r="AA462" s="11" t="e">
        <f>VLOOKUP(L462,'[1]singkron data'!D:L,9,FALSE)</f>
        <v>#N/A</v>
      </c>
      <c r="AB462" s="11" t="s">
        <v>694</v>
      </c>
      <c r="AC462" s="11" t="e">
        <f>VLOOKUP(L462,'[1]singkron data'!D:M,10,FALSE)</f>
        <v>#N/A</v>
      </c>
      <c r="AD462" s="11"/>
      <c r="AE462" s="11" t="e">
        <f>VLOOKUP(L462,'[1]singkron data'!D:P,13,FALSE)</f>
        <v>#N/A</v>
      </c>
      <c r="AF462" s="11" t="s">
        <v>55</v>
      </c>
      <c r="AG462" s="11" t="e">
        <f>VLOOKUP(L462,'[1]update kontrak'!E:K,6,FALSE)</f>
        <v>#N/A</v>
      </c>
      <c r="AH462" s="11" t="e">
        <f>VLOOKUP(L462,'[1]update kontrak'!E:K,7,FALSE)</f>
        <v>#N/A</v>
      </c>
      <c r="AI462" s="11"/>
      <c r="AJ462" s="11" t="str">
        <f>VLOOKUP(L462,[1]rekap!D:M,1,FALSE)</f>
        <v>Kema III</v>
      </c>
      <c r="AK462" s="11" t="e">
        <f>VLOOKUP(L462,'[1]singkron data'!D:E,2,FALSE)</f>
        <v>#N/A</v>
      </c>
      <c r="AL462" s="11" t="str">
        <f>VLOOKUP(L462,'[1]update 521'!D:D,1,FALSE)</f>
        <v>Kema III</v>
      </c>
      <c r="AM462" s="11" t="s">
        <v>57</v>
      </c>
      <c r="AN462" s="11" t="e">
        <f>VLOOKUP(L462,[1]Sheet19!E:L,8,FALSE)</f>
        <v>#N/A</v>
      </c>
      <c r="AO462" s="11" t="s">
        <v>1129</v>
      </c>
      <c r="AP462" s="12"/>
    </row>
    <row r="463" spans="1:42" ht="15" x14ac:dyDescent="0.2">
      <c r="A463" s="8" t="s">
        <v>42</v>
      </c>
      <c r="B463" s="9" t="s">
        <v>43</v>
      </c>
      <c r="C463" s="9">
        <v>478</v>
      </c>
      <c r="D463" s="9" t="s">
        <v>1112</v>
      </c>
      <c r="E463" s="9">
        <v>8</v>
      </c>
      <c r="F463" s="9" t="s">
        <v>1135</v>
      </c>
      <c r="G463" s="9" t="s">
        <v>1114</v>
      </c>
      <c r="H463" s="9" t="s">
        <v>287</v>
      </c>
      <c r="I463" s="9" t="s">
        <v>1136</v>
      </c>
      <c r="J463" s="9" t="s">
        <v>1137</v>
      </c>
      <c r="K463" s="9" t="s">
        <v>1135</v>
      </c>
      <c r="L463" s="10" t="s">
        <v>1135</v>
      </c>
      <c r="M463" s="9" t="s">
        <v>81</v>
      </c>
      <c r="N463" s="9">
        <v>256</v>
      </c>
      <c r="O463" s="9" t="s">
        <v>72</v>
      </c>
      <c r="P463" s="9">
        <v>367</v>
      </c>
      <c r="Q463" s="9">
        <v>367</v>
      </c>
      <c r="R463" s="9">
        <v>2.78</v>
      </c>
      <c r="S463" s="9">
        <v>-4.0458179999999997</v>
      </c>
      <c r="T463" s="9">
        <v>120.340157</v>
      </c>
      <c r="U463" s="9" t="s">
        <v>52</v>
      </c>
      <c r="V463" s="11" t="str">
        <f>VLOOKUP(L463,'[1]singkron data'!D:E,2,FALSE)</f>
        <v>PT. Mina Transindo Totabuan</v>
      </c>
      <c r="W463" s="13">
        <f>VLOOKUP(L463,'[1]data 1129'!F:H,3,FALSE)</f>
        <v>5380606000</v>
      </c>
      <c r="X463" s="11" t="s">
        <v>55</v>
      </c>
      <c r="Y463" s="11" t="str">
        <f>VLOOKUP(L463,'[1]singkron data'!D:H,5,FALSE)</f>
        <v>Jakarta</v>
      </c>
      <c r="Z463" s="11" t="str">
        <f>VLOOKUP(L463,'[1]singkron data'!D:I,6,FALSE)</f>
        <v>Offline</v>
      </c>
      <c r="AA463" s="11">
        <f>VLOOKUP(L463,'[1]singkron data'!D:L,9,FALSE)</f>
        <v>0</v>
      </c>
      <c r="AB463" s="11" t="s">
        <v>54</v>
      </c>
      <c r="AC463" s="11" t="str">
        <f>VLOOKUP(L463,'[1]singkron data'!D:M,10,FALSE)</f>
        <v>Dedd</v>
      </c>
      <c r="AD463" s="11" t="str">
        <f>VLOOKUP(L463,'[1]data 1129'!F:O,10,FALSE)</f>
        <v>Tahap I 208</v>
      </c>
      <c r="AE463" s="11" t="str">
        <f>VLOOKUP(L463,'[1]singkron data'!D:P,13,FALSE)</f>
        <v>sudah</v>
      </c>
      <c r="AF463" s="11" t="s">
        <v>55</v>
      </c>
      <c r="AG463" s="17">
        <f>VLOOKUP(L463,'[1]update kontrak'!E:K,6,FALSE)</f>
        <v>4591437264.0500002</v>
      </c>
      <c r="AH463" s="11" t="str">
        <f>VLOOKUP(L463,'[1]update kontrak'!E:K,7,FALSE)</f>
        <v>KONTRAK</v>
      </c>
      <c r="AI463" s="11" t="s">
        <v>41</v>
      </c>
      <c r="AJ463" s="11" t="str">
        <f>VLOOKUP(L463,[1]rekap!D:M,1,FALSE)</f>
        <v>Akkajeng</v>
      </c>
      <c r="AK463" s="11" t="str">
        <f>VLOOKUP(L463,'[1]singkron data'!D:E,2,FALSE)</f>
        <v>PT. Mina Transindo Totabuan</v>
      </c>
      <c r="AL463" s="11" t="str">
        <f>VLOOKUP(L463,'[1]update 521'!D:D,1,FALSE)</f>
        <v>Akkajeng</v>
      </c>
      <c r="AM463" s="11" t="s">
        <v>57</v>
      </c>
      <c r="AN463" s="17">
        <f>VLOOKUP(L463,[1]Sheet19!E:L,8,FALSE)</f>
        <v>4591437264.0500002</v>
      </c>
      <c r="AO463" s="11" t="str">
        <f>VLOOKUP(L463,[1]Sheet19!E:K,7,FALSE)</f>
        <v>KONTRAK</v>
      </c>
      <c r="AP463" s="12" t="s">
        <v>41</v>
      </c>
    </row>
    <row r="464" spans="1:42" ht="15" x14ac:dyDescent="0.2">
      <c r="A464" s="8" t="s">
        <v>42</v>
      </c>
      <c r="B464" s="9" t="s">
        <v>43</v>
      </c>
      <c r="C464" s="9">
        <v>479</v>
      </c>
      <c r="D464" s="9" t="s">
        <v>1112</v>
      </c>
      <c r="E464" s="9">
        <v>9</v>
      </c>
      <c r="F464" s="9" t="s">
        <v>1135</v>
      </c>
      <c r="G464" s="9" t="s">
        <v>1114</v>
      </c>
      <c r="H464" s="9" t="s">
        <v>287</v>
      </c>
      <c r="I464" s="9" t="s">
        <v>1136</v>
      </c>
      <c r="J464" s="9" t="s">
        <v>1138</v>
      </c>
      <c r="K464" s="9" t="s">
        <v>1139</v>
      </c>
      <c r="L464" s="10" t="s">
        <v>1139</v>
      </c>
      <c r="M464" s="9" t="s">
        <v>51</v>
      </c>
      <c r="N464" s="9">
        <v>321</v>
      </c>
      <c r="O464" s="9">
        <v>1</v>
      </c>
      <c r="P464" s="9">
        <v>150</v>
      </c>
      <c r="Q464" s="9">
        <v>151</v>
      </c>
      <c r="R464" s="9">
        <v>0.08</v>
      </c>
      <c r="S464" s="9">
        <v>-4.2208870000000003</v>
      </c>
      <c r="T464" s="9">
        <v>120.357732</v>
      </c>
      <c r="U464" s="9" t="s">
        <v>52</v>
      </c>
      <c r="V464" s="11" t="str">
        <f>VLOOKUP(L464,'[1]singkron data'!D:E,2,FALSE)</f>
        <v>PT. Mina Transindo Totabuan</v>
      </c>
      <c r="W464" s="13">
        <f>VLOOKUP(L464,'[1]data 1129'!F:H,3,FALSE)</f>
        <v>4595074000</v>
      </c>
      <c r="X464" s="11" t="s">
        <v>55</v>
      </c>
      <c r="Y464" s="11" t="str">
        <f>VLOOKUP(L464,'[1]singkron data'!D:H,5,FALSE)</f>
        <v>Jakarta</v>
      </c>
      <c r="Z464" s="11" t="str">
        <f>VLOOKUP(L464,'[1]singkron data'!D:I,6,FALSE)</f>
        <v>Offline</v>
      </c>
      <c r="AA464" s="11">
        <f>VLOOKUP(L464,'[1]singkron data'!D:L,9,FALSE)</f>
        <v>0</v>
      </c>
      <c r="AB464" s="11" t="s">
        <v>54</v>
      </c>
      <c r="AC464" s="11" t="str">
        <f>VLOOKUP(L464,'[1]singkron data'!D:M,10,FALSE)</f>
        <v>Dedd</v>
      </c>
      <c r="AD464" s="11" t="str">
        <f>VLOOKUP(L464,'[1]data 1129'!F:O,10,FALSE)</f>
        <v>Tahap I 208</v>
      </c>
      <c r="AE464" s="11" t="str">
        <f>VLOOKUP(L464,'[1]singkron data'!D:P,13,FALSE)</f>
        <v>sudah</v>
      </c>
      <c r="AF464" s="11" t="s">
        <v>55</v>
      </c>
      <c r="AG464" s="17">
        <f>VLOOKUP(L464,'[1]update kontrak'!E:K,6,FALSE)</f>
        <v>3586878349.52</v>
      </c>
      <c r="AH464" s="11" t="str">
        <f>VLOOKUP(L464,'[1]update kontrak'!E:K,7,FALSE)</f>
        <v>KONTRAK</v>
      </c>
      <c r="AI464" s="11" t="s">
        <v>41</v>
      </c>
      <c r="AJ464" s="11" t="str">
        <f>VLOOKUP(L464,[1]rekap!D:M,1,FALSE)</f>
        <v>Pattangngae</v>
      </c>
      <c r="AK464" s="11" t="str">
        <f>VLOOKUP(L464,'[1]singkron data'!D:E,2,FALSE)</f>
        <v>PT. Mina Transindo Totabuan</v>
      </c>
      <c r="AL464" s="11" t="str">
        <f>VLOOKUP(L464,'[1]update 521'!D:D,1,FALSE)</f>
        <v>Pattangngae</v>
      </c>
      <c r="AM464" s="11" t="s">
        <v>57</v>
      </c>
      <c r="AN464" s="17">
        <f>VLOOKUP(L464,[1]Sheet19!E:L,8,FALSE)</f>
        <v>3586878349.52</v>
      </c>
      <c r="AO464" s="11" t="str">
        <f>VLOOKUP(L464,[1]Sheet19!E:K,7,FALSE)</f>
        <v>KONTRAK</v>
      </c>
      <c r="AP464" s="12" t="s">
        <v>41</v>
      </c>
    </row>
    <row r="465" spans="1:42" ht="15" x14ac:dyDescent="0.2">
      <c r="A465" s="8" t="s">
        <v>42</v>
      </c>
      <c r="B465" s="9" t="s">
        <v>43</v>
      </c>
      <c r="C465" s="9">
        <v>480</v>
      </c>
      <c r="D465" s="9" t="s">
        <v>1112</v>
      </c>
      <c r="E465" s="9">
        <v>10</v>
      </c>
      <c r="F465" s="9" t="s">
        <v>1140</v>
      </c>
      <c r="G465" s="9" t="s">
        <v>1141</v>
      </c>
      <c r="H465" s="9" t="s">
        <v>287</v>
      </c>
      <c r="I465" s="9" t="s">
        <v>1142</v>
      </c>
      <c r="J465" s="9" t="s">
        <v>1143</v>
      </c>
      <c r="K465" s="9" t="s">
        <v>1144</v>
      </c>
      <c r="L465" s="10" t="s">
        <v>1144</v>
      </c>
      <c r="M465" s="9" t="s">
        <v>51</v>
      </c>
      <c r="N465" s="9">
        <v>110</v>
      </c>
      <c r="O465" s="9">
        <v>41</v>
      </c>
      <c r="P465" s="9">
        <v>69</v>
      </c>
      <c r="Q465" s="9">
        <v>110</v>
      </c>
      <c r="R465" s="9">
        <v>1</v>
      </c>
      <c r="S465" s="9">
        <v>-4.2494500999999998</v>
      </c>
      <c r="T465" s="9">
        <v>121.5751475</v>
      </c>
      <c r="U465" s="9" t="s">
        <v>52</v>
      </c>
      <c r="V465" s="11" t="str">
        <f>VLOOKUP(L465,'[1]singkron data'!D:E,2,FALSE)</f>
        <v>PT. ARCHITA GRAHA INDAH LESTARI</v>
      </c>
      <c r="W465" s="13">
        <f>VLOOKUP(L465,'[1]data 1129'!F:H,3,FALSE)</f>
        <v>4560936000</v>
      </c>
      <c r="X465" s="11" t="s">
        <v>55</v>
      </c>
      <c r="Y465" s="11">
        <f>VLOOKUP(L465,'[1]singkron data'!D:H,5,FALSE)</f>
        <v>0</v>
      </c>
      <c r="Z465" s="11">
        <f>VLOOKUP(L465,'[1]singkron data'!D:I,6,FALSE)</f>
        <v>0</v>
      </c>
      <c r="AA465" s="31" t="str">
        <f>VLOOKUP(L465,'[1]singkron data'!D:L,9,FALSE)</f>
        <v>085211119791/1122yakusa@gmail.com</v>
      </c>
      <c r="AB465" s="11" t="s">
        <v>54</v>
      </c>
      <c r="AC465" s="11" t="str">
        <f>VLOOKUP(L465,'[1]singkron data'!D:M,10,FALSE)</f>
        <v>Jaelani</v>
      </c>
      <c r="AD465" s="11" t="str">
        <f>VLOOKUP(L465,'[1]data 1129'!F:O,10,FALSE)</f>
        <v>Tahap I 208</v>
      </c>
      <c r="AE465" s="11" t="str">
        <f>VLOOKUP(L465,'[1]singkron data'!D:P,13,FALSE)</f>
        <v>sudah</v>
      </c>
      <c r="AF465" s="11" t="s">
        <v>55</v>
      </c>
      <c r="AG465" s="11" t="e">
        <f>VLOOKUP(L465,'[1]update kontrak'!E:K,6,FALSE)</f>
        <v>#N/A</v>
      </c>
      <c r="AH465" s="11" t="e">
        <f>VLOOKUP(L465,'[1]update kontrak'!E:K,7,FALSE)</f>
        <v>#N/A</v>
      </c>
      <c r="AI465" s="11" t="s">
        <v>58</v>
      </c>
      <c r="AJ465" s="11" t="str">
        <f>VLOOKUP(L465,[1]rekap!D:M,1,FALSE)</f>
        <v>Hakatutobu</v>
      </c>
      <c r="AK465" s="11" t="str">
        <f>VLOOKUP(L465,'[1]singkron data'!D:E,2,FALSE)</f>
        <v>PT. ARCHITA GRAHA INDAH LESTARI</v>
      </c>
      <c r="AL465" s="11" t="str">
        <f>VLOOKUP(L465,'[1]update 521'!D:D,1,FALSE)</f>
        <v>Hakatutobu</v>
      </c>
      <c r="AM465" s="11" t="s">
        <v>57</v>
      </c>
      <c r="AN465" s="17">
        <f>VLOOKUP(L465,[1]Sheet19!E:L,8,FALSE)</f>
        <v>5154691564.3699999</v>
      </c>
      <c r="AO465" s="11" t="str">
        <f>VLOOKUP(L465,[1]Sheet19!E:K,7,FALSE)</f>
        <v>KONTRAK</v>
      </c>
      <c r="AP465" s="12" t="s">
        <v>41</v>
      </c>
    </row>
    <row r="466" spans="1:42" ht="15" x14ac:dyDescent="0.2">
      <c r="A466" s="8" t="s">
        <v>42</v>
      </c>
      <c r="B466" s="9" t="s">
        <v>43</v>
      </c>
      <c r="C466" s="9">
        <v>481</v>
      </c>
      <c r="D466" s="9" t="s">
        <v>1112</v>
      </c>
      <c r="E466" s="9">
        <v>11</v>
      </c>
      <c r="F466" s="9" t="s">
        <v>1140</v>
      </c>
      <c r="G466" s="9" t="s">
        <v>1141</v>
      </c>
      <c r="H466" s="9" t="s">
        <v>287</v>
      </c>
      <c r="I466" s="9" t="s">
        <v>1142</v>
      </c>
      <c r="J466" s="9" t="s">
        <v>1143</v>
      </c>
      <c r="K466" s="9" t="s">
        <v>1145</v>
      </c>
      <c r="L466" s="10" t="s">
        <v>1145</v>
      </c>
      <c r="M466" s="9" t="s">
        <v>51</v>
      </c>
      <c r="N466" s="9">
        <v>109</v>
      </c>
      <c r="O466" s="9">
        <v>30</v>
      </c>
      <c r="P466" s="9">
        <v>15</v>
      </c>
      <c r="Q466" s="9">
        <v>45</v>
      </c>
      <c r="R466" s="9">
        <v>0.37</v>
      </c>
      <c r="S466" s="9">
        <v>-4.2030200000000004</v>
      </c>
      <c r="T466" s="9">
        <v>121.5858805</v>
      </c>
      <c r="U466" s="9" t="s">
        <v>52</v>
      </c>
      <c r="V466" s="11" t="str">
        <f>VLOOKUP(L466,'[1]singkron data'!D:E,2,FALSE)</f>
        <v>PT. ARCHITA GRAHA INDAH LESTARI</v>
      </c>
      <c r="W466" s="13">
        <f>VLOOKUP(L466,'[1]data 1129'!F:H,3,FALSE)</f>
        <v>4500000000</v>
      </c>
      <c r="X466" s="11" t="s">
        <v>55</v>
      </c>
      <c r="Y466" s="11">
        <f>VLOOKUP(L466,'[1]singkron data'!D:H,5,FALSE)</f>
        <v>0</v>
      </c>
      <c r="Z466" s="11">
        <f>VLOOKUP(L466,'[1]singkron data'!D:I,6,FALSE)</f>
        <v>0</v>
      </c>
      <c r="AA466" s="31" t="str">
        <f>VLOOKUP(L466,'[1]singkron data'!D:L,9,FALSE)</f>
        <v>085211119791/1122yakusa@gmail.com</v>
      </c>
      <c r="AB466" s="11" t="s">
        <v>54</v>
      </c>
      <c r="AC466" s="11" t="str">
        <f>VLOOKUP(L466,'[1]singkron data'!D:M,10,FALSE)</f>
        <v>Jaelani</v>
      </c>
      <c r="AD466" s="11" t="str">
        <f>VLOOKUP(L466,'[1]data 1129'!F:O,10,FALSE)</f>
        <v>Tahap I 208</v>
      </c>
      <c r="AE466" s="11" t="str">
        <f>VLOOKUP(L466,'[1]singkron data'!D:P,13,FALSE)</f>
        <v>sudah</v>
      </c>
      <c r="AF466" s="11" t="s">
        <v>55</v>
      </c>
      <c r="AG466" s="11" t="e">
        <f>VLOOKUP(L466,'[1]update kontrak'!E:K,6,FALSE)</f>
        <v>#N/A</v>
      </c>
      <c r="AH466" s="11" t="e">
        <f>VLOOKUP(L466,'[1]update kontrak'!E:K,7,FALSE)</f>
        <v>#N/A</v>
      </c>
      <c r="AI466" s="11" t="s">
        <v>58</v>
      </c>
      <c r="AJ466" s="11" t="str">
        <f>VLOOKUP(L466,[1]rekap!D:M,1,FALSE)</f>
        <v>Tambea</v>
      </c>
      <c r="AK466" s="11" t="str">
        <f>VLOOKUP(L466,'[1]singkron data'!D:E,2,FALSE)</f>
        <v>PT. ARCHITA GRAHA INDAH LESTARI</v>
      </c>
      <c r="AL466" s="11" t="str">
        <f>VLOOKUP(L466,'[1]update 521'!D:D,1,FALSE)</f>
        <v>Tambea</v>
      </c>
      <c r="AM466" s="11" t="s">
        <v>57</v>
      </c>
      <c r="AN466" s="17">
        <f>VLOOKUP(L466,[1]Sheet19!E:L,8,FALSE)</f>
        <v>4237812041.9099998</v>
      </c>
      <c r="AO466" s="11" t="str">
        <f>VLOOKUP(L466,[1]Sheet19!E:K,7,FALSE)</f>
        <v>KONTRAK</v>
      </c>
      <c r="AP466" s="12" t="s">
        <v>41</v>
      </c>
    </row>
    <row r="467" spans="1:42" ht="15" x14ac:dyDescent="0.2">
      <c r="A467" s="8" t="s">
        <v>42</v>
      </c>
      <c r="B467" s="9" t="s">
        <v>43</v>
      </c>
      <c r="C467" s="9">
        <v>482</v>
      </c>
      <c r="D467" s="9" t="s">
        <v>1112</v>
      </c>
      <c r="E467" s="9">
        <v>12</v>
      </c>
      <c r="F467" s="9" t="s">
        <v>1140</v>
      </c>
      <c r="G467" s="9" t="s">
        <v>1141</v>
      </c>
      <c r="H467" s="9" t="s">
        <v>287</v>
      </c>
      <c r="I467" s="9" t="s">
        <v>1142</v>
      </c>
      <c r="J467" s="9" t="s">
        <v>1146</v>
      </c>
      <c r="K467" s="9" t="s">
        <v>1146</v>
      </c>
      <c r="L467" s="10" t="s">
        <v>1146</v>
      </c>
      <c r="M467" s="9" t="s">
        <v>51</v>
      </c>
      <c r="N467" s="9">
        <v>70</v>
      </c>
      <c r="O467" s="9">
        <v>11</v>
      </c>
      <c r="P467" s="9">
        <v>59</v>
      </c>
      <c r="Q467" s="9">
        <v>70</v>
      </c>
      <c r="R467" s="9">
        <v>0.46</v>
      </c>
      <c r="S467" s="9">
        <v>-3.8221886999999999</v>
      </c>
      <c r="T467" s="9">
        <v>121.1693444</v>
      </c>
      <c r="U467" s="9" t="s">
        <v>52</v>
      </c>
      <c r="V467" s="11" t="str">
        <f>VLOOKUP(L467,'[1]singkron data'!D:E,2,FALSE)</f>
        <v>PT. ARCHITA GRAHA INDAH LESTARI</v>
      </c>
      <c r="W467" s="13">
        <f>VLOOKUP(L467,'[1]data 1129'!F:H,3,FALSE)</f>
        <v>4295591000</v>
      </c>
      <c r="X467" s="11" t="s">
        <v>55</v>
      </c>
      <c r="Y467" s="11">
        <f>VLOOKUP(L467,'[1]singkron data'!D:H,5,FALSE)</f>
        <v>0</v>
      </c>
      <c r="Z467" s="11">
        <f>VLOOKUP(L467,'[1]singkron data'!D:I,6,FALSE)</f>
        <v>0</v>
      </c>
      <c r="AA467" s="31" t="str">
        <f>VLOOKUP(L467,'[1]singkron data'!D:L,9,FALSE)</f>
        <v>085211119791/1122yakusa@gmail.com</v>
      </c>
      <c r="AB467" s="11" t="s">
        <v>54</v>
      </c>
      <c r="AC467" s="11" t="str">
        <f>VLOOKUP(L467,'[1]singkron data'!D:M,10,FALSE)</f>
        <v>Jaelani</v>
      </c>
      <c r="AD467" s="11" t="str">
        <f>VLOOKUP(L467,'[1]data 1129'!F:O,10,FALSE)</f>
        <v>Tahap I 208</v>
      </c>
      <c r="AE467" s="11" t="str">
        <f>VLOOKUP(L467,'[1]singkron data'!D:P,13,FALSE)</f>
        <v>sudah</v>
      </c>
      <c r="AF467" s="11" t="s">
        <v>55</v>
      </c>
      <c r="AG467" s="11" t="e">
        <f>VLOOKUP(L467,'[1]update kontrak'!E:K,6,FALSE)</f>
        <v>#N/A</v>
      </c>
      <c r="AH467" s="11" t="e">
        <f>VLOOKUP(L467,'[1]update kontrak'!E:K,7,FALSE)</f>
        <v>#N/A</v>
      </c>
      <c r="AI467" s="11" t="s">
        <v>58</v>
      </c>
      <c r="AJ467" s="11" t="str">
        <f>VLOOKUP(L467,[1]rekap!D:M,1,FALSE)</f>
        <v>Iwoimendaa</v>
      </c>
      <c r="AK467" s="11" t="str">
        <f>VLOOKUP(L467,'[1]singkron data'!D:E,2,FALSE)</f>
        <v>PT. ARCHITA GRAHA INDAH LESTARI</v>
      </c>
      <c r="AL467" s="11" t="str">
        <f>VLOOKUP(L467,'[1]update 521'!D:D,1,FALSE)</f>
        <v>Iwoimendaa</v>
      </c>
      <c r="AM467" s="11" t="s">
        <v>57</v>
      </c>
      <c r="AN467" s="17">
        <f>VLOOKUP(L467,[1]Sheet19!E:L,8,FALSE)</f>
        <v>4401382341.8599997</v>
      </c>
      <c r="AO467" s="11" t="str">
        <f>VLOOKUP(L467,[1]Sheet19!E:K,7,FALSE)</f>
        <v>KONTRAK</v>
      </c>
      <c r="AP467" s="12" t="s">
        <v>41</v>
      </c>
    </row>
    <row r="468" spans="1:42" ht="15" x14ac:dyDescent="0.2">
      <c r="A468" s="8" t="s">
        <v>42</v>
      </c>
      <c r="B468" s="9" t="s">
        <v>43</v>
      </c>
      <c r="C468" s="9">
        <v>483</v>
      </c>
      <c r="D468" s="9" t="s">
        <v>1112</v>
      </c>
      <c r="E468" s="9">
        <v>13</v>
      </c>
      <c r="F468" s="9" t="s">
        <v>1140</v>
      </c>
      <c r="G468" s="9" t="s">
        <v>1141</v>
      </c>
      <c r="H468" s="9" t="s">
        <v>287</v>
      </c>
      <c r="I468" s="9" t="s">
        <v>1142</v>
      </c>
      <c r="J468" s="9" t="s">
        <v>1147</v>
      </c>
      <c r="K468" s="9" t="s">
        <v>1147</v>
      </c>
      <c r="L468" s="10" t="s">
        <v>1147</v>
      </c>
      <c r="M468" s="9" t="s">
        <v>51</v>
      </c>
      <c r="N468" s="9">
        <v>220</v>
      </c>
      <c r="O468" s="9">
        <v>20</v>
      </c>
      <c r="P468" s="9">
        <v>70</v>
      </c>
      <c r="Q468" s="9">
        <v>90</v>
      </c>
      <c r="R468" s="9">
        <v>0.2</v>
      </c>
      <c r="S468" s="9">
        <v>-3.8492896999999999</v>
      </c>
      <c r="T468" s="9">
        <v>121.25854409999999</v>
      </c>
      <c r="U468" s="9" t="s">
        <v>52</v>
      </c>
      <c r="V468" s="11" t="str">
        <f>VLOOKUP(L468,'[1]singkron data'!D:E,2,FALSE)</f>
        <v>PT. ARCHITA GRAHA INDAH LESTARI</v>
      </c>
      <c r="W468" s="13">
        <f>VLOOKUP(L468,'[1]data 1129'!F:H,3,FALSE)</f>
        <v>4500000000</v>
      </c>
      <c r="X468" s="11" t="s">
        <v>55</v>
      </c>
      <c r="Y468" s="11">
        <f>VLOOKUP(L468,'[1]singkron data'!D:H,5,FALSE)</f>
        <v>0</v>
      </c>
      <c r="Z468" s="11">
        <f>VLOOKUP(L468,'[1]singkron data'!D:I,6,FALSE)</f>
        <v>0</v>
      </c>
      <c r="AA468" s="31" t="str">
        <f>VLOOKUP(L468,'[1]singkron data'!D:L,9,FALSE)</f>
        <v>085211119791/1122yakusa@gmail.com</v>
      </c>
      <c r="AB468" s="11" t="s">
        <v>54</v>
      </c>
      <c r="AC468" s="11" t="str">
        <f>VLOOKUP(L468,'[1]singkron data'!D:M,10,FALSE)</f>
        <v>Jaelani</v>
      </c>
      <c r="AD468" s="11" t="str">
        <f>VLOOKUP(L468,'[1]data 1129'!F:O,10,FALSE)</f>
        <v>Tahap I 208</v>
      </c>
      <c r="AE468" s="11" t="str">
        <f>VLOOKUP(L468,'[1]singkron data'!D:P,13,FALSE)</f>
        <v>sudah</v>
      </c>
      <c r="AF468" s="11" t="s">
        <v>55</v>
      </c>
      <c r="AG468" s="11" t="e">
        <f>VLOOKUP(L468,'[1]update kontrak'!E:K,6,FALSE)</f>
        <v>#N/A</v>
      </c>
      <c r="AH468" s="11" t="e">
        <f>VLOOKUP(L468,'[1]update kontrak'!E:K,7,FALSE)</f>
        <v>#N/A</v>
      </c>
      <c r="AI468" s="11" t="s">
        <v>58</v>
      </c>
      <c r="AJ468" s="11" t="str">
        <f>VLOOKUP(L468,[1]rekap!D:M,1,FALSE)</f>
        <v>Wolo</v>
      </c>
      <c r="AK468" s="11" t="str">
        <f>VLOOKUP(L468,'[1]singkron data'!D:E,2,FALSE)</f>
        <v>PT. ARCHITA GRAHA INDAH LESTARI</v>
      </c>
      <c r="AL468" s="11" t="str">
        <f>VLOOKUP(L468,'[1]update 521'!D:D,1,FALSE)</f>
        <v>Wolo</v>
      </c>
      <c r="AM468" s="11" t="s">
        <v>57</v>
      </c>
      <c r="AN468" s="17">
        <f>VLOOKUP(L468,[1]Sheet19!E:L,8,FALSE)</f>
        <v>3955258089.3000002</v>
      </c>
      <c r="AO468" s="11" t="str">
        <f>VLOOKUP(L468,[1]Sheet19!E:K,7,FALSE)</f>
        <v>KONTRAK</v>
      </c>
      <c r="AP468" s="12" t="s">
        <v>41</v>
      </c>
    </row>
    <row r="469" spans="1:42" ht="15" x14ac:dyDescent="0.2">
      <c r="A469" s="8" t="s">
        <v>42</v>
      </c>
      <c r="B469" s="9" t="s">
        <v>43</v>
      </c>
      <c r="C469" s="9">
        <v>484</v>
      </c>
      <c r="D469" s="9" t="s">
        <v>1112</v>
      </c>
      <c r="E469" s="9">
        <v>14</v>
      </c>
      <c r="F469" s="9" t="s">
        <v>1148</v>
      </c>
      <c r="G469" s="9" t="s">
        <v>1149</v>
      </c>
      <c r="H469" s="9" t="s">
        <v>287</v>
      </c>
      <c r="I469" s="9" t="s">
        <v>1150</v>
      </c>
      <c r="J469" s="9" t="s">
        <v>1151</v>
      </c>
      <c r="K469" s="9" t="s">
        <v>1152</v>
      </c>
      <c r="L469" s="10" t="s">
        <v>1152</v>
      </c>
      <c r="M469" s="9" t="s">
        <v>51</v>
      </c>
      <c r="N469" s="9">
        <v>198</v>
      </c>
      <c r="O469" s="9">
        <v>25</v>
      </c>
      <c r="P469" s="9">
        <v>157</v>
      </c>
      <c r="Q469" s="9">
        <v>182</v>
      </c>
      <c r="R469" s="9">
        <v>1</v>
      </c>
      <c r="S469" s="9">
        <v>-2.1412650000000002</v>
      </c>
      <c r="T469" s="9">
        <v>119.18666399999999</v>
      </c>
      <c r="U469" s="9" t="s">
        <v>52</v>
      </c>
      <c r="V469" s="11" t="str">
        <f>VLOOKUP(L469,'[1]singkron data'!D:E,2,FALSE)</f>
        <v>CV. Danaztama</v>
      </c>
      <c r="W469" s="13">
        <f>VLOOKUP(L469,'[1]data 1129'!F:H,3,FALSE)</f>
        <v>4573079000</v>
      </c>
      <c r="X469" s="11" t="s">
        <v>55</v>
      </c>
      <c r="Y469" s="11">
        <f>VLOOKUP(L469,'[1]singkron data'!D:H,5,FALSE)</f>
        <v>0</v>
      </c>
      <c r="Z469" s="11">
        <f>VLOOKUP(L469,'[1]singkron data'!D:I,6,FALSE)</f>
        <v>0</v>
      </c>
      <c r="AA469" s="11" t="str">
        <f>VLOOKUP(L469,'[1]singkron data'!D:L,9,FALSE)</f>
        <v>Seto/087834780610</v>
      </c>
      <c r="AB469" s="11" t="s">
        <v>54</v>
      </c>
      <c r="AC469" s="11" t="str">
        <f>VLOOKUP(L469,'[1]singkron data'!D:M,10,FALSE)</f>
        <v>seto</v>
      </c>
      <c r="AD469" s="11" t="str">
        <f>VLOOKUP(L469,'[1]data 1129'!F:O,10,FALSE)</f>
        <v>Tahap I 208</v>
      </c>
      <c r="AE469" s="11" t="str">
        <f>VLOOKUP(L469,'[1]singkron data'!D:P,13,FALSE)</f>
        <v>sudah</v>
      </c>
      <c r="AF469" s="11" t="s">
        <v>55</v>
      </c>
      <c r="AG469" s="11" t="e">
        <f>VLOOKUP(L469,'[1]update kontrak'!E:K,6,FALSE)</f>
        <v>#N/A</v>
      </c>
      <c r="AH469" s="11" t="e">
        <f>VLOOKUP(L469,'[1]update kontrak'!E:K,7,FALSE)</f>
        <v>#N/A</v>
      </c>
      <c r="AI469" s="11" t="s">
        <v>58</v>
      </c>
      <c r="AJ469" s="11" t="str">
        <f>VLOOKUP(L469,[1]rekap!D:M,1,FALSE)</f>
        <v>Kire</v>
      </c>
      <c r="AK469" s="11" t="str">
        <f>VLOOKUP(L469,'[1]singkron data'!D:E,2,FALSE)</f>
        <v>CV. Danaztama</v>
      </c>
      <c r="AL469" s="11" t="str">
        <f>VLOOKUP(L469,'[1]update 521'!D:D,1,FALSE)</f>
        <v>Kire</v>
      </c>
      <c r="AM469" s="11" t="s">
        <v>57</v>
      </c>
      <c r="AN469" s="17">
        <f>VLOOKUP(L469,[1]Sheet19!E:L,8,FALSE)</f>
        <v>3879085000</v>
      </c>
      <c r="AO469" s="11" t="str">
        <f>VLOOKUP(L469,[1]Sheet19!E:K,7,FALSE)</f>
        <v>KONTRAK</v>
      </c>
      <c r="AP469" s="12" t="s">
        <v>41</v>
      </c>
    </row>
    <row r="470" spans="1:42" ht="15" x14ac:dyDescent="0.2">
      <c r="A470" s="8" t="s">
        <v>42</v>
      </c>
      <c r="B470" s="9" t="s">
        <v>43</v>
      </c>
      <c r="C470" s="9">
        <v>485</v>
      </c>
      <c r="D470" s="9" t="s">
        <v>1112</v>
      </c>
      <c r="E470" s="9">
        <v>15</v>
      </c>
      <c r="F470" s="9" t="s">
        <v>1148</v>
      </c>
      <c r="G470" s="9" t="s">
        <v>1149</v>
      </c>
      <c r="H470" s="9" t="s">
        <v>287</v>
      </c>
      <c r="I470" s="9" t="s">
        <v>1150</v>
      </c>
      <c r="J470" s="9" t="s">
        <v>1153</v>
      </c>
      <c r="K470" s="9" t="s">
        <v>1154</v>
      </c>
      <c r="L470" s="10" t="s">
        <v>1154</v>
      </c>
      <c r="M470" s="9" t="s">
        <v>51</v>
      </c>
      <c r="N470" s="9">
        <v>139</v>
      </c>
      <c r="O470" s="9">
        <v>8</v>
      </c>
      <c r="P470" s="9">
        <v>127</v>
      </c>
      <c r="Q470" s="9">
        <v>135</v>
      </c>
      <c r="R470" s="9">
        <v>1</v>
      </c>
      <c r="S470" s="9">
        <v>-1.8927099999999999</v>
      </c>
      <c r="T470" s="9">
        <v>119.3537</v>
      </c>
      <c r="U470" s="9" t="s">
        <v>52</v>
      </c>
      <c r="V470" s="11" t="str">
        <f>VLOOKUP(L470,'[1]singkron data'!D:E,2,FALSE)</f>
        <v>PT. Aditya Musdalifah</v>
      </c>
      <c r="W470" s="13">
        <f>VLOOKUP(L470,'[1]data 1129'!F:H,3,FALSE)</f>
        <v>4652570000</v>
      </c>
      <c r="X470" s="11" t="s">
        <v>55</v>
      </c>
      <c r="Y470" s="11">
        <f>VLOOKUP(L470,'[1]singkron data'!D:H,5,FALSE)</f>
        <v>0</v>
      </c>
      <c r="Z470" s="11">
        <f>VLOOKUP(L470,'[1]singkron data'!D:I,6,FALSE)</f>
        <v>0</v>
      </c>
      <c r="AA470" s="11" t="s">
        <v>171</v>
      </c>
      <c r="AB470" s="11" t="s">
        <v>54</v>
      </c>
      <c r="AC470" s="11" t="str">
        <f>VLOOKUP(L470,'[1]singkron data'!D:M,10,FALSE)</f>
        <v>seto</v>
      </c>
      <c r="AD470" s="11" t="str">
        <f>VLOOKUP(L470,'[1]data 1129'!F:O,10,FALSE)</f>
        <v>Tahap I 208</v>
      </c>
      <c r="AE470" s="11" t="str">
        <f>VLOOKUP(L470,'[1]singkron data'!D:P,13,FALSE)</f>
        <v>sudah</v>
      </c>
      <c r="AF470" s="11" t="s">
        <v>55</v>
      </c>
      <c r="AG470" s="11" t="e">
        <f>VLOOKUP(L470,'[1]update kontrak'!E:K,6,FALSE)</f>
        <v>#N/A</v>
      </c>
      <c r="AH470" s="11" t="e">
        <f>VLOOKUP(L470,'[1]update kontrak'!E:K,7,FALSE)</f>
        <v>#N/A</v>
      </c>
      <c r="AI470" s="11" t="s">
        <v>58</v>
      </c>
      <c r="AJ470" s="11" t="str">
        <f>VLOOKUP(L470,[1]rekap!D:M,1,FALSE)</f>
        <v>Tasokko</v>
      </c>
      <c r="AK470" s="11" t="str">
        <f>VLOOKUP(L470,'[1]singkron data'!D:E,2,FALSE)</f>
        <v>PT. Aditya Musdalifah</v>
      </c>
      <c r="AL470" s="11" t="str">
        <f>VLOOKUP(L470,'[1]update 521'!D:D,1,FALSE)</f>
        <v>Tasokko</v>
      </c>
      <c r="AM470" s="11" t="s">
        <v>57</v>
      </c>
      <c r="AN470" s="17">
        <f>VLOOKUP(L470,[1]Sheet19!E:L,8,FALSE)</f>
        <v>3380691000</v>
      </c>
      <c r="AO470" s="11" t="str">
        <f>VLOOKUP(L470,[1]Sheet19!E:K,7,FALSE)</f>
        <v>SPPBJ</v>
      </c>
      <c r="AP470" s="12"/>
    </row>
    <row r="471" spans="1:42" ht="15" x14ac:dyDescent="0.2">
      <c r="A471" s="8" t="s">
        <v>42</v>
      </c>
      <c r="B471" s="9" t="s">
        <v>43</v>
      </c>
      <c r="C471" s="9">
        <v>486</v>
      </c>
      <c r="D471" s="9" t="s">
        <v>1112</v>
      </c>
      <c r="E471" s="9">
        <v>16</v>
      </c>
      <c r="F471" s="9" t="s">
        <v>1148</v>
      </c>
      <c r="G471" s="9" t="s">
        <v>1149</v>
      </c>
      <c r="H471" s="9" t="s">
        <v>287</v>
      </c>
      <c r="I471" s="9" t="s">
        <v>1150</v>
      </c>
      <c r="J471" s="9" t="s">
        <v>1153</v>
      </c>
      <c r="K471" s="9" t="s">
        <v>1155</v>
      </c>
      <c r="L471" s="10" t="s">
        <v>1155</v>
      </c>
      <c r="M471" s="9" t="s">
        <v>51</v>
      </c>
      <c r="N471" s="9">
        <v>237</v>
      </c>
      <c r="O471" s="9">
        <v>31</v>
      </c>
      <c r="P471" s="9">
        <v>189</v>
      </c>
      <c r="Q471" s="9">
        <v>220</v>
      </c>
      <c r="R471" s="9">
        <v>1.1000000000000001</v>
      </c>
      <c r="S471" s="9">
        <v>-1.9545805999999999</v>
      </c>
      <c r="T471" s="9">
        <v>119.31513</v>
      </c>
      <c r="U471" s="9" t="s">
        <v>52</v>
      </c>
      <c r="V471" s="11" t="str">
        <f>VLOOKUP(L471,'[1]singkron data'!D:E,2,FALSE)</f>
        <v>CV. Danaztama</v>
      </c>
      <c r="W471" s="13">
        <f>VLOOKUP(L471,'[1]data 1129'!F:H,3,FALSE)</f>
        <v>5528936000</v>
      </c>
      <c r="X471" s="11" t="s">
        <v>55</v>
      </c>
      <c r="Y471" s="11">
        <f>VLOOKUP(L471,'[1]singkron data'!D:H,5,FALSE)</f>
        <v>0</v>
      </c>
      <c r="Z471" s="11">
        <f>VLOOKUP(L471,'[1]singkron data'!D:I,6,FALSE)</f>
        <v>0</v>
      </c>
      <c r="AA471" s="11" t="str">
        <f>VLOOKUP(L471,'[1]singkron data'!D:L,9,FALSE)</f>
        <v>Seto/087834780610</v>
      </c>
      <c r="AB471" s="11" t="s">
        <v>54</v>
      </c>
      <c r="AC471" s="11" t="str">
        <f>VLOOKUP(L471,'[1]singkron data'!D:M,10,FALSE)</f>
        <v>seto</v>
      </c>
      <c r="AD471" s="11" t="str">
        <f>VLOOKUP(L471,'[1]data 1129'!F:O,10,FALSE)</f>
        <v>Tahap I 208</v>
      </c>
      <c r="AE471" s="11" t="str">
        <f>VLOOKUP(L471,'[1]singkron data'!D:P,13,FALSE)</f>
        <v>sudah</v>
      </c>
      <c r="AF471" s="11" t="s">
        <v>55</v>
      </c>
      <c r="AG471" s="11" t="e">
        <f>VLOOKUP(L471,'[1]update kontrak'!E:K,6,FALSE)</f>
        <v>#N/A</v>
      </c>
      <c r="AH471" s="11" t="e">
        <f>VLOOKUP(L471,'[1]update kontrak'!E:K,7,FALSE)</f>
        <v>#N/A</v>
      </c>
      <c r="AI471" s="11" t="s">
        <v>58</v>
      </c>
      <c r="AJ471" s="11" t="str">
        <f>VLOOKUP(L471,[1]rekap!D:M,1,FALSE)</f>
        <v>Kambunong</v>
      </c>
      <c r="AK471" s="11" t="str">
        <f>VLOOKUP(L471,'[1]singkron data'!D:E,2,FALSE)</f>
        <v>CV. Danaztama</v>
      </c>
      <c r="AL471" s="11" t="str">
        <f>VLOOKUP(L471,'[1]update 521'!D:D,1,FALSE)</f>
        <v>Kambunong</v>
      </c>
      <c r="AM471" s="11" t="s">
        <v>57</v>
      </c>
      <c r="AN471" s="17">
        <f>VLOOKUP(L471,[1]Sheet19!E:L,8,FALSE)</f>
        <v>4180959000</v>
      </c>
      <c r="AO471" s="11" t="str">
        <f>VLOOKUP(L471,[1]Sheet19!E:K,7,FALSE)</f>
        <v>KONTRAK</v>
      </c>
      <c r="AP471" s="12" t="s">
        <v>41</v>
      </c>
    </row>
    <row r="472" spans="1:42" ht="15" x14ac:dyDescent="0.2">
      <c r="A472" s="8" t="s">
        <v>42</v>
      </c>
      <c r="B472" s="9" t="s">
        <v>43</v>
      </c>
      <c r="C472" s="9">
        <v>487</v>
      </c>
      <c r="D472" s="9" t="s">
        <v>1112</v>
      </c>
      <c r="E472" s="9">
        <v>17</v>
      </c>
      <c r="F472" s="9" t="s">
        <v>1148</v>
      </c>
      <c r="G472" s="9" t="s">
        <v>1149</v>
      </c>
      <c r="H472" s="9" t="s">
        <v>287</v>
      </c>
      <c r="I472" s="9" t="s">
        <v>1150</v>
      </c>
      <c r="J472" s="9" t="s">
        <v>1156</v>
      </c>
      <c r="K472" s="9" t="s">
        <v>1157</v>
      </c>
      <c r="L472" s="10" t="s">
        <v>1157</v>
      </c>
      <c r="M472" s="9" t="s">
        <v>51</v>
      </c>
      <c r="N472" s="9">
        <v>133</v>
      </c>
      <c r="O472" s="9">
        <v>1</v>
      </c>
      <c r="P472" s="9">
        <v>131</v>
      </c>
      <c r="Q472" s="9">
        <v>132</v>
      </c>
      <c r="R472" s="9">
        <v>1</v>
      </c>
      <c r="S472" s="9">
        <v>-2.0173999999999999</v>
      </c>
      <c r="T472" s="9">
        <v>119.2212</v>
      </c>
      <c r="U472" s="9" t="s">
        <v>52</v>
      </c>
      <c r="V472" s="20" t="str">
        <f>VLOOKUP(L472,'[1]singkron data'!D:E,2,FALSE)</f>
        <v>CV. Kitapura Membangun</v>
      </c>
      <c r="W472" s="13">
        <f>VLOOKUP(L472,'[1]data 1129'!F:H,3,FALSE)</f>
        <v>4721180000</v>
      </c>
      <c r="X472" s="11" t="s">
        <v>55</v>
      </c>
      <c r="Y472" s="11">
        <f>VLOOKUP(L472,'[1]singkron data'!D:H,5,FALSE)</f>
        <v>0</v>
      </c>
      <c r="Z472" s="11">
        <f>VLOOKUP(L472,'[1]singkron data'!D:I,6,FALSE)</f>
        <v>0</v>
      </c>
      <c r="AA472" s="11" t="str">
        <f>VLOOKUP(L472,'[1]singkron data'!D:L,9,FALSE)</f>
        <v>081293305027/iqbal</v>
      </c>
      <c r="AB472" s="11" t="s">
        <v>54</v>
      </c>
      <c r="AC472" s="11" t="str">
        <f>VLOOKUP(L472,'[1]singkron data'!D:M,10,FALSE)</f>
        <v>Iqbal/AM</v>
      </c>
      <c r="AD472" s="11" t="str">
        <f>VLOOKUP(L472,'[1]data 1129'!F:O,10,FALSE)</f>
        <v>Tahap I 208</v>
      </c>
      <c r="AE472" s="11" t="str">
        <f>VLOOKUP(L472,'[1]singkron data'!D:P,13,FALSE)</f>
        <v>sudah</v>
      </c>
      <c r="AF472" s="11" t="s">
        <v>55</v>
      </c>
      <c r="AG472" s="11" t="e">
        <f>VLOOKUP(L472,'[1]update kontrak'!E:K,6,FALSE)</f>
        <v>#N/A</v>
      </c>
      <c r="AH472" s="11" t="e">
        <f>VLOOKUP(L472,'[1]update kontrak'!E:K,7,FALSE)</f>
        <v>#N/A</v>
      </c>
      <c r="AI472" s="11"/>
      <c r="AJ472" s="11" t="str">
        <f>VLOOKUP(L472,[1]rekap!D:M,1,FALSE)</f>
        <v>Tumbu</v>
      </c>
      <c r="AK472" s="11" t="str">
        <f>VLOOKUP(L472,'[1]singkron data'!D:E,2,FALSE)</f>
        <v>CV. Kitapura Membangun</v>
      </c>
      <c r="AL472" s="11" t="str">
        <f>VLOOKUP(L472,'[1]update 521'!D:D,1,FALSE)</f>
        <v>Tumbu</v>
      </c>
      <c r="AM472" s="11" t="s">
        <v>57</v>
      </c>
      <c r="AN472" s="11" t="e">
        <f>VLOOKUP(L472,[1]Sheet19!E:L,8,FALSE)</f>
        <v>#N/A</v>
      </c>
      <c r="AO472" s="11" t="s">
        <v>58</v>
      </c>
      <c r="AP472" s="12"/>
    </row>
    <row r="473" spans="1:42" ht="15" x14ac:dyDescent="0.2">
      <c r="A473" s="8" t="s">
        <v>42</v>
      </c>
      <c r="B473" s="9" t="s">
        <v>43</v>
      </c>
      <c r="C473" s="9">
        <v>488</v>
      </c>
      <c r="D473" s="9" t="s">
        <v>1112</v>
      </c>
      <c r="E473" s="9">
        <v>18</v>
      </c>
      <c r="F473" s="9" t="s">
        <v>1148</v>
      </c>
      <c r="G473" s="9" t="s">
        <v>1149</v>
      </c>
      <c r="H473" s="9" t="s">
        <v>287</v>
      </c>
      <c r="I473" s="9" t="s">
        <v>1150</v>
      </c>
      <c r="J473" s="9" t="s">
        <v>1158</v>
      </c>
      <c r="K473" s="9" t="s">
        <v>1159</v>
      </c>
      <c r="L473" s="10" t="s">
        <v>1159</v>
      </c>
      <c r="M473" s="9" t="s">
        <v>51</v>
      </c>
      <c r="N473" s="9">
        <v>250</v>
      </c>
      <c r="O473" s="9">
        <v>9</v>
      </c>
      <c r="P473" s="9">
        <v>61</v>
      </c>
      <c r="Q473" s="9">
        <v>70</v>
      </c>
      <c r="R473" s="9">
        <v>1</v>
      </c>
      <c r="S473" s="9">
        <v>-2.2389999999999999</v>
      </c>
      <c r="T473" s="9">
        <v>119.1528</v>
      </c>
      <c r="U473" s="9" t="s">
        <v>52</v>
      </c>
      <c r="V473" s="20" t="str">
        <f>VLOOKUP(L473,'[1]singkron data'!D:E,2,FALSE)</f>
        <v>CV. Kitapura Membangun</v>
      </c>
      <c r="W473" s="13">
        <f>VLOOKUP(L473,'[1]data 1129'!F:H,3,FALSE)</f>
        <v>4780636000</v>
      </c>
      <c r="X473" s="11" t="s">
        <v>55</v>
      </c>
      <c r="Y473" s="11">
        <f>VLOOKUP(L473,'[1]singkron data'!D:H,5,FALSE)</f>
        <v>0</v>
      </c>
      <c r="Z473" s="11">
        <f>VLOOKUP(L473,'[1]singkron data'!D:I,6,FALSE)</f>
        <v>0</v>
      </c>
      <c r="AA473" s="11" t="str">
        <f>VLOOKUP(L473,'[1]singkron data'!D:L,9,FALSE)</f>
        <v>081293305027/iqbal</v>
      </c>
      <c r="AB473" s="11" t="s">
        <v>54</v>
      </c>
      <c r="AC473" s="11" t="str">
        <f>VLOOKUP(L473,'[1]singkron data'!D:M,10,FALSE)</f>
        <v>Iqbal/AM</v>
      </c>
      <c r="AD473" s="11" t="str">
        <f>VLOOKUP(L473,'[1]data 1129'!F:O,10,FALSE)</f>
        <v>Tahap I 208</v>
      </c>
      <c r="AE473" s="11" t="str">
        <f>VLOOKUP(L473,'[1]singkron data'!D:P,13,FALSE)</f>
        <v>sudah</v>
      </c>
      <c r="AF473" s="11" t="s">
        <v>55</v>
      </c>
      <c r="AG473" s="11" t="e">
        <f>VLOOKUP(L473,'[1]update kontrak'!E:K,6,FALSE)</f>
        <v>#N/A</v>
      </c>
      <c r="AH473" s="11" t="e">
        <f>VLOOKUP(L473,'[1]update kontrak'!E:K,7,FALSE)</f>
        <v>#N/A</v>
      </c>
      <c r="AI473" s="11"/>
      <c r="AJ473" s="11" t="str">
        <f>VLOOKUP(L473,[1]rekap!D:M,1,FALSE)</f>
        <v>Lamba-Lamba</v>
      </c>
      <c r="AK473" s="11" t="str">
        <f>VLOOKUP(L473,'[1]singkron data'!D:E,2,FALSE)</f>
        <v>CV. Kitapura Membangun</v>
      </c>
      <c r="AL473" s="11" t="str">
        <f>VLOOKUP(L473,'[1]update 521'!D:D,1,FALSE)</f>
        <v>Lamba-Lamba</v>
      </c>
      <c r="AM473" s="11" t="s">
        <v>57</v>
      </c>
      <c r="AN473" s="11" t="e">
        <f>VLOOKUP(L473,[1]Sheet19!E:L,8,FALSE)</f>
        <v>#N/A</v>
      </c>
      <c r="AO473" s="11" t="s">
        <v>58</v>
      </c>
      <c r="AP473" s="12"/>
    </row>
    <row r="474" spans="1:42" ht="15" x14ac:dyDescent="0.2">
      <c r="A474" s="8" t="s">
        <v>42</v>
      </c>
      <c r="B474" s="9" t="s">
        <v>43</v>
      </c>
      <c r="C474" s="9">
        <v>489</v>
      </c>
      <c r="D474" s="9" t="s">
        <v>1112</v>
      </c>
      <c r="E474" s="9">
        <v>19</v>
      </c>
      <c r="F474" s="9" t="s">
        <v>1148</v>
      </c>
      <c r="G474" s="9" t="s">
        <v>1149</v>
      </c>
      <c r="H474" s="9" t="s">
        <v>287</v>
      </c>
      <c r="I474" s="9" t="s">
        <v>1150</v>
      </c>
      <c r="J474" s="9" t="s">
        <v>1158</v>
      </c>
      <c r="K474" s="9" t="s">
        <v>1160</v>
      </c>
      <c r="L474" s="10" t="s">
        <v>1160</v>
      </c>
      <c r="M474" s="9" t="s">
        <v>51</v>
      </c>
      <c r="N474" s="9">
        <v>125</v>
      </c>
      <c r="O474" s="9">
        <v>6</v>
      </c>
      <c r="P474" s="9">
        <v>115</v>
      </c>
      <c r="Q474" s="9">
        <v>121</v>
      </c>
      <c r="R474" s="9">
        <v>1</v>
      </c>
      <c r="S474" s="9">
        <v>-2.2507280000000001</v>
      </c>
      <c r="T474" s="9">
        <v>119.147378</v>
      </c>
      <c r="U474" s="9" t="s">
        <v>52</v>
      </c>
      <c r="V474" s="20" t="str">
        <f>VLOOKUP(L474,'[1]singkron data'!D:E,2,FALSE)</f>
        <v>CV. Kitapura Membangun</v>
      </c>
      <c r="W474" s="13">
        <f>VLOOKUP(L474,'[1]data 1129'!F:H,3,FALSE)</f>
        <v>4165818826</v>
      </c>
      <c r="X474" s="11" t="s">
        <v>55</v>
      </c>
      <c r="Y474" s="11">
        <f>VLOOKUP(L474,'[1]singkron data'!D:H,5,FALSE)</f>
        <v>0</v>
      </c>
      <c r="Z474" s="11">
        <f>VLOOKUP(L474,'[1]singkron data'!D:I,6,FALSE)</f>
        <v>0</v>
      </c>
      <c r="AA474" s="11" t="str">
        <f>VLOOKUP(L474,'[1]singkron data'!D:L,9,FALSE)</f>
        <v>081293305027/iqbal</v>
      </c>
      <c r="AB474" s="11" t="s">
        <v>54</v>
      </c>
      <c r="AC474" s="11" t="str">
        <f>VLOOKUP(L474,'[1]singkron data'!D:M,10,FALSE)</f>
        <v>Iqbal/AM</v>
      </c>
      <c r="AD474" s="11" t="str">
        <f>VLOOKUP(L474,'[1]data 1129'!F:O,10,FALSE)</f>
        <v>Tahap I 208</v>
      </c>
      <c r="AE474" s="11" t="str">
        <f>VLOOKUP(L474,'[1]singkron data'!D:P,13,FALSE)</f>
        <v>sudah</v>
      </c>
      <c r="AF474" s="11" t="s">
        <v>55</v>
      </c>
      <c r="AG474" s="11" t="e">
        <f>VLOOKUP(L474,'[1]update kontrak'!E:K,6,FALSE)</f>
        <v>#N/A</v>
      </c>
      <c r="AH474" s="11" t="e">
        <f>VLOOKUP(L474,'[1]update kontrak'!E:K,7,FALSE)</f>
        <v>#N/A</v>
      </c>
      <c r="AI474" s="11"/>
      <c r="AJ474" s="11" t="str">
        <f>VLOOKUP(L474,[1]rekap!D:M,1,FALSE)</f>
        <v>Kombiling</v>
      </c>
      <c r="AK474" s="11" t="str">
        <f>VLOOKUP(L474,'[1]singkron data'!D:E,2,FALSE)</f>
        <v>CV. Kitapura Membangun</v>
      </c>
      <c r="AL474" s="11" t="str">
        <f>VLOOKUP(L474,'[1]update 521'!D:D,1,FALSE)</f>
        <v>Kombiling</v>
      </c>
      <c r="AM474" s="11" t="s">
        <v>57</v>
      </c>
      <c r="AN474" s="11" t="e">
        <f>VLOOKUP(L474,[1]Sheet19!E:L,8,FALSE)</f>
        <v>#N/A</v>
      </c>
      <c r="AO474" s="11" t="s">
        <v>58</v>
      </c>
      <c r="AP474" s="12"/>
    </row>
    <row r="475" spans="1:42" ht="15" x14ac:dyDescent="0.2">
      <c r="A475" s="8" t="s">
        <v>42</v>
      </c>
      <c r="B475" s="9" t="s">
        <v>43</v>
      </c>
      <c r="C475" s="9">
        <v>490</v>
      </c>
      <c r="D475" s="9" t="s">
        <v>1112</v>
      </c>
      <c r="E475" s="9">
        <v>20</v>
      </c>
      <c r="F475" s="9" t="s">
        <v>1148</v>
      </c>
      <c r="G475" s="9" t="s">
        <v>1149</v>
      </c>
      <c r="H475" s="9" t="s">
        <v>287</v>
      </c>
      <c r="I475" s="9" t="s">
        <v>1150</v>
      </c>
      <c r="J475" s="9" t="s">
        <v>1158</v>
      </c>
      <c r="K475" s="9" t="s">
        <v>1158</v>
      </c>
      <c r="L475" s="10" t="s">
        <v>1158</v>
      </c>
      <c r="M475" s="9" t="s">
        <v>51</v>
      </c>
      <c r="N475" s="9">
        <v>211</v>
      </c>
      <c r="O475" s="9">
        <v>12</v>
      </c>
      <c r="P475" s="9">
        <v>62</v>
      </c>
      <c r="Q475" s="9">
        <v>74</v>
      </c>
      <c r="R475" s="9">
        <v>1</v>
      </c>
      <c r="S475" s="9">
        <v>-2.288338</v>
      </c>
      <c r="T475" s="9">
        <v>119.13754</v>
      </c>
      <c r="U475" s="9" t="s">
        <v>52</v>
      </c>
      <c r="V475" s="20" t="str">
        <f>VLOOKUP(L475,'[1]singkron data'!D:E,2,FALSE)</f>
        <v>CV. Kitapura Membangun</v>
      </c>
      <c r="W475" s="13">
        <f>VLOOKUP(L475,'[1]data 1129'!F:H,3,FALSE)</f>
        <v>2996678000</v>
      </c>
      <c r="X475" s="11" t="s">
        <v>55</v>
      </c>
      <c r="Y475" s="11">
        <f>VLOOKUP(L475,'[1]singkron data'!D:H,5,FALSE)</f>
        <v>0</v>
      </c>
      <c r="Z475" s="11">
        <f>VLOOKUP(L475,'[1]singkron data'!D:I,6,FALSE)</f>
        <v>0</v>
      </c>
      <c r="AA475" s="11" t="str">
        <f>VLOOKUP(L475,'[1]singkron data'!D:L,9,FALSE)</f>
        <v>081293305027/iqbal</v>
      </c>
      <c r="AB475" s="11" t="s">
        <v>54</v>
      </c>
      <c r="AC475" s="11" t="str">
        <f>VLOOKUP(L475,'[1]singkron data'!D:M,10,FALSE)</f>
        <v>Iqbal/AM</v>
      </c>
      <c r="AD475" s="11" t="str">
        <f>VLOOKUP(L475,'[1]data 1129'!F:O,10,FALSE)</f>
        <v>Tahap I 208</v>
      </c>
      <c r="AE475" s="11" t="str">
        <f>VLOOKUP(L475,'[1]singkron data'!D:P,13,FALSE)</f>
        <v>sudah</v>
      </c>
      <c r="AF475" s="11" t="s">
        <v>55</v>
      </c>
      <c r="AG475" s="11" t="e">
        <f>VLOOKUP(L475,'[1]update kontrak'!E:K,6,FALSE)</f>
        <v>#N/A</v>
      </c>
      <c r="AH475" s="11" t="e">
        <f>VLOOKUP(L475,'[1]update kontrak'!E:K,7,FALSE)</f>
        <v>#N/A</v>
      </c>
      <c r="AI475" s="11"/>
      <c r="AJ475" s="11" t="str">
        <f>VLOOKUP(L475,[1]rekap!D:M,1,FALSE)</f>
        <v>Pangale</v>
      </c>
      <c r="AK475" s="11" t="str">
        <f>VLOOKUP(L475,'[1]singkron data'!D:E,2,FALSE)</f>
        <v>CV. Kitapura Membangun</v>
      </c>
      <c r="AL475" s="11" t="str">
        <f>VLOOKUP(L475,'[1]update 521'!D:D,1,FALSE)</f>
        <v>Pangale</v>
      </c>
      <c r="AM475" s="11" t="s">
        <v>57</v>
      </c>
      <c r="AN475" s="11" t="e">
        <f>VLOOKUP(L475,[1]Sheet19!E:L,8,FALSE)</f>
        <v>#N/A</v>
      </c>
      <c r="AO475" s="11" t="s">
        <v>58</v>
      </c>
      <c r="AP475" s="12"/>
    </row>
    <row r="476" spans="1:42" ht="15" x14ac:dyDescent="0.2">
      <c r="A476" s="8" t="s">
        <v>42</v>
      </c>
      <c r="B476" s="9" t="s">
        <v>43</v>
      </c>
      <c r="C476" s="9">
        <v>491</v>
      </c>
      <c r="D476" s="9" t="s">
        <v>1112</v>
      </c>
      <c r="E476" s="9">
        <v>21</v>
      </c>
      <c r="F476" s="9" t="s">
        <v>1148</v>
      </c>
      <c r="G476" s="9" t="s">
        <v>1149</v>
      </c>
      <c r="H476" s="9" t="s">
        <v>287</v>
      </c>
      <c r="I476" s="9" t="s">
        <v>1161</v>
      </c>
      <c r="J476" s="9" t="s">
        <v>1162</v>
      </c>
      <c r="K476" s="9" t="s">
        <v>1162</v>
      </c>
      <c r="L476" s="10" t="s">
        <v>1162</v>
      </c>
      <c r="M476" s="9" t="s">
        <v>51</v>
      </c>
      <c r="N476" s="9">
        <v>154</v>
      </c>
      <c r="O476" s="9">
        <v>7</v>
      </c>
      <c r="P476" s="9">
        <v>147</v>
      </c>
      <c r="Q476" s="9">
        <v>154</v>
      </c>
      <c r="R476" s="9">
        <v>2.7</v>
      </c>
      <c r="S476" s="9">
        <v>-2.3155860000000001</v>
      </c>
      <c r="T476" s="9">
        <v>119.13670500000001</v>
      </c>
      <c r="U476" s="9" t="s">
        <v>52</v>
      </c>
      <c r="V476" s="11" t="str">
        <f>VLOOKUP(L476,'[1]singkron data'!D:E,2,FALSE)</f>
        <v>CV. Passompe Utama</v>
      </c>
      <c r="W476" s="13">
        <f>VLOOKUP(L476,'[1]data 1129'!F:H,3,FALSE)</f>
        <v>4237147000</v>
      </c>
      <c r="X476" s="11" t="s">
        <v>55</v>
      </c>
      <c r="Y476" s="11" t="str">
        <f>VLOOKUP(L476,'[1]singkron data'!D:H,5,FALSE)</f>
        <v>Makassar</v>
      </c>
      <c r="Z476" s="11" t="str">
        <f>VLOOKUP(L476,'[1]singkron data'!D:I,6,FALSE)</f>
        <v>Online</v>
      </c>
      <c r="AA476" s="11" t="str">
        <f>VLOOKUP(L476,'[1]singkron data'!D:L,9,FALSE)</f>
        <v>08118600956/angie</v>
      </c>
      <c r="AB476" s="11" t="s">
        <v>54</v>
      </c>
      <c r="AC476" s="11" t="str">
        <f>VLOOKUP(L476,'[1]singkron data'!D:M,10,FALSE)</f>
        <v>angie</v>
      </c>
      <c r="AD476" s="11" t="str">
        <f>VLOOKUP(L476,'[1]data 1129'!F:O,10,FALSE)</f>
        <v>Tahap I 208</v>
      </c>
      <c r="AE476" s="11" t="str">
        <f>VLOOKUP(L476,'[1]singkron data'!D:P,13,FALSE)</f>
        <v>lokasi ditolak masyarakat</v>
      </c>
      <c r="AF476" s="11" t="s">
        <v>55</v>
      </c>
      <c r="AG476" s="11" t="e">
        <f>VLOOKUP(L476,'[1]update kontrak'!E:K,6,FALSE)</f>
        <v>#N/A</v>
      </c>
      <c r="AH476" s="11" t="e">
        <f>VLOOKUP(L476,'[1]update kontrak'!E:K,7,FALSE)</f>
        <v>#N/A</v>
      </c>
      <c r="AI476" s="11"/>
      <c r="AJ476" s="11" t="str">
        <f>VLOOKUP(L476,[1]rekap!D:M,1,FALSE)</f>
        <v>Sampaga</v>
      </c>
      <c r="AK476" s="11" t="str">
        <f>VLOOKUP(L476,'[1]singkron data'!D:E,2,FALSE)</f>
        <v>CV. Passompe Utama</v>
      </c>
      <c r="AL476" s="11" t="str">
        <f>VLOOKUP(L476,'[1]update 521'!D:D,1,FALSE)</f>
        <v>Sampaga</v>
      </c>
      <c r="AM476" s="11" t="s">
        <v>337</v>
      </c>
      <c r="AN476" s="11" t="e">
        <f>VLOOKUP(L476,[1]Sheet19!E:L,8,FALSE)</f>
        <v>#N/A</v>
      </c>
      <c r="AO476" s="11" t="s">
        <v>58</v>
      </c>
      <c r="AP476" s="12"/>
    </row>
    <row r="477" spans="1:42" ht="15" x14ac:dyDescent="0.2">
      <c r="A477" s="8" t="s">
        <v>42</v>
      </c>
      <c r="B477" s="9" t="s">
        <v>43</v>
      </c>
      <c r="C477" s="9">
        <v>492</v>
      </c>
      <c r="D477" s="9" t="s">
        <v>1112</v>
      </c>
      <c r="E477" s="9">
        <v>22</v>
      </c>
      <c r="F477" s="9" t="s">
        <v>1148</v>
      </c>
      <c r="G477" s="9" t="s">
        <v>1149</v>
      </c>
      <c r="H477" s="9" t="s">
        <v>287</v>
      </c>
      <c r="I477" s="9" t="s">
        <v>1161</v>
      </c>
      <c r="J477" s="9" t="s">
        <v>1163</v>
      </c>
      <c r="K477" s="9" t="s">
        <v>1164</v>
      </c>
      <c r="L477" s="10" t="s">
        <v>1164</v>
      </c>
      <c r="M477" s="9" t="s">
        <v>81</v>
      </c>
      <c r="N477" s="9">
        <v>315</v>
      </c>
      <c r="O477" s="9">
        <v>8</v>
      </c>
      <c r="P477" s="9">
        <v>282</v>
      </c>
      <c r="Q477" s="9">
        <v>290</v>
      </c>
      <c r="R477" s="9">
        <v>0.7</v>
      </c>
      <c r="S477" s="9">
        <v>-2.401043</v>
      </c>
      <c r="T477" s="9">
        <v>119.140838</v>
      </c>
      <c r="U477" s="9" t="s">
        <v>52</v>
      </c>
      <c r="V477" s="11" t="str">
        <f>VLOOKUP(L477,'[1]singkron data'!D:E,2,FALSE)</f>
        <v>CV. Passompe Utama</v>
      </c>
      <c r="W477" s="13">
        <f>VLOOKUP(L477,'[1]data 1129'!F:H,3,FALSE)</f>
        <v>7073042000</v>
      </c>
      <c r="X477" s="11" t="s">
        <v>55</v>
      </c>
      <c r="Y477" s="11" t="str">
        <f>VLOOKUP(L477,'[1]singkron data'!D:H,5,FALSE)</f>
        <v>Makassar</v>
      </c>
      <c r="Z477" s="11" t="str">
        <f>VLOOKUP(L477,'[1]singkron data'!D:I,6,FALSE)</f>
        <v>Online</v>
      </c>
      <c r="AA477" s="11" t="str">
        <f>VLOOKUP(L477,'[1]singkron data'!D:L,9,FALSE)</f>
        <v>08118600956/angie</v>
      </c>
      <c r="AB477" s="11" t="s">
        <v>54</v>
      </c>
      <c r="AC477" s="11" t="str">
        <f>VLOOKUP(L477,'[1]singkron data'!D:M,10,FALSE)</f>
        <v>angie</v>
      </c>
      <c r="AD477" s="11" t="str">
        <f>VLOOKUP(L477,'[1]data 1129'!F:O,10,FALSE)</f>
        <v>Tahap I 208</v>
      </c>
      <c r="AE477" s="11" t="str">
        <f>VLOOKUP(L477,'[1]singkron data'!D:P,13,FALSE)</f>
        <v>sudah</v>
      </c>
      <c r="AF477" s="11" t="s">
        <v>55</v>
      </c>
      <c r="AG477" s="11" t="e">
        <f>VLOOKUP(L477,'[1]update kontrak'!E:K,6,FALSE)</f>
        <v>#N/A</v>
      </c>
      <c r="AH477" s="11" t="e">
        <f>VLOOKUP(L477,'[1]update kontrak'!E:K,7,FALSE)</f>
        <v>#N/A</v>
      </c>
      <c r="AI477" s="11" t="s">
        <v>58</v>
      </c>
      <c r="AJ477" s="11" t="str">
        <f>VLOOKUP(L477,[1]rekap!D:M,1,FALSE)</f>
        <v>Bonda</v>
      </c>
      <c r="AK477" s="11" t="str">
        <f>VLOOKUP(L477,'[1]singkron data'!D:E,2,FALSE)</f>
        <v>CV. Passompe Utama</v>
      </c>
      <c r="AL477" s="11" t="str">
        <f>VLOOKUP(L477,'[1]update 521'!D:D,1,FALSE)</f>
        <v>Bonda</v>
      </c>
      <c r="AM477" s="11" t="s">
        <v>57</v>
      </c>
      <c r="AN477" s="11" t="e">
        <f>VLOOKUP(L477,[1]Sheet19!E:L,8,FALSE)</f>
        <v>#N/A</v>
      </c>
      <c r="AO477" s="11" t="s">
        <v>58</v>
      </c>
      <c r="AP477" s="12"/>
    </row>
    <row r="478" spans="1:42" ht="15" x14ac:dyDescent="0.2">
      <c r="A478" s="8" t="s">
        <v>42</v>
      </c>
      <c r="B478" s="9" t="s">
        <v>43</v>
      </c>
      <c r="C478" s="9">
        <v>493</v>
      </c>
      <c r="D478" s="9" t="s">
        <v>1112</v>
      </c>
      <c r="E478" s="9">
        <v>23</v>
      </c>
      <c r="F478" s="9" t="s">
        <v>1165</v>
      </c>
      <c r="G478" s="9" t="s">
        <v>1114</v>
      </c>
      <c r="H478" s="9" t="s">
        <v>287</v>
      </c>
      <c r="I478" s="9" t="s">
        <v>1166</v>
      </c>
      <c r="J478" s="9" t="s">
        <v>1167</v>
      </c>
      <c r="K478" s="9" t="s">
        <v>1168</v>
      </c>
      <c r="L478" s="10" t="s">
        <v>1168</v>
      </c>
      <c r="M478" s="9" t="s">
        <v>51</v>
      </c>
      <c r="N478" s="9">
        <v>51</v>
      </c>
      <c r="O478" s="9">
        <v>1</v>
      </c>
      <c r="P478" s="9">
        <v>51</v>
      </c>
      <c r="Q478" s="9">
        <v>52</v>
      </c>
      <c r="R478" s="9">
        <v>0.2</v>
      </c>
      <c r="S478" s="9">
        <v>-5.6383429999999999</v>
      </c>
      <c r="T478" s="9">
        <v>119.840238</v>
      </c>
      <c r="U478" s="9" t="s">
        <v>52</v>
      </c>
      <c r="V478" s="11" t="str">
        <f>VLOOKUP(L478,'[1]singkron data'!D:E,2,FALSE)</f>
        <v>PT. Piranti Jagad Raya</v>
      </c>
      <c r="W478" s="13">
        <f>VLOOKUP(L478,'[1]data 1129'!F:H,3,FALSE)</f>
        <v>5583550000</v>
      </c>
      <c r="X478" s="11" t="s">
        <v>55</v>
      </c>
      <c r="Y478" s="11" t="str">
        <f>VLOOKUP(L478,'[1]singkron data'!D:H,5,FALSE)</f>
        <v>Makassar</v>
      </c>
      <c r="Z478" s="11" t="str">
        <f>VLOOKUP(L478,'[1]singkron data'!D:I,6,FALSE)</f>
        <v>Online</v>
      </c>
      <c r="AA478" s="11" t="str">
        <f>VLOOKUP(L478,'[1]singkron data'!D:L,9,FALSE)</f>
        <v>Suyanto/2397888857</v>
      </c>
      <c r="AB478" s="11" t="s">
        <v>54</v>
      </c>
      <c r="AC478" s="11" t="str">
        <f>VLOOKUP(L478,'[1]singkron data'!D:M,10,FALSE)</f>
        <v>Hyl</v>
      </c>
      <c r="AD478" s="11" t="str">
        <f>VLOOKUP(L478,'[1]data 1129'!F:O,10,FALSE)</f>
        <v>Tahap III 166</v>
      </c>
      <c r="AE478" s="11" t="str">
        <f>VLOOKUP(L478,'[1]singkron data'!D:P,13,FALSE)</f>
        <v>sudah</v>
      </c>
      <c r="AF478" s="11" t="s">
        <v>55</v>
      </c>
      <c r="AG478" s="17">
        <f>VLOOKUP(L478,'[1]update kontrak'!E:K,6,FALSE)</f>
        <v>4148332000</v>
      </c>
      <c r="AH478" s="11" t="str">
        <f>VLOOKUP(L478,'[1]update kontrak'!E:K,7,FALSE)</f>
        <v>SPPBJ</v>
      </c>
      <c r="AI478" s="11" t="s">
        <v>58</v>
      </c>
      <c r="AJ478" s="11" t="str">
        <f>VLOOKUP(L478,[1]rekap!D:M,1,FALSE)</f>
        <v>Arungkeke Pallantikang</v>
      </c>
      <c r="AK478" s="11" t="str">
        <f>VLOOKUP(L478,'[1]singkron data'!D:E,2,FALSE)</f>
        <v>PT. Piranti Jagad Raya</v>
      </c>
      <c r="AL478" s="11" t="str">
        <f>VLOOKUP(L478,'[1]update 521'!D:D,1,FALSE)</f>
        <v>Arungkeke Pallantikang</v>
      </c>
      <c r="AM478" s="11" t="s">
        <v>57</v>
      </c>
      <c r="AN478" s="17">
        <f>VLOOKUP(L478,[1]Sheet19!E:L,8,FALSE)</f>
        <v>4148332000</v>
      </c>
      <c r="AO478" s="11" t="str">
        <f>VLOOKUP(L478,[1]Sheet19!E:K,7,FALSE)</f>
        <v>KONTRAK</v>
      </c>
      <c r="AP478" s="12" t="s">
        <v>41</v>
      </c>
    </row>
    <row r="479" spans="1:42" ht="15" x14ac:dyDescent="0.2">
      <c r="A479" s="8" t="s">
        <v>42</v>
      </c>
      <c r="B479" s="9" t="s">
        <v>43</v>
      </c>
      <c r="C479" s="9">
        <v>494</v>
      </c>
      <c r="D479" s="9" t="s">
        <v>1112</v>
      </c>
      <c r="E479" s="9">
        <v>24</v>
      </c>
      <c r="F479" s="9" t="s">
        <v>1165</v>
      </c>
      <c r="G479" s="9" t="s">
        <v>1114</v>
      </c>
      <c r="H479" s="9" t="s">
        <v>287</v>
      </c>
      <c r="I479" s="9" t="s">
        <v>1166</v>
      </c>
      <c r="J479" s="9" t="s">
        <v>1169</v>
      </c>
      <c r="K479" s="9" t="s">
        <v>1170</v>
      </c>
      <c r="L479" s="10" t="s">
        <v>1170</v>
      </c>
      <c r="M479" s="9" t="s">
        <v>51</v>
      </c>
      <c r="N479" s="9">
        <v>192</v>
      </c>
      <c r="O479" s="9">
        <v>3</v>
      </c>
      <c r="P479" s="9">
        <v>192</v>
      </c>
      <c r="Q479" s="9">
        <v>195</v>
      </c>
      <c r="R479" s="9">
        <v>0.3</v>
      </c>
      <c r="S479" s="9">
        <v>-5.6323590000000001</v>
      </c>
      <c r="T479" s="9">
        <v>119.853713</v>
      </c>
      <c r="U479" s="9" t="s">
        <v>52</v>
      </c>
      <c r="V479" s="11" t="str">
        <f>VLOOKUP(L479,'[1]singkron data'!D:E,2,FALSE)</f>
        <v>PT. Piranti Jagad Raya</v>
      </c>
      <c r="W479" s="13">
        <f>VLOOKUP(L479,'[1]data 1129'!F:H,3,FALSE)</f>
        <v>5404670000</v>
      </c>
      <c r="X479" s="11" t="s">
        <v>55</v>
      </c>
      <c r="Y479" s="11" t="str">
        <f>VLOOKUP(L479,'[1]singkron data'!D:H,5,FALSE)</f>
        <v>Makassar</v>
      </c>
      <c r="Z479" s="11" t="str">
        <f>VLOOKUP(L479,'[1]singkron data'!D:I,6,FALSE)</f>
        <v>Online</v>
      </c>
      <c r="AA479" s="11" t="str">
        <f>VLOOKUP(L479,'[1]singkron data'!D:L,9,FALSE)</f>
        <v>Suyanto/2397888857</v>
      </c>
      <c r="AB479" s="11" t="s">
        <v>54</v>
      </c>
      <c r="AC479" s="11" t="str">
        <f>VLOOKUP(L479,'[1]singkron data'!D:M,10,FALSE)</f>
        <v>Hyl</v>
      </c>
      <c r="AD479" s="11" t="str">
        <f>VLOOKUP(L479,'[1]data 1129'!F:O,10,FALSE)</f>
        <v>Tahap III 166</v>
      </c>
      <c r="AE479" s="11" t="str">
        <f>VLOOKUP(L479,'[1]singkron data'!D:P,13,FALSE)</f>
        <v>sudah</v>
      </c>
      <c r="AF479" s="11" t="s">
        <v>55</v>
      </c>
      <c r="AG479" s="17">
        <f>VLOOKUP(L479,'[1]update kontrak'!E:K,6,FALSE)</f>
        <v>4555684000</v>
      </c>
      <c r="AH479" s="11" t="str">
        <f>VLOOKUP(L479,'[1]update kontrak'!E:K,7,FALSE)</f>
        <v>SPPBJ</v>
      </c>
      <c r="AI479" s="11" t="s">
        <v>58</v>
      </c>
      <c r="AJ479" s="11" t="str">
        <f>VLOOKUP(L479,[1]rekap!D:M,1,FALSE)</f>
        <v>Bungeng</v>
      </c>
      <c r="AK479" s="11" t="str">
        <f>VLOOKUP(L479,'[1]singkron data'!D:E,2,FALSE)</f>
        <v>PT. Piranti Jagad Raya</v>
      </c>
      <c r="AL479" s="11" t="str">
        <f>VLOOKUP(L479,'[1]update 521'!D:D,1,FALSE)</f>
        <v>Bungeng</v>
      </c>
      <c r="AM479" s="11" t="s">
        <v>57</v>
      </c>
      <c r="AN479" s="17">
        <f>VLOOKUP(L479,[1]Sheet19!E:L,8,FALSE)</f>
        <v>4555684000</v>
      </c>
      <c r="AO479" s="11" t="str">
        <f>VLOOKUP(L479,[1]Sheet19!E:K,7,FALSE)</f>
        <v>KONTRAK</v>
      </c>
      <c r="AP479" s="12" t="s">
        <v>41</v>
      </c>
    </row>
    <row r="480" spans="1:42" ht="15" x14ac:dyDescent="0.2">
      <c r="A480" s="8" t="s">
        <v>42</v>
      </c>
      <c r="B480" s="9" t="s">
        <v>43</v>
      </c>
      <c r="C480" s="9">
        <v>495</v>
      </c>
      <c r="D480" s="9" t="s">
        <v>1112</v>
      </c>
      <c r="E480" s="9">
        <v>25</v>
      </c>
      <c r="F480" s="9" t="s">
        <v>1165</v>
      </c>
      <c r="G480" s="9" t="s">
        <v>1114</v>
      </c>
      <c r="H480" s="9" t="s">
        <v>287</v>
      </c>
      <c r="I480" s="9" t="s">
        <v>1171</v>
      </c>
      <c r="J480" s="9" t="s">
        <v>1171</v>
      </c>
      <c r="K480" s="9" t="s">
        <v>1172</v>
      </c>
      <c r="L480" s="10" t="s">
        <v>1172</v>
      </c>
      <c r="M480" s="9" t="s">
        <v>51</v>
      </c>
      <c r="N480" s="9">
        <v>120</v>
      </c>
      <c r="O480" s="9">
        <v>1</v>
      </c>
      <c r="P480" s="9">
        <v>136</v>
      </c>
      <c r="Q480" s="9">
        <v>137</v>
      </c>
      <c r="R480" s="9">
        <v>1</v>
      </c>
      <c r="S480" s="9">
        <v>-5.551812</v>
      </c>
      <c r="T480" s="9">
        <v>119.951947</v>
      </c>
      <c r="U480" s="9" t="s">
        <v>52</v>
      </c>
      <c r="V480" s="11" t="str">
        <f>VLOOKUP(L480,'[1]singkron data'!D:E,2,FALSE)</f>
        <v>PT. DARWIN KEMBAR JAYA</v>
      </c>
      <c r="W480" s="13">
        <f>VLOOKUP(L480,'[1]data 1129'!F:H,3,FALSE)</f>
        <v>4500000000</v>
      </c>
      <c r="X480" s="11" t="s">
        <v>55</v>
      </c>
      <c r="Y480" s="11">
        <f>VLOOKUP(L480,'[1]singkron data'!D:H,5,FALSE)</f>
        <v>0</v>
      </c>
      <c r="Z480" s="11">
        <f>VLOOKUP(L480,'[1]singkron data'!D:I,6,FALSE)</f>
        <v>0</v>
      </c>
      <c r="AA480" s="11" t="str">
        <f>VLOOKUP(L480,'[1]singkron data'!D:L,9,FALSE)</f>
        <v>082198005353/yacob</v>
      </c>
      <c r="AB480" s="11" t="s">
        <v>54</v>
      </c>
      <c r="AC480" s="11" t="str">
        <f>VLOOKUP(L480,'[1]singkron data'!D:M,10,FALSE)</f>
        <v>Hyl</v>
      </c>
      <c r="AD480" s="11" t="str">
        <f>VLOOKUP(L480,'[1]data 1129'!F:O,10,FALSE)</f>
        <v>Tahap I 208</v>
      </c>
      <c r="AE480" s="11" t="str">
        <f>VLOOKUP(L480,'[1]singkron data'!D:P,13,FALSE)</f>
        <v>sudah</v>
      </c>
      <c r="AF480" s="11" t="s">
        <v>55</v>
      </c>
      <c r="AG480" s="11" t="e">
        <f>VLOOKUP(L480,'[1]update kontrak'!E:K,6,FALSE)</f>
        <v>#N/A</v>
      </c>
      <c r="AH480" s="11" t="e">
        <f>VLOOKUP(L480,'[1]update kontrak'!E:K,7,FALSE)</f>
        <v>#N/A</v>
      </c>
      <c r="AI480" s="11" t="s">
        <v>58</v>
      </c>
      <c r="AJ480" s="11" t="str">
        <f>VLOOKUP(L480,[1]rekap!D:M,1,FALSE)</f>
        <v>Letta</v>
      </c>
      <c r="AK480" s="11" t="str">
        <f>AJ480</f>
        <v>Letta</v>
      </c>
      <c r="AL480" s="11" t="str">
        <f>VLOOKUP(L480,'[1]update 521'!D:D,1,FALSE)</f>
        <v>Letta</v>
      </c>
      <c r="AM480" s="11" t="s">
        <v>57</v>
      </c>
      <c r="AN480" s="17">
        <f>VLOOKUP(L480,[1]Sheet19!E:L,8,FALSE)</f>
        <v>4158589622.9099998</v>
      </c>
      <c r="AO480" s="11" t="str">
        <f>VLOOKUP(L480,[1]Sheet19!E:K,7,FALSE)</f>
        <v>SPPBJ</v>
      </c>
      <c r="AP480" s="12"/>
    </row>
    <row r="481" spans="1:42" ht="15" x14ac:dyDescent="0.2">
      <c r="A481" s="8" t="s">
        <v>42</v>
      </c>
      <c r="B481" s="9" t="s">
        <v>43</v>
      </c>
      <c r="C481" s="9">
        <v>496</v>
      </c>
      <c r="D481" s="9" t="s">
        <v>1112</v>
      </c>
      <c r="E481" s="9">
        <v>26</v>
      </c>
      <c r="F481" s="9" t="s">
        <v>1165</v>
      </c>
      <c r="G481" s="9" t="s">
        <v>1114</v>
      </c>
      <c r="H481" s="9" t="s">
        <v>287</v>
      </c>
      <c r="I481" s="9" t="s">
        <v>1171</v>
      </c>
      <c r="J481" s="9" t="s">
        <v>1173</v>
      </c>
      <c r="K481" s="9" t="s">
        <v>1174</v>
      </c>
      <c r="L481" s="10" t="s">
        <v>1174</v>
      </c>
      <c r="M481" s="9" t="s">
        <v>51</v>
      </c>
      <c r="N481" s="9">
        <v>300</v>
      </c>
      <c r="O481" s="9">
        <v>2</v>
      </c>
      <c r="P481" s="9">
        <v>300</v>
      </c>
      <c r="Q481" s="9">
        <v>302</v>
      </c>
      <c r="R481" s="9">
        <v>0.15</v>
      </c>
      <c r="S481" s="9">
        <v>-5.5644109999999998</v>
      </c>
      <c r="T481" s="9">
        <v>119.917438</v>
      </c>
      <c r="U481" s="9" t="s">
        <v>52</v>
      </c>
      <c r="V481" s="11" t="str">
        <f>VLOOKUP(L481,'[1]singkron data'!D:E,2,FALSE)</f>
        <v>PT. Ifos Satria Mahkota</v>
      </c>
      <c r="W481" s="13">
        <f>VLOOKUP(L481,'[1]data 1129'!F:H,3,FALSE)</f>
        <v>5123916747</v>
      </c>
      <c r="X481" s="11" t="s">
        <v>55</v>
      </c>
      <c r="Y481" s="11" t="str">
        <f>VLOOKUP(L481,'[1]singkron data'!D:H,5,FALSE)</f>
        <v>Jakarta</v>
      </c>
      <c r="Z481" s="11" t="str">
        <f>VLOOKUP(L481,'[1]singkron data'!D:I,6,FALSE)</f>
        <v>Online</v>
      </c>
      <c r="AA481" s="11">
        <f>VLOOKUP(L481,'[1]singkron data'!D:L,9,FALSE)</f>
        <v>0</v>
      </c>
      <c r="AB481" s="11" t="s">
        <v>54</v>
      </c>
      <c r="AC481" s="11" t="s">
        <v>1175</v>
      </c>
      <c r="AD481" s="11" t="str">
        <f>VLOOKUP(L481,'[1]data 1129'!F:O,10,FALSE)</f>
        <v>Tahap I 208</v>
      </c>
      <c r="AE481" s="11" t="str">
        <f>VLOOKUP(L481,'[1]singkron data'!D:P,13,FALSE)</f>
        <v>sudah</v>
      </c>
      <c r="AF481" s="11" t="s">
        <v>55</v>
      </c>
      <c r="AG481" s="17">
        <f>VLOOKUP(L481,'[1]update kontrak'!E:K,6,FALSE)</f>
        <v>5244348535.1999998</v>
      </c>
      <c r="AH481" s="11" t="str">
        <f>VLOOKUP(L481,'[1]update kontrak'!E:K,7,FALSE)</f>
        <v>KONTRAK</v>
      </c>
      <c r="AI481" s="11" t="s">
        <v>41</v>
      </c>
      <c r="AJ481" s="11" t="str">
        <f>VLOOKUP(L481,[1]rekap!D:M,1,FALSE)</f>
        <v>Bonto Jai</v>
      </c>
      <c r="AK481" s="11" t="str">
        <f>VLOOKUP(L481,'[1]singkron data'!D:E,2,FALSE)</f>
        <v>PT. Ifos Satria Mahkota</v>
      </c>
      <c r="AL481" s="11" t="str">
        <f>VLOOKUP(L481,'[1]update 521'!D:D,1,FALSE)</f>
        <v>Bonto Jai</v>
      </c>
      <c r="AM481" s="11" t="s">
        <v>57</v>
      </c>
      <c r="AN481" s="17">
        <f>VLOOKUP(L481,[1]Sheet19!E:L,8,FALSE)</f>
        <v>5244348535.1999998</v>
      </c>
      <c r="AO481" s="11" t="str">
        <f>VLOOKUP(L481,[1]Sheet19!E:K,7,FALSE)</f>
        <v>KONTRAK</v>
      </c>
      <c r="AP481" s="12" t="s">
        <v>41</v>
      </c>
    </row>
    <row r="482" spans="1:42" ht="15" x14ac:dyDescent="0.2">
      <c r="A482" s="8" t="s">
        <v>42</v>
      </c>
      <c r="B482" s="9" t="s">
        <v>43</v>
      </c>
      <c r="C482" s="9">
        <v>497</v>
      </c>
      <c r="D482" s="9" t="s">
        <v>1112</v>
      </c>
      <c r="E482" s="9">
        <v>27</v>
      </c>
      <c r="F482" s="9" t="s">
        <v>1165</v>
      </c>
      <c r="G482" s="9" t="s">
        <v>1114</v>
      </c>
      <c r="H482" s="9" t="s">
        <v>287</v>
      </c>
      <c r="I482" s="9" t="s">
        <v>1171</v>
      </c>
      <c r="J482" s="9" t="s">
        <v>1176</v>
      </c>
      <c r="K482" s="9" t="s">
        <v>1177</v>
      </c>
      <c r="L482" s="10" t="s">
        <v>1177</v>
      </c>
      <c r="M482" s="9" t="s">
        <v>51</v>
      </c>
      <c r="N482" s="9">
        <v>220</v>
      </c>
      <c r="O482" s="9">
        <v>1</v>
      </c>
      <c r="P482" s="9">
        <v>220</v>
      </c>
      <c r="Q482" s="9">
        <v>221</v>
      </c>
      <c r="R482" s="9">
        <v>0.28000000000000003</v>
      </c>
      <c r="S482" s="9">
        <v>-5.5705809999999998</v>
      </c>
      <c r="T482" s="9">
        <v>120.023704</v>
      </c>
      <c r="U482" s="9" t="s">
        <v>52</v>
      </c>
      <c r="V482" s="11" t="str">
        <f>VLOOKUP(L482,'[1]singkron data'!D:E,2,FALSE)</f>
        <v>PT. Ifos Satria Mahkota</v>
      </c>
      <c r="W482" s="13">
        <f>VLOOKUP(L482,'[1]data 1129'!F:H,3,FALSE)</f>
        <v>6236467000</v>
      </c>
      <c r="X482" s="11" t="s">
        <v>55</v>
      </c>
      <c r="Y482" s="11" t="str">
        <f>VLOOKUP(L482,'[1]singkron data'!D:H,5,FALSE)</f>
        <v>Jakarta</v>
      </c>
      <c r="Z482" s="11" t="str">
        <f>VLOOKUP(L482,'[1]singkron data'!D:I,6,FALSE)</f>
        <v>Online</v>
      </c>
      <c r="AA482" s="11">
        <f>VLOOKUP(L482,'[1]singkron data'!D:L,9,FALSE)</f>
        <v>0</v>
      </c>
      <c r="AB482" s="11" t="s">
        <v>54</v>
      </c>
      <c r="AC482" s="11" t="s">
        <v>1175</v>
      </c>
      <c r="AD482" s="11" t="str">
        <f>VLOOKUP(L482,'[1]data 1129'!F:O,10,FALSE)</f>
        <v>Tahap I 208</v>
      </c>
      <c r="AE482" s="11" t="str">
        <f>VLOOKUP(L482,'[1]singkron data'!D:P,13,FALSE)</f>
        <v>sudah</v>
      </c>
      <c r="AF482" s="11" t="s">
        <v>55</v>
      </c>
      <c r="AG482" s="17">
        <f>VLOOKUP(L482,'[1]update kontrak'!E:K,6,FALSE)</f>
        <v>5496754607.5799999</v>
      </c>
      <c r="AH482" s="11" t="str">
        <f>VLOOKUP(L482,'[1]update kontrak'!E:K,7,FALSE)</f>
        <v>KONTRAK</v>
      </c>
      <c r="AI482" s="11" t="s">
        <v>41</v>
      </c>
      <c r="AJ482" s="11" t="str">
        <f>VLOOKUP(L482,[1]rekap!D:M,1,FALSE)</f>
        <v>Pa'Jukukang</v>
      </c>
      <c r="AK482" s="11" t="str">
        <f>VLOOKUP(L482,'[1]singkron data'!D:E,2,FALSE)</f>
        <v>PT. Ifos Satria Mahkota</v>
      </c>
      <c r="AL482" s="11" t="str">
        <f>VLOOKUP(L482,'[1]update 521'!D:D,1,FALSE)</f>
        <v>Pa'Jukukang</v>
      </c>
      <c r="AM482" s="11" t="s">
        <v>57</v>
      </c>
      <c r="AN482" s="17">
        <f>VLOOKUP(L482,[1]Sheet19!E:L,8,FALSE)</f>
        <v>5496754607.5799999</v>
      </c>
      <c r="AO482" s="11" t="str">
        <f>VLOOKUP(L482,[1]Sheet19!E:K,7,FALSE)</f>
        <v>KONTRAK</v>
      </c>
      <c r="AP482" s="12" t="s">
        <v>41</v>
      </c>
    </row>
    <row r="483" spans="1:42" ht="15" x14ac:dyDescent="0.2">
      <c r="A483" s="8" t="s">
        <v>42</v>
      </c>
      <c r="B483" s="9" t="s">
        <v>43</v>
      </c>
      <c r="C483" s="9">
        <v>498</v>
      </c>
      <c r="D483" s="9" t="s">
        <v>1112</v>
      </c>
      <c r="E483" s="9">
        <v>28</v>
      </c>
      <c r="F483" s="9" t="s">
        <v>1165</v>
      </c>
      <c r="G483" s="9" t="s">
        <v>1114</v>
      </c>
      <c r="H483" s="9" t="s">
        <v>287</v>
      </c>
      <c r="I483" s="9" t="s">
        <v>1171</v>
      </c>
      <c r="J483" s="9" t="s">
        <v>1171</v>
      </c>
      <c r="K483" s="9" t="s">
        <v>1178</v>
      </c>
      <c r="L483" s="10" t="s">
        <v>1178</v>
      </c>
      <c r="M483" s="9" t="s">
        <v>81</v>
      </c>
      <c r="N483" s="14">
        <v>1785</v>
      </c>
      <c r="O483" s="9">
        <v>4</v>
      </c>
      <c r="P483" s="14">
        <v>1785</v>
      </c>
      <c r="Q483" s="14">
        <v>1789</v>
      </c>
      <c r="R483" s="9">
        <v>0.85</v>
      </c>
      <c r="S483" s="9">
        <v>-5.5603933000000003</v>
      </c>
      <c r="T483" s="9">
        <v>119.9816883</v>
      </c>
      <c r="U483" s="9" t="s">
        <v>52</v>
      </c>
      <c r="V483" s="11" t="str">
        <f>VLOOKUP(L483,'[1]singkron data'!D:E,2,FALSE)</f>
        <v>PT. Ifos Satria Mahkota</v>
      </c>
      <c r="W483" s="13">
        <f>VLOOKUP(L483,'[1]data 1129'!F:H,3,FALSE)</f>
        <v>8282464000</v>
      </c>
      <c r="X483" s="11" t="s">
        <v>55</v>
      </c>
      <c r="Y483" s="11" t="str">
        <f>VLOOKUP(L483,'[1]singkron data'!D:H,5,FALSE)</f>
        <v>Jakarta</v>
      </c>
      <c r="Z483" s="11" t="str">
        <f>VLOOKUP(L483,'[1]singkron data'!D:I,6,FALSE)</f>
        <v>Online</v>
      </c>
      <c r="AA483" s="11">
        <f>VLOOKUP(L483,'[1]singkron data'!D:L,9,FALSE)</f>
        <v>0</v>
      </c>
      <c r="AB483" s="11" t="s">
        <v>54</v>
      </c>
      <c r="AC483" s="11" t="s">
        <v>1175</v>
      </c>
      <c r="AD483" s="11" t="str">
        <f>VLOOKUP(L483,'[1]data 1129'!F:O,10,FALSE)</f>
        <v>Tahap I 208</v>
      </c>
      <c r="AE483" s="11" t="str">
        <f>VLOOKUP(L483,'[1]singkron data'!D:P,13,FALSE)</f>
        <v>sudah</v>
      </c>
      <c r="AF483" s="11" t="s">
        <v>55</v>
      </c>
      <c r="AG483" s="17">
        <f>VLOOKUP(L483,'[1]update kontrak'!E:K,6,FALSE)</f>
        <v>6948056028.96</v>
      </c>
      <c r="AH483" s="11" t="str">
        <f>VLOOKUP(L483,'[1]update kontrak'!E:K,7,FALSE)</f>
        <v>KONTRAK</v>
      </c>
      <c r="AI483" s="11" t="s">
        <v>41</v>
      </c>
      <c r="AJ483" s="11" t="str">
        <f>VLOOKUP(L483,[1]rekap!D:M,1,FALSE)</f>
        <v>Lamalaka</v>
      </c>
      <c r="AK483" s="11" t="str">
        <f>VLOOKUP(L483,'[1]singkron data'!D:E,2,FALSE)</f>
        <v>PT. Ifos Satria Mahkota</v>
      </c>
      <c r="AL483" s="11" t="str">
        <f>VLOOKUP(L483,'[1]update 521'!D:D,1,FALSE)</f>
        <v>Lamalaka</v>
      </c>
      <c r="AM483" s="11" t="s">
        <v>57</v>
      </c>
      <c r="AN483" s="17">
        <f>VLOOKUP(L483,[1]Sheet19!E:L,8,FALSE)</f>
        <v>6948056028.96</v>
      </c>
      <c r="AO483" s="11" t="str">
        <f>VLOOKUP(L483,[1]Sheet19!E:K,7,FALSE)</f>
        <v>KONTRAK</v>
      </c>
      <c r="AP483" s="12" t="s">
        <v>41</v>
      </c>
    </row>
    <row r="484" spans="1:42" ht="15" x14ac:dyDescent="0.2">
      <c r="A484" s="8" t="s">
        <v>42</v>
      </c>
      <c r="B484" s="9" t="s">
        <v>43</v>
      </c>
      <c r="C484" s="9">
        <v>499</v>
      </c>
      <c r="D484" s="9" t="s">
        <v>1112</v>
      </c>
      <c r="E484" s="9">
        <v>29</v>
      </c>
      <c r="F484" s="9" t="s">
        <v>1165</v>
      </c>
      <c r="G484" s="9" t="s">
        <v>1114</v>
      </c>
      <c r="H484" s="9" t="s">
        <v>287</v>
      </c>
      <c r="I484" s="9" t="s">
        <v>1171</v>
      </c>
      <c r="J484" s="9" t="s">
        <v>1173</v>
      </c>
      <c r="K484" s="9" t="s">
        <v>1179</v>
      </c>
      <c r="L484" s="10" t="s">
        <v>1179</v>
      </c>
      <c r="M484" s="9" t="s">
        <v>81</v>
      </c>
      <c r="N484" s="9">
        <v>140</v>
      </c>
      <c r="O484" s="9">
        <v>2</v>
      </c>
      <c r="P484" s="9">
        <v>140</v>
      </c>
      <c r="Q484" s="9">
        <v>142</v>
      </c>
      <c r="R484" s="9">
        <v>0.54</v>
      </c>
      <c r="S484" s="9">
        <v>-5.551806</v>
      </c>
      <c r="T484" s="9">
        <v>119.925341</v>
      </c>
      <c r="U484" s="9" t="s">
        <v>52</v>
      </c>
      <c r="V484" s="11" t="str">
        <f>VLOOKUP(L484,'[1]singkron data'!D:E,2,FALSE)</f>
        <v>PT. Ifos Satria Mahkota</v>
      </c>
      <c r="W484" s="13">
        <f>VLOOKUP(L484,'[1]data 1129'!F:H,3,FALSE)</f>
        <v>8363959467</v>
      </c>
      <c r="X484" s="11" t="s">
        <v>55</v>
      </c>
      <c r="Y484" s="11" t="str">
        <f>VLOOKUP(L484,'[1]singkron data'!D:H,5,FALSE)</f>
        <v>Jakarta</v>
      </c>
      <c r="Z484" s="11" t="str">
        <f>VLOOKUP(L484,'[1]singkron data'!D:I,6,FALSE)</f>
        <v>Online</v>
      </c>
      <c r="AA484" s="11">
        <f>VLOOKUP(L484,'[1]singkron data'!D:L,9,FALSE)</f>
        <v>0</v>
      </c>
      <c r="AB484" s="11" t="s">
        <v>54</v>
      </c>
      <c r="AC484" s="11" t="s">
        <v>1175</v>
      </c>
      <c r="AD484" s="11" t="str">
        <f>VLOOKUP(L484,'[1]data 1129'!F:O,10,FALSE)</f>
        <v>Tahap I 208</v>
      </c>
      <c r="AE484" s="11" t="str">
        <f>VLOOKUP(L484,'[1]singkron data'!D:P,13,FALSE)</f>
        <v>sudah</v>
      </c>
      <c r="AF484" s="11" t="s">
        <v>55</v>
      </c>
      <c r="AG484" s="17">
        <f>VLOOKUP(L484,'[1]update kontrak'!E:K,6,FALSE)</f>
        <v>7802068007.6700001</v>
      </c>
      <c r="AH484" s="11" t="str">
        <f>VLOOKUP(L484,'[1]update kontrak'!E:K,7,FALSE)</f>
        <v>KONTRAK</v>
      </c>
      <c r="AI484" s="11" t="s">
        <v>41</v>
      </c>
      <c r="AJ484" s="11" t="str">
        <f>VLOOKUP(L484,[1]rekap!D:M,1,FALSE)</f>
        <v>Bonto Lebang</v>
      </c>
      <c r="AK484" s="11" t="str">
        <f>VLOOKUP(L484,'[1]singkron data'!D:E,2,FALSE)</f>
        <v>PT. Ifos Satria Mahkota</v>
      </c>
      <c r="AL484" s="11" t="str">
        <f>VLOOKUP(L484,'[1]update 521'!D:D,1,FALSE)</f>
        <v>Bonto Lebang</v>
      </c>
      <c r="AM484" s="11" t="s">
        <v>57</v>
      </c>
      <c r="AN484" s="17">
        <f>VLOOKUP(L484,[1]Sheet19!E:L,8,FALSE)</f>
        <v>7802068007.6700001</v>
      </c>
      <c r="AO484" s="11" t="str">
        <f>VLOOKUP(L484,[1]Sheet19!E:K,7,FALSE)</f>
        <v>KONTRAK</v>
      </c>
      <c r="AP484" s="12" t="s">
        <v>41</v>
      </c>
    </row>
    <row r="485" spans="1:42" ht="15" x14ac:dyDescent="0.2">
      <c r="A485" s="8" t="s">
        <v>42</v>
      </c>
      <c r="B485" s="9" t="s">
        <v>43</v>
      </c>
      <c r="C485" s="9">
        <v>500</v>
      </c>
      <c r="D485" s="9" t="s">
        <v>1112</v>
      </c>
      <c r="E485" s="9">
        <v>30</v>
      </c>
      <c r="F485" s="9" t="s">
        <v>1180</v>
      </c>
      <c r="G485" s="9" t="s">
        <v>1149</v>
      </c>
      <c r="H485" s="9" t="s">
        <v>287</v>
      </c>
      <c r="I485" s="9" t="s">
        <v>1181</v>
      </c>
      <c r="J485" s="9" t="s">
        <v>1181</v>
      </c>
      <c r="K485" s="9" t="s">
        <v>1181</v>
      </c>
      <c r="L485" s="10" t="s">
        <v>1181</v>
      </c>
      <c r="M485" s="9" t="s">
        <v>51</v>
      </c>
      <c r="N485" s="9">
        <v>206</v>
      </c>
      <c r="O485" s="9">
        <v>78</v>
      </c>
      <c r="P485" s="9">
        <v>128</v>
      </c>
      <c r="Q485" s="9">
        <v>206</v>
      </c>
      <c r="R485" s="9">
        <v>1.6</v>
      </c>
      <c r="S485" s="9">
        <v>-1.1776556</v>
      </c>
      <c r="T485" s="9">
        <v>119.3394139</v>
      </c>
      <c r="U485" s="9" t="s">
        <v>52</v>
      </c>
      <c r="V485" s="11" t="str">
        <f>VLOOKUP(L485,'[1]singkron data'!D:E,2,FALSE)</f>
        <v>CV. Saleko Satu</v>
      </c>
      <c r="W485" s="13">
        <f>VLOOKUP(L485,'[1]data 1129'!F:H,3,FALSE)</f>
        <v>5353061359</v>
      </c>
      <c r="X485" s="11" t="s">
        <v>55</v>
      </c>
      <c r="Y485" s="11" t="str">
        <f>VLOOKUP(L485,'[1]singkron data'!D:H,5,FALSE)</f>
        <v>Makassar</v>
      </c>
      <c r="Z485" s="11" t="str">
        <f>VLOOKUP(L485,'[1]singkron data'!D:I,6,FALSE)</f>
        <v>Online</v>
      </c>
      <c r="AA485" s="11"/>
      <c r="AB485" s="11" t="s">
        <v>54</v>
      </c>
      <c r="AC485" s="11" t="str">
        <f>VLOOKUP(L485,'[1]singkron data'!D:M,10,FALSE)</f>
        <v>agus</v>
      </c>
      <c r="AD485" s="11" t="str">
        <f>VLOOKUP(L485,'[1]data 1129'!F:O,10,FALSE)</f>
        <v>Tahap I 208</v>
      </c>
      <c r="AE485" s="11" t="str">
        <f>VLOOKUP(L485,'[1]singkron data'!D:P,13,FALSE)</f>
        <v>sudah</v>
      </c>
      <c r="AF485" s="11" t="s">
        <v>55</v>
      </c>
      <c r="AG485" s="11" t="e">
        <f>VLOOKUP(L485,'[1]update kontrak'!E:K,6,FALSE)</f>
        <v>#N/A</v>
      </c>
      <c r="AH485" s="11" t="e">
        <f>VLOOKUP(L485,'[1]update kontrak'!E:K,7,FALSE)</f>
        <v>#N/A</v>
      </c>
      <c r="AI485" s="11" t="s">
        <v>58</v>
      </c>
      <c r="AJ485" s="11" t="str">
        <f>VLOOKUP(L485,[1]rekap!D:M,1,FALSE)</f>
        <v>Pasangkayu</v>
      </c>
      <c r="AK485" s="11" t="str">
        <f>VLOOKUP(L485,'[1]singkron data'!D:E,2,FALSE)</f>
        <v>CV. Saleko Satu</v>
      </c>
      <c r="AL485" s="11" t="str">
        <f>VLOOKUP(L485,'[1]update 521'!D:D,1,FALSE)</f>
        <v>Pasangkayu</v>
      </c>
      <c r="AM485" s="11" t="s">
        <v>57</v>
      </c>
      <c r="AN485" s="17">
        <f>VLOOKUP(L485,[1]Sheet19!E:L,8,FALSE)</f>
        <v>4981965385.4399996</v>
      </c>
      <c r="AO485" s="11" t="str">
        <f>VLOOKUP(L485,[1]Sheet19!E:K,7,FALSE)</f>
        <v>SPPBJ</v>
      </c>
      <c r="AP485" s="12"/>
    </row>
    <row r="486" spans="1:42" ht="15" x14ac:dyDescent="0.2">
      <c r="A486" s="8" t="s">
        <v>42</v>
      </c>
      <c r="B486" s="9" t="s">
        <v>43</v>
      </c>
      <c r="C486" s="9">
        <v>501</v>
      </c>
      <c r="D486" s="9" t="s">
        <v>1112</v>
      </c>
      <c r="E486" s="9">
        <v>31</v>
      </c>
      <c r="F486" s="9" t="s">
        <v>1180</v>
      </c>
      <c r="G486" s="9" t="s">
        <v>1149</v>
      </c>
      <c r="H486" s="9" t="s">
        <v>287</v>
      </c>
      <c r="I486" s="9" t="s">
        <v>1181</v>
      </c>
      <c r="J486" s="9" t="s">
        <v>1182</v>
      </c>
      <c r="K486" s="9" t="s">
        <v>1182</v>
      </c>
      <c r="L486" s="10" t="s">
        <v>1182</v>
      </c>
      <c r="M486" s="9" t="s">
        <v>51</v>
      </c>
      <c r="N486" s="9">
        <v>105</v>
      </c>
      <c r="O486" s="9">
        <v>70</v>
      </c>
      <c r="P486" s="9">
        <v>45</v>
      </c>
      <c r="Q486" s="9">
        <v>115</v>
      </c>
      <c r="R486" s="9">
        <v>1.5</v>
      </c>
      <c r="S486" s="9">
        <v>-1.71143</v>
      </c>
      <c r="T486" s="9">
        <v>119.3023444</v>
      </c>
      <c r="U486" s="9" t="s">
        <v>52</v>
      </c>
      <c r="V486" s="11" t="str">
        <f>VLOOKUP(L486,'[1]singkron data'!D:E,2,FALSE)</f>
        <v>CV. Saleko Satu</v>
      </c>
      <c r="W486" s="13">
        <f>VLOOKUP(L486,'[1]data 1129'!F:H,3,FALSE)</f>
        <v>4586247640</v>
      </c>
      <c r="X486" s="11" t="s">
        <v>55</v>
      </c>
      <c r="Y486" s="11">
        <f>VLOOKUP(L486,'[1]singkron data'!D:H,5,FALSE)</f>
        <v>0</v>
      </c>
      <c r="Z486" s="11">
        <f>VLOOKUP(L486,'[1]singkron data'!D:I,6,FALSE)</f>
        <v>0</v>
      </c>
      <c r="AA486" s="11"/>
      <c r="AB486" s="11" t="s">
        <v>54</v>
      </c>
      <c r="AC486" s="11" t="str">
        <f>VLOOKUP(L486,'[1]singkron data'!D:M,10,FALSE)</f>
        <v>agus</v>
      </c>
      <c r="AD486" s="11" t="str">
        <f>VLOOKUP(L486,'[1]data 1129'!F:O,10,FALSE)</f>
        <v>Tahap I 208</v>
      </c>
      <c r="AE486" s="11" t="str">
        <f>VLOOKUP(L486,'[1]singkron data'!D:P,13,FALSE)</f>
        <v>sudah</v>
      </c>
      <c r="AF486" s="11" t="s">
        <v>55</v>
      </c>
      <c r="AG486" s="11" t="e">
        <f>VLOOKUP(L486,'[1]update kontrak'!E:K,6,FALSE)</f>
        <v>#N/A</v>
      </c>
      <c r="AH486" s="11" t="e">
        <f>VLOOKUP(L486,'[1]update kontrak'!E:K,7,FALSE)</f>
        <v>#N/A</v>
      </c>
      <c r="AI486" s="11" t="s">
        <v>58</v>
      </c>
      <c r="AJ486" s="11" t="str">
        <f>VLOOKUP(L486,[1]rekap!D:M,1,FALSE)</f>
        <v>Sarudu</v>
      </c>
      <c r="AK486" s="11" t="str">
        <f>VLOOKUP(L486,'[1]singkron data'!D:E,2,FALSE)</f>
        <v>CV. Saleko Satu</v>
      </c>
      <c r="AL486" s="11" t="str">
        <f>VLOOKUP(L486,'[1]update 521'!D:D,1,FALSE)</f>
        <v>Sarudu</v>
      </c>
      <c r="AM486" s="11" t="s">
        <v>57</v>
      </c>
      <c r="AN486" s="17">
        <f>VLOOKUP(L486,[1]Sheet19!E:L,8,FALSE)</f>
        <v>4214827940.79</v>
      </c>
      <c r="AO486" s="11" t="str">
        <f>VLOOKUP(L486,[1]Sheet19!E:K,7,FALSE)</f>
        <v>SPPBJ</v>
      </c>
      <c r="AP486" s="12"/>
    </row>
    <row r="487" spans="1:42" ht="15" x14ac:dyDescent="0.2">
      <c r="A487" s="8" t="s">
        <v>42</v>
      </c>
      <c r="B487" s="9" t="s">
        <v>43</v>
      </c>
      <c r="C487" s="9">
        <v>502</v>
      </c>
      <c r="D487" s="9" t="s">
        <v>1112</v>
      </c>
      <c r="E487" s="9">
        <v>32</v>
      </c>
      <c r="F487" s="9" t="s">
        <v>1183</v>
      </c>
      <c r="G487" s="9" t="s">
        <v>1184</v>
      </c>
      <c r="H487" s="9" t="s">
        <v>287</v>
      </c>
      <c r="I487" s="9" t="s">
        <v>1185</v>
      </c>
      <c r="J487" s="9" t="s">
        <v>1186</v>
      </c>
      <c r="K487" s="9" t="s">
        <v>1187</v>
      </c>
      <c r="L487" s="10" t="s">
        <v>1187</v>
      </c>
      <c r="M487" s="9" t="s">
        <v>81</v>
      </c>
      <c r="N487" s="9">
        <v>747</v>
      </c>
      <c r="O487" s="9">
        <v>125</v>
      </c>
      <c r="P487" s="9">
        <v>123</v>
      </c>
      <c r="Q487" s="9">
        <v>248</v>
      </c>
      <c r="R487" s="9">
        <v>0.97</v>
      </c>
      <c r="S487" s="9">
        <v>1.33606</v>
      </c>
      <c r="T487" s="9">
        <v>120.9313733</v>
      </c>
      <c r="U487" s="9" t="s">
        <v>52</v>
      </c>
      <c r="V487" s="11" t="str">
        <f>VLOOKUP(L487,'[1]singkron data'!D:E,2,FALSE)</f>
        <v>CV. Fajrin Pratama</v>
      </c>
      <c r="W487" s="13">
        <f>VLOOKUP(L487,'[1]data 1129'!F:H,3,FALSE)</f>
        <v>8072493000</v>
      </c>
      <c r="X487" s="11" t="s">
        <v>55</v>
      </c>
      <c r="Y487" s="11" t="str">
        <f>VLOOKUP(L487,'[1]singkron data'!D:H,5,FALSE)</f>
        <v>Makassar</v>
      </c>
      <c r="Z487" s="11" t="str">
        <f>VLOOKUP(L487,'[1]singkron data'!D:I,6,FALSE)</f>
        <v>Offline</v>
      </c>
      <c r="AA487" s="11" t="str">
        <f>VLOOKUP(L487,'[1]singkron data'!D:L,9,FALSE)</f>
        <v>082283283832 (umar)</v>
      </c>
      <c r="AB487" s="11" t="s">
        <v>54</v>
      </c>
      <c r="AC487" s="11" t="str">
        <f>VLOOKUP(L487,'[1]singkron data'!D:M,10,FALSE)</f>
        <v>fraksi roem</v>
      </c>
      <c r="AD487" s="11" t="str">
        <f>VLOOKUP(L487,'[1]data 1129'!F:O,10,FALSE)</f>
        <v>Tahap I 208</v>
      </c>
      <c r="AE487" s="11" t="str">
        <f>VLOOKUP(L487,'[1]singkron data'!D:P,13,FALSE)</f>
        <v>sudah</v>
      </c>
      <c r="AF487" s="11" t="s">
        <v>55</v>
      </c>
      <c r="AG487" s="17">
        <f>VLOOKUP(L487,'[1]update kontrak'!E:K,6,FALSE)</f>
        <v>5109514000</v>
      </c>
      <c r="AH487" s="11" t="str">
        <f>VLOOKUP(L487,'[1]update kontrak'!E:K,7,FALSE)</f>
        <v>KONTRAK</v>
      </c>
      <c r="AI487" s="11" t="s">
        <v>41</v>
      </c>
      <c r="AJ487" s="11" t="str">
        <f>VLOOKUP(L487,[1]rekap!D:M,1,FALSE)</f>
        <v>Laulalang</v>
      </c>
      <c r="AK487" s="11" t="str">
        <f>VLOOKUP(L487,'[1]singkron data'!D:E,2,FALSE)</f>
        <v>CV. Fajrin Pratama</v>
      </c>
      <c r="AL487" s="11" t="str">
        <f>VLOOKUP(L487,'[1]update 521'!D:D,1,FALSE)</f>
        <v>Laulalang</v>
      </c>
      <c r="AM487" s="11" t="s">
        <v>57</v>
      </c>
      <c r="AN487" s="17">
        <f>VLOOKUP(L487,[1]Sheet19!E:L,8,FALSE)</f>
        <v>5109514000</v>
      </c>
      <c r="AO487" s="11" t="str">
        <f>VLOOKUP(L487,[1]Sheet19!E:K,7,FALSE)</f>
        <v>KONTRAK</v>
      </c>
      <c r="AP487" s="12" t="s">
        <v>41</v>
      </c>
    </row>
    <row r="488" spans="1:42" ht="15" x14ac:dyDescent="0.2">
      <c r="A488" s="8" t="s">
        <v>42</v>
      </c>
      <c r="B488" s="9" t="s">
        <v>43</v>
      </c>
      <c r="C488" s="9">
        <v>503</v>
      </c>
      <c r="D488" s="9" t="s">
        <v>1112</v>
      </c>
      <c r="E488" s="9">
        <v>33</v>
      </c>
      <c r="F488" s="9" t="s">
        <v>1188</v>
      </c>
      <c r="G488" s="9" t="s">
        <v>1141</v>
      </c>
      <c r="H488" s="9" t="s">
        <v>287</v>
      </c>
      <c r="I488" s="9" t="s">
        <v>1189</v>
      </c>
      <c r="J488" s="9" t="s">
        <v>1190</v>
      </c>
      <c r="K488" s="9" t="s">
        <v>1188</v>
      </c>
      <c r="L488" s="10" t="s">
        <v>1188</v>
      </c>
      <c r="M488" s="9" t="s">
        <v>65</v>
      </c>
      <c r="N488" s="9">
        <v>432</v>
      </c>
      <c r="O488" s="9">
        <v>25</v>
      </c>
      <c r="P488" s="9">
        <v>432</v>
      </c>
      <c r="Q488" s="9">
        <v>457</v>
      </c>
      <c r="R488" s="9">
        <v>1.5</v>
      </c>
      <c r="S488" s="9">
        <v>-4.9107830000000003</v>
      </c>
      <c r="T488" s="9">
        <v>122.339765</v>
      </c>
      <c r="U488" s="9" t="s">
        <v>52</v>
      </c>
      <c r="V488" s="11" t="str">
        <f>VLOOKUP(L488,'[1]singkron data'!D:E,2,FALSE)</f>
        <v>CV. Ghaniyu Qootahu/CV. Abadi Wijaya Mandiri</v>
      </c>
      <c r="W488" s="13">
        <f>VLOOKUP(L488,'[1]data 1129'!F:H,3,FALSE)</f>
        <v>8231000000</v>
      </c>
      <c r="X488" s="11" t="s">
        <v>55</v>
      </c>
      <c r="Y488" s="11" t="str">
        <f>VLOOKUP(L488,'[1]singkron data'!D:H,5,FALSE)</f>
        <v>Muna barat (Kecil)</v>
      </c>
      <c r="Z488" s="11" t="str">
        <f>VLOOKUP(L488,'[1]singkron data'!D:I,6,FALSE)</f>
        <v>Online</v>
      </c>
      <c r="AA488" s="11">
        <f>VLOOKUP(L488,'[1]singkron data'!D:L,9,FALSE)</f>
        <v>82218460501</v>
      </c>
      <c r="AB488" s="11" t="s">
        <v>54</v>
      </c>
      <c r="AC488" s="11" t="str">
        <f>VLOOKUP(L488,'[1]singkron data'!D:M,10,FALSE)</f>
        <v>Hyl</v>
      </c>
      <c r="AD488" s="11" t="str">
        <f>VLOOKUP(L488,'[1]data 1129'!F:O,10,FALSE)</f>
        <v>Tahap I 208</v>
      </c>
      <c r="AE488" s="11" t="str">
        <f>VLOOKUP(L488,'[1]singkron data'!D:P,13,FALSE)</f>
        <v>sudah</v>
      </c>
      <c r="AF488" s="11" t="s">
        <v>55</v>
      </c>
      <c r="AG488" s="11" t="e">
        <f>VLOOKUP(L488,'[1]update kontrak'!E:K,6,FALSE)</f>
        <v>#N/A</v>
      </c>
      <c r="AH488" s="11" t="e">
        <f>VLOOKUP(L488,'[1]update kontrak'!E:K,7,FALSE)</f>
        <v>#N/A</v>
      </c>
      <c r="AI488" s="11" t="s">
        <v>58</v>
      </c>
      <c r="AJ488" s="11" t="str">
        <f>VLOOKUP(L488,[1]rekap!D:M,1,FALSE)</f>
        <v>Bangko</v>
      </c>
      <c r="AK488" s="11" t="str">
        <f t="shared" ref="AK488:AK489" si="0">AJ488</f>
        <v>Bangko</v>
      </c>
      <c r="AL488" s="11" t="str">
        <f>VLOOKUP(L488,'[1]update 521'!D:D,1,FALSE)</f>
        <v>Bangko</v>
      </c>
      <c r="AM488" s="11" t="s">
        <v>57</v>
      </c>
      <c r="AN488" s="17">
        <f>VLOOKUP(L488,[1]Sheet19!E:L,8,FALSE)</f>
        <v>10055762187.540001</v>
      </c>
      <c r="AO488" s="11" t="str">
        <f>VLOOKUP(L488,[1]Sheet19!E:K,7,FALSE)</f>
        <v>SPPBJ</v>
      </c>
      <c r="AP488" s="12"/>
    </row>
    <row r="489" spans="1:42" ht="15" x14ac:dyDescent="0.2">
      <c r="A489" s="8" t="s">
        <v>42</v>
      </c>
      <c r="B489" s="9" t="s">
        <v>43</v>
      </c>
      <c r="C489" s="9">
        <v>504</v>
      </c>
      <c r="D489" s="9" t="s">
        <v>1112</v>
      </c>
      <c r="E489" s="9">
        <v>34</v>
      </c>
      <c r="F489" s="9" t="s">
        <v>1188</v>
      </c>
      <c r="G489" s="9" t="s">
        <v>1141</v>
      </c>
      <c r="H489" s="9" t="s">
        <v>287</v>
      </c>
      <c r="I489" s="9" t="s">
        <v>1189</v>
      </c>
      <c r="J489" s="9" t="s">
        <v>1191</v>
      </c>
      <c r="K489" s="9" t="s">
        <v>1192</v>
      </c>
      <c r="L489" s="10" t="s">
        <v>1192</v>
      </c>
      <c r="M489" s="9" t="s">
        <v>51</v>
      </c>
      <c r="N489" s="9">
        <v>300</v>
      </c>
      <c r="O489" s="9">
        <v>1</v>
      </c>
      <c r="P489" s="9">
        <v>450</v>
      </c>
      <c r="Q489" s="9">
        <v>451</v>
      </c>
      <c r="R489" s="9">
        <v>0.9</v>
      </c>
      <c r="S489" s="9">
        <v>-4.7093410000000002</v>
      </c>
      <c r="T489" s="9">
        <v>122.53840099999999</v>
      </c>
      <c r="U489" s="9" t="s">
        <v>52</v>
      </c>
      <c r="V489" s="11" t="str">
        <f>VLOOKUP(L489,'[1]singkron data'!D:E,2,FALSE)</f>
        <v>CV. Ghaniyu Qootahu/CV. Abadi Wijaya Mandiri</v>
      </c>
      <c r="W489" s="13">
        <f>VLOOKUP(L489,'[1]data 1129'!F:H,3,FALSE)</f>
        <v>4500000000</v>
      </c>
      <c r="X489" s="11" t="s">
        <v>55</v>
      </c>
      <c r="Y489" s="11">
        <f>VLOOKUP(L489,'[1]singkron data'!D:H,5,FALSE)</f>
        <v>0</v>
      </c>
      <c r="Z489" s="11">
        <f>VLOOKUP(L489,'[1]singkron data'!D:I,6,FALSE)</f>
        <v>0</v>
      </c>
      <c r="AA489" s="11" t="str">
        <f>VLOOKUP(L489,'[1]singkron data'!D:L,9,FALSE)</f>
        <v>082218460501/dedi</v>
      </c>
      <c r="AB489" s="11" t="s">
        <v>54</v>
      </c>
      <c r="AC489" s="11" t="str">
        <f>VLOOKUP(L489,'[1]singkron data'!D:M,10,FALSE)</f>
        <v>Hyl</v>
      </c>
      <c r="AD489" s="11" t="str">
        <f>VLOOKUP(L489,'[1]data 1129'!F:O,10,FALSE)</f>
        <v>Tahap I 208</v>
      </c>
      <c r="AE489" s="11" t="str">
        <f>VLOOKUP(L489,'[1]singkron data'!D:P,13,FALSE)</f>
        <v>sudah</v>
      </c>
      <c r="AF489" s="11" t="s">
        <v>55</v>
      </c>
      <c r="AG489" s="11" t="e">
        <f>VLOOKUP(L489,'[1]update kontrak'!E:K,6,FALSE)</f>
        <v>#N/A</v>
      </c>
      <c r="AH489" s="11" t="e">
        <f>VLOOKUP(L489,'[1]update kontrak'!E:K,7,FALSE)</f>
        <v>#N/A</v>
      </c>
      <c r="AI489" s="11" t="s">
        <v>58</v>
      </c>
      <c r="AJ489" s="11" t="str">
        <f>VLOOKUP(L489,[1]rekap!D:M,1,FALSE)</f>
        <v>Tanjung Pinang</v>
      </c>
      <c r="AK489" s="11" t="str">
        <f t="shared" si="0"/>
        <v>Tanjung Pinang</v>
      </c>
      <c r="AL489" s="11" t="str">
        <f>VLOOKUP(L489,'[1]update 521'!D:D,1,FALSE)</f>
        <v>Tanjung Pinang</v>
      </c>
      <c r="AM489" s="11" t="s">
        <v>57</v>
      </c>
      <c r="AN489" s="17">
        <f>VLOOKUP(L489,[1]Sheet19!E:L,8,FALSE)</f>
        <v>4264842108.7800002</v>
      </c>
      <c r="AO489" s="11" t="str">
        <f>VLOOKUP(L489,[1]Sheet19!E:K,7,FALSE)</f>
        <v>SPPBJ</v>
      </c>
      <c r="AP489" s="12"/>
    </row>
    <row r="490" spans="1:42" ht="15" x14ac:dyDescent="0.2">
      <c r="A490" s="8" t="s">
        <v>42</v>
      </c>
      <c r="B490" s="9" t="s">
        <v>43</v>
      </c>
      <c r="C490" s="9">
        <v>505</v>
      </c>
      <c r="D490" s="9" t="s">
        <v>1112</v>
      </c>
      <c r="E490" s="9">
        <v>35</v>
      </c>
      <c r="F490" s="9" t="s">
        <v>1188</v>
      </c>
      <c r="G490" s="9" t="s">
        <v>1141</v>
      </c>
      <c r="H490" s="9" t="s">
        <v>287</v>
      </c>
      <c r="I490" s="9" t="s">
        <v>1189</v>
      </c>
      <c r="J490" s="9" t="s">
        <v>1193</v>
      </c>
      <c r="K490" s="9" t="s">
        <v>1194</v>
      </c>
      <c r="L490" s="10" t="s">
        <v>1194</v>
      </c>
      <c r="M490" s="9" t="s">
        <v>51</v>
      </c>
      <c r="N490" s="9">
        <v>198</v>
      </c>
      <c r="O490" s="9">
        <v>7</v>
      </c>
      <c r="P490" s="9">
        <v>195</v>
      </c>
      <c r="Q490" s="9">
        <v>202</v>
      </c>
      <c r="R490" s="9">
        <v>1</v>
      </c>
      <c r="S490" s="9">
        <v>-4.642563</v>
      </c>
      <c r="T490" s="9">
        <v>122.60033199999999</v>
      </c>
      <c r="U490" s="9" t="s">
        <v>52</v>
      </c>
      <c r="V490" s="11" t="str">
        <f>VLOOKUP(L490,'[1]singkron data'!D:E,2,FALSE)</f>
        <v>CV. Lawa Raya</v>
      </c>
      <c r="W490" s="13">
        <f>VLOOKUP(L490,'[1]data 1129'!F:H,3,FALSE)</f>
        <v>3588529692</v>
      </c>
      <c r="X490" s="11" t="s">
        <v>55</v>
      </c>
      <c r="Y490" s="11" t="str">
        <f>VLOOKUP(L490,'[1]singkron data'!D:H,5,FALSE)</f>
        <v>Muna barat (Kecil)</v>
      </c>
      <c r="Z490" s="11">
        <f>VLOOKUP(L490,'[1]singkron data'!D:I,6,FALSE)</f>
        <v>0</v>
      </c>
      <c r="AA490" s="11" t="s">
        <v>1195</v>
      </c>
      <c r="AB490" s="11" t="s">
        <v>54</v>
      </c>
      <c r="AC490" s="11" t="str">
        <f>VLOOKUP(L490,'[1]singkron data'!D:M,10,FALSE)</f>
        <v>Hyl</v>
      </c>
      <c r="AD490" s="11" t="str">
        <f>VLOOKUP(L490,'[1]data 1129'!F:O,10,FALSE)</f>
        <v>Tahap I 208</v>
      </c>
      <c r="AE490" s="11" t="str">
        <f>VLOOKUP(L490,'[1]singkron data'!D:P,13,FALSE)</f>
        <v>sudah</v>
      </c>
      <c r="AF490" s="11" t="s">
        <v>55</v>
      </c>
      <c r="AG490" s="17">
        <f>VLOOKUP(L490,'[1]update kontrak'!E:K,6,FALSE)</f>
        <v>3417181358.71</v>
      </c>
      <c r="AH490" s="11" t="str">
        <f>VLOOKUP(L490,'[1]update kontrak'!E:K,7,FALSE)</f>
        <v>KONTRAK</v>
      </c>
      <c r="AI490" s="11" t="s">
        <v>41</v>
      </c>
      <c r="AJ490" s="11" t="str">
        <f>VLOOKUP(L490,[1]rekap!D:M,1,FALSE)</f>
        <v>Latawe</v>
      </c>
      <c r="AK490" s="11" t="str">
        <f>VLOOKUP(L490,'[1]singkron data'!D:E,2,FALSE)</f>
        <v>CV. Lawa Raya</v>
      </c>
      <c r="AL490" s="11" t="str">
        <f>VLOOKUP(L490,'[1]update 521'!D:D,1,FALSE)</f>
        <v>Latawe</v>
      </c>
      <c r="AM490" s="11" t="s">
        <v>57</v>
      </c>
      <c r="AN490" s="17">
        <f>VLOOKUP(L490,[1]Sheet19!E:L,8,FALSE)</f>
        <v>3417181358.71</v>
      </c>
      <c r="AO490" s="11" t="str">
        <f>VLOOKUP(L490,[1]Sheet19!E:K,7,FALSE)</f>
        <v>KONTRAK</v>
      </c>
      <c r="AP490" s="12" t="s">
        <v>41</v>
      </c>
    </row>
    <row r="491" spans="1:42" ht="15" x14ac:dyDescent="0.2">
      <c r="A491" s="8" t="s">
        <v>42</v>
      </c>
      <c r="B491" s="9" t="s">
        <v>43</v>
      </c>
      <c r="C491" s="9">
        <v>506</v>
      </c>
      <c r="D491" s="9" t="s">
        <v>1112</v>
      </c>
      <c r="E491" s="9">
        <v>36</v>
      </c>
      <c r="F491" s="9" t="s">
        <v>1188</v>
      </c>
      <c r="G491" s="9" t="s">
        <v>1141</v>
      </c>
      <c r="H491" s="9" t="s">
        <v>287</v>
      </c>
      <c r="I491" s="9" t="s">
        <v>1189</v>
      </c>
      <c r="J491" s="9" t="s">
        <v>1196</v>
      </c>
      <c r="K491" s="9" t="s">
        <v>1197</v>
      </c>
      <c r="L491" s="10" t="s">
        <v>1197</v>
      </c>
      <c r="M491" s="9" t="s">
        <v>51</v>
      </c>
      <c r="N491" s="9">
        <v>164</v>
      </c>
      <c r="O491" s="9">
        <v>1</v>
      </c>
      <c r="P491" s="9">
        <v>128</v>
      </c>
      <c r="Q491" s="9">
        <v>129</v>
      </c>
      <c r="R491" s="9">
        <v>1.01</v>
      </c>
      <c r="S491" s="9">
        <v>-4.765091</v>
      </c>
      <c r="T491" s="9">
        <v>122.434325</v>
      </c>
      <c r="U491" s="9" t="s">
        <v>52</v>
      </c>
      <c r="V491" s="11" t="s">
        <v>1198</v>
      </c>
      <c r="W491" s="13">
        <f>VLOOKUP(L491,'[1]data 1129'!F:H,3,FALSE)</f>
        <v>2917177712</v>
      </c>
      <c r="X491" s="11" t="s">
        <v>55</v>
      </c>
      <c r="Y491" s="11" t="e">
        <f>VLOOKUP(L491,'[1]singkron data'!D:H,5,FALSE)</f>
        <v>#N/A</v>
      </c>
      <c r="Z491" s="11" t="e">
        <f>VLOOKUP(L491,'[1]singkron data'!D:I,6,FALSE)</f>
        <v>#N/A</v>
      </c>
      <c r="AA491" s="11" t="str">
        <f>VLOOKUP(L492,'[1]singkron data'!D:L,9,FALSE)</f>
        <v>85338729778/la roni</v>
      </c>
      <c r="AB491" s="11" t="s">
        <v>54</v>
      </c>
      <c r="AC491" s="11" t="s">
        <v>1199</v>
      </c>
      <c r="AD491" s="11" t="str">
        <f>VLOOKUP(L491,'[1]data 1129'!F:O,10,FALSE)</f>
        <v>Tahap I 208</v>
      </c>
      <c r="AE491" s="11" t="s">
        <v>1200</v>
      </c>
      <c r="AF491" s="11" t="s">
        <v>55</v>
      </c>
      <c r="AG491" s="17">
        <f>VLOOKUP(L491,'[1]update kontrak'!E:K,6,FALSE)</f>
        <v>2728068734.1399999</v>
      </c>
      <c r="AH491" s="11" t="str">
        <f>VLOOKUP(L491,'[1]update kontrak'!E:K,7,FALSE)</f>
        <v>KONTRAK</v>
      </c>
      <c r="AI491" s="11" t="s">
        <v>41</v>
      </c>
      <c r="AJ491" s="11" t="str">
        <f>VLOOKUP(L491,[1]rekap!D:M,1,FALSE)</f>
        <v>Lasama</v>
      </c>
      <c r="AK491" s="11" t="str">
        <f>AJ491</f>
        <v>Lasama</v>
      </c>
      <c r="AL491" s="11" t="str">
        <f>VLOOKUP(L491,'[1]update 521'!D:D,1,FALSE)</f>
        <v>Lasama</v>
      </c>
      <c r="AM491" s="11" t="s">
        <v>57</v>
      </c>
      <c r="AN491" s="17">
        <f>VLOOKUP(L491,[1]Sheet19!E:L,8,FALSE)</f>
        <v>2728068734.1399999</v>
      </c>
      <c r="AO491" s="11" t="str">
        <f>VLOOKUP(L491,[1]Sheet19!E:K,7,FALSE)</f>
        <v>KONTRAK</v>
      </c>
      <c r="AP491" s="12" t="s">
        <v>41</v>
      </c>
    </row>
    <row r="492" spans="1:42" ht="15" x14ac:dyDescent="0.2">
      <c r="A492" s="8" t="s">
        <v>42</v>
      </c>
      <c r="B492" s="9" t="s">
        <v>43</v>
      </c>
      <c r="C492" s="9">
        <v>507</v>
      </c>
      <c r="D492" s="9" t="s">
        <v>1112</v>
      </c>
      <c r="E492" s="9">
        <v>37</v>
      </c>
      <c r="F492" s="9" t="s">
        <v>1188</v>
      </c>
      <c r="G492" s="9" t="s">
        <v>1141</v>
      </c>
      <c r="H492" s="9" t="s">
        <v>287</v>
      </c>
      <c r="I492" s="9" t="s">
        <v>1189</v>
      </c>
      <c r="J492" s="9" t="s">
        <v>1201</v>
      </c>
      <c r="K492" s="9" t="s">
        <v>1202</v>
      </c>
      <c r="L492" s="10" t="s">
        <v>1202</v>
      </c>
      <c r="M492" s="9" t="s">
        <v>51</v>
      </c>
      <c r="N492" s="9">
        <v>187</v>
      </c>
      <c r="O492" s="9" t="s">
        <v>72</v>
      </c>
      <c r="P492" s="9">
        <v>187</v>
      </c>
      <c r="Q492" s="9">
        <v>187</v>
      </c>
      <c r="R492" s="9">
        <v>0.93</v>
      </c>
      <c r="S492" s="9">
        <v>-4.7474720000000001</v>
      </c>
      <c r="T492" s="9">
        <v>122.371009</v>
      </c>
      <c r="U492" s="9" t="s">
        <v>52</v>
      </c>
      <c r="V492" s="11" t="str">
        <f>VLOOKUP(L492,'[1]singkron data'!D:E,2,FALSE)</f>
        <v>CV. Lawa Raya</v>
      </c>
      <c r="W492" s="13">
        <f>VLOOKUP(L492,'[1]data 1129'!F:H,3,FALSE)</f>
        <v>3637318352</v>
      </c>
      <c r="X492" s="11" t="s">
        <v>55</v>
      </c>
      <c r="Y492" s="11" t="str">
        <f>VLOOKUP(L492,'[1]singkron data'!D:H,5,FALSE)</f>
        <v>Muna barat (Kecil)</v>
      </c>
      <c r="Z492" s="11">
        <f>VLOOKUP(L492,'[1]singkron data'!D:I,6,FALSE)</f>
        <v>0</v>
      </c>
      <c r="AA492" s="32"/>
      <c r="AB492" s="11" t="s">
        <v>54</v>
      </c>
      <c r="AC492" s="11" t="str">
        <f>VLOOKUP(L492,'[1]singkron data'!D:M,10,FALSE)</f>
        <v>Hyl</v>
      </c>
      <c r="AD492" s="11" t="str">
        <f>VLOOKUP(L492,'[1]data 1129'!F:O,10,FALSE)</f>
        <v>Tahap I 208</v>
      </c>
      <c r="AE492" s="11" t="str">
        <f>VLOOKUP(L492,'[1]singkron data'!D:P,13,FALSE)</f>
        <v>sudah</v>
      </c>
      <c r="AF492" s="11" t="s">
        <v>55</v>
      </c>
      <c r="AG492" s="17">
        <f>VLOOKUP(L492,'[1]update kontrak'!E:K,6,FALSE)</f>
        <v>3435715938.29</v>
      </c>
      <c r="AH492" s="11" t="str">
        <f>VLOOKUP(L492,'[1]update kontrak'!E:K,7,FALSE)</f>
        <v>KONTRAK</v>
      </c>
      <c r="AI492" s="11" t="s">
        <v>41</v>
      </c>
      <c r="AJ492" s="11" t="str">
        <f>VLOOKUP(L492,[1]rekap!D:M,1,FALSE)</f>
        <v>Tondasi</v>
      </c>
      <c r="AK492" s="11" t="str">
        <f>VLOOKUP(L492,'[1]singkron data'!D:E,2,FALSE)</f>
        <v>CV. Lawa Raya</v>
      </c>
      <c r="AL492" s="11" t="str">
        <f>VLOOKUP(L492,'[1]update 521'!D:D,1,FALSE)</f>
        <v>Tondasi</v>
      </c>
      <c r="AM492" s="11" t="s">
        <v>57</v>
      </c>
      <c r="AN492" s="17">
        <f>VLOOKUP(L492,[1]Sheet19!E:L,8,FALSE)</f>
        <v>3435715938.29</v>
      </c>
      <c r="AO492" s="11" t="str">
        <f>VLOOKUP(L492,[1]Sheet19!E:K,7,FALSE)</f>
        <v>KONTRAK</v>
      </c>
      <c r="AP492" s="12" t="s">
        <v>41</v>
      </c>
    </row>
    <row r="493" spans="1:42" ht="15" x14ac:dyDescent="0.2">
      <c r="A493" s="8" t="s">
        <v>42</v>
      </c>
      <c r="B493" s="9" t="s">
        <v>43</v>
      </c>
      <c r="C493" s="9">
        <v>508</v>
      </c>
      <c r="D493" s="9" t="s">
        <v>1112</v>
      </c>
      <c r="E493" s="9">
        <v>38</v>
      </c>
      <c r="F493" s="9" t="s">
        <v>1203</v>
      </c>
      <c r="G493" s="9" t="s">
        <v>1149</v>
      </c>
      <c r="H493" s="9" t="s">
        <v>287</v>
      </c>
      <c r="I493" s="9" t="s">
        <v>1204</v>
      </c>
      <c r="J493" s="9" t="s">
        <v>1205</v>
      </c>
      <c r="K493" s="9" t="s">
        <v>1206</v>
      </c>
      <c r="L493" s="10" t="s">
        <v>1206</v>
      </c>
      <c r="M493" s="9" t="s">
        <v>51</v>
      </c>
      <c r="N493" s="9">
        <v>314</v>
      </c>
      <c r="O493" s="9">
        <v>15</v>
      </c>
      <c r="P493" s="9">
        <v>101</v>
      </c>
      <c r="Q493" s="9">
        <v>116</v>
      </c>
      <c r="R493" s="9">
        <v>0.1</v>
      </c>
      <c r="S493" s="9">
        <v>-3.510329</v>
      </c>
      <c r="T493" s="9">
        <v>118.90003609999999</v>
      </c>
      <c r="U493" s="9" t="s">
        <v>52</v>
      </c>
      <c r="V493" s="11" t="str">
        <f>VLOOKUP(L493,'[1]singkron data'!D:E,2,FALSE)</f>
        <v>CV. Lion Jaya Mandiri</v>
      </c>
      <c r="W493" s="13">
        <f>VLOOKUP(L493,'[1]data 1129'!F:H,3,FALSE)</f>
        <v>3966767000</v>
      </c>
      <c r="X493" s="11" t="s">
        <v>55</v>
      </c>
      <c r="Y493" s="11" t="str">
        <f>VLOOKUP(L493,'[1]singkron data'!D:H,5,FALSE)</f>
        <v>Toraja</v>
      </c>
      <c r="Z493" s="11" t="str">
        <f>VLOOKUP(L493,'[1]singkron data'!D:I,6,FALSE)</f>
        <v>Offline</v>
      </c>
      <c r="AA493" s="11">
        <f>VLOOKUP(L493,'[1]singkron data'!D:L,9,FALSE)</f>
        <v>82192324719</v>
      </c>
      <c r="AB493" s="11" t="s">
        <v>54</v>
      </c>
      <c r="AC493" s="11" t="str">
        <f>VLOOKUP(L493,'[1]singkron data'!D:M,10,FALSE)</f>
        <v>Hyl</v>
      </c>
      <c r="AD493" s="11" t="str">
        <f>VLOOKUP(L493,'[1]data 1129'!F:O,10,FALSE)</f>
        <v>Tahap I 208</v>
      </c>
      <c r="AE493" s="11" t="str">
        <f>VLOOKUP(L493,'[1]singkron data'!D:P,13,FALSE)</f>
        <v>sudah</v>
      </c>
      <c r="AF493" s="11" t="s">
        <v>55</v>
      </c>
      <c r="AG493" s="17">
        <f>VLOOKUP(L493,'[1]update kontrak'!E:K,6,FALSE)</f>
        <v>3408954300</v>
      </c>
      <c r="AH493" s="11" t="str">
        <f>VLOOKUP(L493,'[1]update kontrak'!E:K,7,FALSE)</f>
        <v>KONTRAK</v>
      </c>
      <c r="AI493" s="11" t="s">
        <v>41</v>
      </c>
      <c r="AJ493" s="11" t="str">
        <f>VLOOKUP(L493,[1]rekap!D:M,1,FALSE)</f>
        <v>Bababulo</v>
      </c>
      <c r="AK493" s="11" t="str">
        <f>VLOOKUP(L493,'[1]singkron data'!D:E,2,FALSE)</f>
        <v>CV. Lion Jaya Mandiri</v>
      </c>
      <c r="AL493" s="11" t="str">
        <f>VLOOKUP(L493,'[1]update 521'!D:D,1,FALSE)</f>
        <v>Bababulo</v>
      </c>
      <c r="AM493" s="11" t="s">
        <v>57</v>
      </c>
      <c r="AN493" s="17">
        <f>VLOOKUP(L493,[1]Sheet19!E:L,8,FALSE)</f>
        <v>3408954300</v>
      </c>
      <c r="AO493" s="11" t="str">
        <f>VLOOKUP(L493,[1]Sheet19!E:K,7,FALSE)</f>
        <v>KONTRAK</v>
      </c>
      <c r="AP493" s="12" t="s">
        <v>41</v>
      </c>
    </row>
    <row r="494" spans="1:42" ht="15" x14ac:dyDescent="0.2">
      <c r="A494" s="8" t="s">
        <v>42</v>
      </c>
      <c r="B494" s="9" t="s">
        <v>43</v>
      </c>
      <c r="C494" s="9">
        <v>509</v>
      </c>
      <c r="D494" s="9" t="s">
        <v>1112</v>
      </c>
      <c r="E494" s="9">
        <v>39</v>
      </c>
      <c r="F494" s="9" t="s">
        <v>1203</v>
      </c>
      <c r="G494" s="9" t="s">
        <v>1149</v>
      </c>
      <c r="H494" s="9" t="s">
        <v>287</v>
      </c>
      <c r="I494" s="9" t="s">
        <v>1204</v>
      </c>
      <c r="J494" s="9" t="s">
        <v>1207</v>
      </c>
      <c r="K494" s="9" t="s">
        <v>1208</v>
      </c>
      <c r="L494" s="10" t="s">
        <v>1208</v>
      </c>
      <c r="M494" s="9" t="s">
        <v>51</v>
      </c>
      <c r="N494" s="9">
        <v>86</v>
      </c>
      <c r="O494" s="9">
        <v>30</v>
      </c>
      <c r="P494" s="9">
        <v>50</v>
      </c>
      <c r="Q494" s="9">
        <v>80</v>
      </c>
      <c r="R494" s="9">
        <v>1</v>
      </c>
      <c r="S494" s="9">
        <v>-3.37358</v>
      </c>
      <c r="T494" s="9">
        <v>118.85176</v>
      </c>
      <c r="U494" s="9" t="s">
        <v>52</v>
      </c>
      <c r="V494" s="11" t="str">
        <f>VLOOKUP(L494,'[1]singkron data'!D:E,2,FALSE)</f>
        <v>CV. Lion Jaya Mandiri</v>
      </c>
      <c r="W494" s="13">
        <f>VLOOKUP(L494,'[1]data 1129'!F:H,3,FALSE)</f>
        <v>3578598000</v>
      </c>
      <c r="X494" s="11" t="s">
        <v>55</v>
      </c>
      <c r="Y494" s="11" t="str">
        <f>VLOOKUP(L494,'[1]singkron data'!D:H,5,FALSE)</f>
        <v>Toraja</v>
      </c>
      <c r="Z494" s="11" t="str">
        <f>VLOOKUP(L494,'[1]singkron data'!D:I,6,FALSE)</f>
        <v>Offline</v>
      </c>
      <c r="AA494" s="11">
        <f>VLOOKUP(L494,'[1]singkron data'!D:L,9,FALSE)</f>
        <v>82192324719</v>
      </c>
      <c r="AB494" s="11" t="s">
        <v>54</v>
      </c>
      <c r="AC494" s="11" t="str">
        <f>VLOOKUP(L494,'[1]singkron data'!D:M,10,FALSE)</f>
        <v>Hyl</v>
      </c>
      <c r="AD494" s="11" t="str">
        <f>VLOOKUP(L494,'[1]data 1129'!F:O,10,FALSE)</f>
        <v>Tahap I 208</v>
      </c>
      <c r="AE494" s="11" t="str">
        <f>VLOOKUP(L494,'[1]singkron data'!D:P,13,FALSE)</f>
        <v>sudah</v>
      </c>
      <c r="AF494" s="11" t="s">
        <v>55</v>
      </c>
      <c r="AG494" s="17">
        <f>VLOOKUP(L494,'[1]update kontrak'!E:K,6,FALSE)</f>
        <v>2042509890</v>
      </c>
      <c r="AH494" s="11" t="str">
        <f>VLOOKUP(L494,'[1]update kontrak'!E:K,7,FALSE)</f>
        <v>KONTRAK</v>
      </c>
      <c r="AI494" s="11" t="s">
        <v>41</v>
      </c>
      <c r="AJ494" s="11" t="str">
        <f>VLOOKUP(L494,[1]rekap!D:M,1,FALSE)</f>
        <v>Limbua</v>
      </c>
      <c r="AK494" s="11" t="str">
        <f>VLOOKUP(L494,'[1]singkron data'!D:E,2,FALSE)</f>
        <v>CV. Lion Jaya Mandiri</v>
      </c>
      <c r="AL494" s="11" t="str">
        <f>VLOOKUP(L494,'[1]update 521'!D:D,1,FALSE)</f>
        <v>Limbua</v>
      </c>
      <c r="AM494" s="11" t="s">
        <v>57</v>
      </c>
      <c r="AN494" s="17">
        <f>VLOOKUP(L494,[1]Sheet19!E:L,8,FALSE)</f>
        <v>2042509890</v>
      </c>
      <c r="AO494" s="11" t="str">
        <f>VLOOKUP(L494,[1]Sheet19!E:K,7,FALSE)</f>
        <v>KONTRAK</v>
      </c>
      <c r="AP494" s="12" t="s">
        <v>41</v>
      </c>
    </row>
    <row r="495" spans="1:42" ht="15" x14ac:dyDescent="0.2">
      <c r="A495" s="8" t="s">
        <v>42</v>
      </c>
      <c r="B495" s="9" t="s">
        <v>43</v>
      </c>
      <c r="C495" s="9">
        <v>510</v>
      </c>
      <c r="D495" s="9" t="s">
        <v>1112</v>
      </c>
      <c r="E495" s="9">
        <v>40</v>
      </c>
      <c r="F495" s="9" t="s">
        <v>1203</v>
      </c>
      <c r="G495" s="9" t="s">
        <v>1149</v>
      </c>
      <c r="H495" s="9" t="s">
        <v>287</v>
      </c>
      <c r="I495" s="9" t="s">
        <v>1209</v>
      </c>
      <c r="J495" s="9" t="s">
        <v>1210</v>
      </c>
      <c r="K495" s="9" t="s">
        <v>1211</v>
      </c>
      <c r="L495" s="10" t="s">
        <v>1211</v>
      </c>
      <c r="M495" s="9" t="s">
        <v>51</v>
      </c>
      <c r="N495" s="9">
        <v>250</v>
      </c>
      <c r="O495" s="9">
        <v>39</v>
      </c>
      <c r="P495" s="9">
        <v>25</v>
      </c>
      <c r="Q495" s="9">
        <v>64</v>
      </c>
      <c r="R495" s="9">
        <v>0.51</v>
      </c>
      <c r="S495" s="9">
        <v>-3.502265</v>
      </c>
      <c r="T495" s="9">
        <v>119.064796</v>
      </c>
      <c r="U495" s="9" t="s">
        <v>52</v>
      </c>
      <c r="V495" s="11" t="str">
        <f>VLOOKUP(L495,'[1]singkron data'!D:E,2,FALSE)</f>
        <v>CV. RODA</v>
      </c>
      <c r="W495" s="13">
        <f>VLOOKUP(L495,'[1]data 1129'!F:H,3,FALSE)</f>
        <v>4506250000</v>
      </c>
      <c r="X495" s="11" t="s">
        <v>55</v>
      </c>
      <c r="Y495" s="11" t="str">
        <f>VLOOKUP(L495,'[1]singkron data'!D:H,5,FALSE)</f>
        <v>Mamuju</v>
      </c>
      <c r="Z495" s="11" t="str">
        <f>VLOOKUP(L495,'[1]singkron data'!D:I,6,FALSE)</f>
        <v>Online</v>
      </c>
      <c r="AA495" s="11" t="str">
        <f>VLOOKUP(L495,'[1]singkron data'!D:L,9,FALSE)</f>
        <v>085240304996/zulfikar/cvroda25@gmail.com</v>
      </c>
      <c r="AB495" s="11" t="s">
        <v>54</v>
      </c>
      <c r="AC495" s="11" t="str">
        <f>VLOOKUP(L495,'[1]singkron data'!D:M,10,FALSE)</f>
        <v>fraksi roem</v>
      </c>
      <c r="AD495" s="11" t="str">
        <f>VLOOKUP(L495,'[1]data 1129'!F:O,10,FALSE)</f>
        <v>Tahap III 166</v>
      </c>
      <c r="AE495" s="11" t="str">
        <f>VLOOKUP(L495,'[1]singkron data'!D:P,13,FALSE)</f>
        <v>sudah</v>
      </c>
      <c r="AF495" s="11" t="s">
        <v>55</v>
      </c>
      <c r="AG495" s="33">
        <f>VLOOKUP(L495,'[1]update kontrak'!E:K,6,FALSE)</f>
        <v>3958451000</v>
      </c>
      <c r="AH495" s="11" t="str">
        <f>VLOOKUP(L495,'[1]update kontrak'!E:K,7,FALSE)</f>
        <v>SPPBJ</v>
      </c>
      <c r="AI495" s="11" t="s">
        <v>58</v>
      </c>
      <c r="AJ495" s="11" t="str">
        <f>VLOOKUP(L495,[1]rekap!D:M,1,FALSE)</f>
        <v>Tammangalle</v>
      </c>
      <c r="AK495" s="11" t="str">
        <f>VLOOKUP(L495,'[1]singkron data'!D:E,2,FALSE)</f>
        <v>CV. RODA</v>
      </c>
      <c r="AL495" s="11" t="str">
        <f>VLOOKUP(L495,'[1]update 521'!D:D,1,FALSE)</f>
        <v>Tammangalle</v>
      </c>
      <c r="AM495" s="11" t="s">
        <v>57</v>
      </c>
      <c r="AN495" s="33">
        <f>VLOOKUP(L495,[1]Sheet19!E:L,8,FALSE)</f>
        <v>3958451000</v>
      </c>
      <c r="AO495" s="11" t="str">
        <f>VLOOKUP(L495,[1]Sheet19!E:K,7,FALSE)</f>
        <v>SPPBJ</v>
      </c>
      <c r="AP495" s="12"/>
    </row>
    <row r="496" spans="1:42" ht="15" x14ac:dyDescent="0.2">
      <c r="A496" s="8" t="s">
        <v>42</v>
      </c>
      <c r="B496" s="9" t="s">
        <v>43</v>
      </c>
      <c r="C496" s="9">
        <v>511</v>
      </c>
      <c r="D496" s="9" t="s">
        <v>1112</v>
      </c>
      <c r="E496" s="9">
        <v>41</v>
      </c>
      <c r="F496" s="9" t="s">
        <v>1203</v>
      </c>
      <c r="G496" s="9" t="s">
        <v>1149</v>
      </c>
      <c r="H496" s="9" t="s">
        <v>287</v>
      </c>
      <c r="I496" s="9" t="s">
        <v>1204</v>
      </c>
      <c r="J496" s="9" t="s">
        <v>1205</v>
      </c>
      <c r="K496" s="9" t="s">
        <v>1212</v>
      </c>
      <c r="L496" s="10" t="s">
        <v>1212</v>
      </c>
      <c r="M496" s="9" t="s">
        <v>81</v>
      </c>
      <c r="N496" s="9">
        <v>800</v>
      </c>
      <c r="O496" s="9">
        <v>150</v>
      </c>
      <c r="P496" s="9">
        <v>200</v>
      </c>
      <c r="Q496" s="9">
        <v>350</v>
      </c>
      <c r="R496" s="9">
        <v>0.12</v>
      </c>
      <c r="S496" s="9">
        <v>-3.525112</v>
      </c>
      <c r="T496" s="9">
        <v>118.908192</v>
      </c>
      <c r="U496" s="9" t="s">
        <v>52</v>
      </c>
      <c r="V496" s="11" t="str">
        <f>VLOOKUP(L496,'[1]singkron data'!D:E,2,FALSE)</f>
        <v>CV. Lion Jaya Mandiri</v>
      </c>
      <c r="W496" s="13">
        <f>VLOOKUP(L496,'[1]data 1129'!F:H,3,FALSE)</f>
        <v>4628291000</v>
      </c>
      <c r="X496" s="11" t="s">
        <v>55</v>
      </c>
      <c r="Y496" s="11" t="str">
        <f>VLOOKUP(L496,'[1]singkron data'!D:H,5,FALSE)</f>
        <v>Toraja</v>
      </c>
      <c r="Z496" s="11" t="str">
        <f>VLOOKUP(L496,'[1]singkron data'!D:I,6,FALSE)</f>
        <v>Offline</v>
      </c>
      <c r="AA496" s="11">
        <f>VLOOKUP(L496,'[1]singkron data'!D:L,9,FALSE)</f>
        <v>82192324719</v>
      </c>
      <c r="AB496" s="11" t="s">
        <v>54</v>
      </c>
      <c r="AC496" s="11" t="str">
        <f>VLOOKUP(L496,'[1]singkron data'!D:M,10,FALSE)</f>
        <v>Hyl</v>
      </c>
      <c r="AD496" s="11" t="str">
        <f>VLOOKUP(L496,'[1]data 1129'!F:O,10,FALSE)</f>
        <v>Tahap I 208</v>
      </c>
      <c r="AE496" s="11" t="str">
        <f>VLOOKUP(L496,'[1]singkron data'!D:P,13,FALSE)</f>
        <v>sudah</v>
      </c>
      <c r="AF496" s="11" t="s">
        <v>55</v>
      </c>
      <c r="AG496" s="17">
        <f>VLOOKUP(L496,'[1]update kontrak'!E:K,6,FALSE)</f>
        <v>4429988910</v>
      </c>
      <c r="AH496" s="11" t="str">
        <f>VLOOKUP(L496,'[1]update kontrak'!E:K,7,FALSE)</f>
        <v>KONTRAK</v>
      </c>
      <c r="AI496" s="11" t="s">
        <v>41</v>
      </c>
      <c r="AJ496" s="11" t="str">
        <f>VLOOKUP(L496,[1]rekap!D:M,1,FALSE)</f>
        <v>Bonde Utara</v>
      </c>
      <c r="AK496" s="11" t="str">
        <f>VLOOKUP(L496,'[1]singkron data'!D:E,2,FALSE)</f>
        <v>CV. Lion Jaya Mandiri</v>
      </c>
      <c r="AL496" s="11" t="str">
        <f>VLOOKUP(L496,'[1]update 521'!D:D,1,FALSE)</f>
        <v>Bonde Utara</v>
      </c>
      <c r="AM496" s="11" t="s">
        <v>57</v>
      </c>
      <c r="AN496" s="17">
        <f>VLOOKUP(L496,[1]Sheet19!E:L,8,FALSE)</f>
        <v>4429988910</v>
      </c>
      <c r="AO496" s="11" t="str">
        <f>VLOOKUP(L496,[1]Sheet19!E:K,7,FALSE)</f>
        <v>KONTRAK</v>
      </c>
      <c r="AP496" s="12" t="s">
        <v>41</v>
      </c>
    </row>
    <row r="497" spans="1:42" ht="15" x14ac:dyDescent="0.2">
      <c r="A497" s="8" t="s">
        <v>42</v>
      </c>
      <c r="B497" s="9" t="s">
        <v>43</v>
      </c>
      <c r="C497" s="9">
        <v>512</v>
      </c>
      <c r="D497" s="9" t="s">
        <v>1112</v>
      </c>
      <c r="E497" s="9">
        <v>42</v>
      </c>
      <c r="F497" s="9" t="s">
        <v>1213</v>
      </c>
      <c r="G497" s="9" t="s">
        <v>1114</v>
      </c>
      <c r="H497" s="9" t="s">
        <v>287</v>
      </c>
      <c r="I497" s="9" t="s">
        <v>1214</v>
      </c>
      <c r="J497" s="9" t="s">
        <v>1215</v>
      </c>
      <c r="K497" s="9" t="s">
        <v>1216</v>
      </c>
      <c r="L497" s="10" t="s">
        <v>1216</v>
      </c>
      <c r="M497" s="9" t="s">
        <v>51</v>
      </c>
      <c r="N497" s="9">
        <v>107</v>
      </c>
      <c r="O497" s="9">
        <v>10</v>
      </c>
      <c r="P497" s="9">
        <v>68</v>
      </c>
      <c r="Q497" s="9">
        <v>78</v>
      </c>
      <c r="R497" s="9">
        <v>1.6</v>
      </c>
      <c r="S497" s="9">
        <v>-5.4550580000000002</v>
      </c>
      <c r="T497" s="9">
        <v>120.423767</v>
      </c>
      <c r="U497" s="9" t="s">
        <v>52</v>
      </c>
      <c r="V497" s="11" t="str">
        <f>VLOOKUP(L497,'[1]singkron data'!D:E,2,FALSE)</f>
        <v>PT. DARWIN KEMBAR JAYA</v>
      </c>
      <c r="W497" s="13">
        <f>VLOOKUP(L497,'[1]data 1129'!F:H,3,FALSE)</f>
        <v>5192180223</v>
      </c>
      <c r="X497" s="11" t="s">
        <v>55</v>
      </c>
      <c r="Y497" s="11" t="str">
        <f>VLOOKUP(L497,'[1]singkron data'!D:H,5,FALSE)</f>
        <v>Makassar</v>
      </c>
      <c r="Z497" s="11" t="str">
        <f>VLOOKUP(L497,'[1]singkron data'!D:I,6,FALSE)</f>
        <v>Online</v>
      </c>
      <c r="AA497" s="11" t="str">
        <f>VLOOKUP(L497,'[1]singkron data'!D:L,9,FALSE)</f>
        <v>082198005353/yacob</v>
      </c>
      <c r="AB497" s="11" t="s">
        <v>54</v>
      </c>
      <c r="AC497" s="11" t="str">
        <f>VLOOKUP(L497,'[1]singkron data'!D:M,10,FALSE)</f>
        <v>Hyl</v>
      </c>
      <c r="AD497" s="11" t="str">
        <f>VLOOKUP(L497,'[1]data 1129'!F:O,10,FALSE)</f>
        <v>Tahap I 208</v>
      </c>
      <c r="AE497" s="11" t="str">
        <f>VLOOKUP(L497,'[1]singkron data'!D:P,13,FALSE)</f>
        <v>sudah</v>
      </c>
      <c r="AF497" s="11" t="s">
        <v>55</v>
      </c>
      <c r="AG497" s="11" t="e">
        <f>VLOOKUP(L497,'[1]update kontrak'!E:K,6,FALSE)</f>
        <v>#N/A</v>
      </c>
      <c r="AH497" s="11" t="e">
        <f>VLOOKUP(L497,'[1]update kontrak'!E:K,7,FALSE)</f>
        <v>#N/A</v>
      </c>
      <c r="AI497" s="11" t="s">
        <v>58</v>
      </c>
      <c r="AJ497" s="11" t="str">
        <f>VLOOKUP(L497,[1]rekap!D:M,1,FALSE)</f>
        <v>Dwitiro</v>
      </c>
      <c r="AK497" s="11" t="str">
        <f t="shared" ref="AK497:AK498" si="1">AJ497</f>
        <v>Dwitiro</v>
      </c>
      <c r="AL497" s="11" t="str">
        <f>VLOOKUP(L497,'[1]update 521'!D:D,1,FALSE)</f>
        <v>Dwitiro</v>
      </c>
      <c r="AM497" s="11" t="s">
        <v>57</v>
      </c>
      <c r="AN497" s="17">
        <f>VLOOKUP(L497,[1]Sheet19!E:L,8,FALSE)</f>
        <v>4982847601.3599997</v>
      </c>
      <c r="AO497" s="11" t="str">
        <f>VLOOKUP(L497,[1]Sheet19!E:K,7,FALSE)</f>
        <v>SPPBJ</v>
      </c>
      <c r="AP497" s="12"/>
    </row>
    <row r="498" spans="1:42" ht="15" x14ac:dyDescent="0.2">
      <c r="A498" s="8" t="s">
        <v>42</v>
      </c>
      <c r="B498" s="9" t="s">
        <v>43</v>
      </c>
      <c r="C498" s="9">
        <v>513</v>
      </c>
      <c r="D498" s="9" t="s">
        <v>1112</v>
      </c>
      <c r="E498" s="9">
        <v>43</v>
      </c>
      <c r="F498" s="9" t="s">
        <v>1213</v>
      </c>
      <c r="G498" s="9" t="s">
        <v>1114</v>
      </c>
      <c r="H498" s="9" t="s">
        <v>287</v>
      </c>
      <c r="I498" s="9" t="s">
        <v>1214</v>
      </c>
      <c r="J498" s="9" t="s">
        <v>1217</v>
      </c>
      <c r="K498" s="9" t="s">
        <v>1218</v>
      </c>
      <c r="L498" s="10" t="s">
        <v>1218</v>
      </c>
      <c r="M498" s="9" t="s">
        <v>51</v>
      </c>
      <c r="N498" s="9">
        <v>173</v>
      </c>
      <c r="O498" s="9">
        <v>20</v>
      </c>
      <c r="P498" s="9">
        <v>81</v>
      </c>
      <c r="Q498" s="9">
        <v>101</v>
      </c>
      <c r="R498" s="9">
        <v>1.4</v>
      </c>
      <c r="S498" s="9">
        <v>-5.5548950000000001</v>
      </c>
      <c r="T498" s="9">
        <v>120.444684</v>
      </c>
      <c r="U498" s="9" t="s">
        <v>52</v>
      </c>
      <c r="V498" s="11" t="str">
        <f>VLOOKUP(L498,'[1]singkron data'!D:E,2,FALSE)</f>
        <v>PT. DARWIN KEMBAR JAYA</v>
      </c>
      <c r="W498" s="13">
        <f>VLOOKUP(L498,'[1]data 1129'!F:H,3,FALSE)</f>
        <v>4220843000</v>
      </c>
      <c r="X498" s="11" t="s">
        <v>55</v>
      </c>
      <c r="Y498" s="11" t="str">
        <f>VLOOKUP(L498,'[1]singkron data'!D:H,5,FALSE)</f>
        <v>Makassar</v>
      </c>
      <c r="Z498" s="11" t="str">
        <f>VLOOKUP(L498,'[1]singkron data'!D:I,6,FALSE)</f>
        <v>Online</v>
      </c>
      <c r="AA498" s="11" t="str">
        <f>VLOOKUP(L498,'[1]singkron data'!D:L,9,FALSE)</f>
        <v>082198005353/yacob</v>
      </c>
      <c r="AB498" s="11" t="s">
        <v>54</v>
      </c>
      <c r="AC498" s="11" t="str">
        <f>VLOOKUP(L498,'[1]singkron data'!D:M,10,FALSE)</f>
        <v>Hyl</v>
      </c>
      <c r="AD498" s="11" t="str">
        <f>VLOOKUP(L498,'[1]data 1129'!F:O,10,FALSE)</f>
        <v>Tahap III 166</v>
      </c>
      <c r="AE498" s="11" t="str">
        <f>VLOOKUP(L498,'[1]singkron data'!D:P,13,FALSE)</f>
        <v>sudah</v>
      </c>
      <c r="AF498" s="11" t="s">
        <v>55</v>
      </c>
      <c r="AG498" s="11" t="e">
        <f>VLOOKUP(L498,'[1]update kontrak'!E:K,6,FALSE)</f>
        <v>#N/A</v>
      </c>
      <c r="AH498" s="11" t="e">
        <f>VLOOKUP(L498,'[1]update kontrak'!E:K,7,FALSE)</f>
        <v>#N/A</v>
      </c>
      <c r="AI498" s="11" t="s">
        <v>58</v>
      </c>
      <c r="AJ498" s="11" t="str">
        <f>VLOOKUP(L498,[1]rekap!D:M,1,FALSE)</f>
        <v>Darubiah</v>
      </c>
      <c r="AK498" s="11" t="str">
        <f t="shared" si="1"/>
        <v>Darubiah</v>
      </c>
      <c r="AL498" s="11" t="str">
        <f>VLOOKUP(L498,'[1]update 521'!D:D,1,FALSE)</f>
        <v>Darubiah</v>
      </c>
      <c r="AM498" s="11" t="s">
        <v>57</v>
      </c>
      <c r="AN498" s="17">
        <f>VLOOKUP(L498,[1]Sheet19!E:L,8,FALSE)</f>
        <v>4973730356.6899996</v>
      </c>
      <c r="AO498" s="11" t="str">
        <f>VLOOKUP(L498,[1]Sheet19!E:K,7,FALSE)</f>
        <v>SPPBJ</v>
      </c>
      <c r="AP498" s="12"/>
    </row>
    <row r="499" spans="1:42" ht="15" x14ac:dyDescent="0.2">
      <c r="A499" s="8" t="s">
        <v>42</v>
      </c>
      <c r="B499" s="9" t="s">
        <v>43</v>
      </c>
      <c r="C499" s="9">
        <v>514</v>
      </c>
      <c r="D499" s="9" t="s">
        <v>1112</v>
      </c>
      <c r="E499" s="9">
        <v>44</v>
      </c>
      <c r="F499" s="9" t="s">
        <v>1219</v>
      </c>
      <c r="G499" s="9" t="s">
        <v>1114</v>
      </c>
      <c r="H499" s="9" t="s">
        <v>287</v>
      </c>
      <c r="I499" s="9" t="s">
        <v>1220</v>
      </c>
      <c r="J499" s="9" t="s">
        <v>1221</v>
      </c>
      <c r="K499" s="9" t="s">
        <v>1222</v>
      </c>
      <c r="L499" s="10" t="s">
        <v>1222</v>
      </c>
      <c r="M499" s="9" t="s">
        <v>65</v>
      </c>
      <c r="N499" s="9">
        <v>350</v>
      </c>
      <c r="O499" s="9">
        <v>20</v>
      </c>
      <c r="P499" s="9">
        <v>330</v>
      </c>
      <c r="Q499" s="9">
        <v>350</v>
      </c>
      <c r="R499" s="9">
        <v>0.37</v>
      </c>
      <c r="S499" s="9">
        <v>-3.5206</v>
      </c>
      <c r="T499" s="9">
        <v>119.4923</v>
      </c>
      <c r="U499" s="9" t="s">
        <v>52</v>
      </c>
      <c r="V499" s="11" t="str">
        <f>VLOOKUP(L499,'[1]singkron data'!D:E,2,FALSE)</f>
        <v>CV. Buana Bahari</v>
      </c>
      <c r="W499" s="13">
        <f>VLOOKUP(L499,'[1]data 1129'!F:H,3,FALSE)</f>
        <v>5600000000</v>
      </c>
      <c r="X499" s="11" t="s">
        <v>55</v>
      </c>
      <c r="Y499" s="11">
        <f>VLOOKUP(L499,'[1]singkron data'!D:H,5,FALSE)</f>
        <v>0</v>
      </c>
      <c r="Z499" s="11">
        <f>VLOOKUP(L499,'[1]singkron data'!D:I,6,FALSE)</f>
        <v>0</v>
      </c>
      <c r="AA499" s="11" t="str">
        <f>VLOOKUP(L499,'[1]singkron data'!D:L,9,FALSE)</f>
        <v>085230797947/juniwang</v>
      </c>
      <c r="AB499" s="11" t="s">
        <v>54</v>
      </c>
      <c r="AC499" s="11" t="str">
        <f>VLOOKUP(L499,'[1]singkron data'!D:M,10,FALSE)</f>
        <v>Hyl</v>
      </c>
      <c r="AD499" s="11" t="str">
        <f>VLOOKUP(L499,'[1]data 1129'!F:O,10,FALSE)</f>
        <v>Tahap I 208</v>
      </c>
      <c r="AE499" s="11" t="str">
        <f>VLOOKUP(L499,'[1]singkron data'!D:P,13,FALSE)</f>
        <v>sudah</v>
      </c>
      <c r="AF499" s="11" t="s">
        <v>55</v>
      </c>
      <c r="AG499" s="17">
        <f>VLOOKUP(L499,'[1]update kontrak'!E:K,6,FALSE)</f>
        <v>5035186448</v>
      </c>
      <c r="AH499" s="11" t="str">
        <f>VLOOKUP(L499,'[1]update kontrak'!E:K,7,FALSE)</f>
        <v>KONTRAK</v>
      </c>
      <c r="AI499" s="11" t="s">
        <v>41</v>
      </c>
      <c r="AJ499" s="11" t="str">
        <f>VLOOKUP(L499,[1]rekap!D:M,1,FALSE)</f>
        <v>Binanga Karaeng</v>
      </c>
      <c r="AK499" s="11" t="str">
        <f>VLOOKUP(L499,'[1]singkron data'!D:E,2,FALSE)</f>
        <v>CV. Buana Bahari</v>
      </c>
      <c r="AL499" s="11" t="str">
        <f>VLOOKUP(L499,'[1]update 521'!D:D,1,FALSE)</f>
        <v>Binanga Karaeng</v>
      </c>
      <c r="AM499" s="11" t="s">
        <v>57</v>
      </c>
      <c r="AN499" s="17">
        <f>VLOOKUP(L499,[1]Sheet19!E:L,8,FALSE)</f>
        <v>5035186448</v>
      </c>
      <c r="AO499" s="11" t="str">
        <f>VLOOKUP(L499,[1]Sheet19!E:K,7,FALSE)</f>
        <v>KONTRAK</v>
      </c>
      <c r="AP499" s="12" t="s">
        <v>41</v>
      </c>
    </row>
    <row r="500" spans="1:42" ht="15" x14ac:dyDescent="0.2">
      <c r="A500" s="8" t="s">
        <v>42</v>
      </c>
      <c r="B500" s="9" t="s">
        <v>43</v>
      </c>
      <c r="C500" s="9">
        <v>515</v>
      </c>
      <c r="D500" s="9" t="s">
        <v>1112</v>
      </c>
      <c r="E500" s="9">
        <v>45</v>
      </c>
      <c r="F500" s="9" t="s">
        <v>1219</v>
      </c>
      <c r="G500" s="9" t="s">
        <v>1114</v>
      </c>
      <c r="H500" s="9" t="s">
        <v>287</v>
      </c>
      <c r="I500" s="9" t="s">
        <v>1220</v>
      </c>
      <c r="J500" s="9" t="s">
        <v>1223</v>
      </c>
      <c r="K500" s="9" t="s">
        <v>1224</v>
      </c>
      <c r="L500" s="10" t="s">
        <v>1224</v>
      </c>
      <c r="M500" s="9" t="s">
        <v>51</v>
      </c>
      <c r="N500" s="9">
        <v>185</v>
      </c>
      <c r="O500" s="9">
        <v>5</v>
      </c>
      <c r="P500" s="9">
        <v>122</v>
      </c>
      <c r="Q500" s="9">
        <v>127</v>
      </c>
      <c r="R500" s="9">
        <v>2.5</v>
      </c>
      <c r="S500" s="9">
        <v>-3.7551000000000001</v>
      </c>
      <c r="T500" s="9">
        <v>119.4837</v>
      </c>
      <c r="U500" s="9" t="s">
        <v>52</v>
      </c>
      <c r="V500" s="11" t="str">
        <f>VLOOKUP(L500,'[1]singkron data'!D:E,2,FALSE)</f>
        <v>CV. Buana Bahari</v>
      </c>
      <c r="W500" s="13">
        <f>VLOOKUP(L500,'[1]data 1129'!F:H,3,FALSE)</f>
        <v>4924491000</v>
      </c>
      <c r="X500" s="11" t="s">
        <v>55</v>
      </c>
      <c r="Y500" s="11">
        <f>VLOOKUP(L500,'[1]singkron data'!D:H,5,FALSE)</f>
        <v>0</v>
      </c>
      <c r="Z500" s="11">
        <f>VLOOKUP(L500,'[1]singkron data'!D:I,6,FALSE)</f>
        <v>0</v>
      </c>
      <c r="AA500" s="11" t="str">
        <f>VLOOKUP(L500,'[1]singkron data'!D:L,9,FALSE)</f>
        <v>085230797947/juniwang</v>
      </c>
      <c r="AB500" s="11" t="s">
        <v>54</v>
      </c>
      <c r="AC500" s="11" t="str">
        <f>VLOOKUP(L500,'[1]singkron data'!D:M,10,FALSE)</f>
        <v>Hyl</v>
      </c>
      <c r="AD500" s="11" t="str">
        <f>VLOOKUP(L500,'[1]data 1129'!F:O,10,FALSE)</f>
        <v>Tahap I 208</v>
      </c>
      <c r="AE500" s="11" t="str">
        <f>VLOOKUP(L500,'[1]singkron data'!D:P,13,FALSE)</f>
        <v>sudah</v>
      </c>
      <c r="AF500" s="11" t="s">
        <v>55</v>
      </c>
      <c r="AG500" s="17">
        <f>VLOOKUP(L500,'[1]update kontrak'!E:K,6,FALSE)</f>
        <v>4189550480</v>
      </c>
      <c r="AH500" s="11" t="str">
        <f>VLOOKUP(L500,'[1]update kontrak'!E:K,7,FALSE)</f>
        <v>KONTRAK</v>
      </c>
      <c r="AI500" s="11" t="s">
        <v>41</v>
      </c>
      <c r="AJ500" s="11" t="str">
        <f>VLOOKUP(L500,[1]rekap!D:M,1,FALSE)</f>
        <v>Tadang Palie</v>
      </c>
      <c r="AK500" s="11" t="str">
        <f>VLOOKUP(L500,'[1]singkron data'!D:E,2,FALSE)</f>
        <v>CV. Buana Bahari</v>
      </c>
      <c r="AL500" s="11" t="str">
        <f>VLOOKUP(L500,'[1]update 521'!D:D,1,FALSE)</f>
        <v>Tadang Palie</v>
      </c>
      <c r="AM500" s="11" t="s">
        <v>57</v>
      </c>
      <c r="AN500" s="17">
        <f>VLOOKUP(L500,[1]Sheet19!E:L,8,FALSE)</f>
        <v>4189550480</v>
      </c>
      <c r="AO500" s="11" t="str">
        <f>VLOOKUP(L500,[1]Sheet19!E:K,7,FALSE)</f>
        <v>KONTRAK</v>
      </c>
      <c r="AP500" s="12" t="s">
        <v>41</v>
      </c>
    </row>
    <row r="501" spans="1:42" ht="15" x14ac:dyDescent="0.2">
      <c r="A501" s="8" t="s">
        <v>42</v>
      </c>
      <c r="B501" s="9" t="s">
        <v>43</v>
      </c>
      <c r="C501" s="9">
        <v>516</v>
      </c>
      <c r="D501" s="9" t="s">
        <v>1112</v>
      </c>
      <c r="E501" s="9">
        <v>46</v>
      </c>
      <c r="F501" s="9" t="s">
        <v>1219</v>
      </c>
      <c r="G501" s="9" t="s">
        <v>1114</v>
      </c>
      <c r="H501" s="9" t="s">
        <v>287</v>
      </c>
      <c r="I501" s="9" t="s">
        <v>1220</v>
      </c>
      <c r="J501" s="9" t="s">
        <v>1225</v>
      </c>
      <c r="K501" s="9" t="s">
        <v>1226</v>
      </c>
      <c r="L501" s="10" t="s">
        <v>1226</v>
      </c>
      <c r="M501" s="9" t="s">
        <v>51</v>
      </c>
      <c r="N501" s="9">
        <v>306</v>
      </c>
      <c r="O501" s="9">
        <v>10</v>
      </c>
      <c r="P501" s="9">
        <v>286</v>
      </c>
      <c r="Q501" s="9">
        <v>296</v>
      </c>
      <c r="R501" s="9">
        <v>0.19</v>
      </c>
      <c r="S501" s="9">
        <v>-3.8415970000000002</v>
      </c>
      <c r="T501" s="9">
        <v>119.517386</v>
      </c>
      <c r="U501" s="9" t="s">
        <v>52</v>
      </c>
      <c r="V501" s="11" t="str">
        <f>VLOOKUP(L501,'[1]singkron data'!D:E,2,FALSE)</f>
        <v>CV. Buana Bahari</v>
      </c>
      <c r="W501" s="13">
        <f>VLOOKUP(L501,'[1]data 1129'!F:H,3,FALSE)</f>
        <v>4823134000</v>
      </c>
      <c r="X501" s="11" t="s">
        <v>55</v>
      </c>
      <c r="Y501" s="11">
        <f>VLOOKUP(L501,'[1]singkron data'!D:H,5,FALSE)</f>
        <v>0</v>
      </c>
      <c r="Z501" s="11">
        <f>VLOOKUP(L501,'[1]singkron data'!D:I,6,FALSE)</f>
        <v>0</v>
      </c>
      <c r="AA501" s="11" t="str">
        <f>VLOOKUP(L501,'[1]singkron data'!D:L,9,FALSE)</f>
        <v>085230797947/juniwang</v>
      </c>
      <c r="AB501" s="11" t="s">
        <v>54</v>
      </c>
      <c r="AC501" s="11" t="str">
        <f>VLOOKUP(L501,'[1]singkron data'!D:M,10,FALSE)</f>
        <v>Hyl</v>
      </c>
      <c r="AD501" s="11" t="str">
        <f>VLOOKUP(L501,'[1]data 1129'!F:O,10,FALSE)</f>
        <v>Tahap I 208</v>
      </c>
      <c r="AE501" s="11" t="str">
        <f>VLOOKUP(L501,'[1]singkron data'!D:P,13,FALSE)</f>
        <v>sudah</v>
      </c>
      <c r="AF501" s="11" t="s">
        <v>55</v>
      </c>
      <c r="AG501" s="17">
        <f>VLOOKUP(L501,'[1]update kontrak'!E:K,6,FALSE)</f>
        <v>4080194292</v>
      </c>
      <c r="AH501" s="11" t="str">
        <f>VLOOKUP(L501,'[1]update kontrak'!E:K,7,FALSE)</f>
        <v>KONTRAK</v>
      </c>
      <c r="AI501" s="11" t="s">
        <v>41</v>
      </c>
      <c r="AJ501" s="11" t="str">
        <f>VLOOKUP(L501,[1]rekap!D:M,1,FALSE)</f>
        <v>Pallameang</v>
      </c>
      <c r="AK501" s="11" t="str">
        <f>VLOOKUP(L501,'[1]singkron data'!D:E,2,FALSE)</f>
        <v>CV. Buana Bahari</v>
      </c>
      <c r="AL501" s="11" t="str">
        <f>VLOOKUP(L501,'[1]update 521'!D:D,1,FALSE)</f>
        <v>Pallameang</v>
      </c>
      <c r="AM501" s="11" t="s">
        <v>57</v>
      </c>
      <c r="AN501" s="17">
        <f>VLOOKUP(L501,[1]Sheet19!E:L,8,FALSE)</f>
        <v>4080194292</v>
      </c>
      <c r="AO501" s="11" t="str">
        <f>VLOOKUP(L501,[1]Sheet19!E:K,7,FALSE)</f>
        <v>KONTRAK</v>
      </c>
      <c r="AP501" s="12" t="s">
        <v>41</v>
      </c>
    </row>
    <row r="502" spans="1:42" ht="15" x14ac:dyDescent="0.2">
      <c r="A502" s="8" t="s">
        <v>42</v>
      </c>
      <c r="B502" s="9" t="s">
        <v>43</v>
      </c>
      <c r="C502" s="9">
        <v>517</v>
      </c>
      <c r="D502" s="9" t="s">
        <v>1112</v>
      </c>
      <c r="E502" s="9">
        <v>47</v>
      </c>
      <c r="F502" s="9" t="s">
        <v>1219</v>
      </c>
      <c r="G502" s="9" t="s">
        <v>1149</v>
      </c>
      <c r="H502" s="9" t="s">
        <v>287</v>
      </c>
      <c r="I502" s="9" t="s">
        <v>1209</v>
      </c>
      <c r="J502" s="9" t="s">
        <v>1227</v>
      </c>
      <c r="K502" s="9" t="s">
        <v>1228</v>
      </c>
      <c r="L502" s="10" t="s">
        <v>1228</v>
      </c>
      <c r="M502" s="9" t="s">
        <v>51</v>
      </c>
      <c r="N502" s="9">
        <v>580</v>
      </c>
      <c r="O502" s="9">
        <v>80</v>
      </c>
      <c r="P502" s="9">
        <v>100</v>
      </c>
      <c r="Q502" s="9">
        <v>180</v>
      </c>
      <c r="R502" s="9">
        <v>0.68</v>
      </c>
      <c r="S502" s="9">
        <v>-3.4455010000000001</v>
      </c>
      <c r="T502" s="9">
        <v>119.35977200000001</v>
      </c>
      <c r="U502" s="9" t="s">
        <v>52</v>
      </c>
      <c r="V502" s="11" t="str">
        <f>VLOOKUP(L502,'[1]singkron data'!D:E,2,FALSE)</f>
        <v>CV. RODA</v>
      </c>
      <c r="W502" s="13">
        <f>VLOOKUP(L502,'[1]data 1129'!F:H,3,FALSE)</f>
        <v>4590544000</v>
      </c>
      <c r="X502" s="11" t="s">
        <v>55</v>
      </c>
      <c r="Y502" s="11" t="str">
        <f>VLOOKUP(L502,'[1]singkron data'!D:H,5,FALSE)</f>
        <v>Mamuju</v>
      </c>
      <c r="Z502" s="11" t="str">
        <f>VLOOKUP(L502,'[1]singkron data'!D:I,6,FALSE)</f>
        <v>Online</v>
      </c>
      <c r="AA502" s="11" t="str">
        <f>VLOOKUP(L502,'[1]singkron data'!D:L,9,FALSE)</f>
        <v>085240304996/zulfikar/cvroda25@gmail.com</v>
      </c>
      <c r="AB502" s="11" t="s">
        <v>54</v>
      </c>
      <c r="AC502" s="11" t="str">
        <f>VLOOKUP(L502,'[1]singkron data'!D:M,10,FALSE)</f>
        <v>fraksi roem</v>
      </c>
      <c r="AD502" s="11" t="str">
        <f>VLOOKUP(L502,'[1]data 1129'!F:O,10,FALSE)</f>
        <v>Tahap I 208</v>
      </c>
      <c r="AE502" s="11" t="str">
        <f>VLOOKUP(L502,'[1]singkron data'!D:P,13,FALSE)</f>
        <v>sudah</v>
      </c>
      <c r="AF502" s="11" t="s">
        <v>55</v>
      </c>
      <c r="AG502" s="33">
        <f>VLOOKUP(L502,'[1]update kontrak'!E:K,6,FALSE)</f>
        <v>4530275000</v>
      </c>
      <c r="AH502" s="11" t="str">
        <f>VLOOKUP(L502,'[1]update kontrak'!E:K,7,FALSE)</f>
        <v>SPPBJ</v>
      </c>
      <c r="AI502" s="11" t="s">
        <v>58</v>
      </c>
      <c r="AJ502" s="11" t="str">
        <f>VLOOKUP(L502,[1]rekap!D:M,1,FALSE)</f>
        <v>Tonyaman</v>
      </c>
      <c r="AK502" s="11" t="str">
        <f>VLOOKUP(L502,'[1]singkron data'!D:E,2,FALSE)</f>
        <v>CV. RODA</v>
      </c>
      <c r="AL502" s="11" t="str">
        <f>VLOOKUP(L502,'[1]update 521'!D:D,1,FALSE)</f>
        <v>Tonyaman</v>
      </c>
      <c r="AM502" s="11" t="s">
        <v>57</v>
      </c>
      <c r="AN502" s="33">
        <f>VLOOKUP(L502,[1]Sheet19!E:L,8,FALSE)</f>
        <v>4530275000</v>
      </c>
      <c r="AO502" s="11" t="str">
        <f>VLOOKUP(L502,[1]Sheet19!E:K,7,FALSE)</f>
        <v>SPPBJ</v>
      </c>
      <c r="AP502" s="12"/>
    </row>
    <row r="503" spans="1:42" ht="15" x14ac:dyDescent="0.2">
      <c r="A503" s="8" t="s">
        <v>42</v>
      </c>
      <c r="B503" s="9" t="s">
        <v>43</v>
      </c>
      <c r="C503" s="9">
        <v>518</v>
      </c>
      <c r="D503" s="9" t="s">
        <v>1112</v>
      </c>
      <c r="E503" s="9">
        <v>48</v>
      </c>
      <c r="F503" s="9" t="s">
        <v>1229</v>
      </c>
      <c r="G503" s="9" t="s">
        <v>1125</v>
      </c>
      <c r="H503" s="9" t="s">
        <v>287</v>
      </c>
      <c r="I503" s="9" t="s">
        <v>1230</v>
      </c>
      <c r="J503" s="9" t="s">
        <v>1231</v>
      </c>
      <c r="K503" s="9" t="s">
        <v>1232</v>
      </c>
      <c r="L503" s="9" t="s">
        <v>1232</v>
      </c>
      <c r="M503" s="9" t="s">
        <v>65</v>
      </c>
      <c r="N503" s="9">
        <v>269</v>
      </c>
      <c r="O503" s="9">
        <v>61</v>
      </c>
      <c r="P503" s="9">
        <v>114</v>
      </c>
      <c r="Q503" s="9">
        <v>175</v>
      </c>
      <c r="R503" s="9">
        <v>0.7</v>
      </c>
      <c r="S503" s="9">
        <v>3.8317600000000001</v>
      </c>
      <c r="T503" s="9">
        <v>126.698306</v>
      </c>
      <c r="U503" s="9"/>
      <c r="V503" s="11" t="e">
        <f>VLOOKUP(L503,'[1]singkron data'!D:E,2,FALSE)</f>
        <v>#N/A</v>
      </c>
      <c r="W503" s="13">
        <f>VLOOKUP(L503,[1]Sheet18!A:B,2,FALSE)</f>
        <v>7094881000</v>
      </c>
      <c r="X503" s="11" t="s">
        <v>55</v>
      </c>
      <c r="Y503" s="11" t="e">
        <f>VLOOKUP(L503,'[1]singkron data'!D:H,5,FALSE)</f>
        <v>#N/A</v>
      </c>
      <c r="Z503" s="11" t="e">
        <f>VLOOKUP(L503,'[1]singkron data'!D:I,6,FALSE)</f>
        <v>#N/A</v>
      </c>
      <c r="AA503" s="11" t="e">
        <f>VLOOKUP(L503,'[1]singkron data'!D:L,9,FALSE)</f>
        <v>#N/A</v>
      </c>
      <c r="AB503" s="11" t="s">
        <v>694</v>
      </c>
      <c r="AC503" s="11" t="e">
        <f>VLOOKUP(L503,'[1]singkron data'!D:M,10,FALSE)</f>
        <v>#N/A</v>
      </c>
      <c r="AD503" s="11"/>
      <c r="AE503" s="11" t="e">
        <f>VLOOKUP(L503,'[1]singkron data'!D:P,13,FALSE)</f>
        <v>#N/A</v>
      </c>
      <c r="AF503" s="11" t="s">
        <v>55</v>
      </c>
      <c r="AG503" s="11" t="e">
        <f>VLOOKUP(L503,'[1]update kontrak'!E:K,6,FALSE)</f>
        <v>#N/A</v>
      </c>
      <c r="AH503" s="11" t="e">
        <f>VLOOKUP(L503,'[1]update kontrak'!E:K,7,FALSE)</f>
        <v>#N/A</v>
      </c>
      <c r="AI503" s="11"/>
      <c r="AJ503" s="11" t="str">
        <f>VLOOKUP(L503,[1]rekap!D:M,1,FALSE)</f>
        <v>Bitunuris Selatan</v>
      </c>
      <c r="AK503" s="11" t="e">
        <f>VLOOKUP(L503,'[1]singkron data'!D:E,2,FALSE)</f>
        <v>#N/A</v>
      </c>
      <c r="AL503" s="11" t="str">
        <f>VLOOKUP(L503,'[1]update 521'!D:D,1,FALSE)</f>
        <v>Bitunuris Selatan</v>
      </c>
      <c r="AM503" s="11" t="s">
        <v>57</v>
      </c>
      <c r="AN503" s="11" t="e">
        <f>VLOOKUP(L503,[1]Sheet19!E:L,8,FALSE)</f>
        <v>#N/A</v>
      </c>
      <c r="AO503" s="11" t="s">
        <v>1129</v>
      </c>
      <c r="AP503" s="12"/>
    </row>
    <row r="504" spans="1:42" ht="15" x14ac:dyDescent="0.2">
      <c r="A504" s="8" t="s">
        <v>42</v>
      </c>
      <c r="B504" s="9" t="s">
        <v>43</v>
      </c>
      <c r="C504" s="9">
        <v>519</v>
      </c>
      <c r="D504" s="9" t="s">
        <v>1112</v>
      </c>
      <c r="E504" s="9">
        <v>49</v>
      </c>
      <c r="F504" s="9" t="s">
        <v>1229</v>
      </c>
      <c r="G504" s="9" t="s">
        <v>1125</v>
      </c>
      <c r="H504" s="9" t="s">
        <v>287</v>
      </c>
      <c r="I504" s="9" t="s">
        <v>1230</v>
      </c>
      <c r="J504" s="9" t="s">
        <v>1233</v>
      </c>
      <c r="K504" s="9" t="s">
        <v>1234</v>
      </c>
      <c r="L504" s="9" t="s">
        <v>1234</v>
      </c>
      <c r="M504" s="9" t="s">
        <v>51</v>
      </c>
      <c r="N504" s="9">
        <v>110</v>
      </c>
      <c r="O504" s="9">
        <v>20</v>
      </c>
      <c r="P504" s="9">
        <v>38</v>
      </c>
      <c r="Q504" s="9">
        <v>58</v>
      </c>
      <c r="R504" s="9">
        <v>0.2</v>
      </c>
      <c r="S504" s="9">
        <v>4.3310009999999997</v>
      </c>
      <c r="T504" s="9">
        <v>126.691991</v>
      </c>
      <c r="U504" s="9"/>
      <c r="V504" s="11" t="e">
        <f>VLOOKUP(L504,'[1]singkron data'!D:E,2,FALSE)</f>
        <v>#N/A</v>
      </c>
      <c r="W504" s="13">
        <f>VLOOKUP(L504,[1]Sheet18!A:B,2,FALSE)</f>
        <v>4926621000</v>
      </c>
      <c r="X504" s="11" t="s">
        <v>55</v>
      </c>
      <c r="Y504" s="11" t="e">
        <f>VLOOKUP(L504,'[1]singkron data'!D:H,5,FALSE)</f>
        <v>#N/A</v>
      </c>
      <c r="Z504" s="11" t="e">
        <f>VLOOKUP(L504,'[1]singkron data'!D:I,6,FALSE)</f>
        <v>#N/A</v>
      </c>
      <c r="AA504" s="11" t="e">
        <f>VLOOKUP(L504,'[1]singkron data'!D:L,9,FALSE)</f>
        <v>#N/A</v>
      </c>
      <c r="AB504" s="11" t="s">
        <v>694</v>
      </c>
      <c r="AC504" s="11" t="e">
        <f>VLOOKUP(L504,'[1]singkron data'!D:M,10,FALSE)</f>
        <v>#N/A</v>
      </c>
      <c r="AD504" s="11"/>
      <c r="AE504" s="11" t="e">
        <f>VLOOKUP(L504,'[1]singkron data'!D:P,13,FALSE)</f>
        <v>#N/A</v>
      </c>
      <c r="AF504" s="11" t="s">
        <v>55</v>
      </c>
      <c r="AG504" s="11" t="e">
        <f>VLOOKUP(L504,'[1]update kontrak'!E:K,6,FALSE)</f>
        <v>#N/A</v>
      </c>
      <c r="AH504" s="11" t="e">
        <f>VLOOKUP(L504,'[1]update kontrak'!E:K,7,FALSE)</f>
        <v>#N/A</v>
      </c>
      <c r="AI504" s="11"/>
      <c r="AJ504" s="11" t="str">
        <f>VLOOKUP(L504,[1]rekap!D:M,1,FALSE)</f>
        <v>Awit Selatan</v>
      </c>
      <c r="AK504" s="11" t="e">
        <f>VLOOKUP(L504,'[1]singkron data'!D:E,2,FALSE)</f>
        <v>#N/A</v>
      </c>
      <c r="AL504" s="11" t="str">
        <f>VLOOKUP(L504,'[1]update 521'!D:D,1,FALSE)</f>
        <v>Awit Selatan</v>
      </c>
      <c r="AM504" s="11" t="s">
        <v>57</v>
      </c>
      <c r="AN504" s="11" t="e">
        <f>VLOOKUP(L504,[1]Sheet19!E:L,8,FALSE)</f>
        <v>#N/A</v>
      </c>
      <c r="AO504" s="11" t="s">
        <v>1129</v>
      </c>
      <c r="AP504" s="12"/>
    </row>
    <row r="505" spans="1:42" ht="15" x14ac:dyDescent="0.2">
      <c r="A505" s="8" t="s">
        <v>42</v>
      </c>
      <c r="B505" s="9" t="s">
        <v>43</v>
      </c>
      <c r="C505" s="9">
        <v>520</v>
      </c>
      <c r="D505" s="9" t="s">
        <v>1112</v>
      </c>
      <c r="E505" s="9">
        <v>50</v>
      </c>
      <c r="F505" s="9" t="s">
        <v>1229</v>
      </c>
      <c r="G505" s="9" t="s">
        <v>1125</v>
      </c>
      <c r="H505" s="9" t="s">
        <v>287</v>
      </c>
      <c r="I505" s="9" t="s">
        <v>1230</v>
      </c>
      <c r="J505" s="9" t="s">
        <v>1235</v>
      </c>
      <c r="K505" s="9" t="s">
        <v>1236</v>
      </c>
      <c r="L505" s="9" t="s">
        <v>1236</v>
      </c>
      <c r="M505" s="9" t="s">
        <v>51</v>
      </c>
      <c r="N505" s="9">
        <v>233</v>
      </c>
      <c r="O505" s="9">
        <v>20</v>
      </c>
      <c r="P505" s="9">
        <v>109</v>
      </c>
      <c r="Q505" s="9">
        <v>129</v>
      </c>
      <c r="R505" s="9">
        <v>0.3</v>
      </c>
      <c r="S505" s="9">
        <v>4.0331172000000004</v>
      </c>
      <c r="T505" s="9">
        <v>126.8026405</v>
      </c>
      <c r="U505" s="9"/>
      <c r="V505" s="11" t="e">
        <f>VLOOKUP(L505,'[1]singkron data'!D:E,2,FALSE)</f>
        <v>#N/A</v>
      </c>
      <c r="W505" s="13">
        <f>VLOOKUP(L505,[1]Sheet18!A:B,2,FALSE)</f>
        <v>3755957000</v>
      </c>
      <c r="X505" s="11" t="s">
        <v>55</v>
      </c>
      <c r="Y505" s="11" t="e">
        <f>VLOOKUP(L505,'[1]singkron data'!D:H,5,FALSE)</f>
        <v>#N/A</v>
      </c>
      <c r="Z505" s="11" t="e">
        <f>VLOOKUP(L505,'[1]singkron data'!D:I,6,FALSE)</f>
        <v>#N/A</v>
      </c>
      <c r="AA505" s="11" t="e">
        <f>VLOOKUP(L505,'[1]singkron data'!D:L,9,FALSE)</f>
        <v>#N/A</v>
      </c>
      <c r="AB505" s="11" t="s">
        <v>694</v>
      </c>
      <c r="AC505" s="11" t="e">
        <f>VLOOKUP(L505,'[1]singkron data'!D:M,10,FALSE)</f>
        <v>#N/A</v>
      </c>
      <c r="AD505" s="11"/>
      <c r="AE505" s="11" t="e">
        <f>VLOOKUP(L505,'[1]singkron data'!D:P,13,FALSE)</f>
        <v>#N/A</v>
      </c>
      <c r="AF505" s="11" t="s">
        <v>55</v>
      </c>
      <c r="AG505" s="11" t="e">
        <f>VLOOKUP(L505,'[1]update kontrak'!E:K,6,FALSE)</f>
        <v>#N/A</v>
      </c>
      <c r="AH505" s="11" t="e">
        <f>VLOOKUP(L505,'[1]update kontrak'!E:K,7,FALSE)</f>
        <v>#N/A</v>
      </c>
      <c r="AI505" s="11"/>
      <c r="AJ505" s="11" t="str">
        <f>VLOOKUP(L505,[1]rekap!D:M,1,FALSE)</f>
        <v>Bowombaru</v>
      </c>
      <c r="AK505" s="11" t="e">
        <f>VLOOKUP(L505,'[1]singkron data'!D:E,2,FALSE)</f>
        <v>#N/A</v>
      </c>
      <c r="AL505" s="11" t="str">
        <f>VLOOKUP(L505,'[1]update 521'!D:D,1,FALSE)</f>
        <v>Bowombaru</v>
      </c>
      <c r="AM505" s="11" t="s">
        <v>57</v>
      </c>
      <c r="AN505" s="11" t="e">
        <f>VLOOKUP(L505,[1]Sheet19!E:L,8,FALSE)</f>
        <v>#N/A</v>
      </c>
      <c r="AO505" s="11" t="s">
        <v>1129</v>
      </c>
      <c r="AP505" s="12"/>
    </row>
    <row r="506" spans="1:42" ht="15" x14ac:dyDescent="0.2">
      <c r="A506" s="8" t="s">
        <v>42</v>
      </c>
      <c r="B506" s="9" t="s">
        <v>43</v>
      </c>
      <c r="C506" s="9">
        <v>521</v>
      </c>
      <c r="D506" s="9" t="s">
        <v>1112</v>
      </c>
      <c r="E506" s="9">
        <v>51</v>
      </c>
      <c r="F506" s="9" t="s">
        <v>1229</v>
      </c>
      <c r="G506" s="9" t="s">
        <v>1125</v>
      </c>
      <c r="H506" s="9" t="s">
        <v>287</v>
      </c>
      <c r="I506" s="9" t="s">
        <v>1230</v>
      </c>
      <c r="J506" s="9" t="s">
        <v>1237</v>
      </c>
      <c r="K506" s="9" t="s">
        <v>1238</v>
      </c>
      <c r="L506" s="9" t="s">
        <v>1238</v>
      </c>
      <c r="M506" s="9" t="s">
        <v>81</v>
      </c>
      <c r="N506" s="9">
        <v>122</v>
      </c>
      <c r="O506" s="9">
        <v>12</v>
      </c>
      <c r="P506" s="9">
        <v>89</v>
      </c>
      <c r="Q506" s="9">
        <v>101</v>
      </c>
      <c r="R506" s="9">
        <v>0.5</v>
      </c>
      <c r="S506" s="9">
        <v>5.5510137999999998</v>
      </c>
      <c r="T506" s="9">
        <v>126.5826505</v>
      </c>
      <c r="U506" s="9"/>
      <c r="V506" s="11" t="e">
        <f>VLOOKUP(L506,'[1]singkron data'!D:E,2,FALSE)</f>
        <v>#N/A</v>
      </c>
      <c r="W506" s="13">
        <v>5725280000</v>
      </c>
      <c r="X506" s="11" t="s">
        <v>55</v>
      </c>
      <c r="Y506" s="11" t="e">
        <f>VLOOKUP(L506,'[1]singkron data'!D:H,5,FALSE)</f>
        <v>#N/A</v>
      </c>
      <c r="Z506" s="11" t="e">
        <f>VLOOKUP(L506,'[1]singkron data'!D:I,6,FALSE)</f>
        <v>#N/A</v>
      </c>
      <c r="AA506" s="11" t="e">
        <f>VLOOKUP(L506,'[1]singkron data'!D:L,9,FALSE)</f>
        <v>#N/A</v>
      </c>
      <c r="AB506" s="11" t="s">
        <v>694</v>
      </c>
      <c r="AC506" s="11" t="e">
        <f>VLOOKUP(L506,'[1]singkron data'!D:M,10,FALSE)</f>
        <v>#N/A</v>
      </c>
      <c r="AD506" s="11"/>
      <c r="AE506" s="11" t="e">
        <f>VLOOKUP(L506,'[1]singkron data'!D:P,13,FALSE)</f>
        <v>#N/A</v>
      </c>
      <c r="AF506" s="11" t="s">
        <v>55</v>
      </c>
      <c r="AG506" s="11" t="e">
        <f>VLOOKUP(L506,'[1]update kontrak'!E:K,6,FALSE)</f>
        <v>#N/A</v>
      </c>
      <c r="AH506" s="11" t="e">
        <f>VLOOKUP(L506,'[1]update kontrak'!E:K,7,FALSE)</f>
        <v>#N/A</v>
      </c>
      <c r="AI506" s="11"/>
      <c r="AJ506" s="11" t="str">
        <f>VLOOKUP(L506,[1]rekap!D:M,1,FALSE)</f>
        <v>Pulau Miangas</v>
      </c>
      <c r="AK506" s="11" t="e">
        <f>VLOOKUP(L506,'[1]singkron data'!D:E,2,FALSE)</f>
        <v>#N/A</v>
      </c>
      <c r="AL506" s="11" t="str">
        <f>VLOOKUP(L506,'[1]update 521'!D:D,1,FALSE)</f>
        <v>Pulau Miangas</v>
      </c>
      <c r="AM506" s="11" t="s">
        <v>57</v>
      </c>
      <c r="AN506" s="11" t="e">
        <f>VLOOKUP(L506,[1]Sheet19!E:L,8,FALSE)</f>
        <v>#N/A</v>
      </c>
      <c r="AO506" s="11" t="s">
        <v>1129</v>
      </c>
      <c r="AP506" s="12"/>
    </row>
    <row r="507" spans="1:42" ht="15" x14ac:dyDescent="0.2">
      <c r="A507" s="8" t="s">
        <v>42</v>
      </c>
      <c r="B507" s="9" t="s">
        <v>43</v>
      </c>
      <c r="C507" s="9">
        <v>522</v>
      </c>
      <c r="D507" s="9" t="s">
        <v>1112</v>
      </c>
      <c r="E507" s="9">
        <v>52</v>
      </c>
      <c r="F507" s="9" t="s">
        <v>1239</v>
      </c>
      <c r="G507" s="9" t="s">
        <v>1125</v>
      </c>
      <c r="H507" s="9" t="s">
        <v>287</v>
      </c>
      <c r="I507" s="9" t="s">
        <v>1240</v>
      </c>
      <c r="J507" s="9" t="s">
        <v>1241</v>
      </c>
      <c r="K507" s="9" t="s">
        <v>1242</v>
      </c>
      <c r="L507" s="9" t="s">
        <v>1242</v>
      </c>
      <c r="M507" s="9" t="s">
        <v>65</v>
      </c>
      <c r="N507" s="9">
        <v>180</v>
      </c>
      <c r="O507" s="9">
        <v>32</v>
      </c>
      <c r="P507" s="9">
        <v>86</v>
      </c>
      <c r="Q507" s="9">
        <v>118</v>
      </c>
      <c r="R507" s="9">
        <v>1</v>
      </c>
      <c r="S507" s="9">
        <v>0.90989200000000003</v>
      </c>
      <c r="T507" s="9">
        <v>123.30038500000001</v>
      </c>
      <c r="U507" s="9"/>
      <c r="V507" s="11" t="e">
        <f>VLOOKUP(L507,'[1]singkron data'!D:E,2,FALSE)</f>
        <v>#N/A</v>
      </c>
      <c r="W507" s="13">
        <f>VLOOKUP(L507,[1]Sheet18!A:B,2,FALSE)</f>
        <v>8520908000</v>
      </c>
      <c r="X507" s="11" t="s">
        <v>55</v>
      </c>
      <c r="Y507" s="11" t="e">
        <f>VLOOKUP(L507,'[1]singkron data'!D:H,5,FALSE)</f>
        <v>#N/A</v>
      </c>
      <c r="Z507" s="11" t="e">
        <f>VLOOKUP(L507,'[1]singkron data'!D:I,6,FALSE)</f>
        <v>#N/A</v>
      </c>
      <c r="AA507" s="11" t="e">
        <f>VLOOKUP(L507,'[1]singkron data'!D:L,9,FALSE)</f>
        <v>#N/A</v>
      </c>
      <c r="AB507" s="11" t="s">
        <v>694</v>
      </c>
      <c r="AC507" s="11" t="e">
        <f>VLOOKUP(L507,'[1]singkron data'!D:M,10,FALSE)</f>
        <v>#N/A</v>
      </c>
      <c r="AD507" s="11"/>
      <c r="AE507" s="11" t="e">
        <f>VLOOKUP(L507,'[1]singkron data'!D:P,13,FALSE)</f>
        <v>#N/A</v>
      </c>
      <c r="AF507" s="11" t="s">
        <v>55</v>
      </c>
      <c r="AG507" s="11" t="e">
        <f>VLOOKUP(L507,'[1]update kontrak'!E:K,6,FALSE)</f>
        <v>#N/A</v>
      </c>
      <c r="AH507" s="11" t="e">
        <f>VLOOKUP(L507,'[1]update kontrak'!E:K,7,FALSE)</f>
        <v>#N/A</v>
      </c>
      <c r="AI507" s="11"/>
      <c r="AJ507" s="11" t="str">
        <f>VLOOKUP(L507,[1]rekap!D:M,1,FALSE)</f>
        <v>Bolangitang I</v>
      </c>
      <c r="AK507" s="11" t="e">
        <f>VLOOKUP(L507,'[1]singkron data'!D:E,2,FALSE)</f>
        <v>#N/A</v>
      </c>
      <c r="AL507" s="11" t="str">
        <f>VLOOKUP(L507,'[1]update 521'!D:D,1,FALSE)</f>
        <v>Bolangitang I</v>
      </c>
      <c r="AM507" s="11" t="s">
        <v>57</v>
      </c>
      <c r="AN507" s="11" t="e">
        <f>VLOOKUP(L507,[1]Sheet19!E:L,8,FALSE)</f>
        <v>#N/A</v>
      </c>
      <c r="AO507" s="11" t="s">
        <v>1129</v>
      </c>
      <c r="AP507" s="12"/>
    </row>
    <row r="508" spans="1:42" ht="15" x14ac:dyDescent="0.2">
      <c r="A508" s="8" t="s">
        <v>42</v>
      </c>
      <c r="B508" s="9" t="s">
        <v>43</v>
      </c>
      <c r="C508" s="9">
        <v>523</v>
      </c>
      <c r="D508" s="9" t="s">
        <v>1112</v>
      </c>
      <c r="E508" s="9">
        <v>53</v>
      </c>
      <c r="F508" s="9" t="s">
        <v>1239</v>
      </c>
      <c r="G508" s="9" t="s">
        <v>1243</v>
      </c>
      <c r="H508" s="9" t="s">
        <v>287</v>
      </c>
      <c r="I508" s="9" t="s">
        <v>1244</v>
      </c>
      <c r="J508" s="9" t="s">
        <v>1245</v>
      </c>
      <c r="K508" s="9" t="s">
        <v>1246</v>
      </c>
      <c r="L508" s="10" t="s">
        <v>1246</v>
      </c>
      <c r="M508" s="9" t="s">
        <v>51</v>
      </c>
      <c r="N508" s="9">
        <v>76</v>
      </c>
      <c r="O508" s="9">
        <v>2</v>
      </c>
      <c r="P508" s="9">
        <v>84</v>
      </c>
      <c r="Q508" s="9">
        <v>86</v>
      </c>
      <c r="R508" s="9">
        <v>1</v>
      </c>
      <c r="S508" s="9">
        <v>0.92544400000000004</v>
      </c>
      <c r="T508" s="9">
        <v>123.10336100000001</v>
      </c>
      <c r="U508" s="9" t="s">
        <v>52</v>
      </c>
      <c r="V508" s="11" t="str">
        <f>VLOOKUP(L508,'[1]singkron data'!D:E,2,FALSE)</f>
        <v>PT. Tata Sejatera Indonesia (Menengah)</v>
      </c>
      <c r="W508" s="13">
        <f>VLOOKUP(L508,'[1]data 1129'!F:H,3,FALSE)</f>
        <v>4780636000</v>
      </c>
      <c r="X508" s="11" t="s">
        <v>55</v>
      </c>
      <c r="Y508" s="11">
        <f>VLOOKUP(L508,'[1]singkron data'!D:H,5,FALSE)</f>
        <v>0</v>
      </c>
      <c r="Z508" s="11">
        <f>VLOOKUP(L508,'[1]singkron data'!D:I,6,FALSE)</f>
        <v>0</v>
      </c>
      <c r="AA508" s="11" t="str">
        <f>VLOOKUP(L508,'[1]singkron data'!D:L,9,FALSE)</f>
        <v>089624211934/ricky</v>
      </c>
      <c r="AB508" s="11" t="s">
        <v>54</v>
      </c>
      <c r="AC508" s="11" t="str">
        <f>VLOOKUP(L508,'[1]singkron data'!D:M,10,FALSE)</f>
        <v>Hyl</v>
      </c>
      <c r="AD508" s="11" t="str">
        <f>VLOOKUP(L508,'[1]data 1129'!F:O,10,FALSE)</f>
        <v>Tahap IV 200</v>
      </c>
      <c r="AE508" s="11" t="str">
        <f>VLOOKUP(L508,'[1]singkron data'!D:P,13,FALSE)</f>
        <v>sudah</v>
      </c>
      <c r="AF508" s="11" t="s">
        <v>55</v>
      </c>
      <c r="AG508" s="11" t="e">
        <f>VLOOKUP(L508,'[1]update kontrak'!E:K,6,FALSE)</f>
        <v>#N/A</v>
      </c>
      <c r="AH508" s="11" t="e">
        <f>VLOOKUP(L508,'[1]update kontrak'!E:K,7,FALSE)</f>
        <v>#N/A</v>
      </c>
      <c r="AI508" s="11" t="s">
        <v>58</v>
      </c>
      <c r="AJ508" s="11" t="str">
        <f>VLOOKUP(L508,[1]rekap!D:M,1,FALSE)</f>
        <v>Kotajin Utara</v>
      </c>
      <c r="AK508" s="11" t="str">
        <f t="shared" ref="AK508:AK510" si="2">AJ508</f>
        <v>Kotajin Utara</v>
      </c>
      <c r="AL508" s="11" t="str">
        <f>VLOOKUP(L508,'[1]update 521'!D:D,1,FALSE)</f>
        <v>Kotajin Utara</v>
      </c>
      <c r="AM508" s="11" t="s">
        <v>57</v>
      </c>
      <c r="AN508" s="17">
        <f>VLOOKUP(L508,[1]Sheet19!E:L,8,FALSE)</f>
        <v>3333127756.8899999</v>
      </c>
      <c r="AO508" s="11" t="str">
        <f>VLOOKUP(L508,[1]Sheet19!E:K,7,FALSE)</f>
        <v>KONTRAK</v>
      </c>
      <c r="AP508" s="12" t="s">
        <v>41</v>
      </c>
    </row>
    <row r="509" spans="1:42" ht="15" x14ac:dyDescent="0.2">
      <c r="A509" s="8" t="s">
        <v>42</v>
      </c>
      <c r="B509" s="9" t="s">
        <v>43</v>
      </c>
      <c r="C509" s="9">
        <v>524</v>
      </c>
      <c r="D509" s="9" t="s">
        <v>1112</v>
      </c>
      <c r="E509" s="9">
        <v>54</v>
      </c>
      <c r="F509" s="9" t="s">
        <v>1239</v>
      </c>
      <c r="G509" s="9" t="s">
        <v>1243</v>
      </c>
      <c r="H509" s="9" t="s">
        <v>287</v>
      </c>
      <c r="I509" s="9" t="s">
        <v>1244</v>
      </c>
      <c r="J509" s="9" t="s">
        <v>1245</v>
      </c>
      <c r="K509" s="9" t="s">
        <v>1247</v>
      </c>
      <c r="L509" s="10" t="s">
        <v>1247</v>
      </c>
      <c r="M509" s="9" t="s">
        <v>51</v>
      </c>
      <c r="N509" s="9">
        <v>70</v>
      </c>
      <c r="O509" s="9">
        <v>2</v>
      </c>
      <c r="P509" s="9">
        <v>73</v>
      </c>
      <c r="Q509" s="9">
        <v>75</v>
      </c>
      <c r="R509" s="9">
        <v>0.5</v>
      </c>
      <c r="S509" s="9">
        <v>0.90655600000000003</v>
      </c>
      <c r="T509" s="9">
        <v>123.088167</v>
      </c>
      <c r="U509" s="9" t="s">
        <v>52</v>
      </c>
      <c r="V509" s="11" t="str">
        <f>VLOOKUP(L509,'[1]singkron data'!D:E,2,FALSE)</f>
        <v>PT. Tata Sejatera Indonesia (Menengah)</v>
      </c>
      <c r="W509" s="13">
        <f>VLOOKUP(L509,'[1]data 1129'!F:H,3,FALSE)</f>
        <v>4500000000</v>
      </c>
      <c r="X509" s="11" t="s">
        <v>55</v>
      </c>
      <c r="Y509" s="11" t="str">
        <f>VLOOKUP(L509,'[1]singkron data'!D:H,5,FALSE)</f>
        <v>Bandung</v>
      </c>
      <c r="Z509" s="11">
        <f>VLOOKUP(L509,'[1]singkron data'!D:I,6,FALSE)</f>
        <v>0</v>
      </c>
      <c r="AA509" s="11" t="str">
        <f>VLOOKUP(L509,'[1]singkron data'!D:L,9,FALSE)</f>
        <v>089624211934/ricky</v>
      </c>
      <c r="AB509" s="11" t="s">
        <v>54</v>
      </c>
      <c r="AC509" s="11" t="str">
        <f>VLOOKUP(L509,'[1]singkron data'!D:M,10,FALSE)</f>
        <v>Hyl</v>
      </c>
      <c r="AD509" s="11" t="str">
        <f>VLOOKUP(L509,'[1]data 1129'!F:O,10,FALSE)</f>
        <v>Tahap III 166</v>
      </c>
      <c r="AE509" s="11" t="str">
        <f>VLOOKUP(L509,'[1]singkron data'!D:P,13,FALSE)</f>
        <v>sudah</v>
      </c>
      <c r="AF509" s="11" t="s">
        <v>55</v>
      </c>
      <c r="AG509" s="11" t="e">
        <f>VLOOKUP(L509,'[1]update kontrak'!E:K,6,FALSE)</f>
        <v>#N/A</v>
      </c>
      <c r="AH509" s="11" t="e">
        <f>VLOOKUP(L509,'[1]update kontrak'!E:K,7,FALSE)</f>
        <v>#N/A</v>
      </c>
      <c r="AI509" s="11" t="s">
        <v>58</v>
      </c>
      <c r="AJ509" s="11" t="str">
        <f>VLOOKUP(L509,[1]rekap!D:M,1,FALSE)</f>
        <v>Imana</v>
      </c>
      <c r="AK509" s="11" t="str">
        <f t="shared" si="2"/>
        <v>Imana</v>
      </c>
      <c r="AL509" s="11" t="str">
        <f>VLOOKUP(L509,'[1]update 521'!D:D,1,FALSE)</f>
        <v>Imana</v>
      </c>
      <c r="AM509" s="11" t="s">
        <v>57</v>
      </c>
      <c r="AN509" s="17">
        <f>VLOOKUP(L509,[1]Sheet19!E:L,8,FALSE)</f>
        <v>4355824971.5100002</v>
      </c>
      <c r="AO509" s="11" t="str">
        <f>VLOOKUP(L509,[1]Sheet19!E:K,7,FALSE)</f>
        <v>KONTRAK</v>
      </c>
      <c r="AP509" s="12" t="s">
        <v>41</v>
      </c>
    </row>
    <row r="510" spans="1:42" ht="15" x14ac:dyDescent="0.2">
      <c r="A510" s="8" t="s">
        <v>42</v>
      </c>
      <c r="B510" s="9" t="s">
        <v>43</v>
      </c>
      <c r="C510" s="9">
        <v>525</v>
      </c>
      <c r="D510" s="9" t="s">
        <v>1112</v>
      </c>
      <c r="E510" s="9">
        <v>55</v>
      </c>
      <c r="F510" s="9" t="s">
        <v>1239</v>
      </c>
      <c r="G510" s="9" t="s">
        <v>1243</v>
      </c>
      <c r="H510" s="9" t="s">
        <v>287</v>
      </c>
      <c r="I510" s="9" t="s">
        <v>1244</v>
      </c>
      <c r="J510" s="9" t="s">
        <v>1248</v>
      </c>
      <c r="K510" s="9" t="s">
        <v>1249</v>
      </c>
      <c r="L510" s="10" t="s">
        <v>1249</v>
      </c>
      <c r="M510" s="9" t="s">
        <v>51</v>
      </c>
      <c r="N510" s="9">
        <v>92</v>
      </c>
      <c r="O510" s="9">
        <v>3</v>
      </c>
      <c r="P510" s="9">
        <v>71</v>
      </c>
      <c r="Q510" s="9">
        <v>74</v>
      </c>
      <c r="R510" s="9">
        <v>0.19</v>
      </c>
      <c r="S510" s="9">
        <v>0.92613900000000005</v>
      </c>
      <c r="T510" s="9">
        <v>123.056028</v>
      </c>
      <c r="U510" s="9" t="s">
        <v>52</v>
      </c>
      <c r="V510" s="11" t="str">
        <f>VLOOKUP(L510,'[1]singkron data'!D:E,2,FALSE)</f>
        <v>PT. Tata Sejatera Indonesia (Menengah)</v>
      </c>
      <c r="W510" s="13">
        <f>VLOOKUP(L510,'[1]data 1129'!F:H,3,FALSE)</f>
        <v>4780636000</v>
      </c>
      <c r="X510" s="11" t="s">
        <v>55</v>
      </c>
      <c r="Y510" s="11" t="str">
        <f>VLOOKUP(L510,'[1]singkron data'!D:H,5,FALSE)</f>
        <v>Bandung</v>
      </c>
      <c r="Z510" s="11">
        <f>VLOOKUP(L510,'[1]singkron data'!D:I,6,FALSE)</f>
        <v>0</v>
      </c>
      <c r="AA510" s="11" t="str">
        <f>VLOOKUP(L510,'[1]singkron data'!D:L,9,FALSE)</f>
        <v>089624211934/ricky</v>
      </c>
      <c r="AB510" s="11" t="s">
        <v>54</v>
      </c>
      <c r="AC510" s="11" t="str">
        <f>VLOOKUP(L510,'[1]singkron data'!D:M,10,FALSE)</f>
        <v>Hyl</v>
      </c>
      <c r="AD510" s="11" t="str">
        <f>VLOOKUP(L510,'[1]data 1129'!F:O,10,FALSE)</f>
        <v>Tahap IV 200</v>
      </c>
      <c r="AE510" s="11" t="str">
        <f>VLOOKUP(L510,'[1]singkron data'!D:P,13,FALSE)</f>
        <v>sudah</v>
      </c>
      <c r="AF510" s="11" t="s">
        <v>55</v>
      </c>
      <c r="AG510" s="11" t="e">
        <f>VLOOKUP(L510,'[1]update kontrak'!E:K,6,FALSE)</f>
        <v>#N/A</v>
      </c>
      <c r="AH510" s="11" t="e">
        <f>VLOOKUP(L510,'[1]update kontrak'!E:K,7,FALSE)</f>
        <v>#N/A</v>
      </c>
      <c r="AI510" s="11" t="s">
        <v>58</v>
      </c>
      <c r="AJ510" s="11" t="str">
        <f>VLOOKUP(L510,[1]rekap!D:M,1,FALSE)</f>
        <v>Dumolodo</v>
      </c>
      <c r="AK510" s="11" t="str">
        <f t="shared" si="2"/>
        <v>Dumolodo</v>
      </c>
      <c r="AL510" s="11" t="str">
        <f>VLOOKUP(L510,'[1]update 521'!D:D,1,FALSE)</f>
        <v>Dumolodo</v>
      </c>
      <c r="AM510" s="11" t="s">
        <v>57</v>
      </c>
      <c r="AN510" s="17">
        <f>VLOOKUP(L510,[1]Sheet19!E:L,8,FALSE)</f>
        <v>3527152757.6700001</v>
      </c>
      <c r="AO510" s="11" t="str">
        <f>VLOOKUP(L510,[1]Sheet19!E:K,7,FALSE)</f>
        <v>KONTRAK</v>
      </c>
      <c r="AP510" s="12" t="s">
        <v>41</v>
      </c>
    </row>
    <row r="511" spans="1:42" ht="15" x14ac:dyDescent="0.2">
      <c r="A511" s="8" t="s">
        <v>42</v>
      </c>
      <c r="B511" s="9" t="s">
        <v>43</v>
      </c>
      <c r="C511" s="9">
        <v>526</v>
      </c>
      <c r="D511" s="9" t="s">
        <v>1112</v>
      </c>
      <c r="E511" s="9">
        <v>56</v>
      </c>
      <c r="F511" s="9" t="s">
        <v>1239</v>
      </c>
      <c r="G511" s="9" t="s">
        <v>1125</v>
      </c>
      <c r="H511" s="9" t="s">
        <v>287</v>
      </c>
      <c r="I511" s="9" t="s">
        <v>1240</v>
      </c>
      <c r="J511" s="9" t="s">
        <v>1250</v>
      </c>
      <c r="K511" s="9" t="s">
        <v>1251</v>
      </c>
      <c r="L511" s="9" t="s">
        <v>1251</v>
      </c>
      <c r="M511" s="9" t="s">
        <v>51</v>
      </c>
      <c r="N511" s="9">
        <v>101</v>
      </c>
      <c r="O511" s="9">
        <v>32</v>
      </c>
      <c r="P511" s="9">
        <v>58</v>
      </c>
      <c r="Q511" s="9">
        <v>90</v>
      </c>
      <c r="R511" s="9">
        <v>0.27</v>
      </c>
      <c r="S511" s="9">
        <v>0.94845999999999997</v>
      </c>
      <c r="T511" s="9">
        <v>123.171706</v>
      </c>
      <c r="U511" s="9"/>
      <c r="V511" s="11" t="e">
        <f>VLOOKUP(L511,'[1]singkron data'!D:E,2,FALSE)</f>
        <v>#N/A</v>
      </c>
      <c r="W511" s="13">
        <f>VLOOKUP(L511,[1]Sheet18!A:B,2,FALSE)</f>
        <v>4476989000</v>
      </c>
      <c r="X511" s="11" t="s">
        <v>55</v>
      </c>
      <c r="Y511" s="11" t="e">
        <f>VLOOKUP(L511,'[1]singkron data'!D:H,5,FALSE)</f>
        <v>#N/A</v>
      </c>
      <c r="Z511" s="11" t="e">
        <f>VLOOKUP(L511,'[1]singkron data'!D:I,6,FALSE)</f>
        <v>#N/A</v>
      </c>
      <c r="AA511" s="11" t="e">
        <f>VLOOKUP(L511,'[1]singkron data'!D:L,9,FALSE)</f>
        <v>#N/A</v>
      </c>
      <c r="AB511" s="11" t="s">
        <v>694</v>
      </c>
      <c r="AC511" s="11" t="e">
        <f>VLOOKUP(L511,'[1]singkron data'!D:M,10,FALSE)</f>
        <v>#N/A</v>
      </c>
      <c r="AD511" s="11"/>
      <c r="AE511" s="11" t="e">
        <f>VLOOKUP(L511,'[1]singkron data'!D:P,13,FALSE)</f>
        <v>#N/A</v>
      </c>
      <c r="AF511" s="11" t="s">
        <v>55</v>
      </c>
      <c r="AG511" s="11" t="e">
        <f>VLOOKUP(L511,'[1]update kontrak'!E:K,6,FALSE)</f>
        <v>#N/A</v>
      </c>
      <c r="AH511" s="11" t="e">
        <f>VLOOKUP(L511,'[1]update kontrak'!E:K,7,FALSE)</f>
        <v>#N/A</v>
      </c>
      <c r="AI511" s="11"/>
      <c r="AJ511" s="11" t="str">
        <f>VLOOKUP(L511,[1]rekap!D:M,1,FALSE)</f>
        <v>Tanjung Sidupa</v>
      </c>
      <c r="AK511" s="11" t="e">
        <f>VLOOKUP(L511,'[1]singkron data'!D:E,2,FALSE)</f>
        <v>#N/A</v>
      </c>
      <c r="AL511" s="11" t="str">
        <f>VLOOKUP(L511,'[1]update 521'!D:D,1,FALSE)</f>
        <v>Tanjung Sidupa</v>
      </c>
      <c r="AM511" s="11" t="s">
        <v>57</v>
      </c>
      <c r="AN511" s="11" t="e">
        <f>VLOOKUP(L511,[1]Sheet19!E:L,8,FALSE)</f>
        <v>#N/A</v>
      </c>
      <c r="AO511" s="11" t="s">
        <v>1129</v>
      </c>
      <c r="AP511" s="12"/>
    </row>
    <row r="512" spans="1:42" ht="15" x14ac:dyDescent="0.2">
      <c r="A512" s="8" t="s">
        <v>42</v>
      </c>
      <c r="B512" s="9" t="s">
        <v>43</v>
      </c>
      <c r="C512" s="9">
        <v>527</v>
      </c>
      <c r="D512" s="9" t="s">
        <v>1112</v>
      </c>
      <c r="E512" s="9">
        <v>57</v>
      </c>
      <c r="F512" s="9" t="s">
        <v>1239</v>
      </c>
      <c r="G512" s="9" t="s">
        <v>1125</v>
      </c>
      <c r="H512" s="9" t="s">
        <v>287</v>
      </c>
      <c r="I512" s="9" t="s">
        <v>1240</v>
      </c>
      <c r="J512" s="9" t="s">
        <v>1250</v>
      </c>
      <c r="K512" s="9" t="s">
        <v>1252</v>
      </c>
      <c r="L512" s="9" t="s">
        <v>1252</v>
      </c>
      <c r="M512" s="9" t="s">
        <v>51</v>
      </c>
      <c r="N512" s="9">
        <v>77</v>
      </c>
      <c r="O512" s="9">
        <v>6</v>
      </c>
      <c r="P512" s="9">
        <v>61</v>
      </c>
      <c r="Q512" s="9">
        <v>67</v>
      </c>
      <c r="R512" s="9">
        <v>0.92</v>
      </c>
      <c r="S512" s="9">
        <v>0.92266499999999996</v>
      </c>
      <c r="T512" s="9">
        <v>123.12908299999999</v>
      </c>
      <c r="U512" s="9"/>
      <c r="V512" s="11" t="e">
        <f>VLOOKUP(L512,'[1]singkron data'!D:E,2,FALSE)</f>
        <v>#N/A</v>
      </c>
      <c r="W512" s="13"/>
      <c r="X512" s="11"/>
      <c r="Y512" s="11" t="e">
        <f>VLOOKUP(L512,'[1]singkron data'!D:H,5,FALSE)</f>
        <v>#N/A</v>
      </c>
      <c r="Z512" s="11" t="e">
        <f>VLOOKUP(L512,'[1]singkron data'!D:I,6,FALSE)</f>
        <v>#N/A</v>
      </c>
      <c r="AA512" s="11" t="e">
        <f>VLOOKUP(L512,'[1]singkron data'!D:L,9,FALSE)</f>
        <v>#N/A</v>
      </c>
      <c r="AB512" s="11" t="s">
        <v>694</v>
      </c>
      <c r="AC512" s="11" t="e">
        <f>VLOOKUP(L512,'[1]singkron data'!D:M,10,FALSE)</f>
        <v>#N/A</v>
      </c>
      <c r="AD512" s="11"/>
      <c r="AE512" s="11" t="e">
        <f>VLOOKUP(L512,'[1]singkron data'!D:P,13,FALSE)</f>
        <v>#N/A</v>
      </c>
      <c r="AF512" s="11" t="s">
        <v>55</v>
      </c>
      <c r="AG512" s="11" t="e">
        <f>VLOOKUP(L512,'[1]update kontrak'!E:K,6,FALSE)</f>
        <v>#N/A</v>
      </c>
      <c r="AH512" s="11" t="e">
        <f>VLOOKUP(L512,'[1]update kontrak'!E:K,7,FALSE)</f>
        <v>#N/A</v>
      </c>
      <c r="AI512" s="11"/>
      <c r="AJ512" s="11" t="str">
        <f>VLOOKUP(L512,[1]rekap!D:M,1,FALSE)</f>
        <v>Tambulang Pantai</v>
      </c>
      <c r="AK512" s="11" t="e">
        <f>VLOOKUP(L512,'[1]singkron data'!D:E,2,FALSE)</f>
        <v>#N/A</v>
      </c>
      <c r="AL512" s="11" t="str">
        <f>VLOOKUP(L512,'[1]update 521'!D:D,1,FALSE)</f>
        <v>Tambulang Pantai</v>
      </c>
      <c r="AM512" s="11" t="s">
        <v>1253</v>
      </c>
      <c r="AN512" s="11" t="e">
        <f>VLOOKUP(L512,[1]Sheet19!E:L,8,FALSE)</f>
        <v>#N/A</v>
      </c>
      <c r="AO512" s="11" t="e">
        <f>VLOOKUP(L512,[1]Sheet19!E:K,7,FALSE)</f>
        <v>#N/A</v>
      </c>
      <c r="AP512" s="12"/>
    </row>
    <row r="513" spans="1:42" ht="15" x14ac:dyDescent="0.2">
      <c r="A513" s="8" t="s">
        <v>42</v>
      </c>
      <c r="B513" s="9" t="s">
        <v>43</v>
      </c>
      <c r="C513" s="9">
        <v>528</v>
      </c>
      <c r="D513" s="9" t="s">
        <v>1112</v>
      </c>
      <c r="E513" s="9">
        <v>58</v>
      </c>
      <c r="F513" s="9" t="s">
        <v>1254</v>
      </c>
      <c r="G513" s="9" t="s">
        <v>1184</v>
      </c>
      <c r="H513" s="9" t="s">
        <v>287</v>
      </c>
      <c r="I513" s="9" t="s">
        <v>1255</v>
      </c>
      <c r="J513" s="9" t="s">
        <v>1256</v>
      </c>
      <c r="K513" s="9" t="s">
        <v>1257</v>
      </c>
      <c r="L513" s="10" t="s">
        <v>1257</v>
      </c>
      <c r="M513" s="9" t="s">
        <v>51</v>
      </c>
      <c r="N513" s="9">
        <v>300</v>
      </c>
      <c r="O513" s="9">
        <v>25</v>
      </c>
      <c r="P513" s="9">
        <v>270</v>
      </c>
      <c r="Q513" s="9">
        <v>295</v>
      </c>
      <c r="R513" s="9">
        <v>0.56999999999999995</v>
      </c>
      <c r="S513" s="9">
        <v>0.41809299999999999</v>
      </c>
      <c r="T513" s="9">
        <v>120.969627</v>
      </c>
      <c r="U513" s="9" t="s">
        <v>52</v>
      </c>
      <c r="V513" s="11" t="str">
        <f>VLOOKUP(L513,'[1]singkron data'!D:E,2,FALSE)</f>
        <v>CV. Navigasi General Contractor</v>
      </c>
      <c r="W513" s="13">
        <f>VLOOKUP(L513,'[1]data 1129'!F:H,3,FALSE)</f>
        <v>4089135000</v>
      </c>
      <c r="X513" s="11" t="s">
        <v>55</v>
      </c>
      <c r="Y513" s="11">
        <f>VLOOKUP(L513,'[1]singkron data'!D:H,5,FALSE)</f>
        <v>0</v>
      </c>
      <c r="Z513" s="11">
        <f>VLOOKUP(L513,'[1]singkron data'!D:I,6,FALSE)</f>
        <v>0</v>
      </c>
      <c r="AA513" s="11" t="str">
        <f>VLOOKUP(L513,'[1]singkron data'!D:L,9,FALSE)</f>
        <v>85241201470/yudi</v>
      </c>
      <c r="AB513" s="11" t="s">
        <v>54</v>
      </c>
      <c r="AC513" s="11" t="str">
        <f>VLOOKUP(L513,'[1]singkron data'!D:M,10,FALSE)</f>
        <v>Hyl</v>
      </c>
      <c r="AD513" s="11" t="str">
        <f>VLOOKUP(L513,'[1]data 1129'!F:O,10,FALSE)</f>
        <v>Tahap I 208</v>
      </c>
      <c r="AE513" s="11" t="str">
        <f>VLOOKUP(L513,'[1]singkron data'!D:P,13,FALSE)</f>
        <v>sudah</v>
      </c>
      <c r="AF513" s="11" t="s">
        <v>55</v>
      </c>
      <c r="AG513" s="17">
        <f>VLOOKUP(L513,'[1]update kontrak'!E:K,6,FALSE)</f>
        <v>4288951227</v>
      </c>
      <c r="AH513" s="11" t="str">
        <f>VLOOKUP(L513,'[1]update kontrak'!E:K,7,FALSE)</f>
        <v>KONTRAK</v>
      </c>
      <c r="AI513" s="11" t="s">
        <v>41</v>
      </c>
      <c r="AJ513" s="11" t="str">
        <f>VLOOKUP(L513,[1]rekap!D:M,1,FALSE)</f>
        <v>Sama Bahari</v>
      </c>
      <c r="AK513" s="11" t="str">
        <f>VLOOKUP(L513,'[1]singkron data'!D:E,2,FALSE)</f>
        <v>CV. Navigasi General Contractor</v>
      </c>
      <c r="AL513" s="11" t="str">
        <f>VLOOKUP(L513,'[1]update 521'!D:D,1,FALSE)</f>
        <v>Sama Bahari</v>
      </c>
      <c r="AM513" s="11" t="s">
        <v>57</v>
      </c>
      <c r="AN513" s="17">
        <f>VLOOKUP(L513,[1]Sheet19!E:L,8,FALSE)</f>
        <v>4288951227</v>
      </c>
      <c r="AO513" s="11" t="str">
        <f>VLOOKUP(L513,[1]Sheet19!E:K,7,FALSE)</f>
        <v>KONTRAK</v>
      </c>
      <c r="AP513" s="12" t="s">
        <v>41</v>
      </c>
    </row>
    <row r="514" spans="1:42" ht="15" x14ac:dyDescent="0.2">
      <c r="A514" s="8" t="s">
        <v>42</v>
      </c>
      <c r="B514" s="9" t="s">
        <v>43</v>
      </c>
      <c r="C514" s="9">
        <v>529</v>
      </c>
      <c r="D514" s="9" t="s">
        <v>1112</v>
      </c>
      <c r="E514" s="9">
        <v>59</v>
      </c>
      <c r="F514" s="9" t="s">
        <v>1254</v>
      </c>
      <c r="G514" s="9" t="s">
        <v>1184</v>
      </c>
      <c r="H514" s="9" t="s">
        <v>287</v>
      </c>
      <c r="I514" s="9" t="s">
        <v>1255</v>
      </c>
      <c r="J514" s="9" t="s">
        <v>1258</v>
      </c>
      <c r="K514" s="9" t="s">
        <v>1259</v>
      </c>
      <c r="L514" s="10" t="s">
        <v>1259</v>
      </c>
      <c r="M514" s="9" t="s">
        <v>51</v>
      </c>
      <c r="N514" s="9">
        <v>100</v>
      </c>
      <c r="O514" s="9">
        <v>95</v>
      </c>
      <c r="P514" s="9">
        <v>5</v>
      </c>
      <c r="Q514" s="9">
        <v>100</v>
      </c>
      <c r="R514" s="9">
        <v>0.6</v>
      </c>
      <c r="S514" s="9">
        <v>0.39470699999999997</v>
      </c>
      <c r="T514" s="9">
        <v>120.29062399999999</v>
      </c>
      <c r="U514" s="9" t="s">
        <v>52</v>
      </c>
      <c r="V514" s="11" t="str">
        <f>VLOOKUP(L514,'[1]singkron data'!D:E,2,FALSE)</f>
        <v>CV. Triga Cipta Abadi</v>
      </c>
      <c r="W514" s="13">
        <f>VLOOKUP(L514,'[1]data 1129'!F:H,3,FALSE)</f>
        <v>8063099000</v>
      </c>
      <c r="X514" s="11" t="s">
        <v>55</v>
      </c>
      <c r="Y514" s="11">
        <f>VLOOKUP(L514,'[1]singkron data'!D:H,5,FALSE)</f>
        <v>0</v>
      </c>
      <c r="Z514" s="11">
        <f>VLOOKUP(L514,'[1]singkron data'!D:I,6,FALSE)</f>
        <v>0</v>
      </c>
      <c r="AA514" s="11">
        <f>VLOOKUP(L514,'[1]singkron data'!D:L,9,FALSE)</f>
        <v>81341336969</v>
      </c>
      <c r="AB514" s="11" t="s">
        <v>54</v>
      </c>
      <c r="AC514" s="11" t="str">
        <f>VLOOKUP(L514,'[1]singkron data'!D:M,10,FALSE)</f>
        <v>Hyl</v>
      </c>
      <c r="AD514" s="11" t="str">
        <f>VLOOKUP(L514,'[1]data 1129'!F:O,10,FALSE)</f>
        <v>Tahap I 208</v>
      </c>
      <c r="AE514" s="11" t="str">
        <f>VLOOKUP(L514,'[1]singkron data'!D:P,13,FALSE)</f>
        <v>sudah</v>
      </c>
      <c r="AF514" s="11" t="s">
        <v>55</v>
      </c>
      <c r="AG514" s="11" t="e">
        <f>VLOOKUP(L514,'[1]update kontrak'!E:K,6,FALSE)</f>
        <v>#N/A</v>
      </c>
      <c r="AH514" s="11" t="e">
        <f>VLOOKUP(L514,'[1]update kontrak'!E:K,7,FALSE)</f>
        <v>#N/A</v>
      </c>
      <c r="AI514" s="11" t="s">
        <v>58</v>
      </c>
      <c r="AJ514" s="11" t="str">
        <f>VLOOKUP(L514,[1]rekap!D:M,1,FALSE)</f>
        <v>Dusunan</v>
      </c>
      <c r="AK514" s="11" t="str">
        <f>VLOOKUP(L514,'[1]singkron data'!D:E,2,FALSE)</f>
        <v>CV. Triga Cipta Abadi</v>
      </c>
      <c r="AL514" s="11" t="str">
        <f>VLOOKUP(L514,'[1]update 521'!D:D,1,FALSE)</f>
        <v>Dusunan</v>
      </c>
      <c r="AM514" s="11" t="s">
        <v>57</v>
      </c>
      <c r="AN514" s="17">
        <f>VLOOKUP(L514,[1]Sheet19!E:L,8,FALSE)</f>
        <v>4700886000</v>
      </c>
      <c r="AO514" s="11" t="str">
        <f>VLOOKUP(L514,[1]Sheet19!E:K,7,FALSE)</f>
        <v>KONTRAK</v>
      </c>
      <c r="AP514" s="12" t="s">
        <v>41</v>
      </c>
    </row>
    <row r="515" spans="1:42" ht="15" x14ac:dyDescent="0.2">
      <c r="A515" s="8" t="s">
        <v>42</v>
      </c>
      <c r="B515" s="9" t="s">
        <v>43</v>
      </c>
      <c r="C515" s="9">
        <v>530</v>
      </c>
      <c r="D515" s="9" t="s">
        <v>1112</v>
      </c>
      <c r="E515" s="9">
        <v>60</v>
      </c>
      <c r="F515" s="9" t="s">
        <v>1260</v>
      </c>
      <c r="G515" s="9" t="s">
        <v>1141</v>
      </c>
      <c r="H515" s="9" t="s">
        <v>287</v>
      </c>
      <c r="I515" s="9" t="s">
        <v>1261</v>
      </c>
      <c r="J515" s="9" t="s">
        <v>1262</v>
      </c>
      <c r="K515" s="9" t="s">
        <v>1263</v>
      </c>
      <c r="L515" s="10" t="s">
        <v>1263</v>
      </c>
      <c r="M515" s="9" t="s">
        <v>65</v>
      </c>
      <c r="N515" s="9">
        <v>554</v>
      </c>
      <c r="O515" s="9">
        <v>175</v>
      </c>
      <c r="P515" s="9">
        <v>356</v>
      </c>
      <c r="Q515" s="9">
        <v>531</v>
      </c>
      <c r="R515" s="9">
        <v>0.94</v>
      </c>
      <c r="S515" s="9">
        <v>-5.460839</v>
      </c>
      <c r="T515" s="9">
        <v>122.589877</v>
      </c>
      <c r="U515" s="9" t="s">
        <v>52</v>
      </c>
      <c r="V515" s="11" t="str">
        <f>VLOOKUP(L515,'[1]singkron data'!D:E,2,FALSE)</f>
        <v>PT. Sarjis Agung Indrajaya</v>
      </c>
      <c r="W515" s="13">
        <f>VLOOKUP(L515,'[1]data 1129'!F:H,3,FALSE)</f>
        <v>7827365000</v>
      </c>
      <c r="X515" s="11" t="s">
        <v>55</v>
      </c>
      <c r="Y515" s="11" t="str">
        <f>VLOOKUP(L515,'[1]singkron data'!D:H,5,FALSE)</f>
        <v>Cab Buton Tengah Sultra</v>
      </c>
      <c r="Z515" s="11" t="str">
        <f>VLOOKUP(L515,'[1]singkron data'!D:I,6,FALSE)</f>
        <v>Online</v>
      </c>
      <c r="AA515" s="11">
        <f>VLOOKUP(L515,'[1]singkron data'!D:L,9,FALSE)</f>
        <v>82321266508</v>
      </c>
      <c r="AB515" s="11" t="s">
        <v>54</v>
      </c>
      <c r="AC515" s="11" t="str">
        <f>VLOOKUP(L515,'[1]singkron data'!D:M,10,FALSE)</f>
        <v>V</v>
      </c>
      <c r="AD515" s="11" t="str">
        <f>VLOOKUP(L515,'[1]data 1129'!F:O,10,FALSE)</f>
        <v>Tahap I 208</v>
      </c>
      <c r="AE515" s="11" t="str">
        <f>VLOOKUP(L515,'[1]singkron data'!D:P,13,FALSE)</f>
        <v>sudah</v>
      </c>
      <c r="AF515" s="11" t="s">
        <v>55</v>
      </c>
      <c r="AG515" s="17">
        <f>VLOOKUP(L515,'[1]update kontrak'!E:K,6,FALSE)</f>
        <v>7528941696</v>
      </c>
      <c r="AH515" s="11" t="str">
        <f>VLOOKUP(L515,'[1]update kontrak'!E:K,7,FALSE)</f>
        <v>KONTRAK</v>
      </c>
      <c r="AI515" s="11" t="s">
        <v>41</v>
      </c>
      <c r="AJ515" s="11" t="str">
        <f>VLOOKUP(L515,[1]rekap!D:M,1,FALSE)</f>
        <v>Bonebone</v>
      </c>
      <c r="AK515" s="11" t="str">
        <f>VLOOKUP(L515,'[1]singkron data'!D:E,2,FALSE)</f>
        <v>PT. Sarjis Agung Indrajaya</v>
      </c>
      <c r="AL515" s="11" t="str">
        <f>VLOOKUP(L515,'[1]update 521'!D:D,1,FALSE)</f>
        <v>Bonebone</v>
      </c>
      <c r="AM515" s="11" t="s">
        <v>57</v>
      </c>
      <c r="AN515" s="17">
        <f>VLOOKUP(L515,[1]Sheet19!E:L,8,FALSE)</f>
        <v>7528941696</v>
      </c>
      <c r="AO515" s="11" t="str">
        <f>VLOOKUP(L515,[1]Sheet19!E:K,7,FALSE)</f>
        <v>KONTRAK</v>
      </c>
      <c r="AP515" s="12" t="s">
        <v>41</v>
      </c>
    </row>
    <row r="516" spans="1:42" ht="15" x14ac:dyDescent="0.2">
      <c r="A516" s="8" t="s">
        <v>42</v>
      </c>
      <c r="B516" s="9" t="s">
        <v>43</v>
      </c>
      <c r="C516" s="9">
        <v>531</v>
      </c>
      <c r="D516" s="9" t="s">
        <v>1112</v>
      </c>
      <c r="E516" s="9">
        <v>61</v>
      </c>
      <c r="F516" s="9" t="s">
        <v>1260</v>
      </c>
      <c r="G516" s="9" t="s">
        <v>1141</v>
      </c>
      <c r="H516" s="9" t="s">
        <v>287</v>
      </c>
      <c r="I516" s="9" t="s">
        <v>1261</v>
      </c>
      <c r="J516" s="9" t="s">
        <v>1264</v>
      </c>
      <c r="K516" s="9" t="s">
        <v>1265</v>
      </c>
      <c r="L516" s="10" t="s">
        <v>1265</v>
      </c>
      <c r="M516" s="9" t="s">
        <v>51</v>
      </c>
      <c r="N516" s="9">
        <v>149</v>
      </c>
      <c r="O516" s="9">
        <v>67</v>
      </c>
      <c r="P516" s="9">
        <v>23</v>
      </c>
      <c r="Q516" s="9">
        <v>90</v>
      </c>
      <c r="R516" s="9">
        <v>0.5</v>
      </c>
      <c r="S516" s="9">
        <v>-5.5053729999999996</v>
      </c>
      <c r="T516" s="9">
        <v>122.55848899999999</v>
      </c>
      <c r="U516" s="9" t="s">
        <v>52</v>
      </c>
      <c r="V516" s="11" t="str">
        <f>VLOOKUP(L516,'[1]singkron data'!D:E,2,FALSE)</f>
        <v>PT. Sarjis Agung Indrajaya</v>
      </c>
      <c r="W516" s="13">
        <f>VLOOKUP(L516,'[1]data 1129'!F:H,3,FALSE)</f>
        <v>5329853000</v>
      </c>
      <c r="X516" s="11" t="s">
        <v>55</v>
      </c>
      <c r="Y516" s="11" t="str">
        <f>VLOOKUP(L516,'[1]singkron data'!D:H,5,FALSE)</f>
        <v>Cab Buton Tengah Sultra</v>
      </c>
      <c r="Z516" s="11" t="str">
        <f>VLOOKUP(L516,'[1]singkron data'!D:I,6,FALSE)</f>
        <v>Online</v>
      </c>
      <c r="AA516" s="11">
        <f>VLOOKUP(L516,'[1]singkron data'!D:L,9,FALSE)</f>
        <v>82321266508</v>
      </c>
      <c r="AB516" s="11" t="s">
        <v>54</v>
      </c>
      <c r="AC516" s="11" t="str">
        <f>VLOOKUP(L516,'[1]singkron data'!D:M,10,FALSE)</f>
        <v>V</v>
      </c>
      <c r="AD516" s="11" t="str">
        <f>VLOOKUP(L516,'[1]data 1129'!F:O,10,FALSE)</f>
        <v>Tahap I 208</v>
      </c>
      <c r="AE516" s="11" t="str">
        <f>VLOOKUP(L516,'[1]singkron data'!D:P,13,FALSE)</f>
        <v>sudah</v>
      </c>
      <c r="AF516" s="11" t="s">
        <v>55</v>
      </c>
      <c r="AG516" s="17">
        <f>VLOOKUP(L516,'[1]update kontrak'!E:K,6,FALSE)</f>
        <v>4449404274</v>
      </c>
      <c r="AH516" s="11" t="str">
        <f>VLOOKUP(L516,'[1]update kontrak'!E:K,7,FALSE)</f>
        <v>KONTRAK</v>
      </c>
      <c r="AI516" s="11" t="s">
        <v>41</v>
      </c>
      <c r="AJ516" s="11" t="str">
        <f>VLOOKUP(L516,[1]rekap!D:M,1,FALSE)</f>
        <v>Sulaa</v>
      </c>
      <c r="AK516" s="11" t="str">
        <f>VLOOKUP(L516,'[1]singkron data'!D:E,2,FALSE)</f>
        <v>PT. Sarjis Agung Indrajaya</v>
      </c>
      <c r="AL516" s="11" t="str">
        <f>VLOOKUP(L516,'[1]update 521'!D:D,1,FALSE)</f>
        <v>Sulaa</v>
      </c>
      <c r="AM516" s="11" t="s">
        <v>57</v>
      </c>
      <c r="AN516" s="17">
        <f>VLOOKUP(L516,[1]Sheet19!E:L,8,FALSE)</f>
        <v>4449404274</v>
      </c>
      <c r="AO516" s="11" t="str">
        <f>VLOOKUP(L516,[1]Sheet19!E:K,7,FALSE)</f>
        <v>KONTRAK</v>
      </c>
      <c r="AP516" s="12" t="s">
        <v>41</v>
      </c>
    </row>
    <row r="517" spans="1:42" ht="15" x14ac:dyDescent="0.2">
      <c r="A517" s="8" t="s">
        <v>42</v>
      </c>
      <c r="B517" s="9" t="s">
        <v>43</v>
      </c>
      <c r="C517" s="9">
        <v>532</v>
      </c>
      <c r="D517" s="9" t="s">
        <v>1112</v>
      </c>
      <c r="E517" s="9">
        <v>63</v>
      </c>
      <c r="F517" s="9" t="s">
        <v>1260</v>
      </c>
      <c r="G517" s="9" t="s">
        <v>1141</v>
      </c>
      <c r="H517" s="9" t="s">
        <v>287</v>
      </c>
      <c r="I517" s="9" t="s">
        <v>1261</v>
      </c>
      <c r="J517" s="9" t="s">
        <v>1266</v>
      </c>
      <c r="K517" s="9" t="s">
        <v>1267</v>
      </c>
      <c r="L517" s="10" t="s">
        <v>1267</v>
      </c>
      <c r="M517" s="9" t="s">
        <v>51</v>
      </c>
      <c r="N517" s="9">
        <v>129</v>
      </c>
      <c r="O517" s="9">
        <v>117</v>
      </c>
      <c r="P517" s="9">
        <v>11</v>
      </c>
      <c r="Q517" s="9">
        <v>128</v>
      </c>
      <c r="R517" s="9">
        <v>0.5</v>
      </c>
      <c r="S517" s="9">
        <v>-5.4097030000000004</v>
      </c>
      <c r="T517" s="9">
        <v>122.629942</v>
      </c>
      <c r="U517" s="9" t="s">
        <v>52</v>
      </c>
      <c r="V517" s="11" t="str">
        <f>VLOOKUP(L517,'[1]singkron data'!D:E,2,FALSE)</f>
        <v>CV. Mudabbir</v>
      </c>
      <c r="W517" s="13">
        <f>VLOOKUP(L517,'[1]data 1129'!F:H,3,FALSE)</f>
        <v>4825613000</v>
      </c>
      <c r="X517" s="11" t="s">
        <v>55</v>
      </c>
      <c r="Y517" s="11" t="str">
        <f>VLOOKUP(L517,'[1]singkron data'!D:H,5,FALSE)</f>
        <v>Kota Bau Bau</v>
      </c>
      <c r="Z517" s="11" t="str">
        <f>VLOOKUP(L517,'[1]singkron data'!D:I,6,FALSE)</f>
        <v>Online</v>
      </c>
      <c r="AA517" s="11" t="s">
        <v>1268</v>
      </c>
      <c r="AB517" s="11" t="s">
        <v>54</v>
      </c>
      <c r="AC517" s="11" t="str">
        <f>VLOOKUP(L517,'[1]singkron data'!D:M,10,FALSE)</f>
        <v>Rohmi</v>
      </c>
      <c r="AD517" s="11" t="str">
        <f>VLOOKUP(L517,'[1]data 1129'!F:O,10,FALSE)</f>
        <v>Tahap I 208</v>
      </c>
      <c r="AE517" s="11" t="str">
        <f>VLOOKUP(L517,'[1]singkron data'!D:P,13,FALSE)</f>
        <v>sudah</v>
      </c>
      <c r="AF517" s="11" t="s">
        <v>55</v>
      </c>
      <c r="AG517" s="17">
        <f>VLOOKUP(L517,'[1]update kontrak'!E:K,6,FALSE)</f>
        <v>4003950000</v>
      </c>
      <c r="AH517" s="11" t="str">
        <f>VLOOKUP(L517,'[1]update kontrak'!E:K,7,FALSE)</f>
        <v>KONTRAK</v>
      </c>
      <c r="AI517" s="11" t="s">
        <v>41</v>
      </c>
      <c r="AJ517" s="11" t="str">
        <f>VLOOKUP(L517,[1]rekap!D:M,1,FALSE)</f>
        <v>Lowu-Lowu</v>
      </c>
      <c r="AK517" s="11" t="str">
        <f>VLOOKUP(L517,'[1]singkron data'!D:E,2,FALSE)</f>
        <v>CV. Mudabbir</v>
      </c>
      <c r="AL517" s="11" t="str">
        <f>VLOOKUP(L517,'[1]update 521'!D:D,1,FALSE)</f>
        <v>Lowu-Lowu</v>
      </c>
      <c r="AM517" s="11" t="s">
        <v>57</v>
      </c>
      <c r="AN517" s="17">
        <f>VLOOKUP(L517,[1]Sheet19!E:L,8,FALSE)</f>
        <v>4003950000</v>
      </c>
      <c r="AO517" s="11" t="str">
        <f>VLOOKUP(L517,[1]Sheet19!E:K,7,FALSE)</f>
        <v>KONTRAK</v>
      </c>
      <c r="AP517" s="12" t="s">
        <v>41</v>
      </c>
    </row>
    <row r="518" spans="1:42" ht="15" x14ac:dyDescent="0.2">
      <c r="A518" s="8" t="s">
        <v>42</v>
      </c>
      <c r="B518" s="9" t="s">
        <v>43</v>
      </c>
      <c r="C518" s="9">
        <v>533</v>
      </c>
      <c r="D518" s="9" t="s">
        <v>1112</v>
      </c>
      <c r="E518" s="9">
        <v>64</v>
      </c>
      <c r="F518" s="9" t="s">
        <v>1260</v>
      </c>
      <c r="G518" s="9" t="s">
        <v>1141</v>
      </c>
      <c r="H518" s="9" t="s">
        <v>287</v>
      </c>
      <c r="I518" s="9" t="s">
        <v>1269</v>
      </c>
      <c r="J518" s="9" t="s">
        <v>1270</v>
      </c>
      <c r="K518" s="9" t="s">
        <v>1271</v>
      </c>
      <c r="L518" s="10" t="s">
        <v>1271</v>
      </c>
      <c r="M518" s="9" t="s">
        <v>51</v>
      </c>
      <c r="N518" s="9">
        <v>276</v>
      </c>
      <c r="O518" s="9">
        <v>96</v>
      </c>
      <c r="P518" s="9">
        <v>70</v>
      </c>
      <c r="Q518" s="9">
        <v>166</v>
      </c>
      <c r="R518" s="9">
        <v>0.15</v>
      </c>
      <c r="S518" s="9">
        <v>-5.5312049999999999</v>
      </c>
      <c r="T518" s="9">
        <v>122.471568</v>
      </c>
      <c r="U518" s="9" t="s">
        <v>52</v>
      </c>
      <c r="V518" s="11" t="str">
        <f>VLOOKUP(L518,'[1]singkron data'!D:E,2,FALSE)</f>
        <v>PT. Sarjis Agung Indrajaya</v>
      </c>
      <c r="W518" s="13">
        <f>VLOOKUP(L518,'[1]data 1129'!F:H,3,FALSE)</f>
        <v>4506021000</v>
      </c>
      <c r="X518" s="11" t="s">
        <v>55</v>
      </c>
      <c r="Y518" s="11" t="str">
        <f>VLOOKUP(L518,'[1]singkron data'!D:H,5,FALSE)</f>
        <v>Cab Buton Tengah Sultra</v>
      </c>
      <c r="Z518" s="11" t="str">
        <f>VLOOKUP(L518,'[1]singkron data'!D:I,6,FALSE)</f>
        <v>Online</v>
      </c>
      <c r="AA518" s="11">
        <f>VLOOKUP(L518,'[1]singkron data'!D:L,9,FALSE)</f>
        <v>82321266508</v>
      </c>
      <c r="AB518" s="11" t="s">
        <v>54</v>
      </c>
      <c r="AC518" s="11" t="str">
        <f>VLOOKUP(L518,'[1]singkron data'!D:M,10,FALSE)</f>
        <v>V</v>
      </c>
      <c r="AD518" s="11" t="str">
        <f>VLOOKUP(L518,'[1]data 1129'!F:O,10,FALSE)</f>
        <v>Tahap I 208</v>
      </c>
      <c r="AE518" s="11" t="str">
        <f>VLOOKUP(L518,'[1]singkron data'!D:P,13,FALSE)</f>
        <v>sudah</v>
      </c>
      <c r="AF518" s="11" t="s">
        <v>55</v>
      </c>
      <c r="AG518" s="17">
        <f>VLOOKUP(L518,'[1]update kontrak'!E:K,6,FALSE)</f>
        <v>3632074332</v>
      </c>
      <c r="AH518" s="11" t="str">
        <f>VLOOKUP(L518,'[1]update kontrak'!E:K,7,FALSE)</f>
        <v>KONTRAK</v>
      </c>
      <c r="AI518" s="11" t="s">
        <v>41</v>
      </c>
      <c r="AJ518" s="11" t="str">
        <f>VLOOKUP(L518,[1]rekap!D:M,1,FALSE)</f>
        <v>Kaofe</v>
      </c>
      <c r="AK518" s="11" t="str">
        <f>VLOOKUP(L518,'[1]singkron data'!D:E,2,FALSE)</f>
        <v>PT. Sarjis Agung Indrajaya</v>
      </c>
      <c r="AL518" s="11" t="str">
        <f>VLOOKUP(L518,'[1]update 521'!D:D,1,FALSE)</f>
        <v>Kaofe</v>
      </c>
      <c r="AM518" s="11" t="s">
        <v>57</v>
      </c>
      <c r="AN518" s="17">
        <f>VLOOKUP(L518,[1]Sheet19!E:L,8,FALSE)</f>
        <v>3632074332</v>
      </c>
      <c r="AO518" s="11" t="str">
        <f>VLOOKUP(L518,[1]Sheet19!E:K,7,FALSE)</f>
        <v>KONTRAK</v>
      </c>
      <c r="AP518" s="12" t="s">
        <v>41</v>
      </c>
    </row>
    <row r="519" spans="1:42" ht="15" x14ac:dyDescent="0.2">
      <c r="A519" s="8" t="s">
        <v>42</v>
      </c>
      <c r="B519" s="9" t="s">
        <v>43</v>
      </c>
      <c r="C519" s="9">
        <v>534</v>
      </c>
      <c r="D519" s="9" t="s">
        <v>1112</v>
      </c>
      <c r="E519" s="9">
        <v>65</v>
      </c>
      <c r="F519" s="9" t="s">
        <v>1272</v>
      </c>
      <c r="G519" s="9" t="s">
        <v>1184</v>
      </c>
      <c r="H519" s="9" t="s">
        <v>287</v>
      </c>
      <c r="I519" s="9" t="s">
        <v>1273</v>
      </c>
      <c r="J519" s="9" t="s">
        <v>1274</v>
      </c>
      <c r="K519" s="9" t="s">
        <v>1272</v>
      </c>
      <c r="L519" s="10" t="s">
        <v>1272</v>
      </c>
      <c r="M519" s="9" t="s">
        <v>65</v>
      </c>
      <c r="N519" s="14">
        <v>1500</v>
      </c>
      <c r="O519" s="9">
        <v>29</v>
      </c>
      <c r="P519" s="9">
        <v>800</v>
      </c>
      <c r="Q519" s="9">
        <v>829</v>
      </c>
      <c r="R519" s="9">
        <v>0.62</v>
      </c>
      <c r="S519" s="9">
        <v>-0.660246</v>
      </c>
      <c r="T519" s="9">
        <v>119.724081</v>
      </c>
      <c r="U519" s="9" t="s">
        <v>52</v>
      </c>
      <c r="V519" s="11" t="str">
        <f>VLOOKUP(L519,'[1]singkron data'!D:E,2,FALSE)</f>
        <v>PT. Armyndo Jaya Konstruksi</v>
      </c>
      <c r="W519" s="13">
        <f>VLOOKUP(L519,'[1]data 1129'!F:H,3,FALSE)</f>
        <v>7729419000</v>
      </c>
      <c r="X519" s="11" t="s">
        <v>55</v>
      </c>
      <c r="Y519" s="11" t="str">
        <f>VLOOKUP(L519,'[1]singkron data'!D:H,5,FALSE)</f>
        <v>Jakarta</v>
      </c>
      <c r="Z519" s="11" t="str">
        <f>VLOOKUP(L519,'[1]singkron data'!D:I,6,FALSE)</f>
        <v>Online</v>
      </c>
      <c r="AA519" s="11" t="str">
        <f>VLOOKUP(L519,'[1]singkron data'!D:L,9,FALSE)</f>
        <v>08112241864/djoni</v>
      </c>
      <c r="AB519" s="11" t="s">
        <v>54</v>
      </c>
      <c r="AC519" s="11" t="str">
        <f>VLOOKUP(L519,'[1]singkron data'!D:M,10,FALSE)</f>
        <v>Toni</v>
      </c>
      <c r="AD519" s="11" t="str">
        <f>VLOOKUP(L519,'[1]data 1129'!F:O,10,FALSE)</f>
        <v>Tahap I 208</v>
      </c>
      <c r="AE519" s="11" t="str">
        <f>VLOOKUP(L519,'[1]singkron data'!D:P,13,FALSE)</f>
        <v>sudah</v>
      </c>
      <c r="AF519" s="11" t="s">
        <v>55</v>
      </c>
      <c r="AG519" s="11" t="e">
        <f>VLOOKUP(L519,'[1]update kontrak'!E:K,6,FALSE)</f>
        <v>#N/A</v>
      </c>
      <c r="AH519" s="11" t="e">
        <f>VLOOKUP(L519,'[1]update kontrak'!E:K,7,FALSE)</f>
        <v>#N/A</v>
      </c>
      <c r="AI519" s="11"/>
      <c r="AJ519" s="11" t="str">
        <f>VLOOKUP(L519,[1]rekap!D:M,1,FALSE)</f>
        <v>Boneoge</v>
      </c>
      <c r="AK519" s="11" t="str">
        <f>VLOOKUP(L519,'[1]singkron data'!D:E,2,FALSE)</f>
        <v>PT. Armyndo Jaya Konstruksi</v>
      </c>
      <c r="AL519" s="11" t="str">
        <f>VLOOKUP(L519,'[1]update 521'!D:D,1,FALSE)</f>
        <v>Boneoge</v>
      </c>
      <c r="AM519" s="11" t="s">
        <v>57</v>
      </c>
      <c r="AN519" s="11" t="e">
        <f>VLOOKUP(L519,[1]Sheet19!E:L,8,FALSE)</f>
        <v>#N/A</v>
      </c>
      <c r="AO519" s="11" t="s">
        <v>58</v>
      </c>
      <c r="AP519" s="12"/>
    </row>
    <row r="520" spans="1:42" ht="15" x14ac:dyDescent="0.2">
      <c r="A520" s="8" t="s">
        <v>42</v>
      </c>
      <c r="B520" s="9" t="s">
        <v>43</v>
      </c>
      <c r="C520" s="9">
        <v>535</v>
      </c>
      <c r="D520" s="9" t="s">
        <v>1112</v>
      </c>
      <c r="E520" s="9">
        <v>66</v>
      </c>
      <c r="F520" s="9" t="s">
        <v>1272</v>
      </c>
      <c r="G520" s="9" t="s">
        <v>1184</v>
      </c>
      <c r="H520" s="9" t="s">
        <v>287</v>
      </c>
      <c r="I520" s="9" t="s">
        <v>1273</v>
      </c>
      <c r="J520" s="9" t="s">
        <v>1274</v>
      </c>
      <c r="K520" s="9" t="s">
        <v>1275</v>
      </c>
      <c r="L520" s="10" t="s">
        <v>1275</v>
      </c>
      <c r="M520" s="9" t="s">
        <v>51</v>
      </c>
      <c r="N520" s="9">
        <v>300</v>
      </c>
      <c r="O520" s="9">
        <v>1</v>
      </c>
      <c r="P520" s="9">
        <v>120</v>
      </c>
      <c r="Q520" s="9">
        <v>121</v>
      </c>
      <c r="R520" s="9">
        <v>0.93</v>
      </c>
      <c r="S520" s="9">
        <v>-0.68560699999999997</v>
      </c>
      <c r="T520" s="9">
        <v>119.709219</v>
      </c>
      <c r="U520" s="9" t="s">
        <v>52</v>
      </c>
      <c r="V520" s="11" t="str">
        <f>VLOOKUP(L520,'[1]singkron data'!D:E,2,FALSE)</f>
        <v>PT. Armyndo Jaya Konstruksi</v>
      </c>
      <c r="W520" s="13">
        <f>VLOOKUP(L520,'[1]data 1129'!F:H,3,FALSE)</f>
        <v>4990975000</v>
      </c>
      <c r="X520" s="11" t="s">
        <v>55</v>
      </c>
      <c r="Y520" s="11" t="str">
        <f>VLOOKUP(L520,'[1]singkron data'!D:H,5,FALSE)</f>
        <v>Jakarta</v>
      </c>
      <c r="Z520" s="11" t="str">
        <f>VLOOKUP(L520,'[1]singkron data'!D:I,6,FALSE)</f>
        <v>Online</v>
      </c>
      <c r="AA520" s="11" t="str">
        <f>VLOOKUP(L520,'[1]singkron data'!D:L,9,FALSE)</f>
        <v>08112241864/djoni</v>
      </c>
      <c r="AB520" s="11" t="s">
        <v>54</v>
      </c>
      <c r="AC520" s="11" t="str">
        <f>VLOOKUP(L520,'[1]singkron data'!D:M,10,FALSE)</f>
        <v>Toni</v>
      </c>
      <c r="AD520" s="11" t="str">
        <f>VLOOKUP(L520,'[1]data 1129'!F:O,10,FALSE)</f>
        <v>Tahap I 208</v>
      </c>
      <c r="AE520" s="11" t="str">
        <f>VLOOKUP(L520,'[1]singkron data'!D:P,13,FALSE)</f>
        <v>sudah</v>
      </c>
      <c r="AF520" s="11" t="s">
        <v>55</v>
      </c>
      <c r="AG520" s="11" t="e">
        <f>VLOOKUP(L520,'[1]update kontrak'!E:K,6,FALSE)</f>
        <v>#N/A</v>
      </c>
      <c r="AH520" s="11" t="e">
        <f>VLOOKUP(L520,'[1]update kontrak'!E:K,7,FALSE)</f>
        <v>#N/A</v>
      </c>
      <c r="AI520" s="11"/>
      <c r="AJ520" s="11" t="str">
        <f>VLOOKUP(L520,[1]rekap!D:M,1,FALSE)</f>
        <v>Ganti</v>
      </c>
      <c r="AK520" s="11" t="str">
        <f>VLOOKUP(L520,'[1]singkron data'!D:E,2,FALSE)</f>
        <v>PT. Armyndo Jaya Konstruksi</v>
      </c>
      <c r="AL520" s="11" t="str">
        <f>VLOOKUP(L520,'[1]update 521'!D:D,1,FALSE)</f>
        <v>Ganti</v>
      </c>
      <c r="AM520" s="11" t="s">
        <v>57</v>
      </c>
      <c r="AN520" s="11" t="e">
        <f>VLOOKUP(L520,[1]Sheet19!E:L,8,FALSE)</f>
        <v>#N/A</v>
      </c>
      <c r="AO520" s="11" t="s">
        <v>58</v>
      </c>
      <c r="AP520" s="12"/>
    </row>
    <row r="521" spans="1:42" ht="15" x14ac:dyDescent="0.2">
      <c r="A521" s="8" t="s">
        <v>42</v>
      </c>
      <c r="B521" s="9" t="s">
        <v>43</v>
      </c>
      <c r="C521" s="9">
        <v>536</v>
      </c>
      <c r="D521" s="9" t="s">
        <v>1112</v>
      </c>
      <c r="E521" s="9">
        <v>67</v>
      </c>
      <c r="F521" s="9" t="s">
        <v>1272</v>
      </c>
      <c r="G521" s="9" t="s">
        <v>1184</v>
      </c>
      <c r="H521" s="9" t="s">
        <v>287</v>
      </c>
      <c r="I521" s="9" t="s">
        <v>1273</v>
      </c>
      <c r="J521" s="9" t="s">
        <v>1276</v>
      </c>
      <c r="K521" s="9" t="s">
        <v>1277</v>
      </c>
      <c r="L521" s="10" t="s">
        <v>1277</v>
      </c>
      <c r="M521" s="9" t="s">
        <v>51</v>
      </c>
      <c r="N521" s="9">
        <v>300</v>
      </c>
      <c r="O521" s="9">
        <v>11</v>
      </c>
      <c r="P521" s="9">
        <v>72</v>
      </c>
      <c r="Q521" s="9">
        <v>83</v>
      </c>
      <c r="R521" s="9">
        <v>0.23</v>
      </c>
      <c r="S521" s="9">
        <v>-0.623973</v>
      </c>
      <c r="T521" s="9">
        <v>119.805566</v>
      </c>
      <c r="U521" s="9" t="s">
        <v>52</v>
      </c>
      <c r="V521" s="11" t="str">
        <f>VLOOKUP(L521,'[1]singkron data'!D:E,2,FALSE)</f>
        <v>CV. Triga Cipta Abadi</v>
      </c>
      <c r="W521" s="13">
        <f>VLOOKUP(L521,'[1]data 1129'!F:H,3,FALSE)</f>
        <v>4500000000</v>
      </c>
      <c r="X521" s="11" t="s">
        <v>55</v>
      </c>
      <c r="Y521" s="11">
        <f>VLOOKUP(L521,'[1]singkron data'!D:H,5,FALSE)</f>
        <v>0</v>
      </c>
      <c r="Z521" s="11">
        <f>VLOOKUP(L521,'[1]singkron data'!D:I,6,FALSE)</f>
        <v>0</v>
      </c>
      <c r="AA521" s="11">
        <f>VLOOKUP(L521,'[1]singkron data'!D:L,9,FALSE)</f>
        <v>81341336969</v>
      </c>
      <c r="AB521" s="11" t="s">
        <v>54</v>
      </c>
      <c r="AC521" s="11" t="str">
        <f>VLOOKUP(L521,'[1]singkron data'!D:M,10,FALSE)</f>
        <v>Hyl</v>
      </c>
      <c r="AD521" s="11" t="str">
        <f>VLOOKUP(L521,'[1]data 1129'!F:O,10,FALSE)</f>
        <v>Tahap I 208</v>
      </c>
      <c r="AE521" s="11" t="str">
        <f>VLOOKUP(L521,'[1]singkron data'!D:P,13,FALSE)</f>
        <v>sudah</v>
      </c>
      <c r="AF521" s="11" t="s">
        <v>55</v>
      </c>
      <c r="AG521" s="17">
        <f>VLOOKUP(L521,'[1]update kontrak'!E:K,6,FALSE)</f>
        <v>7628422000</v>
      </c>
      <c r="AH521" s="11" t="str">
        <f>VLOOKUP(L521,'[1]update kontrak'!E:K,7,FALSE)</f>
        <v>KONTRAK</v>
      </c>
      <c r="AI521" s="11" t="s">
        <v>41</v>
      </c>
      <c r="AJ521" s="11" t="str">
        <f>VLOOKUP(L521,[1]rekap!D:M,1,FALSE)</f>
        <v>Lero</v>
      </c>
      <c r="AK521" s="11" t="str">
        <f>VLOOKUP(L521,'[1]singkron data'!D:E,2,FALSE)</f>
        <v>CV. Triga Cipta Abadi</v>
      </c>
      <c r="AL521" s="11" t="str">
        <f>VLOOKUP(L521,'[1]update 521'!D:D,1,FALSE)</f>
        <v>Lero</v>
      </c>
      <c r="AM521" s="11" t="s">
        <v>57</v>
      </c>
      <c r="AN521" s="17">
        <f>VLOOKUP(L521,[1]Sheet19!E:L,8,FALSE)</f>
        <v>7628422000</v>
      </c>
      <c r="AO521" s="11" t="str">
        <f>VLOOKUP(L521,[1]Sheet19!E:K,7,FALSE)</f>
        <v>KONTRAK</v>
      </c>
      <c r="AP521" s="12" t="s">
        <v>41</v>
      </c>
    </row>
    <row r="522" spans="1:42" ht="15" x14ac:dyDescent="0.2">
      <c r="A522" s="8" t="s">
        <v>42</v>
      </c>
      <c r="B522" s="9" t="s">
        <v>43</v>
      </c>
      <c r="C522" s="9">
        <v>537</v>
      </c>
      <c r="D522" s="9" t="s">
        <v>1112</v>
      </c>
      <c r="E522" s="9">
        <v>68</v>
      </c>
      <c r="F522" s="9" t="s">
        <v>1272</v>
      </c>
      <c r="G522" s="9" t="s">
        <v>1184</v>
      </c>
      <c r="H522" s="9" t="s">
        <v>287</v>
      </c>
      <c r="I522" s="9" t="s">
        <v>1273</v>
      </c>
      <c r="J522" s="9" t="s">
        <v>1278</v>
      </c>
      <c r="K522" s="9" t="s">
        <v>1279</v>
      </c>
      <c r="L522" s="10" t="s">
        <v>1279</v>
      </c>
      <c r="M522" s="9" t="s">
        <v>51</v>
      </c>
      <c r="N522" s="9">
        <v>400</v>
      </c>
      <c r="O522" s="9">
        <v>11</v>
      </c>
      <c r="P522" s="9">
        <v>215</v>
      </c>
      <c r="Q522" s="9">
        <v>226</v>
      </c>
      <c r="R522" s="9">
        <v>0.56999999999999995</v>
      </c>
      <c r="S522" s="9">
        <v>-0.409223</v>
      </c>
      <c r="T522" s="9">
        <v>119.761977</v>
      </c>
      <c r="U522" s="9" t="s">
        <v>52</v>
      </c>
      <c r="V522" s="11" t="str">
        <f>VLOOKUP(L522,'[1]singkron data'!D:E,2,FALSE)</f>
        <v>PT. Armyndo Jaya Konstruksi</v>
      </c>
      <c r="W522" s="13">
        <f>VLOOKUP(L522,'[1]data 1129'!F:H,3,FALSE)</f>
        <v>4558832240</v>
      </c>
      <c r="X522" s="11" t="s">
        <v>55</v>
      </c>
      <c r="Y522" s="11" t="str">
        <f>VLOOKUP(L522,'[1]singkron data'!D:H,5,FALSE)</f>
        <v>Jakarta</v>
      </c>
      <c r="Z522" s="11" t="str">
        <f>VLOOKUP(L522,'[1]singkron data'!D:I,6,FALSE)</f>
        <v>Online</v>
      </c>
      <c r="AA522" s="11" t="str">
        <f>VLOOKUP(L522,'[1]singkron data'!D:L,9,FALSE)</f>
        <v>08112241864/djoni</v>
      </c>
      <c r="AB522" s="11" t="s">
        <v>54</v>
      </c>
      <c r="AC522" s="11" t="str">
        <f>VLOOKUP(L522,'[1]singkron data'!D:M,10,FALSE)</f>
        <v>Toni</v>
      </c>
      <c r="AD522" s="11" t="str">
        <f>VLOOKUP(L522,'[1]data 1129'!F:O,10,FALSE)</f>
        <v>Tahap I 208</v>
      </c>
      <c r="AE522" s="11" t="str">
        <f>VLOOKUP(L522,'[1]singkron data'!D:P,13,FALSE)</f>
        <v>sudah</v>
      </c>
      <c r="AF522" s="11" t="s">
        <v>55</v>
      </c>
      <c r="AG522" s="11" t="e">
        <f>VLOOKUP(L522,'[1]update kontrak'!E:K,6,FALSE)</f>
        <v>#N/A</v>
      </c>
      <c r="AH522" s="11" t="e">
        <f>VLOOKUP(L522,'[1]update kontrak'!E:K,7,FALSE)</f>
        <v>#N/A</v>
      </c>
      <c r="AI522" s="11"/>
      <c r="AJ522" s="11" t="str">
        <f>VLOOKUP(L522,[1]rekap!D:M,1,FALSE)</f>
        <v>Batusuya</v>
      </c>
      <c r="AK522" s="11" t="str">
        <f>VLOOKUP(L522,'[1]singkron data'!D:E,2,FALSE)</f>
        <v>PT. Armyndo Jaya Konstruksi</v>
      </c>
      <c r="AL522" s="11" t="str">
        <f>VLOOKUP(L522,'[1]update 521'!D:D,1,FALSE)</f>
        <v>Batusuya</v>
      </c>
      <c r="AM522" s="11" t="s">
        <v>57</v>
      </c>
      <c r="AN522" s="11" t="e">
        <f>VLOOKUP(L522,[1]Sheet19!E:L,8,FALSE)</f>
        <v>#N/A</v>
      </c>
      <c r="AO522" s="11" t="s">
        <v>58</v>
      </c>
      <c r="AP522" s="12"/>
    </row>
    <row r="523" spans="1:42" ht="15" x14ac:dyDescent="0.2">
      <c r="A523" s="8" t="s">
        <v>42</v>
      </c>
      <c r="B523" s="9" t="s">
        <v>43</v>
      </c>
      <c r="C523" s="9">
        <v>538</v>
      </c>
      <c r="D523" s="9" t="s">
        <v>1112</v>
      </c>
      <c r="E523" s="9">
        <v>69</v>
      </c>
      <c r="F523" s="9" t="s">
        <v>1272</v>
      </c>
      <c r="G523" s="9" t="s">
        <v>1184</v>
      </c>
      <c r="H523" s="9" t="s">
        <v>287</v>
      </c>
      <c r="I523" s="9" t="s">
        <v>1273</v>
      </c>
      <c r="J523" s="9" t="s">
        <v>1280</v>
      </c>
      <c r="K523" s="9" t="s">
        <v>1281</v>
      </c>
      <c r="L523" s="10" t="s">
        <v>1281</v>
      </c>
      <c r="M523" s="9" t="s">
        <v>51</v>
      </c>
      <c r="N523" s="9">
        <v>150</v>
      </c>
      <c r="O523" s="9">
        <v>8</v>
      </c>
      <c r="P523" s="9">
        <v>101</v>
      </c>
      <c r="Q523" s="9">
        <v>109</v>
      </c>
      <c r="R523" s="9">
        <v>0.3</v>
      </c>
      <c r="S523" s="9">
        <v>-0.69476899999999997</v>
      </c>
      <c r="T523" s="9">
        <v>119.841173</v>
      </c>
      <c r="U523" s="9" t="s">
        <v>52</v>
      </c>
      <c r="V523" s="11" t="s">
        <v>1282</v>
      </c>
      <c r="W523" s="13">
        <f>VLOOKUP(L523,'[1]data 1129'!F:H,3,FALSE)</f>
        <v>4500000000</v>
      </c>
      <c r="X523" s="11" t="s">
        <v>55</v>
      </c>
      <c r="Y523" s="11" t="str">
        <f>VLOOKUP(L523,'[1]singkron data'!D:H,5,FALSE)</f>
        <v>Jakarta</v>
      </c>
      <c r="Z523" s="11" t="str">
        <f>VLOOKUP(L523,'[1]singkron data'!D:I,6,FALSE)</f>
        <v>Online</v>
      </c>
      <c r="AA523" s="11" t="str">
        <f>VLOOKUP(L523,'[1]singkron data'!D:L,9,FALSE)</f>
        <v>082351512266/ririn</v>
      </c>
      <c r="AB523" s="11" t="s">
        <v>54</v>
      </c>
      <c r="AC523" s="11" t="s">
        <v>1283</v>
      </c>
      <c r="AD523" s="11" t="str">
        <f>VLOOKUP(L523,'[1]data 1129'!F:O,10,FALSE)</f>
        <v>Tahap I 208</v>
      </c>
      <c r="AE523" s="11" t="str">
        <f>VLOOKUP(L523,'[1]singkron data'!D:P,13,FALSE)</f>
        <v>sudah</v>
      </c>
      <c r="AF523" s="11" t="s">
        <v>55</v>
      </c>
      <c r="AG523" s="11" t="e">
        <f>VLOOKUP(L523,'[1]update kontrak'!E:K,6,FALSE)</f>
        <v>#N/A</v>
      </c>
      <c r="AH523" s="11" t="e">
        <f>VLOOKUP(L523,'[1]update kontrak'!E:K,7,FALSE)</f>
        <v>#N/A</v>
      </c>
      <c r="AI523" s="11" t="s">
        <v>58</v>
      </c>
      <c r="AJ523" s="11" t="str">
        <f>VLOOKUP(L523,[1]rekap!D:M,1,FALSE)</f>
        <v>Wani Dua</v>
      </c>
      <c r="AK523" s="11" t="str">
        <f>VLOOKUP(L523,'[1]singkron data'!D:E,2,FALSE)</f>
        <v>CV. Senja Timur Indonesia</v>
      </c>
      <c r="AL523" s="11" t="str">
        <f>VLOOKUP(L523,'[1]update 521'!D:D,1,FALSE)</f>
        <v>Wani Dua</v>
      </c>
      <c r="AM523" s="11" t="s">
        <v>57</v>
      </c>
      <c r="AN523" s="11" t="e">
        <f>VLOOKUP(L523,[1]Sheet19!E:L,8,FALSE)</f>
        <v>#N/A</v>
      </c>
      <c r="AO523" s="11" t="s">
        <v>58</v>
      </c>
      <c r="AP523" s="12"/>
    </row>
    <row r="524" spans="1:42" ht="15" x14ac:dyDescent="0.2">
      <c r="A524" s="8" t="s">
        <v>42</v>
      </c>
      <c r="B524" s="9" t="s">
        <v>43</v>
      </c>
      <c r="C524" s="9">
        <v>539</v>
      </c>
      <c r="D524" s="9" t="s">
        <v>1112</v>
      </c>
      <c r="E524" s="9">
        <v>70</v>
      </c>
      <c r="F524" s="9" t="s">
        <v>1284</v>
      </c>
      <c r="G524" s="9" t="s">
        <v>1114</v>
      </c>
      <c r="H524" s="9" t="s">
        <v>287</v>
      </c>
      <c r="I524" s="9" t="s">
        <v>1285</v>
      </c>
      <c r="J524" s="9" t="s">
        <v>1286</v>
      </c>
      <c r="K524" s="9" t="s">
        <v>1287</v>
      </c>
      <c r="L524" s="10" t="s">
        <v>1287</v>
      </c>
      <c r="M524" s="34" t="s">
        <v>51</v>
      </c>
      <c r="N524" s="9">
        <v>725</v>
      </c>
      <c r="O524" s="9">
        <v>10</v>
      </c>
      <c r="P524" s="9">
        <v>195</v>
      </c>
      <c r="Q524" s="9">
        <v>205</v>
      </c>
      <c r="R524" s="9">
        <v>4.5999999999999996</v>
      </c>
      <c r="S524" s="9">
        <v>-3.636644</v>
      </c>
      <c r="T524" s="9">
        <v>120.412362</v>
      </c>
      <c r="U524" s="9" t="s">
        <v>52</v>
      </c>
      <c r="V524" s="11" t="str">
        <f>VLOOKUP(L524,'[1]singkron data'!D:E,2,FALSE)</f>
        <v>PT. Relis Sapindo Utama</v>
      </c>
      <c r="W524" s="13">
        <f>VLOOKUP(L524,'[1]data 1129'!F:H,3,FALSE)</f>
        <v>8512090558</v>
      </c>
      <c r="X524" s="11" t="s">
        <v>55</v>
      </c>
      <c r="Y524" s="11" t="str">
        <f>VLOOKUP(L524,'[1]singkron data'!D:H,5,FALSE)</f>
        <v>Makassar</v>
      </c>
      <c r="Z524" s="11" t="str">
        <f>VLOOKUP(L524,'[1]singkron data'!D:I,6,FALSE)</f>
        <v>Online</v>
      </c>
      <c r="AA524" s="11">
        <f>VLOOKUP(L524,'[1]singkron data'!D:L,9,FALSE)</f>
        <v>81341207077</v>
      </c>
      <c r="AB524" s="11" t="s">
        <v>54</v>
      </c>
      <c r="AC524" s="11" t="str">
        <f>VLOOKUP(L524,'[1]singkron data'!D:M,10,FALSE)</f>
        <v>Hyl</v>
      </c>
      <c r="AD524" s="11" t="str">
        <f>VLOOKUP(L524,'[1]data 1129'!F:O,10,FALSE)</f>
        <v>Tahap I 208</v>
      </c>
      <c r="AE524" s="11" t="str">
        <f>VLOOKUP(L524,'[1]singkron data'!D:P,13,FALSE)</f>
        <v>sudah</v>
      </c>
      <c r="AF524" s="11" t="s">
        <v>55</v>
      </c>
      <c r="AG524" s="17">
        <f>VLOOKUP(L524,'[1]update kontrak'!E:K,6,FALSE)</f>
        <v>8084061180</v>
      </c>
      <c r="AH524" s="11" t="str">
        <f>VLOOKUP(L524,'[1]update kontrak'!E:K,7,FALSE)</f>
        <v>KONTRAK</v>
      </c>
      <c r="AI524" s="11" t="s">
        <v>41</v>
      </c>
      <c r="AJ524" s="11" t="str">
        <f>VLOOKUP(L524,[1]rekap!D:M,1,FALSE)</f>
        <v>Bone Pute</v>
      </c>
      <c r="AK524" s="11" t="str">
        <f>VLOOKUP(L524,'[1]singkron data'!D:E,2,FALSE)</f>
        <v>PT. Relis Sapindo Utama</v>
      </c>
      <c r="AL524" s="11" t="str">
        <f>VLOOKUP(L524,'[1]update 521'!D:D,1,FALSE)</f>
        <v>Bone Pute</v>
      </c>
      <c r="AM524" s="11" t="s">
        <v>57</v>
      </c>
      <c r="AN524" s="17">
        <f>VLOOKUP(L524,[1]Sheet19!E:L,8,FALSE)</f>
        <v>8084061180</v>
      </c>
      <c r="AO524" s="11" t="str">
        <f>VLOOKUP(L524,[1]Sheet19!E:K,7,FALSE)</f>
        <v>KONTRAK</v>
      </c>
      <c r="AP524" s="12" t="s">
        <v>41</v>
      </c>
    </row>
    <row r="525" spans="1:42" ht="15" x14ac:dyDescent="0.2">
      <c r="A525" s="8" t="s">
        <v>42</v>
      </c>
      <c r="B525" s="9" t="s">
        <v>43</v>
      </c>
      <c r="C525" s="9">
        <v>541</v>
      </c>
      <c r="D525" s="9" t="s">
        <v>1112</v>
      </c>
      <c r="E525" s="9">
        <v>72</v>
      </c>
      <c r="F525" s="9" t="s">
        <v>1284</v>
      </c>
      <c r="G525" s="9" t="s">
        <v>1114</v>
      </c>
      <c r="H525" s="9" t="s">
        <v>287</v>
      </c>
      <c r="I525" s="9" t="s">
        <v>1285</v>
      </c>
      <c r="J525" s="9" t="s">
        <v>1288</v>
      </c>
      <c r="K525" s="9" t="s">
        <v>1288</v>
      </c>
      <c r="L525" s="10" t="s">
        <v>1288</v>
      </c>
      <c r="M525" s="34" t="s">
        <v>65</v>
      </c>
      <c r="N525" s="9">
        <v>160</v>
      </c>
      <c r="O525" s="9">
        <v>4</v>
      </c>
      <c r="P525" s="9">
        <v>168</v>
      </c>
      <c r="Q525" s="9">
        <v>172</v>
      </c>
      <c r="R525" s="9">
        <v>0.62</v>
      </c>
      <c r="S525" s="9">
        <v>-3.3860505999999999</v>
      </c>
      <c r="T525" s="9">
        <v>120.3977594</v>
      </c>
      <c r="U525" s="9" t="s">
        <v>52</v>
      </c>
      <c r="V525" s="11" t="str">
        <f>VLOOKUP(L525,'[1]singkron data'!D:E,2,FALSE)</f>
        <v>PT. Relis Sapindo Utama</v>
      </c>
      <c r="W525" s="13">
        <f>VLOOKUP(L525,'[1]data 1129'!F:H,3,FALSE)</f>
        <v>7450051000</v>
      </c>
      <c r="X525" s="11" t="s">
        <v>55</v>
      </c>
      <c r="Y525" s="11" t="str">
        <f>VLOOKUP(L525,'[1]singkron data'!D:H,5,FALSE)</f>
        <v>Makassar</v>
      </c>
      <c r="Z525" s="11" t="str">
        <f>VLOOKUP(L525,'[1]singkron data'!D:I,6,FALSE)</f>
        <v>Online</v>
      </c>
      <c r="AA525" s="11">
        <f>VLOOKUP(L525,'[1]singkron data'!D:L,9,FALSE)</f>
        <v>81341207077</v>
      </c>
      <c r="AB525" s="11" t="s">
        <v>54</v>
      </c>
      <c r="AC525" s="11" t="str">
        <f>VLOOKUP(L525,'[1]singkron data'!D:M,10,FALSE)</f>
        <v>Hyl</v>
      </c>
      <c r="AD525" s="11" t="str">
        <f>VLOOKUP(L525,'[1]data 1129'!F:O,10,FALSE)</f>
        <v>Tahap I 208</v>
      </c>
      <c r="AE525" s="11" t="str">
        <f>VLOOKUP(L525,'[1]singkron data'!D:P,13,FALSE)</f>
        <v>sudah</v>
      </c>
      <c r="AF525" s="11" t="s">
        <v>55</v>
      </c>
      <c r="AG525" s="17">
        <f>VLOOKUP(L525,'[1]update kontrak'!E:K,6,FALSE)</f>
        <v>5010383490</v>
      </c>
      <c r="AH525" s="11" t="str">
        <f>VLOOKUP(L525,'[1]update kontrak'!E:K,7,FALSE)</f>
        <v>KONTRAK</v>
      </c>
      <c r="AI525" s="11" t="s">
        <v>41</v>
      </c>
      <c r="AJ525" s="11" t="str">
        <f>VLOOKUP(L525,[1]rekap!D:M,1,FALSE)</f>
        <v>Belopa</v>
      </c>
      <c r="AK525" s="11" t="str">
        <f>VLOOKUP(L525,'[1]singkron data'!D:E,2,FALSE)</f>
        <v>PT. Relis Sapindo Utama</v>
      </c>
      <c r="AL525" s="11" t="str">
        <f>VLOOKUP(L525,'[1]update 521'!D:D,1,FALSE)</f>
        <v>Belopa</v>
      </c>
      <c r="AM525" s="11" t="s">
        <v>57</v>
      </c>
      <c r="AN525" s="17">
        <f>VLOOKUP(L525,[1]Sheet19!E:L,8,FALSE)</f>
        <v>5010383490</v>
      </c>
      <c r="AO525" s="11" t="str">
        <f>VLOOKUP(L525,[1]Sheet19!E:K,7,FALSE)</f>
        <v>KONTRAK</v>
      </c>
      <c r="AP525" s="12" t="s">
        <v>41</v>
      </c>
    </row>
    <row r="526" spans="1:42" ht="15" x14ac:dyDescent="0.2">
      <c r="A526" s="8" t="s">
        <v>42</v>
      </c>
      <c r="B526" s="9" t="s">
        <v>43</v>
      </c>
      <c r="C526" s="9">
        <v>542</v>
      </c>
      <c r="D526" s="9" t="s">
        <v>1112</v>
      </c>
      <c r="E526" s="9">
        <v>73</v>
      </c>
      <c r="F526" s="9" t="s">
        <v>1284</v>
      </c>
      <c r="G526" s="9" t="s">
        <v>1114</v>
      </c>
      <c r="H526" s="9" t="s">
        <v>287</v>
      </c>
      <c r="I526" s="9" t="s">
        <v>1285</v>
      </c>
      <c r="J526" s="9" t="s">
        <v>1289</v>
      </c>
      <c r="K526" s="9" t="s">
        <v>1290</v>
      </c>
      <c r="L526" s="10" t="s">
        <v>1290</v>
      </c>
      <c r="M526" s="9" t="s">
        <v>51</v>
      </c>
      <c r="N526" s="9">
        <v>150</v>
      </c>
      <c r="O526" s="9" t="s">
        <v>72</v>
      </c>
      <c r="P526" s="9">
        <v>80</v>
      </c>
      <c r="Q526" s="9">
        <v>80</v>
      </c>
      <c r="R526" s="9">
        <v>0.85</v>
      </c>
      <c r="S526" s="9">
        <v>-3.434609</v>
      </c>
      <c r="T526" s="9">
        <v>120.399877</v>
      </c>
      <c r="U526" s="9" t="s">
        <v>52</v>
      </c>
      <c r="V526" s="11" t="str">
        <f>VLOOKUP(L526,'[1]singkron data'!D:E,2,FALSE)</f>
        <v>PT. Relis Sapindo Utama</v>
      </c>
      <c r="W526" s="13">
        <f>VLOOKUP(L526,'[1]data 1129'!F:H,3,FALSE)</f>
        <v>5062103000</v>
      </c>
      <c r="X526" s="11" t="s">
        <v>55</v>
      </c>
      <c r="Y526" s="11" t="str">
        <f>VLOOKUP(L526,'[1]singkron data'!D:H,5,FALSE)</f>
        <v>Makassar</v>
      </c>
      <c r="Z526" s="11" t="str">
        <f>VLOOKUP(L526,'[1]singkron data'!D:I,6,FALSE)</f>
        <v>Online</v>
      </c>
      <c r="AA526" s="11">
        <f>VLOOKUP(L526,'[1]singkron data'!D:L,9,FALSE)</f>
        <v>81341207077</v>
      </c>
      <c r="AB526" s="11" t="s">
        <v>54</v>
      </c>
      <c r="AC526" s="11" t="str">
        <f>VLOOKUP(L526,'[1]singkron data'!D:M,10,FALSE)</f>
        <v>Hyl</v>
      </c>
      <c r="AD526" s="11" t="str">
        <f>VLOOKUP(L526,'[1]data 1129'!F:O,10,FALSE)</f>
        <v>Tahap I 208</v>
      </c>
      <c r="AE526" s="11" t="str">
        <f>VLOOKUP(L526,'[1]singkron data'!D:P,13,FALSE)</f>
        <v>sudah</v>
      </c>
      <c r="AF526" s="11" t="s">
        <v>55</v>
      </c>
      <c r="AG526" s="17">
        <f>VLOOKUP(L526,'[1]update kontrak'!E:K,6,FALSE)</f>
        <v>4653915870</v>
      </c>
      <c r="AH526" s="11" t="str">
        <f>VLOOKUP(L526,'[1]update kontrak'!E:K,7,FALSE)</f>
        <v>KONTRAK</v>
      </c>
      <c r="AI526" s="11" t="s">
        <v>41</v>
      </c>
      <c r="AJ526" s="11" t="str">
        <f>VLOOKUP(L526,[1]rekap!D:M,1,FALSE)</f>
        <v>Cimpu Utara</v>
      </c>
      <c r="AK526" s="11" t="str">
        <f>VLOOKUP(L526,'[1]singkron data'!D:E,2,FALSE)</f>
        <v>PT. Relis Sapindo Utama</v>
      </c>
      <c r="AL526" s="11" t="str">
        <f>VLOOKUP(L526,'[1]update 521'!D:D,1,FALSE)</f>
        <v>Cimpu Utara</v>
      </c>
      <c r="AM526" s="11" t="s">
        <v>57</v>
      </c>
      <c r="AN526" s="17">
        <f>VLOOKUP(L526,[1]Sheet19!E:L,8,FALSE)</f>
        <v>4653915870</v>
      </c>
      <c r="AO526" s="11" t="str">
        <f>VLOOKUP(L526,[1]Sheet19!E:K,7,FALSE)</f>
        <v>KONTRAK</v>
      </c>
      <c r="AP526" s="12" t="s">
        <v>41</v>
      </c>
    </row>
    <row r="527" spans="1:42" ht="15" x14ac:dyDescent="0.2">
      <c r="A527" s="8" t="s">
        <v>42</v>
      </c>
      <c r="B527" s="9" t="s">
        <v>43</v>
      </c>
      <c r="C527" s="9">
        <v>543</v>
      </c>
      <c r="D527" s="9" t="s">
        <v>1112</v>
      </c>
      <c r="E527" s="9">
        <v>74</v>
      </c>
      <c r="F527" s="9" t="s">
        <v>1284</v>
      </c>
      <c r="G527" s="9" t="s">
        <v>1114</v>
      </c>
      <c r="H527" s="9" t="s">
        <v>287</v>
      </c>
      <c r="I527" s="9" t="s">
        <v>1285</v>
      </c>
      <c r="J527" s="9" t="s">
        <v>1289</v>
      </c>
      <c r="K527" s="9" t="s">
        <v>1291</v>
      </c>
      <c r="L527" s="10" t="s">
        <v>1291</v>
      </c>
      <c r="M527" s="9" t="s">
        <v>51</v>
      </c>
      <c r="N527" s="9">
        <v>150</v>
      </c>
      <c r="O527" s="9">
        <v>1</v>
      </c>
      <c r="P527" s="9">
        <v>35</v>
      </c>
      <c r="Q527" s="9">
        <v>36</v>
      </c>
      <c r="R527" s="9">
        <v>0.98</v>
      </c>
      <c r="S527" s="9">
        <v>-3.4756399999999998</v>
      </c>
      <c r="T527" s="9">
        <v>120.379364</v>
      </c>
      <c r="U527" s="9" t="s">
        <v>52</v>
      </c>
      <c r="V527" s="11" t="str">
        <f>VLOOKUP(L527,'[1]singkron data'!D:E,2,FALSE)</f>
        <v>PT. Relis Sapindo Utama</v>
      </c>
      <c r="W527" s="13">
        <f>VLOOKUP(L527,'[1]data 1129'!F:H,3,FALSE)</f>
        <v>5204177000</v>
      </c>
      <c r="X527" s="11" t="s">
        <v>55</v>
      </c>
      <c r="Y527" s="11" t="str">
        <f>VLOOKUP(L527,'[1]singkron data'!D:H,5,FALSE)</f>
        <v>Makassar</v>
      </c>
      <c r="Z527" s="11" t="str">
        <f>VLOOKUP(L527,'[1]singkron data'!D:I,6,FALSE)</f>
        <v>Online</v>
      </c>
      <c r="AA527" s="11">
        <f>VLOOKUP(L527,'[1]singkron data'!D:L,9,FALSE)</f>
        <v>81341207077</v>
      </c>
      <c r="AB527" s="11" t="s">
        <v>54</v>
      </c>
      <c r="AC527" s="11" t="str">
        <f>VLOOKUP(L527,'[1]singkron data'!D:M,10,FALSE)</f>
        <v>Hyl</v>
      </c>
      <c r="AD527" s="11" t="str">
        <f>VLOOKUP(L527,'[1]data 1129'!F:O,10,FALSE)</f>
        <v>Tahap I 208</v>
      </c>
      <c r="AE527" s="11" t="str">
        <f>VLOOKUP(L527,'[1]singkron data'!D:P,13,FALSE)</f>
        <v>sudah</v>
      </c>
      <c r="AF527" s="11" t="s">
        <v>55</v>
      </c>
      <c r="AG527" s="17">
        <f>VLOOKUP(L527,'[1]update kontrak'!E:K,6,FALSE)</f>
        <v>3855230910</v>
      </c>
      <c r="AH527" s="11" t="str">
        <f>VLOOKUP(L527,'[1]update kontrak'!E:K,7,FALSE)</f>
        <v>KONTRAK</v>
      </c>
      <c r="AI527" s="11" t="s">
        <v>41</v>
      </c>
      <c r="AJ527" s="11" t="str">
        <f>VLOOKUP(L527,[1]rekap!D:M,1,FALSE)</f>
        <v>Murante</v>
      </c>
      <c r="AK527" s="11" t="str">
        <f>VLOOKUP(L527,'[1]singkron data'!D:E,2,FALSE)</f>
        <v>PT. Relis Sapindo Utama</v>
      </c>
      <c r="AL527" s="11" t="str">
        <f>VLOOKUP(L527,'[1]update 521'!D:D,1,FALSE)</f>
        <v>Murante</v>
      </c>
      <c r="AM527" s="11" t="s">
        <v>57</v>
      </c>
      <c r="AN527" s="17">
        <f>VLOOKUP(L527,[1]Sheet19!E:L,8,FALSE)</f>
        <v>3855230910</v>
      </c>
      <c r="AO527" s="11" t="str">
        <f>VLOOKUP(L527,[1]Sheet19!E:K,7,FALSE)</f>
        <v>KONTRAK</v>
      </c>
      <c r="AP527" s="12" t="s">
        <v>41</v>
      </c>
    </row>
    <row r="528" spans="1:42" ht="15" x14ac:dyDescent="0.2">
      <c r="A528" s="8" t="s">
        <v>42</v>
      </c>
      <c r="B528" s="9" t="s">
        <v>43</v>
      </c>
      <c r="C528" s="9">
        <v>544</v>
      </c>
      <c r="D528" s="9" t="s">
        <v>1112</v>
      </c>
      <c r="E528" s="9">
        <v>75</v>
      </c>
      <c r="F528" s="9" t="s">
        <v>1284</v>
      </c>
      <c r="G528" s="9" t="s">
        <v>1114</v>
      </c>
      <c r="H528" s="9" t="s">
        <v>287</v>
      </c>
      <c r="I528" s="9" t="s">
        <v>1285</v>
      </c>
      <c r="J528" s="9" t="s">
        <v>1292</v>
      </c>
      <c r="K528" s="9" t="s">
        <v>1293</v>
      </c>
      <c r="L528" s="10" t="s">
        <v>1293</v>
      </c>
      <c r="M528" s="9" t="s">
        <v>51</v>
      </c>
      <c r="N528" s="9">
        <v>240</v>
      </c>
      <c r="O528" s="9">
        <v>1</v>
      </c>
      <c r="P528" s="9">
        <v>120</v>
      </c>
      <c r="Q528" s="9">
        <v>121</v>
      </c>
      <c r="R528" s="9">
        <v>0.84</v>
      </c>
      <c r="S528" s="9">
        <v>-3.5424850000000001</v>
      </c>
      <c r="T528" s="9">
        <v>120.398976</v>
      </c>
      <c r="U528" s="9" t="s">
        <v>52</v>
      </c>
      <c r="V528" s="11" t="str">
        <f>VLOOKUP(L528,'[1]singkron data'!D:E,2,FALSE)</f>
        <v>PT. Relis Sapindo Utama</v>
      </c>
      <c r="W528" s="13">
        <f>VLOOKUP(L528,'[1]data 1129'!F:H,3,FALSE)</f>
        <v>5362014084</v>
      </c>
      <c r="X528" s="11" t="s">
        <v>55</v>
      </c>
      <c r="Y528" s="11" t="str">
        <f>VLOOKUP(L528,'[1]singkron data'!D:H,5,FALSE)</f>
        <v>Makassar</v>
      </c>
      <c r="Z528" s="11" t="str">
        <f>VLOOKUP(L528,'[1]singkron data'!D:I,6,FALSE)</f>
        <v>Online</v>
      </c>
      <c r="AA528" s="11">
        <f>VLOOKUP(L528,'[1]singkron data'!D:L,9,FALSE)</f>
        <v>81341207077</v>
      </c>
      <c r="AB528" s="11" t="s">
        <v>54</v>
      </c>
      <c r="AC528" s="11" t="str">
        <f>VLOOKUP(L528,'[1]singkron data'!D:M,10,FALSE)</f>
        <v>Hyl</v>
      </c>
      <c r="AD528" s="11" t="str">
        <f>VLOOKUP(L528,'[1]data 1129'!F:O,10,FALSE)</f>
        <v>Tahap I 208</v>
      </c>
      <c r="AE528" s="11" t="str">
        <f>VLOOKUP(L528,'[1]singkron data'!D:P,13,FALSE)</f>
        <v>sudah</v>
      </c>
      <c r="AF528" s="11" t="s">
        <v>55</v>
      </c>
      <c r="AG528" s="17">
        <f>VLOOKUP(L528,'[1]update kontrak'!E:K,6,FALSE)</f>
        <v>4978858380</v>
      </c>
      <c r="AH528" s="11" t="str">
        <f>VLOOKUP(L528,'[1]update kontrak'!E:K,7,FALSE)</f>
        <v>KONTRAK</v>
      </c>
      <c r="AI528" s="11" t="s">
        <v>41</v>
      </c>
      <c r="AJ528" s="11" t="str">
        <f>VLOOKUP(L528,[1]rekap!D:M,1,FALSE)</f>
        <v>Rantebelu</v>
      </c>
      <c r="AK528" s="11" t="str">
        <f>VLOOKUP(L528,'[1]singkron data'!D:E,2,FALSE)</f>
        <v>PT. Relis Sapindo Utama</v>
      </c>
      <c r="AL528" s="11" t="str">
        <f>VLOOKUP(L528,'[1]update 521'!D:D,1,FALSE)</f>
        <v>Rantebelu</v>
      </c>
      <c r="AM528" s="11" t="s">
        <v>57</v>
      </c>
      <c r="AN528" s="17">
        <f>VLOOKUP(L528,[1]Sheet19!E:L,8,FALSE)</f>
        <v>4978858380</v>
      </c>
      <c r="AO528" s="11" t="str">
        <f>VLOOKUP(L528,[1]Sheet19!E:K,7,FALSE)</f>
        <v>KONTRAK</v>
      </c>
      <c r="AP528" s="12" t="s">
        <v>41</v>
      </c>
    </row>
    <row r="529" spans="1:42" ht="15" x14ac:dyDescent="0.2">
      <c r="A529" s="8" t="s">
        <v>42</v>
      </c>
      <c r="B529" s="9" t="s">
        <v>43</v>
      </c>
      <c r="C529" s="9">
        <v>545</v>
      </c>
      <c r="D529" s="9" t="s">
        <v>1112</v>
      </c>
      <c r="E529" s="9">
        <v>76</v>
      </c>
      <c r="F529" s="9" t="s">
        <v>1284</v>
      </c>
      <c r="G529" s="9" t="s">
        <v>1114</v>
      </c>
      <c r="H529" s="9" t="s">
        <v>287</v>
      </c>
      <c r="I529" s="9" t="s">
        <v>1136</v>
      </c>
      <c r="J529" s="9" t="s">
        <v>1294</v>
      </c>
      <c r="K529" s="9" t="s">
        <v>1295</v>
      </c>
      <c r="L529" s="10" t="s">
        <v>1295</v>
      </c>
      <c r="M529" s="9" t="s">
        <v>51</v>
      </c>
      <c r="N529" s="9">
        <v>375</v>
      </c>
      <c r="O529" s="9">
        <v>10</v>
      </c>
      <c r="P529" s="9">
        <v>175</v>
      </c>
      <c r="Q529" s="9">
        <v>185</v>
      </c>
      <c r="R529" s="9">
        <v>0.5</v>
      </c>
      <c r="S529" s="9">
        <v>-3.6995809999999998</v>
      </c>
      <c r="T529" s="9">
        <v>120.424249</v>
      </c>
      <c r="U529" s="9" t="s">
        <v>52</v>
      </c>
      <c r="V529" s="11" t="str">
        <f>VLOOKUP(L529,'[1]singkron data'!D:E,2,FALSE)</f>
        <v>PT. Relis Sapindo Utama</v>
      </c>
      <c r="W529" s="13">
        <f>VLOOKUP(L529,'[1]data 1129'!F:H,3,FALSE)</f>
        <v>7784648000</v>
      </c>
      <c r="X529" s="11" t="s">
        <v>55</v>
      </c>
      <c r="Y529" s="11" t="str">
        <f>VLOOKUP(L529,'[1]singkron data'!D:H,5,FALSE)</f>
        <v>Makassar</v>
      </c>
      <c r="Z529" s="11" t="str">
        <f>VLOOKUP(L529,'[1]singkron data'!D:I,6,FALSE)</f>
        <v>Online</v>
      </c>
      <c r="AA529" s="11">
        <f>VLOOKUP(L529,'[1]singkron data'!D:L,9,FALSE)</f>
        <v>81341207077</v>
      </c>
      <c r="AB529" s="11" t="s">
        <v>54</v>
      </c>
      <c r="AC529" s="11" t="str">
        <f>VLOOKUP(L529,'[1]singkron data'!D:M,10,FALSE)</f>
        <v>Hyl</v>
      </c>
      <c r="AD529" s="11" t="str">
        <f>VLOOKUP(L529,'[1]data 1129'!F:O,10,FALSE)</f>
        <v>Tahap I 208</v>
      </c>
      <c r="AE529" s="11" t="str">
        <f>VLOOKUP(L529,'[1]singkron data'!D:P,13,FALSE)</f>
        <v>sudah</v>
      </c>
      <c r="AF529" s="11" t="s">
        <v>55</v>
      </c>
      <c r="AG529" s="17">
        <f>VLOOKUP(L529,'[1]update kontrak'!E:K,6,FALSE)</f>
        <v>3814502790</v>
      </c>
      <c r="AH529" s="11" t="str">
        <f>VLOOKUP(L529,'[1]update kontrak'!E:K,7,FALSE)</f>
        <v>KONTRAK</v>
      </c>
      <c r="AI529" s="11" t="s">
        <v>41</v>
      </c>
      <c r="AJ529" s="11" t="str">
        <f>VLOOKUP(L529,[1]rekap!D:M,1,FALSE)</f>
        <v>Bulete</v>
      </c>
      <c r="AK529" s="11" t="str">
        <f>VLOOKUP(L529,'[1]singkron data'!D:E,2,FALSE)</f>
        <v>PT. Relis Sapindo Utama</v>
      </c>
      <c r="AL529" s="11" t="str">
        <f>VLOOKUP(L529,'[1]update 521'!D:D,1,FALSE)</f>
        <v>Bulete</v>
      </c>
      <c r="AM529" s="11" t="s">
        <v>57</v>
      </c>
      <c r="AN529" s="17">
        <f>VLOOKUP(L529,[1]Sheet19!E:L,8,FALSE)</f>
        <v>3814502790</v>
      </c>
      <c r="AO529" s="11" t="str">
        <f>VLOOKUP(L529,[1]Sheet19!E:K,7,FALSE)</f>
        <v>KONTRAK</v>
      </c>
      <c r="AP529" s="12" t="s">
        <v>41</v>
      </c>
    </row>
    <row r="530" spans="1:42" ht="15" x14ac:dyDescent="0.2">
      <c r="A530" s="8" t="s">
        <v>42</v>
      </c>
      <c r="B530" s="9" t="s">
        <v>43</v>
      </c>
      <c r="C530" s="9">
        <v>546</v>
      </c>
      <c r="D530" s="9" t="s">
        <v>1112</v>
      </c>
      <c r="E530" s="9">
        <v>77</v>
      </c>
      <c r="F530" s="9" t="s">
        <v>1296</v>
      </c>
      <c r="G530" s="9" t="s">
        <v>1114</v>
      </c>
      <c r="H530" s="9" t="s">
        <v>287</v>
      </c>
      <c r="I530" s="9" t="s">
        <v>1297</v>
      </c>
      <c r="J530" s="9" t="s">
        <v>1298</v>
      </c>
      <c r="K530" s="9" t="s">
        <v>1299</v>
      </c>
      <c r="L530" s="10" t="s">
        <v>1299</v>
      </c>
      <c r="M530" s="9" t="s">
        <v>65</v>
      </c>
      <c r="N530" s="9">
        <v>315</v>
      </c>
      <c r="O530" s="9">
        <v>1</v>
      </c>
      <c r="P530" s="9">
        <v>256</v>
      </c>
      <c r="Q530" s="9">
        <v>257</v>
      </c>
      <c r="R530" s="9">
        <v>0.67</v>
      </c>
      <c r="S530" s="9">
        <v>-6.178801</v>
      </c>
      <c r="T530" s="9">
        <v>120.42740999999999</v>
      </c>
      <c r="U530" s="9" t="s">
        <v>52</v>
      </c>
      <c r="V530" s="11" t="str">
        <f>VLOOKUP(L530,'[1]singkron data'!D:E,2,FALSE)</f>
        <v>PT. Murni Konstruksi Indonesia</v>
      </c>
      <c r="W530" s="13">
        <f>VLOOKUP(L530,'[1]data 1129'!F:H,3,FALSE)</f>
        <v>4408443880</v>
      </c>
      <c r="X530" s="11" t="s">
        <v>55</v>
      </c>
      <c r="Y530" s="11" t="str">
        <f>VLOOKUP(L530,'[1]singkron data'!D:H,5,FALSE)</f>
        <v>Makassar (M)</v>
      </c>
      <c r="Z530" s="11" t="str">
        <f>VLOOKUP(L530,'[1]singkron data'!D:I,6,FALSE)</f>
        <v>Online</v>
      </c>
      <c r="AA530" s="11">
        <f>VLOOKUP(L530,'[1]singkron data'!D:L,9,FALSE)</f>
        <v>81325288874</v>
      </c>
      <c r="AB530" s="11" t="s">
        <v>54</v>
      </c>
      <c r="AC530" s="11" t="str">
        <f>VLOOKUP(L530,'[1]singkron data'!D:M,10,FALSE)</f>
        <v>TK</v>
      </c>
      <c r="AD530" s="11" t="str">
        <f>VLOOKUP(L530,'[1]data 1129'!F:O,10,FALSE)</f>
        <v>Tahap I 208</v>
      </c>
      <c r="AE530" s="11" t="str">
        <f>VLOOKUP(L530,'[1]singkron data'!D:P,13,FALSE)</f>
        <v>sudah</v>
      </c>
      <c r="AF530" s="11" t="s">
        <v>55</v>
      </c>
      <c r="AG530" s="17">
        <f>VLOOKUP(L530,'[1]update kontrak'!E:K,6,FALSE)</f>
        <v>4106056000</v>
      </c>
      <c r="AH530" s="11" t="str">
        <f>VLOOKUP(L530,'[1]update kontrak'!E:K,7,FALSE)</f>
        <v>KONTRAK</v>
      </c>
      <c r="AI530" s="11" t="s">
        <v>41</v>
      </c>
      <c r="AJ530" s="11" t="str">
        <f>VLOOKUP(L530,[1]rekap!D:M,1,FALSE)</f>
        <v>Bontosunggu</v>
      </c>
      <c r="AK530" s="11" t="str">
        <f>VLOOKUP(L530,'[1]singkron data'!D:E,2,FALSE)</f>
        <v>PT. Murni Konstruksi Indonesia</v>
      </c>
      <c r="AL530" s="11" t="str">
        <f>VLOOKUP(L530,'[1]update 521'!D:D,1,FALSE)</f>
        <v>Bontosunggu</v>
      </c>
      <c r="AM530" s="11" t="s">
        <v>57</v>
      </c>
      <c r="AN530" s="17">
        <f>VLOOKUP(L530,[1]Sheet19!E:L,8,FALSE)</f>
        <v>4106056000</v>
      </c>
      <c r="AO530" s="11" t="str">
        <f>VLOOKUP(L530,[1]Sheet19!E:K,7,FALSE)</f>
        <v>KONTRAK</v>
      </c>
      <c r="AP530" s="12" t="s">
        <v>41</v>
      </c>
    </row>
    <row r="531" spans="1:42" ht="15" x14ac:dyDescent="0.2">
      <c r="A531" s="8" t="s">
        <v>42</v>
      </c>
      <c r="B531" s="9" t="s">
        <v>43</v>
      </c>
      <c r="C531" s="9">
        <v>547</v>
      </c>
      <c r="D531" s="9" t="s">
        <v>1112</v>
      </c>
      <c r="E531" s="9">
        <v>78</v>
      </c>
      <c r="F531" s="9" t="s">
        <v>1296</v>
      </c>
      <c r="G531" s="9" t="s">
        <v>1114</v>
      </c>
      <c r="H531" s="9" t="s">
        <v>287</v>
      </c>
      <c r="I531" s="9" t="s">
        <v>1297</v>
      </c>
      <c r="J531" s="9" t="s">
        <v>1300</v>
      </c>
      <c r="K531" s="9" t="s">
        <v>1301</v>
      </c>
      <c r="L531" s="10" t="s">
        <v>1301</v>
      </c>
      <c r="M531" s="9" t="s">
        <v>51</v>
      </c>
      <c r="N531" s="9">
        <v>348</v>
      </c>
      <c r="O531" s="9">
        <v>37</v>
      </c>
      <c r="P531" s="9">
        <v>201</v>
      </c>
      <c r="Q531" s="9">
        <v>238</v>
      </c>
      <c r="R531" s="9">
        <v>1</v>
      </c>
      <c r="S531" s="9">
        <v>-5.8503100000000003</v>
      </c>
      <c r="T531" s="9">
        <v>120.454408</v>
      </c>
      <c r="U531" s="9" t="s">
        <v>52</v>
      </c>
      <c r="V531" s="11" t="str">
        <f>VLOOKUP(L531,'[1]singkron data'!D:E,2,FALSE)</f>
        <v>PT. Murni Konstruksi Indonesia</v>
      </c>
      <c r="W531" s="13">
        <f>VLOOKUP(L531,'[1]data 1129'!F:H,3,FALSE)</f>
        <v>11294902000</v>
      </c>
      <c r="X531" s="11" t="s">
        <v>55</v>
      </c>
      <c r="Y531" s="11" t="str">
        <f>VLOOKUP(L531,'[1]singkron data'!D:H,5,FALSE)</f>
        <v>Makassar (M)</v>
      </c>
      <c r="Z531" s="11" t="str">
        <f>VLOOKUP(L531,'[1]singkron data'!D:I,6,FALSE)</f>
        <v>Online</v>
      </c>
      <c r="AA531" s="11">
        <f>VLOOKUP(L531,'[1]singkron data'!D:L,9,FALSE)</f>
        <v>81325288874</v>
      </c>
      <c r="AB531" s="11" t="s">
        <v>54</v>
      </c>
      <c r="AC531" s="11" t="str">
        <f>VLOOKUP(L531,'[1]singkron data'!D:M,10,FALSE)</f>
        <v>TK</v>
      </c>
      <c r="AD531" s="11" t="str">
        <f>VLOOKUP(L531,'[1]data 1129'!F:O,10,FALSE)</f>
        <v>Tahap I 208</v>
      </c>
      <c r="AE531" s="11" t="str">
        <f>VLOOKUP(L531,'[1]singkron data'!D:P,13,FALSE)</f>
        <v>sudah</v>
      </c>
      <c r="AF531" s="11" t="s">
        <v>55</v>
      </c>
      <c r="AG531" s="17">
        <f>VLOOKUP(L531,'[1]update kontrak'!E:K,6,FALSE)</f>
        <v>5363267000</v>
      </c>
      <c r="AH531" s="11" t="str">
        <f>VLOOKUP(L531,'[1]update kontrak'!E:K,7,FALSE)</f>
        <v>KONTRAK</v>
      </c>
      <c r="AI531" s="11" t="s">
        <v>41</v>
      </c>
      <c r="AJ531" s="11" t="str">
        <f>VLOOKUP(L531,[1]rekap!D:M,1,FALSE)</f>
        <v>Bungaiya</v>
      </c>
      <c r="AK531" s="11" t="str">
        <f>VLOOKUP(L531,'[1]singkron data'!D:E,2,FALSE)</f>
        <v>PT. Murni Konstruksi Indonesia</v>
      </c>
      <c r="AL531" s="11" t="str">
        <f>VLOOKUP(L531,'[1]update 521'!D:D,1,FALSE)</f>
        <v>Bungaiya</v>
      </c>
      <c r="AM531" s="11" t="s">
        <v>57</v>
      </c>
      <c r="AN531" s="17">
        <f>VLOOKUP(L531,[1]Sheet19!E:L,8,FALSE)</f>
        <v>5363267000</v>
      </c>
      <c r="AO531" s="11" t="str">
        <f>VLOOKUP(L531,[1]Sheet19!E:K,7,FALSE)</f>
        <v>KONTRAK</v>
      </c>
      <c r="AP531" s="12" t="s">
        <v>41</v>
      </c>
    </row>
    <row r="532" spans="1:42" ht="15" x14ac:dyDescent="0.2">
      <c r="A532" s="8" t="s">
        <v>42</v>
      </c>
      <c r="B532" s="9" t="s">
        <v>43</v>
      </c>
      <c r="C532" s="9">
        <v>548</v>
      </c>
      <c r="D532" s="9" t="s">
        <v>1112</v>
      </c>
      <c r="E532" s="9">
        <v>79</v>
      </c>
      <c r="F532" s="9" t="s">
        <v>1296</v>
      </c>
      <c r="G532" s="9" t="s">
        <v>1114</v>
      </c>
      <c r="H532" s="9" t="s">
        <v>287</v>
      </c>
      <c r="I532" s="9" t="s">
        <v>1297</v>
      </c>
      <c r="J532" s="9" t="s">
        <v>1302</v>
      </c>
      <c r="K532" s="9" t="s">
        <v>1303</v>
      </c>
      <c r="L532" s="10" t="s">
        <v>1303</v>
      </c>
      <c r="M532" s="9" t="s">
        <v>51</v>
      </c>
      <c r="N532" s="9">
        <v>92</v>
      </c>
      <c r="O532" s="9">
        <v>26</v>
      </c>
      <c r="P532" s="9">
        <v>66</v>
      </c>
      <c r="Q532" s="9">
        <v>92</v>
      </c>
      <c r="R532" s="9">
        <v>2.27</v>
      </c>
      <c r="S532" s="9">
        <v>-6.3986109999999998</v>
      </c>
      <c r="T532" s="9">
        <v>120.492222</v>
      </c>
      <c r="U532" s="9" t="s">
        <v>52</v>
      </c>
      <c r="V532" s="11" t="str">
        <f>VLOOKUP(L532,'[1]singkron data'!D:E,2,FALSE)</f>
        <v>PT. Murni Konstruksi Indonesia</v>
      </c>
      <c r="W532" s="13">
        <f>VLOOKUP(L532,'[1]data 1129'!F:H,3,FALSE)</f>
        <v>11294902000</v>
      </c>
      <c r="X532" s="11" t="s">
        <v>55</v>
      </c>
      <c r="Y532" s="11" t="str">
        <f>VLOOKUP(L532,'[1]singkron data'!D:H,5,FALSE)</f>
        <v>Makassar (M)</v>
      </c>
      <c r="Z532" s="11" t="str">
        <f>VLOOKUP(L532,'[1]singkron data'!D:I,6,FALSE)</f>
        <v>Online</v>
      </c>
      <c r="AA532" s="11">
        <f>VLOOKUP(L532,'[1]singkron data'!D:L,9,FALSE)</f>
        <v>81325288874</v>
      </c>
      <c r="AB532" s="11" t="s">
        <v>54</v>
      </c>
      <c r="AC532" s="11" t="str">
        <f>VLOOKUP(L532,'[1]singkron data'!D:M,10,FALSE)</f>
        <v>TK</v>
      </c>
      <c r="AD532" s="11" t="str">
        <f>VLOOKUP(L532,'[1]data 1129'!F:O,10,FALSE)</f>
        <v>Tahap I 208</v>
      </c>
      <c r="AE532" s="11" t="str">
        <f>VLOOKUP(L532,'[1]singkron data'!D:P,13,FALSE)</f>
        <v>sudah</v>
      </c>
      <c r="AF532" s="11" t="s">
        <v>55</v>
      </c>
      <c r="AG532" s="17">
        <f>VLOOKUP(L532,'[1]update kontrak'!E:K,6,FALSE)</f>
        <v>6023781000</v>
      </c>
      <c r="AH532" s="11" t="str">
        <f>VLOOKUP(L532,'[1]update kontrak'!E:K,7,FALSE)</f>
        <v>KONTRAK</v>
      </c>
      <c r="AI532" s="11" t="s">
        <v>41</v>
      </c>
      <c r="AJ532" s="11" t="str">
        <f>VLOOKUP(L532,[1]rekap!D:M,1,FALSE)</f>
        <v>Lowa</v>
      </c>
      <c r="AK532" s="11" t="str">
        <f>VLOOKUP(L532,'[1]singkron data'!D:E,2,FALSE)</f>
        <v>PT. Murni Konstruksi Indonesia</v>
      </c>
      <c r="AL532" s="11" t="str">
        <f>VLOOKUP(L532,'[1]update 521'!D:D,1,FALSE)</f>
        <v>Lowa</v>
      </c>
      <c r="AM532" s="11" t="s">
        <v>57</v>
      </c>
      <c r="AN532" s="17">
        <f>VLOOKUP(L532,[1]Sheet19!E:L,8,FALSE)</f>
        <v>6023781000</v>
      </c>
      <c r="AO532" s="11" t="str">
        <f>VLOOKUP(L532,[1]Sheet19!E:K,7,FALSE)</f>
        <v>KONTRAK</v>
      </c>
      <c r="AP532" s="12" t="s">
        <v>41</v>
      </c>
    </row>
    <row r="533" spans="1:42" ht="15" x14ac:dyDescent="0.2">
      <c r="A533" s="8" t="s">
        <v>42</v>
      </c>
      <c r="B533" s="9" t="s">
        <v>43</v>
      </c>
      <c r="C533" s="9">
        <v>549</v>
      </c>
      <c r="D533" s="9" t="s">
        <v>1112</v>
      </c>
      <c r="E533" s="9">
        <v>80</v>
      </c>
      <c r="F533" s="9" t="s">
        <v>1296</v>
      </c>
      <c r="G533" s="9" t="s">
        <v>1114</v>
      </c>
      <c r="H533" s="9" t="s">
        <v>287</v>
      </c>
      <c r="I533" s="9" t="s">
        <v>1297</v>
      </c>
      <c r="J533" s="9" t="s">
        <v>1304</v>
      </c>
      <c r="K533" s="9" t="s">
        <v>1304</v>
      </c>
      <c r="L533" s="10" t="s">
        <v>1304</v>
      </c>
      <c r="M533" s="9" t="s">
        <v>51</v>
      </c>
      <c r="N533" s="9">
        <v>61</v>
      </c>
      <c r="O533" s="9">
        <v>19</v>
      </c>
      <c r="P533" s="9">
        <v>42</v>
      </c>
      <c r="Q533" s="9">
        <v>61</v>
      </c>
      <c r="R533" s="9">
        <v>1</v>
      </c>
      <c r="S533" s="9">
        <v>-5.9717219999999998</v>
      </c>
      <c r="T533" s="9">
        <v>120.44836100000001</v>
      </c>
      <c r="U533" s="9" t="s">
        <v>52</v>
      </c>
      <c r="V533" s="11" t="str">
        <f>VLOOKUP(L533,'[1]singkron data'!D:E,2,FALSE)</f>
        <v>PT. Murni Konstruksi Indonesia</v>
      </c>
      <c r="W533" s="13">
        <f>VLOOKUP(L533,'[1]data 1129'!F:H,3,FALSE)</f>
        <v>7570886000</v>
      </c>
      <c r="X533" s="11" t="s">
        <v>55</v>
      </c>
      <c r="Y533" s="11" t="str">
        <f>VLOOKUP(L533,'[1]singkron data'!D:H,5,FALSE)</f>
        <v>Makassar (M)</v>
      </c>
      <c r="Z533" s="11" t="str">
        <f>VLOOKUP(L533,'[1]singkron data'!D:I,6,FALSE)</f>
        <v>Online</v>
      </c>
      <c r="AA533" s="11">
        <f>VLOOKUP(L533,'[1]singkron data'!D:L,9,FALSE)</f>
        <v>81325288874</v>
      </c>
      <c r="AB533" s="11" t="s">
        <v>54</v>
      </c>
      <c r="AC533" s="11" t="str">
        <f>VLOOKUP(L533,'[1]singkron data'!D:M,10,FALSE)</f>
        <v>TK</v>
      </c>
      <c r="AD533" s="11" t="str">
        <f>VLOOKUP(L533,'[1]data 1129'!F:O,10,FALSE)</f>
        <v>Tahap I 208</v>
      </c>
      <c r="AE533" s="11" t="str">
        <f>VLOOKUP(L533,'[1]singkron data'!D:P,13,FALSE)</f>
        <v>sudah</v>
      </c>
      <c r="AF533" s="11" t="s">
        <v>55</v>
      </c>
      <c r="AG533" s="17">
        <f>VLOOKUP(L533,'[1]update kontrak'!E:K,6,FALSE)</f>
        <v>5076631000</v>
      </c>
      <c r="AH533" s="11" t="str">
        <f>VLOOKUP(L533,'[1]update kontrak'!E:K,7,FALSE)</f>
        <v>KONTRAK</v>
      </c>
      <c r="AI533" s="11" t="s">
        <v>41</v>
      </c>
      <c r="AJ533" s="11" t="str">
        <f>VLOOKUP(L533,[1]rekap!D:M,1,FALSE)</f>
        <v>Buki</v>
      </c>
      <c r="AK533" s="11" t="str">
        <f>VLOOKUP(L533,'[1]singkron data'!D:E,2,FALSE)</f>
        <v>PT. Murni Konstruksi Indonesia</v>
      </c>
      <c r="AL533" s="11" t="str">
        <f>VLOOKUP(L533,'[1]update 521'!D:D,1,FALSE)</f>
        <v>Buki</v>
      </c>
      <c r="AM533" s="11" t="s">
        <v>57</v>
      </c>
      <c r="AN533" s="17">
        <f>VLOOKUP(L533,[1]Sheet19!E:L,8,FALSE)</f>
        <v>5076631000</v>
      </c>
      <c r="AO533" s="11" t="str">
        <f>VLOOKUP(L533,[1]Sheet19!E:K,7,FALSE)</f>
        <v>KONTRAK</v>
      </c>
      <c r="AP533" s="12" t="s">
        <v>41</v>
      </c>
    </row>
    <row r="534" spans="1:42" ht="15" x14ac:dyDescent="0.2">
      <c r="A534" s="8" t="s">
        <v>42</v>
      </c>
      <c r="B534" s="9" t="s">
        <v>43</v>
      </c>
      <c r="C534" s="9">
        <v>550</v>
      </c>
      <c r="D534" s="9" t="s">
        <v>1112</v>
      </c>
      <c r="E534" s="9">
        <v>81</v>
      </c>
      <c r="F534" s="9" t="s">
        <v>1305</v>
      </c>
      <c r="G534" s="9" t="s">
        <v>1184</v>
      </c>
      <c r="H534" s="9" t="s">
        <v>287</v>
      </c>
      <c r="I534" s="9" t="s">
        <v>1255</v>
      </c>
      <c r="J534" s="9" t="s">
        <v>1306</v>
      </c>
      <c r="K534" s="9" t="s">
        <v>1305</v>
      </c>
      <c r="L534" s="10" t="s">
        <v>1305</v>
      </c>
      <c r="M534" s="9" t="s">
        <v>65</v>
      </c>
      <c r="N534" s="9">
        <v>250</v>
      </c>
      <c r="O534" s="9">
        <v>3</v>
      </c>
      <c r="P534" s="9">
        <v>220</v>
      </c>
      <c r="Q534" s="9">
        <v>223</v>
      </c>
      <c r="R534" s="9">
        <v>0.3</v>
      </c>
      <c r="S534" s="9">
        <v>-0.84853000000000001</v>
      </c>
      <c r="T534" s="9">
        <v>120.200518</v>
      </c>
      <c r="U534" s="9" t="s">
        <v>52</v>
      </c>
      <c r="V534" s="11" t="str">
        <f>VLOOKUP(L534,'[1]singkron data'!D:E,2,FALSE)</f>
        <v>CV. Navigasi General Contractor</v>
      </c>
      <c r="W534" s="13">
        <f>VLOOKUP(L534,'[1]data 1129'!F:H,3,FALSE)</f>
        <v>7310897000</v>
      </c>
      <c r="X534" s="11" t="s">
        <v>55</v>
      </c>
      <c r="Y534" s="11">
        <f>VLOOKUP(L534,'[1]singkron data'!D:H,5,FALSE)</f>
        <v>0</v>
      </c>
      <c r="Z534" s="11">
        <f>VLOOKUP(L534,'[1]singkron data'!D:I,6,FALSE)</f>
        <v>0</v>
      </c>
      <c r="AA534" s="11" t="str">
        <f>VLOOKUP(L534,'[1]singkron data'!D:L,9,FALSE)</f>
        <v>85241201470/yudi</v>
      </c>
      <c r="AB534" s="11" t="s">
        <v>54</v>
      </c>
      <c r="AC534" s="11" t="str">
        <f>VLOOKUP(L534,'[1]singkron data'!D:M,10,FALSE)</f>
        <v>Hyl</v>
      </c>
      <c r="AD534" s="11" t="str">
        <f>VLOOKUP(L534,'[1]data 1129'!F:O,10,FALSE)</f>
        <v>Tahap I 208</v>
      </c>
      <c r="AE534" s="11" t="str">
        <f>VLOOKUP(L534,'[1]singkron data'!D:P,13,FALSE)</f>
        <v>sudah</v>
      </c>
      <c r="AF534" s="11" t="s">
        <v>55</v>
      </c>
      <c r="AG534" s="17">
        <f>VLOOKUP(L534,'[1]update kontrak'!E:K,6,FALSE)</f>
        <v>6445202561</v>
      </c>
      <c r="AH534" s="11" t="str">
        <f>VLOOKUP(L534,'[1]update kontrak'!E:K,7,FALSE)</f>
        <v>KONTRAK</v>
      </c>
      <c r="AI534" s="11" t="s">
        <v>41</v>
      </c>
      <c r="AJ534" s="11" t="str">
        <f>VLOOKUP(L534,[1]rekap!D:M,1,FALSE)</f>
        <v>Boyantongo</v>
      </c>
      <c r="AK534" s="11" t="str">
        <f>VLOOKUP(L534,'[1]singkron data'!D:E,2,FALSE)</f>
        <v>CV. Navigasi General Contractor</v>
      </c>
      <c r="AL534" s="11" t="str">
        <f>VLOOKUP(L534,'[1]update 521'!D:D,1,FALSE)</f>
        <v>Boyantongo</v>
      </c>
      <c r="AM534" s="11" t="s">
        <v>57</v>
      </c>
      <c r="AN534" s="17">
        <f>VLOOKUP(L534,[1]Sheet19!E:L,8,FALSE)</f>
        <v>6445202561</v>
      </c>
      <c r="AO534" s="11" t="str">
        <f>VLOOKUP(L534,[1]Sheet19!E:K,7,FALSE)</f>
        <v>KONTRAK</v>
      </c>
      <c r="AP534" s="12" t="s">
        <v>41</v>
      </c>
    </row>
    <row r="535" spans="1:42" ht="15" x14ac:dyDescent="0.2">
      <c r="A535" s="8" t="s">
        <v>42</v>
      </c>
      <c r="B535" s="9" t="s">
        <v>43</v>
      </c>
      <c r="C535" s="9">
        <v>551</v>
      </c>
      <c r="D535" s="9" t="s">
        <v>1112</v>
      </c>
      <c r="E535" s="9">
        <v>82</v>
      </c>
      <c r="F535" s="9" t="s">
        <v>1305</v>
      </c>
      <c r="G535" s="9" t="s">
        <v>1184</v>
      </c>
      <c r="H535" s="9" t="s">
        <v>287</v>
      </c>
      <c r="I535" s="9" t="s">
        <v>1255</v>
      </c>
      <c r="J535" s="9" t="s">
        <v>1307</v>
      </c>
      <c r="K535" s="9" t="s">
        <v>1308</v>
      </c>
      <c r="L535" s="10" t="s">
        <v>1308</v>
      </c>
      <c r="M535" s="9" t="s">
        <v>51</v>
      </c>
      <c r="N535" s="9">
        <v>80</v>
      </c>
      <c r="O535" s="9">
        <v>31</v>
      </c>
      <c r="P535" s="9">
        <v>50</v>
      </c>
      <c r="Q535" s="9">
        <v>81</v>
      </c>
      <c r="R535" s="9">
        <v>0.65</v>
      </c>
      <c r="S535" s="9">
        <v>-0.74316300000000002</v>
      </c>
      <c r="T535" s="9">
        <v>120.11421</v>
      </c>
      <c r="U535" s="9" t="s">
        <v>52</v>
      </c>
      <c r="V535" s="11" t="str">
        <f>VLOOKUP(L535,'[1]singkron data'!D:E,2,FALSE)</f>
        <v>CV. Navigasi General Contractor</v>
      </c>
      <c r="W535" s="13">
        <f>VLOOKUP(L535,'[1]data 1129'!F:H,3,FALSE)</f>
        <v>7291724000</v>
      </c>
      <c r="X535" s="11" t="s">
        <v>55</v>
      </c>
      <c r="Y535" s="11">
        <f>VLOOKUP(L535,'[1]singkron data'!D:H,5,FALSE)</f>
        <v>0</v>
      </c>
      <c r="Z535" s="11">
        <f>VLOOKUP(L535,'[1]singkron data'!D:I,6,FALSE)</f>
        <v>0</v>
      </c>
      <c r="AA535" s="11" t="str">
        <f>VLOOKUP(L535,'[1]singkron data'!D:L,9,FALSE)</f>
        <v>85241201470/yudi</v>
      </c>
      <c r="AB535" s="11" t="s">
        <v>54</v>
      </c>
      <c r="AC535" s="11" t="str">
        <f>VLOOKUP(L535,'[1]singkron data'!D:M,10,FALSE)</f>
        <v>Hyl</v>
      </c>
      <c r="AD535" s="11" t="str">
        <f>VLOOKUP(L535,'[1]data 1129'!F:O,10,FALSE)</f>
        <v>Tahap I 208</v>
      </c>
      <c r="AE535" s="11" t="str">
        <f>VLOOKUP(L535,'[1]singkron data'!D:P,13,FALSE)</f>
        <v>sudah</v>
      </c>
      <c r="AF535" s="11" t="s">
        <v>55</v>
      </c>
      <c r="AG535" s="17">
        <f>VLOOKUP(L535,'[1]update kontrak'!E:K,6,FALSE)</f>
        <v>4239549434.8400002</v>
      </c>
      <c r="AH535" s="11" t="str">
        <f>VLOOKUP(L535,'[1]update kontrak'!E:K,7,FALSE)</f>
        <v>KONTRAK</v>
      </c>
      <c r="AI535" s="11" t="s">
        <v>41</v>
      </c>
      <c r="AJ535" s="11" t="str">
        <f>VLOOKUP(L535,[1]rekap!D:M,1,FALSE)</f>
        <v>Pelawa Baru</v>
      </c>
      <c r="AK535" s="11" t="str">
        <f>VLOOKUP(L535,'[1]singkron data'!D:E,2,FALSE)</f>
        <v>CV. Navigasi General Contractor</v>
      </c>
      <c r="AL535" s="11" t="str">
        <f>VLOOKUP(L535,'[1]update 521'!D:D,1,FALSE)</f>
        <v>Pelawa Baru</v>
      </c>
      <c r="AM535" s="11" t="s">
        <v>57</v>
      </c>
      <c r="AN535" s="17">
        <f>VLOOKUP(L535,[1]Sheet19!E:L,8,FALSE)</f>
        <v>4239549434.8400002</v>
      </c>
      <c r="AO535" s="11" t="str">
        <f>VLOOKUP(L535,[1]Sheet19!E:K,7,FALSE)</f>
        <v>KONTRAK</v>
      </c>
      <c r="AP535" s="12" t="s">
        <v>41</v>
      </c>
    </row>
    <row r="536" spans="1:42" ht="15" x14ac:dyDescent="0.2">
      <c r="A536" s="8" t="s">
        <v>42</v>
      </c>
      <c r="B536" s="9" t="s">
        <v>43</v>
      </c>
      <c r="C536" s="9">
        <v>552</v>
      </c>
      <c r="D536" s="9" t="s">
        <v>1112</v>
      </c>
      <c r="E536" s="9">
        <v>83</v>
      </c>
      <c r="F536" s="9" t="s">
        <v>1305</v>
      </c>
      <c r="G536" s="9" t="s">
        <v>1184</v>
      </c>
      <c r="H536" s="9" t="s">
        <v>287</v>
      </c>
      <c r="I536" s="9" t="s">
        <v>1255</v>
      </c>
      <c r="J536" s="9" t="s">
        <v>1309</v>
      </c>
      <c r="K536" s="9" t="s">
        <v>1310</v>
      </c>
      <c r="L536" s="10" t="s">
        <v>1310</v>
      </c>
      <c r="M536" s="9" t="s">
        <v>51</v>
      </c>
      <c r="N536" s="9">
        <v>160</v>
      </c>
      <c r="O536" s="9">
        <v>20</v>
      </c>
      <c r="P536" s="9">
        <v>40</v>
      </c>
      <c r="Q536" s="9">
        <v>60</v>
      </c>
      <c r="R536" s="9">
        <v>0.45</v>
      </c>
      <c r="S536" s="9">
        <v>-1.0456749999999999</v>
      </c>
      <c r="T536" s="9">
        <v>120.528639</v>
      </c>
      <c r="U536" s="9" t="s">
        <v>52</v>
      </c>
      <c r="V536" s="11" t="str">
        <f>VLOOKUP(L536,'[1]singkron data'!D:E,2,FALSE)</f>
        <v>CV. Triga Cipta Abadi</v>
      </c>
      <c r="W536" s="13">
        <f>VLOOKUP(L536,'[1]data 1129'!F:H,3,FALSE)</f>
        <v>7291724000</v>
      </c>
      <c r="X536" s="11" t="s">
        <v>55</v>
      </c>
      <c r="Y536" s="11">
        <f>VLOOKUP(L536,'[1]singkron data'!D:H,5,FALSE)</f>
        <v>0</v>
      </c>
      <c r="Z536" s="11"/>
      <c r="AA536" s="11">
        <f>VLOOKUP(L536,'[1]singkron data'!D:L,9,FALSE)</f>
        <v>81341336969</v>
      </c>
      <c r="AB536" s="11" t="s">
        <v>54</v>
      </c>
      <c r="AC536" s="11" t="str">
        <f>VLOOKUP(L536,'[1]singkron data'!D:M,10,FALSE)</f>
        <v>Hyl</v>
      </c>
      <c r="AD536" s="11" t="str">
        <f>VLOOKUP(L536,'[1]data 1129'!F:O,10,FALSE)</f>
        <v>Tahap I 208</v>
      </c>
      <c r="AE536" s="11" t="str">
        <f>VLOOKUP(L536,'[1]singkron data'!D:P,13,FALSE)</f>
        <v>sudah</v>
      </c>
      <c r="AF536" s="11" t="s">
        <v>55</v>
      </c>
      <c r="AG536" s="17">
        <f>VLOOKUP(L536,'[1]update kontrak'!E:K,6,FALSE)</f>
        <v>4643799567</v>
      </c>
      <c r="AH536" s="11" t="str">
        <f>VLOOKUP(L536,'[1]update kontrak'!E:K,7,FALSE)</f>
        <v>KONTRAK</v>
      </c>
      <c r="AI536" s="11" t="s">
        <v>41</v>
      </c>
      <c r="AJ536" s="11" t="str">
        <f>VLOOKUP(L536,[1]rekap!D:M,1,FALSE)</f>
        <v>Sausu Tambu</v>
      </c>
      <c r="AK536" s="11" t="str">
        <f>VLOOKUP(L536,'[1]singkron data'!D:E,2,FALSE)</f>
        <v>CV. Triga Cipta Abadi</v>
      </c>
      <c r="AL536" s="11" t="str">
        <f>VLOOKUP(L536,'[1]update 521'!D:D,1,FALSE)</f>
        <v>Sausu Tambu</v>
      </c>
      <c r="AM536" s="11" t="s">
        <v>57</v>
      </c>
      <c r="AN536" s="17">
        <f>VLOOKUP(L536,[1]Sheet19!E:L,8,FALSE)</f>
        <v>4643799567</v>
      </c>
      <c r="AO536" s="11" t="str">
        <f>VLOOKUP(L536,[1]Sheet19!E:K,7,FALSE)</f>
        <v>KONTRAK</v>
      </c>
      <c r="AP536" s="12" t="s">
        <v>41</v>
      </c>
    </row>
    <row r="537" spans="1:42" ht="15" x14ac:dyDescent="0.2">
      <c r="A537" s="8" t="s">
        <v>42</v>
      </c>
      <c r="B537" s="9" t="s">
        <v>43</v>
      </c>
      <c r="C537" s="9">
        <v>553</v>
      </c>
      <c r="D537" s="9" t="s">
        <v>1112</v>
      </c>
      <c r="E537" s="9">
        <v>84</v>
      </c>
      <c r="F537" s="9" t="s">
        <v>1305</v>
      </c>
      <c r="G537" s="9" t="s">
        <v>1184</v>
      </c>
      <c r="H537" s="9" t="s">
        <v>287</v>
      </c>
      <c r="I537" s="9" t="s">
        <v>1255</v>
      </c>
      <c r="J537" s="9" t="s">
        <v>1311</v>
      </c>
      <c r="K537" s="9" t="s">
        <v>1312</v>
      </c>
      <c r="L537" s="10" t="s">
        <v>1312</v>
      </c>
      <c r="M537" s="9" t="s">
        <v>51</v>
      </c>
      <c r="N537" s="9">
        <v>60</v>
      </c>
      <c r="O537" s="9">
        <v>17</v>
      </c>
      <c r="P537" s="9">
        <v>24</v>
      </c>
      <c r="Q537" s="9">
        <v>41</v>
      </c>
      <c r="R537" s="9">
        <v>0.36</v>
      </c>
      <c r="S537" s="9">
        <v>-5.7549999999999997E-2</v>
      </c>
      <c r="T537" s="9">
        <v>120.06708</v>
      </c>
      <c r="U537" s="9" t="s">
        <v>52</v>
      </c>
      <c r="V537" s="11" t="str">
        <f>VLOOKUP(L537,'[1]singkron data'!D:E,2,FALSE)</f>
        <v>CV. Triga Cipta Abadi</v>
      </c>
      <c r="W537" s="13">
        <f>VLOOKUP(L537,'[1]data 1129'!F:H,3,FALSE)</f>
        <v>4090179000</v>
      </c>
      <c r="X537" s="11" t="s">
        <v>55</v>
      </c>
      <c r="Y537" s="11">
        <f>VLOOKUP(L537,'[1]singkron data'!D:H,5,FALSE)</f>
        <v>0</v>
      </c>
      <c r="Z537" s="11"/>
      <c r="AA537" s="11">
        <f>VLOOKUP(L537,'[1]singkron data'!D:L,9,FALSE)</f>
        <v>81341336969</v>
      </c>
      <c r="AB537" s="11" t="s">
        <v>54</v>
      </c>
      <c r="AC537" s="11" t="str">
        <f>VLOOKUP(L537,'[1]singkron data'!D:M,10,FALSE)</f>
        <v>Hyl</v>
      </c>
      <c r="AD537" s="11" t="str">
        <f>VLOOKUP(L537,'[1]data 1129'!F:O,10,FALSE)</f>
        <v>Tahap I 208</v>
      </c>
      <c r="AE537" s="11" t="str">
        <f>VLOOKUP(L537,'[1]singkron data'!D:P,13,FALSE)</f>
        <v>sudah</v>
      </c>
      <c r="AF537" s="11" t="s">
        <v>55</v>
      </c>
      <c r="AG537" s="11" t="e">
        <f>VLOOKUP(L537,'[1]update kontrak'!E:K,6,FALSE)</f>
        <v>#N/A</v>
      </c>
      <c r="AH537" s="11" t="e">
        <f>VLOOKUP(L537,'[1]update kontrak'!E:K,7,FALSE)</f>
        <v>#N/A</v>
      </c>
      <c r="AI537" s="11" t="s">
        <v>58</v>
      </c>
      <c r="AJ537" s="11" t="str">
        <f>VLOOKUP(L537,[1]rekap!D:M,1,FALSE)</f>
        <v>Tada</v>
      </c>
      <c r="AK537" s="11" t="str">
        <f>VLOOKUP(L537,'[1]singkron data'!D:E,2,FALSE)</f>
        <v>CV. Triga Cipta Abadi</v>
      </c>
      <c r="AL537" s="11" t="str">
        <f>VLOOKUP(L537,'[1]update 521'!D:D,1,FALSE)</f>
        <v>Tada</v>
      </c>
      <c r="AM537" s="11" t="s">
        <v>57</v>
      </c>
      <c r="AN537" s="17">
        <f>VLOOKUP(L537,[1]Sheet19!E:L,8,FALSE)</f>
        <v>4003390036</v>
      </c>
      <c r="AO537" s="11" t="str">
        <f>VLOOKUP(L537,[1]Sheet19!E:K,7,FALSE)</f>
        <v>KONTRAK</v>
      </c>
      <c r="AP537" s="12" t="s">
        <v>41</v>
      </c>
    </row>
    <row r="538" spans="1:42" ht="15" x14ac:dyDescent="0.2">
      <c r="A538" s="8" t="s">
        <v>42</v>
      </c>
      <c r="B538" s="9" t="s">
        <v>43</v>
      </c>
      <c r="C538" s="9">
        <v>554</v>
      </c>
      <c r="D538" s="9" t="s">
        <v>1112</v>
      </c>
      <c r="E538" s="9">
        <v>85</v>
      </c>
      <c r="F538" s="9" t="s">
        <v>1305</v>
      </c>
      <c r="G538" s="9" t="s">
        <v>1184</v>
      </c>
      <c r="H538" s="9" t="s">
        <v>287</v>
      </c>
      <c r="I538" s="9" t="s">
        <v>1255</v>
      </c>
      <c r="J538" s="9" t="s">
        <v>1313</v>
      </c>
      <c r="K538" s="9" t="s">
        <v>1314</v>
      </c>
      <c r="L538" s="10" t="s">
        <v>1314</v>
      </c>
      <c r="M538" s="9" t="s">
        <v>51</v>
      </c>
      <c r="N538" s="9">
        <v>157</v>
      </c>
      <c r="O538" s="9" t="s">
        <v>72</v>
      </c>
      <c r="P538" s="9">
        <v>80</v>
      </c>
      <c r="Q538" s="9">
        <v>80</v>
      </c>
      <c r="R538" s="9">
        <v>0.3</v>
      </c>
      <c r="S538" s="9">
        <v>-0.30208099999999999</v>
      </c>
      <c r="T538" s="9">
        <v>120.02824099999999</v>
      </c>
      <c r="U538" s="9" t="s">
        <v>52</v>
      </c>
      <c r="V538" s="11" t="str">
        <f>VLOOKUP(L538,'[1]singkron data'!D:E,2,FALSE)</f>
        <v>CV. Triga Cipta Abadi</v>
      </c>
      <c r="W538" s="13">
        <f>VLOOKUP(L538,'[1]data 1129'!F:H,3,FALSE)</f>
        <v>3968572292</v>
      </c>
      <c r="X538" s="11" t="s">
        <v>55</v>
      </c>
      <c r="Y538" s="11">
        <f>VLOOKUP(L538,'[1]singkron data'!D:H,5,FALSE)</f>
        <v>0</v>
      </c>
      <c r="Z538" s="11"/>
      <c r="AA538" s="11">
        <f>VLOOKUP(L538,'[1]singkron data'!D:L,9,FALSE)</f>
        <v>81341336969</v>
      </c>
      <c r="AB538" s="11" t="s">
        <v>54</v>
      </c>
      <c r="AC538" s="11" t="str">
        <f>VLOOKUP(L538,'[1]singkron data'!D:M,10,FALSE)</f>
        <v>Hyl</v>
      </c>
      <c r="AD538" s="11" t="str">
        <f>VLOOKUP(L538,'[1]data 1129'!F:O,10,FALSE)</f>
        <v>Tahap I 208</v>
      </c>
      <c r="AE538" s="11" t="str">
        <f>VLOOKUP(L538,'[1]singkron data'!D:P,13,FALSE)</f>
        <v>sudah</v>
      </c>
      <c r="AF538" s="11" t="s">
        <v>55</v>
      </c>
      <c r="AG538" s="11" t="e">
        <f>VLOOKUP(L538,'[1]update kontrak'!E:K,6,FALSE)</f>
        <v>#N/A</v>
      </c>
      <c r="AH538" s="11" t="e">
        <f>VLOOKUP(L538,'[1]update kontrak'!E:K,7,FALSE)</f>
        <v>#N/A</v>
      </c>
      <c r="AI538" s="11" t="s">
        <v>58</v>
      </c>
      <c r="AJ538" s="11" t="str">
        <f>VLOOKUP(L538,[1]rekap!D:M,1,FALSE)</f>
        <v>Sienjo</v>
      </c>
      <c r="AK538" s="11" t="str">
        <f>VLOOKUP(L538,'[1]singkron data'!D:E,2,FALSE)</f>
        <v>CV. Triga Cipta Abadi</v>
      </c>
      <c r="AL538" s="11" t="str">
        <f>VLOOKUP(L538,'[1]update 521'!D:D,1,FALSE)</f>
        <v>Sienjo</v>
      </c>
      <c r="AM538" s="11" t="s">
        <v>57</v>
      </c>
      <c r="AN538" s="17">
        <f>VLOOKUP(L538,[1]Sheet19!E:L,8,FALSE)</f>
        <v>4418779000</v>
      </c>
      <c r="AO538" s="11" t="str">
        <f>VLOOKUP(L538,[1]Sheet19!E:K,7,FALSE)</f>
        <v>KONTRAK</v>
      </c>
      <c r="AP538" s="12" t="s">
        <v>41</v>
      </c>
    </row>
    <row r="539" spans="1:42" ht="15" x14ac:dyDescent="0.2">
      <c r="A539" s="8" t="s">
        <v>42</v>
      </c>
      <c r="B539" s="9" t="s">
        <v>43</v>
      </c>
      <c r="C539" s="9">
        <v>555</v>
      </c>
      <c r="D539" s="9" t="s">
        <v>1112</v>
      </c>
      <c r="E539" s="9">
        <v>86</v>
      </c>
      <c r="F539" s="9" t="s">
        <v>1305</v>
      </c>
      <c r="G539" s="9" t="s">
        <v>1184</v>
      </c>
      <c r="H539" s="9" t="s">
        <v>287</v>
      </c>
      <c r="I539" s="9" t="s">
        <v>1255</v>
      </c>
      <c r="J539" s="9" t="s">
        <v>1315</v>
      </c>
      <c r="K539" s="9" t="s">
        <v>1316</v>
      </c>
      <c r="L539" s="10" t="s">
        <v>1316</v>
      </c>
      <c r="M539" s="9" t="s">
        <v>51</v>
      </c>
      <c r="N539" s="9">
        <v>73</v>
      </c>
      <c r="O539" s="9" t="s">
        <v>72</v>
      </c>
      <c r="P539" s="9">
        <v>30</v>
      </c>
      <c r="Q539" s="9">
        <v>30</v>
      </c>
      <c r="R539" s="9">
        <v>0.49</v>
      </c>
      <c r="S539" s="9">
        <v>-0.17782500000000001</v>
      </c>
      <c r="T539" s="9">
        <v>120.008274</v>
      </c>
      <c r="U539" s="9" t="s">
        <v>52</v>
      </c>
      <c r="V539" s="11" t="str">
        <f>VLOOKUP(L539,'[1]singkron data'!D:E,2,FALSE)</f>
        <v>CV. Navigasi General Contractor</v>
      </c>
      <c r="W539" s="13">
        <f>VLOOKUP(L539,'[1]data 1129'!F:H,3,FALSE)</f>
        <v>5019018282</v>
      </c>
      <c r="X539" s="11" t="s">
        <v>55</v>
      </c>
      <c r="Y539" s="11">
        <f>VLOOKUP(L539,'[1]singkron data'!D:H,5,FALSE)</f>
        <v>0</v>
      </c>
      <c r="Z539" s="11">
        <f>VLOOKUP(L539,'[1]singkron data'!D:I,6,FALSE)</f>
        <v>0</v>
      </c>
      <c r="AA539" s="11" t="str">
        <f>VLOOKUP(L539,'[1]singkron data'!D:L,9,FALSE)</f>
        <v>85241201470/yudi</v>
      </c>
      <c r="AB539" s="11" t="s">
        <v>54</v>
      </c>
      <c r="AC539" s="11" t="str">
        <f>VLOOKUP(L539,'[1]singkron data'!D:M,10,FALSE)</f>
        <v>Hyl</v>
      </c>
      <c r="AD539" s="11" t="str">
        <f>VLOOKUP(L539,'[1]data 1129'!F:O,10,FALSE)</f>
        <v>Tahap I 208</v>
      </c>
      <c r="AE539" s="11" t="str">
        <f>VLOOKUP(L539,'[1]singkron data'!D:P,13,FALSE)</f>
        <v>sudah</v>
      </c>
      <c r="AF539" s="11" t="s">
        <v>55</v>
      </c>
      <c r="AG539" s="17">
        <f>VLOOKUP(L539,'[1]update kontrak'!E:K,6,FALSE)</f>
        <v>3981398212.1399999</v>
      </c>
      <c r="AH539" s="11" t="str">
        <f>VLOOKUP(L539,'[1]update kontrak'!E:K,7,FALSE)</f>
        <v>KONTRAK</v>
      </c>
      <c r="AI539" s="11" t="s">
        <v>41</v>
      </c>
      <c r="AJ539" s="11" t="str">
        <f>VLOOKUP(L539,[1]rekap!D:M,1,FALSE)</f>
        <v>Laemanta Utara</v>
      </c>
      <c r="AK539" s="11" t="str">
        <f>VLOOKUP(L539,'[1]singkron data'!D:E,2,FALSE)</f>
        <v>CV. Navigasi General Contractor</v>
      </c>
      <c r="AL539" s="11" t="str">
        <f>VLOOKUP(L539,'[1]update 521'!D:D,1,FALSE)</f>
        <v>Laemanta Utara</v>
      </c>
      <c r="AM539" s="11" t="s">
        <v>57</v>
      </c>
      <c r="AN539" s="17">
        <f>VLOOKUP(L539,[1]Sheet19!E:L,8,FALSE)</f>
        <v>3981398212.1399999</v>
      </c>
      <c r="AO539" s="11" t="str">
        <f>VLOOKUP(L539,[1]Sheet19!E:K,7,FALSE)</f>
        <v>KONTRAK</v>
      </c>
      <c r="AP539" s="12" t="s">
        <v>41</v>
      </c>
    </row>
    <row r="540" spans="1:42" ht="15" x14ac:dyDescent="0.2">
      <c r="A540" s="8" t="s">
        <v>42</v>
      </c>
      <c r="B540" s="9" t="s">
        <v>43</v>
      </c>
      <c r="C540" s="9">
        <v>556</v>
      </c>
      <c r="D540" s="9" t="s">
        <v>1112</v>
      </c>
      <c r="E540" s="9">
        <v>87</v>
      </c>
      <c r="F540" s="9" t="s">
        <v>1317</v>
      </c>
      <c r="G540" s="9" t="s">
        <v>1125</v>
      </c>
      <c r="H540" s="9" t="s">
        <v>287</v>
      </c>
      <c r="I540" s="9" t="s">
        <v>1318</v>
      </c>
      <c r="J540" s="9" t="s">
        <v>1319</v>
      </c>
      <c r="K540" s="9" t="s">
        <v>1320</v>
      </c>
      <c r="L540" s="9" t="s">
        <v>1320</v>
      </c>
      <c r="M540" s="9" t="s">
        <v>65</v>
      </c>
      <c r="N540" s="9">
        <v>202</v>
      </c>
      <c r="O540" s="9">
        <v>64</v>
      </c>
      <c r="P540" s="9">
        <v>47</v>
      </c>
      <c r="Q540" s="9">
        <v>111</v>
      </c>
      <c r="R540" s="9">
        <v>2</v>
      </c>
      <c r="S540" s="9">
        <v>1.0655349999999999</v>
      </c>
      <c r="T540" s="9">
        <v>124.9599492</v>
      </c>
      <c r="U540" s="9"/>
      <c r="V540" s="11" t="e">
        <f>VLOOKUP(L540,'[1]singkron data'!D:E,2,FALSE)</f>
        <v>#N/A</v>
      </c>
      <c r="W540" s="13"/>
      <c r="X540" s="11"/>
      <c r="Y540" s="11" t="e">
        <f>VLOOKUP(L540,'[1]singkron data'!D:H,5,FALSE)</f>
        <v>#N/A</v>
      </c>
      <c r="Z540" s="11" t="e">
        <f>VLOOKUP(L540,'[1]singkron data'!D:I,6,FALSE)</f>
        <v>#N/A</v>
      </c>
      <c r="AA540" s="11" t="e">
        <f>VLOOKUP(L540,'[1]singkron data'!D:L,9,FALSE)</f>
        <v>#N/A</v>
      </c>
      <c r="AB540" s="11" t="s">
        <v>694</v>
      </c>
      <c r="AC540" s="11" t="e">
        <f>VLOOKUP(L540,'[1]singkron data'!D:M,10,FALSE)</f>
        <v>#N/A</v>
      </c>
      <c r="AD540" s="11"/>
      <c r="AE540" s="11" t="e">
        <f>VLOOKUP(L540,'[1]singkron data'!D:P,13,FALSE)</f>
        <v>#N/A</v>
      </c>
      <c r="AF540" s="11" t="s">
        <v>55</v>
      </c>
      <c r="AG540" s="11" t="e">
        <f>VLOOKUP(L540,'[1]update kontrak'!E:K,6,FALSE)</f>
        <v>#N/A</v>
      </c>
      <c r="AH540" s="11" t="e">
        <f>VLOOKUP(L540,'[1]update kontrak'!E:K,7,FALSE)</f>
        <v>#N/A</v>
      </c>
      <c r="AI540" s="11"/>
      <c r="AJ540" s="11" t="str">
        <f>VLOOKUP(L540,[1]rekap!D:M,1,FALSE)</f>
        <v>Bukit Tinggi</v>
      </c>
      <c r="AK540" s="11" t="e">
        <f>VLOOKUP(L540,'[1]singkron data'!D:E,2,FALSE)</f>
        <v>#N/A</v>
      </c>
      <c r="AL540" s="11" t="str">
        <f>VLOOKUP(L540,'[1]update 521'!D:D,1,FALSE)</f>
        <v>Bukit Tinggi</v>
      </c>
      <c r="AM540" s="11" t="s">
        <v>57</v>
      </c>
      <c r="AN540" s="11" t="e">
        <f>VLOOKUP(L540,[1]Sheet19!E:L,8,FALSE)</f>
        <v>#N/A</v>
      </c>
      <c r="AO540" s="11" t="e">
        <f>VLOOKUP(L540,[1]Sheet19!E:K,7,FALSE)</f>
        <v>#N/A</v>
      </c>
      <c r="AP540" s="12"/>
    </row>
    <row r="541" spans="1:42" ht="15" x14ac:dyDescent="0.2">
      <c r="A541" s="8" t="s">
        <v>42</v>
      </c>
      <c r="B541" s="9" t="s">
        <v>43</v>
      </c>
      <c r="C541" s="9">
        <v>557</v>
      </c>
      <c r="D541" s="9" t="s">
        <v>1112</v>
      </c>
      <c r="E541" s="9">
        <v>88</v>
      </c>
      <c r="F541" s="9" t="s">
        <v>1317</v>
      </c>
      <c r="G541" s="9" t="s">
        <v>1125</v>
      </c>
      <c r="H541" s="9" t="s">
        <v>287</v>
      </c>
      <c r="I541" s="9" t="s">
        <v>1321</v>
      </c>
      <c r="J541" s="9" t="s">
        <v>1322</v>
      </c>
      <c r="K541" s="9" t="s">
        <v>1323</v>
      </c>
      <c r="L541" s="9" t="s">
        <v>1323</v>
      </c>
      <c r="M541" s="9" t="s">
        <v>51</v>
      </c>
      <c r="N541" s="9">
        <v>250</v>
      </c>
      <c r="O541" s="9">
        <v>2</v>
      </c>
      <c r="P541" s="9">
        <v>48</v>
      </c>
      <c r="Q541" s="9">
        <v>50</v>
      </c>
      <c r="R541" s="9">
        <v>1.1299999999999999</v>
      </c>
      <c r="S541" s="9">
        <v>0.963889</v>
      </c>
      <c r="T541" s="9">
        <v>124.82526</v>
      </c>
      <c r="U541" s="9"/>
      <c r="V541" s="11" t="e">
        <f>VLOOKUP(L541,'[1]singkron data'!D:E,2,FALSE)</f>
        <v>#N/A</v>
      </c>
      <c r="W541" s="13" t="str">
        <f>VLOOKUP(L541,[1]Sheet18!A:B,2,FALSE)</f>
        <v>revisi</v>
      </c>
      <c r="X541" s="11" t="s">
        <v>55</v>
      </c>
      <c r="Y541" s="11" t="e">
        <f>VLOOKUP(L541,'[1]singkron data'!D:H,5,FALSE)</f>
        <v>#N/A</v>
      </c>
      <c r="Z541" s="11" t="e">
        <f>VLOOKUP(L541,'[1]singkron data'!D:I,6,FALSE)</f>
        <v>#N/A</v>
      </c>
      <c r="AA541" s="11" t="e">
        <f>VLOOKUP(L541,'[1]singkron data'!D:L,9,FALSE)</f>
        <v>#N/A</v>
      </c>
      <c r="AB541" s="11" t="s">
        <v>694</v>
      </c>
      <c r="AC541" s="11" t="e">
        <f>VLOOKUP(L541,'[1]singkron data'!D:M,10,FALSE)</f>
        <v>#N/A</v>
      </c>
      <c r="AD541" s="11"/>
      <c r="AE541" s="11" t="e">
        <f>VLOOKUP(L541,'[1]singkron data'!D:P,13,FALSE)</f>
        <v>#N/A</v>
      </c>
      <c r="AF541" s="11" t="s">
        <v>55</v>
      </c>
      <c r="AG541" s="11" t="e">
        <f>VLOOKUP(L541,'[1]update kontrak'!E:K,6,FALSE)</f>
        <v>#N/A</v>
      </c>
      <c r="AH541" s="11" t="e">
        <f>VLOOKUP(L541,'[1]update kontrak'!E:K,7,FALSE)</f>
        <v>#N/A</v>
      </c>
      <c r="AI541" s="11"/>
      <c r="AJ541" s="11" t="str">
        <f>VLOOKUP(L541,[1]rekap!D:M,1,FALSE)</f>
        <v>Molompar Timur</v>
      </c>
      <c r="AK541" s="11" t="e">
        <f>VLOOKUP(L541,'[1]singkron data'!D:E,2,FALSE)</f>
        <v>#N/A</v>
      </c>
      <c r="AL541" s="11" t="str">
        <f>VLOOKUP(L541,'[1]update 521'!D:D,1,FALSE)</f>
        <v>Molompar Timur</v>
      </c>
      <c r="AM541" s="11" t="s">
        <v>57</v>
      </c>
      <c r="AN541" s="11" t="e">
        <f>VLOOKUP(L541,[1]Sheet19!E:L,8,FALSE)</f>
        <v>#N/A</v>
      </c>
      <c r="AO541" s="11" t="e">
        <f>VLOOKUP(L541,[1]Sheet19!E:K,7,FALSE)</f>
        <v>#N/A</v>
      </c>
      <c r="AP541" s="12"/>
    </row>
    <row r="542" spans="1:42" ht="15" x14ac:dyDescent="0.2">
      <c r="A542" s="8" t="s">
        <v>42</v>
      </c>
      <c r="B542" s="9" t="s">
        <v>43</v>
      </c>
      <c r="C542" s="9">
        <v>558</v>
      </c>
      <c r="D542" s="9" t="s">
        <v>1112</v>
      </c>
      <c r="E542" s="9">
        <v>89</v>
      </c>
      <c r="F542" s="9" t="s">
        <v>1317</v>
      </c>
      <c r="G542" s="9" t="s">
        <v>1125</v>
      </c>
      <c r="H542" s="9" t="s">
        <v>287</v>
      </c>
      <c r="I542" s="9" t="s">
        <v>1321</v>
      </c>
      <c r="J542" s="9" t="s">
        <v>1324</v>
      </c>
      <c r="K542" s="9" t="s">
        <v>1325</v>
      </c>
      <c r="L542" s="9" t="s">
        <v>1325</v>
      </c>
      <c r="M542" s="9" t="s">
        <v>51</v>
      </c>
      <c r="N542" s="9">
        <v>278</v>
      </c>
      <c r="O542" s="9" t="s">
        <v>72</v>
      </c>
      <c r="P542" s="9">
        <v>56</v>
      </c>
      <c r="Q542" s="9">
        <v>56</v>
      </c>
      <c r="R542" s="9">
        <v>0.4</v>
      </c>
      <c r="S542" s="9">
        <v>1.0075383</v>
      </c>
      <c r="T542" s="9">
        <v>124.89644149999999</v>
      </c>
      <c r="U542" s="9"/>
      <c r="V542" s="11" t="e">
        <f>VLOOKUP(L542,'[1]singkron data'!D:E,2,FALSE)</f>
        <v>#N/A</v>
      </c>
      <c r="W542" s="13">
        <f>VLOOKUP(L542,[1]Sheet18!A:B,2,FALSE)</f>
        <v>4596519000</v>
      </c>
      <c r="X542" s="11" t="s">
        <v>55</v>
      </c>
      <c r="Y542" s="11" t="e">
        <f>VLOOKUP(L542,'[1]singkron data'!D:H,5,FALSE)</f>
        <v>#N/A</v>
      </c>
      <c r="Z542" s="11" t="e">
        <f>VLOOKUP(L542,'[1]singkron data'!D:I,6,FALSE)</f>
        <v>#N/A</v>
      </c>
      <c r="AA542" s="11" t="e">
        <f>VLOOKUP(L542,'[1]singkron data'!D:L,9,FALSE)</f>
        <v>#N/A</v>
      </c>
      <c r="AB542" s="11" t="s">
        <v>694</v>
      </c>
      <c r="AC542" s="11" t="e">
        <f>VLOOKUP(L542,'[1]singkron data'!D:M,10,FALSE)</f>
        <v>#N/A</v>
      </c>
      <c r="AD542" s="11"/>
      <c r="AE542" s="11" t="e">
        <f>VLOOKUP(L542,'[1]singkron data'!D:P,13,FALSE)</f>
        <v>#N/A</v>
      </c>
      <c r="AF542" s="11" t="s">
        <v>55</v>
      </c>
      <c r="AG542" s="11" t="e">
        <f>VLOOKUP(L542,'[1]update kontrak'!E:K,6,FALSE)</f>
        <v>#N/A</v>
      </c>
      <c r="AH542" s="11" t="e">
        <f>VLOOKUP(L542,'[1]update kontrak'!E:K,7,FALSE)</f>
        <v>#N/A</v>
      </c>
      <c r="AI542" s="11"/>
      <c r="AJ542" s="11" t="str">
        <f>VLOOKUP(L542,[1]rekap!D:M,1,FALSE)</f>
        <v>Bentenan Satu</v>
      </c>
      <c r="AK542" s="11" t="e">
        <f>VLOOKUP(L542,'[1]singkron data'!D:E,2,FALSE)</f>
        <v>#N/A</v>
      </c>
      <c r="AL542" s="11" t="str">
        <f>VLOOKUP(L542,'[1]update 521'!D:D,1,FALSE)</f>
        <v>Bentenan Satu</v>
      </c>
      <c r="AM542" s="11" t="s">
        <v>57</v>
      </c>
      <c r="AN542" s="11" t="e">
        <f>VLOOKUP(L542,[1]Sheet19!E:L,8,FALSE)</f>
        <v>#N/A</v>
      </c>
      <c r="AO542" s="11" t="s">
        <v>1129</v>
      </c>
      <c r="AP542" s="12"/>
    </row>
    <row r="543" spans="1:42" ht="15" x14ac:dyDescent="0.2">
      <c r="A543" s="8" t="s">
        <v>42</v>
      </c>
      <c r="B543" s="9" t="s">
        <v>43</v>
      </c>
      <c r="C543" s="9">
        <v>559</v>
      </c>
      <c r="D543" s="9" t="s">
        <v>1112</v>
      </c>
      <c r="E543" s="9">
        <v>90</v>
      </c>
      <c r="F543" s="9" t="s">
        <v>1317</v>
      </c>
      <c r="G543" s="9" t="s">
        <v>1125</v>
      </c>
      <c r="H543" s="9" t="s">
        <v>287</v>
      </c>
      <c r="I543" s="9" t="s">
        <v>1321</v>
      </c>
      <c r="J543" s="9" t="s">
        <v>1324</v>
      </c>
      <c r="K543" s="9" t="s">
        <v>1326</v>
      </c>
      <c r="L543" s="9" t="s">
        <v>1326</v>
      </c>
      <c r="M543" s="9" t="s">
        <v>51</v>
      </c>
      <c r="N543" s="9">
        <v>155</v>
      </c>
      <c r="O543" s="9">
        <v>12</v>
      </c>
      <c r="P543" s="9">
        <v>49</v>
      </c>
      <c r="Q543" s="9">
        <v>61</v>
      </c>
      <c r="R543" s="9">
        <v>0.8</v>
      </c>
      <c r="S543" s="9">
        <v>0.96833599999999997</v>
      </c>
      <c r="T543" s="9">
        <v>124.8536632</v>
      </c>
      <c r="U543" s="9"/>
      <c r="V543" s="11" t="e">
        <f>VLOOKUP(L543,'[1]singkron data'!D:E,2,FALSE)</f>
        <v>#N/A</v>
      </c>
      <c r="W543" s="13"/>
      <c r="X543" s="11"/>
      <c r="Y543" s="11" t="e">
        <f>VLOOKUP(L543,'[1]singkron data'!D:H,5,FALSE)</f>
        <v>#N/A</v>
      </c>
      <c r="Z543" s="11" t="e">
        <f>VLOOKUP(L543,'[1]singkron data'!D:I,6,FALSE)</f>
        <v>#N/A</v>
      </c>
      <c r="AA543" s="11" t="e">
        <f>VLOOKUP(L543,'[1]singkron data'!D:L,9,FALSE)</f>
        <v>#N/A</v>
      </c>
      <c r="AB543" s="11" t="s">
        <v>694</v>
      </c>
      <c r="AC543" s="11" t="e">
        <f>VLOOKUP(L543,'[1]singkron data'!D:M,10,FALSE)</f>
        <v>#N/A</v>
      </c>
      <c r="AD543" s="11"/>
      <c r="AE543" s="11" t="e">
        <f>VLOOKUP(L543,'[1]singkron data'!D:P,13,FALSE)</f>
        <v>#N/A</v>
      </c>
      <c r="AF543" s="11" t="s">
        <v>55</v>
      </c>
      <c r="AG543" s="11" t="e">
        <f>VLOOKUP(L543,'[1]update kontrak'!E:K,6,FALSE)</f>
        <v>#N/A</v>
      </c>
      <c r="AH543" s="11" t="e">
        <f>VLOOKUP(L543,'[1]update kontrak'!E:K,7,FALSE)</f>
        <v>#N/A</v>
      </c>
      <c r="AI543" s="11"/>
      <c r="AJ543" s="11" t="str">
        <f>VLOOKUP(L543,[1]rekap!D:M,1,FALSE)</f>
        <v>Minanga Tiga</v>
      </c>
      <c r="AK543" s="11" t="e">
        <f>VLOOKUP(L543,'[1]singkron data'!D:E,2,FALSE)</f>
        <v>#N/A</v>
      </c>
      <c r="AL543" s="11" t="str">
        <f>VLOOKUP(L543,'[1]update 521'!D:D,1,FALSE)</f>
        <v>Minanga Tiga</v>
      </c>
      <c r="AM543" s="11" t="s">
        <v>57</v>
      </c>
      <c r="AN543" s="11" t="e">
        <f>VLOOKUP(L543,[1]Sheet19!E:L,8,FALSE)</f>
        <v>#N/A</v>
      </c>
      <c r="AO543" s="11" t="e">
        <f>VLOOKUP(L543,[1]Sheet19!E:K,7,FALSE)</f>
        <v>#N/A</v>
      </c>
      <c r="AP543" s="12"/>
    </row>
    <row r="544" spans="1:42" ht="15" x14ac:dyDescent="0.2">
      <c r="A544" s="8" t="s">
        <v>42</v>
      </c>
      <c r="B544" s="9" t="s">
        <v>43</v>
      </c>
      <c r="C544" s="9">
        <v>560</v>
      </c>
      <c r="D544" s="9" t="s">
        <v>1112</v>
      </c>
      <c r="E544" s="9">
        <v>91</v>
      </c>
      <c r="F544" s="9" t="s">
        <v>1317</v>
      </c>
      <c r="G544" s="9" t="s">
        <v>1125</v>
      </c>
      <c r="H544" s="9" t="s">
        <v>287</v>
      </c>
      <c r="I544" s="9" t="s">
        <v>1327</v>
      </c>
      <c r="J544" s="9" t="s">
        <v>1328</v>
      </c>
      <c r="K544" s="9" t="s">
        <v>1329</v>
      </c>
      <c r="L544" s="9" t="s">
        <v>1329</v>
      </c>
      <c r="M544" s="9" t="s">
        <v>51</v>
      </c>
      <c r="N544" s="9">
        <v>125</v>
      </c>
      <c r="O544" s="9">
        <v>10</v>
      </c>
      <c r="P544" s="9">
        <v>35</v>
      </c>
      <c r="Q544" s="9">
        <v>45</v>
      </c>
      <c r="R544" s="9">
        <v>1</v>
      </c>
      <c r="S544" s="9">
        <v>0.84326199999999996</v>
      </c>
      <c r="T544" s="9">
        <v>124.698286</v>
      </c>
      <c r="U544" s="9"/>
      <c r="V544" s="11" t="e">
        <f>VLOOKUP(L544,'[1]singkron data'!D:E,2,FALSE)</f>
        <v>#N/A</v>
      </c>
      <c r="W544" s="13" t="str">
        <f>VLOOKUP(L544,[1]Sheet18!A:B,2,FALSE)</f>
        <v>revisi</v>
      </c>
      <c r="X544" s="11" t="s">
        <v>55</v>
      </c>
      <c r="Y544" s="11" t="e">
        <f>VLOOKUP(L544,'[1]singkron data'!D:H,5,FALSE)</f>
        <v>#N/A</v>
      </c>
      <c r="Z544" s="11" t="e">
        <f>VLOOKUP(L544,'[1]singkron data'!D:I,6,FALSE)</f>
        <v>#N/A</v>
      </c>
      <c r="AA544" s="11" t="e">
        <f>VLOOKUP(L544,'[1]singkron data'!D:L,9,FALSE)</f>
        <v>#N/A</v>
      </c>
      <c r="AB544" s="11" t="s">
        <v>694</v>
      </c>
      <c r="AC544" s="11" t="e">
        <f>VLOOKUP(L544,'[1]singkron data'!D:M,10,FALSE)</f>
        <v>#N/A</v>
      </c>
      <c r="AD544" s="11"/>
      <c r="AE544" s="11" t="e">
        <f>VLOOKUP(L544,'[1]singkron data'!D:P,13,FALSE)</f>
        <v>#N/A</v>
      </c>
      <c r="AF544" s="11" t="s">
        <v>55</v>
      </c>
      <c r="AG544" s="11" t="e">
        <f>VLOOKUP(L544,'[1]update kontrak'!E:K,6,FALSE)</f>
        <v>#N/A</v>
      </c>
      <c r="AH544" s="11" t="e">
        <f>VLOOKUP(L544,'[1]update kontrak'!E:K,7,FALSE)</f>
        <v>#N/A</v>
      </c>
      <c r="AI544" s="11"/>
      <c r="AJ544" s="11" t="str">
        <f>VLOOKUP(L544,[1]rekap!D:M,1,FALSE)</f>
        <v>Buyat Tengah</v>
      </c>
      <c r="AK544" s="11" t="e">
        <f>VLOOKUP(L544,'[1]singkron data'!D:E,2,FALSE)</f>
        <v>#N/A</v>
      </c>
      <c r="AL544" s="11" t="str">
        <f>VLOOKUP(L544,'[1]update 521'!D:D,1,FALSE)</f>
        <v>Buyat Tengah</v>
      </c>
      <c r="AM544" s="11" t="s">
        <v>57</v>
      </c>
      <c r="AN544" s="11" t="e">
        <f>VLOOKUP(L544,[1]Sheet19!E:L,8,FALSE)</f>
        <v>#N/A</v>
      </c>
      <c r="AO544" s="11" t="e">
        <f>VLOOKUP(L544,[1]Sheet19!E:K,7,FALSE)</f>
        <v>#N/A</v>
      </c>
      <c r="AP544" s="12"/>
    </row>
    <row r="545" spans="1:42" ht="15" x14ac:dyDescent="0.2">
      <c r="A545" s="8" t="s">
        <v>42</v>
      </c>
      <c r="B545" s="9" t="s">
        <v>43</v>
      </c>
      <c r="C545" s="9">
        <v>561</v>
      </c>
      <c r="D545" s="9" t="s">
        <v>1112</v>
      </c>
      <c r="E545" s="9">
        <v>92</v>
      </c>
      <c r="F545" s="9" t="s">
        <v>1317</v>
      </c>
      <c r="G545" s="9" t="s">
        <v>1125</v>
      </c>
      <c r="H545" s="9" t="s">
        <v>287</v>
      </c>
      <c r="I545" s="9" t="s">
        <v>1321</v>
      </c>
      <c r="J545" s="9" t="s">
        <v>1330</v>
      </c>
      <c r="K545" s="9" t="s">
        <v>1331</v>
      </c>
      <c r="L545" s="9" t="s">
        <v>1331</v>
      </c>
      <c r="M545" s="9" t="s">
        <v>51</v>
      </c>
      <c r="N545" s="9">
        <v>146</v>
      </c>
      <c r="O545" s="9">
        <v>4</v>
      </c>
      <c r="P545" s="9">
        <v>24</v>
      </c>
      <c r="Q545" s="9">
        <v>28</v>
      </c>
      <c r="R545" s="9">
        <v>0.53</v>
      </c>
      <c r="S545" s="9">
        <v>0.86329</v>
      </c>
      <c r="T545" s="9">
        <v>124.70745100000001</v>
      </c>
      <c r="U545" s="9"/>
      <c r="V545" s="11" t="e">
        <f>VLOOKUP(L545,'[1]singkron data'!D:E,2,FALSE)</f>
        <v>#N/A</v>
      </c>
      <c r="W545" s="13">
        <f>VLOOKUP(L545,[1]Sheet18!A:B,2,FALSE)</f>
        <v>8489630000</v>
      </c>
      <c r="X545" s="11" t="s">
        <v>55</v>
      </c>
      <c r="Y545" s="11" t="e">
        <f>VLOOKUP(L545,'[1]singkron data'!D:H,5,FALSE)</f>
        <v>#N/A</v>
      </c>
      <c r="Z545" s="11" t="e">
        <f>VLOOKUP(L545,'[1]singkron data'!D:I,6,FALSE)</f>
        <v>#N/A</v>
      </c>
      <c r="AA545" s="11" t="e">
        <f>VLOOKUP(L545,'[1]singkron data'!D:L,9,FALSE)</f>
        <v>#N/A</v>
      </c>
      <c r="AB545" s="11" t="s">
        <v>694</v>
      </c>
      <c r="AC545" s="11" t="e">
        <f>VLOOKUP(L545,'[1]singkron data'!D:M,10,FALSE)</f>
        <v>#N/A</v>
      </c>
      <c r="AD545" s="11"/>
      <c r="AE545" s="11" t="e">
        <f>VLOOKUP(L545,'[1]singkron data'!D:P,13,FALSE)</f>
        <v>#N/A</v>
      </c>
      <c r="AF545" s="11" t="s">
        <v>55</v>
      </c>
      <c r="AG545" s="11" t="e">
        <f>VLOOKUP(L545,'[1]update kontrak'!E:K,6,FALSE)</f>
        <v>#N/A</v>
      </c>
      <c r="AH545" s="11" t="e">
        <f>VLOOKUP(L545,'[1]update kontrak'!E:K,7,FALSE)</f>
        <v>#N/A</v>
      </c>
      <c r="AI545" s="11"/>
      <c r="AJ545" s="11" t="str">
        <f>VLOOKUP(L545,[1]rekap!D:M,1,FALSE)</f>
        <v>Ratatotok Timur</v>
      </c>
      <c r="AK545" s="11" t="e">
        <f>VLOOKUP(L545,'[1]singkron data'!D:E,2,FALSE)</f>
        <v>#N/A</v>
      </c>
      <c r="AL545" s="11" t="str">
        <f>VLOOKUP(L545,'[1]update 521'!D:D,1,FALSE)</f>
        <v>Ratatotok Timur</v>
      </c>
      <c r="AM545" s="11" t="s">
        <v>57</v>
      </c>
      <c r="AN545" s="11" t="e">
        <f>VLOOKUP(L545,[1]Sheet19!E:L,8,FALSE)</f>
        <v>#N/A</v>
      </c>
      <c r="AO545" s="11" t="s">
        <v>1129</v>
      </c>
      <c r="AP545" s="12"/>
    </row>
    <row r="546" spans="1:42" ht="15" x14ac:dyDescent="0.2">
      <c r="A546" s="8" t="s">
        <v>42</v>
      </c>
      <c r="B546" s="9" t="s">
        <v>43</v>
      </c>
      <c r="C546" s="9">
        <v>562</v>
      </c>
      <c r="D546" s="9" t="s">
        <v>1112</v>
      </c>
      <c r="E546" s="9">
        <v>93</v>
      </c>
      <c r="F546" s="9" t="s">
        <v>1317</v>
      </c>
      <c r="G546" s="9" t="s">
        <v>1125</v>
      </c>
      <c r="H546" s="9" t="s">
        <v>287</v>
      </c>
      <c r="I546" s="9" t="s">
        <v>1318</v>
      </c>
      <c r="J546" s="9" t="s">
        <v>1332</v>
      </c>
      <c r="K546" s="9" t="s">
        <v>1333</v>
      </c>
      <c r="L546" s="9" t="s">
        <v>1333</v>
      </c>
      <c r="M546" s="9" t="s">
        <v>51</v>
      </c>
      <c r="N546" s="9">
        <v>40</v>
      </c>
      <c r="O546" s="9" t="s">
        <v>72</v>
      </c>
      <c r="P546" s="9">
        <v>25</v>
      </c>
      <c r="Q546" s="9">
        <v>25</v>
      </c>
      <c r="R546" s="9">
        <v>1</v>
      </c>
      <c r="S546" s="9">
        <v>1.0214681999999999</v>
      </c>
      <c r="T546" s="9">
        <v>124.9123671</v>
      </c>
      <c r="U546" s="9"/>
      <c r="V546" s="11" t="e">
        <f>VLOOKUP(L546,'[1]singkron data'!D:E,2,FALSE)</f>
        <v>#N/A</v>
      </c>
      <c r="W546" s="13" t="str">
        <f>VLOOKUP(L546,[1]Sheet18!A:B,2,FALSE)</f>
        <v>revisi</v>
      </c>
      <c r="X546" s="11" t="s">
        <v>55</v>
      </c>
      <c r="Y546" s="11" t="e">
        <f>VLOOKUP(L546,'[1]singkron data'!D:H,5,FALSE)</f>
        <v>#N/A</v>
      </c>
      <c r="Z546" s="11" t="e">
        <f>VLOOKUP(L546,'[1]singkron data'!D:I,6,FALSE)</f>
        <v>#N/A</v>
      </c>
      <c r="AA546" s="11" t="e">
        <f>VLOOKUP(L546,'[1]singkron data'!D:L,9,FALSE)</f>
        <v>#N/A</v>
      </c>
      <c r="AB546" s="11" t="s">
        <v>694</v>
      </c>
      <c r="AC546" s="11" t="e">
        <f>VLOOKUP(L546,'[1]singkron data'!D:M,10,FALSE)</f>
        <v>#N/A</v>
      </c>
      <c r="AD546" s="11"/>
      <c r="AE546" s="11" t="e">
        <f>VLOOKUP(L546,'[1]singkron data'!D:P,13,FALSE)</f>
        <v>#N/A</v>
      </c>
      <c r="AF546" s="11" t="s">
        <v>55</v>
      </c>
      <c r="AG546" s="11" t="e">
        <f>VLOOKUP(L546,'[1]update kontrak'!E:K,6,FALSE)</f>
        <v>#N/A</v>
      </c>
      <c r="AH546" s="11" t="e">
        <f>VLOOKUP(L546,'[1]update kontrak'!E:K,7,FALSE)</f>
        <v>#N/A</v>
      </c>
      <c r="AI546" s="11"/>
      <c r="AJ546" s="11" t="str">
        <f>VLOOKUP(L546,[1]rekap!D:M,1,FALSE)</f>
        <v>Rumbia</v>
      </c>
      <c r="AK546" s="11" t="e">
        <f>VLOOKUP(L546,'[1]singkron data'!D:E,2,FALSE)</f>
        <v>#N/A</v>
      </c>
      <c r="AL546" s="11" t="str">
        <f>VLOOKUP(L546,'[1]update 521'!D:D,1,FALSE)</f>
        <v>Rumbia</v>
      </c>
      <c r="AM546" s="11" t="s">
        <v>57</v>
      </c>
      <c r="AN546" s="11" t="e">
        <f>VLOOKUP(L546,[1]Sheet19!E:L,8,FALSE)</f>
        <v>#N/A</v>
      </c>
      <c r="AO546" s="11" t="e">
        <f>VLOOKUP(L546,[1]Sheet19!E:K,7,FALSE)</f>
        <v>#N/A</v>
      </c>
      <c r="AP546" s="12"/>
    </row>
    <row r="547" spans="1:42" ht="15" x14ac:dyDescent="0.2">
      <c r="A547" s="8" t="s">
        <v>42</v>
      </c>
      <c r="B547" s="9" t="s">
        <v>43</v>
      </c>
      <c r="C547" s="9">
        <v>563</v>
      </c>
      <c r="D547" s="9" t="s">
        <v>1112</v>
      </c>
      <c r="E547" s="9">
        <v>94</v>
      </c>
      <c r="F547" s="9" t="s">
        <v>1334</v>
      </c>
      <c r="G547" s="9" t="s">
        <v>1184</v>
      </c>
      <c r="H547" s="9" t="s">
        <v>287</v>
      </c>
      <c r="I547" s="9" t="s">
        <v>1335</v>
      </c>
      <c r="J547" s="9" t="s">
        <v>1336</v>
      </c>
      <c r="K547" s="9" t="s">
        <v>1337</v>
      </c>
      <c r="L547" s="10" t="s">
        <v>1337</v>
      </c>
      <c r="M547" s="9" t="s">
        <v>65</v>
      </c>
      <c r="N547" s="9">
        <v>178</v>
      </c>
      <c r="O547" s="9">
        <v>3</v>
      </c>
      <c r="P547" s="9">
        <v>179</v>
      </c>
      <c r="Q547" s="9">
        <v>182</v>
      </c>
      <c r="R547" s="9">
        <v>0.33</v>
      </c>
      <c r="S547" s="9">
        <v>-0.83715600000000001</v>
      </c>
      <c r="T547" s="9">
        <v>122.1659341</v>
      </c>
      <c r="U547" s="9" t="s">
        <v>52</v>
      </c>
      <c r="V547" s="11" t="str">
        <f>VLOOKUP(L547,'[1]singkron data'!D:E,2,FALSE)</f>
        <v>CV. Putra Mahkota Adiyaksa</v>
      </c>
      <c r="W547" s="13">
        <f>VLOOKUP(L547,'[1]data 1129'!F:H,3,FALSE)</f>
        <v>8231000000</v>
      </c>
      <c r="X547" s="11" t="s">
        <v>55</v>
      </c>
      <c r="Y547" s="11">
        <f>VLOOKUP(L547,'[1]singkron data'!D:H,5,FALSE)</f>
        <v>0</v>
      </c>
      <c r="Z547" s="11">
        <f>VLOOKUP(L547,'[1]singkron data'!D:I,6,FALSE)</f>
        <v>0</v>
      </c>
      <c r="AA547" s="11" t="str">
        <f>VLOOKUP(L547,'[1]singkron data'!D:L,9,FALSE)</f>
        <v>082292236414/arwin</v>
      </c>
      <c r="AB547" s="11" t="s">
        <v>54</v>
      </c>
      <c r="AC547" s="11" t="str">
        <f>VLOOKUP(L547,'[1]singkron data'!D:M,10,FALSE)</f>
        <v>fraksi roem - new</v>
      </c>
      <c r="AD547" s="11" t="str">
        <f>VLOOKUP(L547,'[1]data 1129'!F:O,10,FALSE)</f>
        <v>Tahap I 208</v>
      </c>
      <c r="AE547" s="11" t="str">
        <f>VLOOKUP(L547,'[1]singkron data'!D:P,13,FALSE)</f>
        <v>sudah</v>
      </c>
      <c r="AF547" s="11" t="s">
        <v>55</v>
      </c>
      <c r="AG547" s="11" t="e">
        <f>VLOOKUP(L547,'[1]update kontrak'!E:K,6,FALSE)</f>
        <v>#N/A</v>
      </c>
      <c r="AH547" s="11" t="e">
        <f>VLOOKUP(L547,'[1]update kontrak'!E:K,7,FALSE)</f>
        <v>#N/A</v>
      </c>
      <c r="AI547" s="11" t="s">
        <v>58</v>
      </c>
      <c r="AJ547" s="11" t="str">
        <f>VLOOKUP(L547,[1]rekap!D:M,1,FALSE)</f>
        <v>Bunta I</v>
      </c>
      <c r="AK547" s="11" t="str">
        <f>VLOOKUP(L547,'[1]singkron data'!D:E,2,FALSE)</f>
        <v>CV. Putra Mahkota Adiyaksa</v>
      </c>
      <c r="AL547" s="11" t="str">
        <f>VLOOKUP(L547,'[1]update 521'!D:D,1,FALSE)</f>
        <v>Bunta I</v>
      </c>
      <c r="AM547" s="11" t="s">
        <v>57</v>
      </c>
      <c r="AN547" s="11" t="e">
        <f>VLOOKUP(L547,[1]Sheet19!E:L,8,FALSE)</f>
        <v>#N/A</v>
      </c>
      <c r="AO547" s="11" t="s">
        <v>58</v>
      </c>
      <c r="AP547" s="12"/>
    </row>
    <row r="548" spans="1:42" ht="15" x14ac:dyDescent="0.2">
      <c r="A548" s="8" t="s">
        <v>42</v>
      </c>
      <c r="B548" s="9" t="s">
        <v>43</v>
      </c>
      <c r="C548" s="9">
        <v>564</v>
      </c>
      <c r="D548" s="9" t="s">
        <v>1112</v>
      </c>
      <c r="E548" s="9">
        <v>95</v>
      </c>
      <c r="F548" s="9" t="s">
        <v>1334</v>
      </c>
      <c r="G548" s="9" t="s">
        <v>1184</v>
      </c>
      <c r="H548" s="9" t="s">
        <v>287</v>
      </c>
      <c r="I548" s="9" t="s">
        <v>1335</v>
      </c>
      <c r="J548" s="9" t="s">
        <v>1338</v>
      </c>
      <c r="K548" s="9" t="s">
        <v>1339</v>
      </c>
      <c r="L548" s="10" t="s">
        <v>1339</v>
      </c>
      <c r="M548" s="9" t="s">
        <v>51</v>
      </c>
      <c r="N548" s="9">
        <v>122</v>
      </c>
      <c r="O548" s="9" t="s">
        <v>72</v>
      </c>
      <c r="P548" s="9">
        <v>61</v>
      </c>
      <c r="Q548" s="9">
        <v>61</v>
      </c>
      <c r="R548" s="9">
        <v>1.31</v>
      </c>
      <c r="S548" s="9">
        <v>-0.57614399999999999</v>
      </c>
      <c r="T548" s="9">
        <v>123.140908</v>
      </c>
      <c r="U548" s="9" t="s">
        <v>52</v>
      </c>
      <c r="V548" s="11" t="str">
        <f>VLOOKUP(L548,'[1]singkron data'!D:E,2,FALSE)</f>
        <v>CV. Putra Mahkota Adiyaksa</v>
      </c>
      <c r="W548" s="13">
        <f>VLOOKUP(L548,'[1]data 1129'!F:H,3,FALSE)</f>
        <v>4086071000</v>
      </c>
      <c r="X548" s="11" t="s">
        <v>55</v>
      </c>
      <c r="Y548" s="11">
        <f>VLOOKUP(L548,'[1]singkron data'!D:H,5,FALSE)</f>
        <v>0</v>
      </c>
      <c r="Z548" s="11">
        <f>VLOOKUP(L548,'[1]singkron data'!D:I,6,FALSE)</f>
        <v>0</v>
      </c>
      <c r="AA548" s="11" t="str">
        <f>VLOOKUP(L548,'[1]singkron data'!D:L,9,FALSE)</f>
        <v>082292236414/arwin</v>
      </c>
      <c r="AB548" s="11" t="s">
        <v>54</v>
      </c>
      <c r="AC548" s="11" t="str">
        <f>VLOOKUP(L548,'[1]singkron data'!D:M,10,FALSE)</f>
        <v>fraksi roem - new</v>
      </c>
      <c r="AD548" s="11" t="str">
        <f>VLOOKUP(L548,'[1]data 1129'!F:O,10,FALSE)</f>
        <v>Tahap I 208</v>
      </c>
      <c r="AE548" s="11" t="str">
        <f>VLOOKUP(L548,'[1]singkron data'!D:P,13,FALSE)</f>
        <v>sudah</v>
      </c>
      <c r="AF548" s="11" t="s">
        <v>55</v>
      </c>
      <c r="AG548" s="11" t="e">
        <f>VLOOKUP(L548,'[1]update kontrak'!E:K,6,FALSE)</f>
        <v>#N/A</v>
      </c>
      <c r="AH548" s="11" t="e">
        <f>VLOOKUP(L548,'[1]update kontrak'!E:K,7,FALSE)</f>
        <v>#N/A</v>
      </c>
      <c r="AI548" s="11" t="s">
        <v>58</v>
      </c>
      <c r="AJ548" s="11" t="str">
        <f>VLOOKUP(L548,[1]rekap!D:M,1,FALSE)</f>
        <v>Bualemo B</v>
      </c>
      <c r="AK548" s="11" t="str">
        <f>VLOOKUP(L548,'[1]singkron data'!D:E,2,FALSE)</f>
        <v>CV. Putra Mahkota Adiyaksa</v>
      </c>
      <c r="AL548" s="11" t="str">
        <f>VLOOKUP(L548,'[1]update 521'!D:D,1,FALSE)</f>
        <v>Bualemo B</v>
      </c>
      <c r="AM548" s="11" t="s">
        <v>57</v>
      </c>
      <c r="AN548" s="11" t="e">
        <f>VLOOKUP(L548,[1]Sheet19!E:L,8,FALSE)</f>
        <v>#N/A</v>
      </c>
      <c r="AO548" s="11" t="s">
        <v>58</v>
      </c>
      <c r="AP548" s="12"/>
    </row>
    <row r="549" spans="1:42" ht="15" x14ac:dyDescent="0.2">
      <c r="A549" s="8" t="s">
        <v>42</v>
      </c>
      <c r="B549" s="9" t="s">
        <v>43</v>
      </c>
      <c r="C549" s="9">
        <v>565</v>
      </c>
      <c r="D549" s="9" t="s">
        <v>1112</v>
      </c>
      <c r="E549" s="9">
        <v>96</v>
      </c>
      <c r="F549" s="9" t="s">
        <v>1340</v>
      </c>
      <c r="G549" s="9" t="s">
        <v>1141</v>
      </c>
      <c r="H549" s="9" t="s">
        <v>287</v>
      </c>
      <c r="I549" s="9" t="s">
        <v>1269</v>
      </c>
      <c r="J549" s="9" t="s">
        <v>1341</v>
      </c>
      <c r="K549" s="9" t="s">
        <v>1342</v>
      </c>
      <c r="L549" s="10" t="s">
        <v>1342</v>
      </c>
      <c r="M549" s="9" t="s">
        <v>51</v>
      </c>
      <c r="N549" s="9">
        <v>280</v>
      </c>
      <c r="O549" s="9">
        <v>34</v>
      </c>
      <c r="P549" s="9">
        <v>118</v>
      </c>
      <c r="Q549" s="9">
        <v>152</v>
      </c>
      <c r="R549" s="9">
        <v>0.45</v>
      </c>
      <c r="S549" s="9">
        <v>-5.6582309999999998</v>
      </c>
      <c r="T549" s="9">
        <v>122.761696</v>
      </c>
      <c r="U549" s="9" t="s">
        <v>52</v>
      </c>
      <c r="V549" s="11" t="str">
        <f>VLOOKUP(L549,'[1]singkron data'!D:E,2,FALSE)</f>
        <v>CV. Syafiqah Sabil Abadi</v>
      </c>
      <c r="W549" s="13">
        <f>VLOOKUP(L549,'[1]data 1129'!F:H,3,FALSE)</f>
        <v>4886781000</v>
      </c>
      <c r="X549" s="11" t="s">
        <v>55</v>
      </c>
      <c r="Y549" s="11">
        <f>VLOOKUP(L549,'[1]singkron data'!D:H,5,FALSE)</f>
        <v>0</v>
      </c>
      <c r="Z549" s="11" t="str">
        <f>VLOOKUP(L549,'[1]singkron data'!D:I,6,FALSE)</f>
        <v>Online</v>
      </c>
      <c r="AA549" s="11" t="str">
        <f>VLOOKUP(L549,'[1]singkron data'!D:L,9,FALSE)</f>
        <v>081330034374/nasrudin</v>
      </c>
      <c r="AB549" s="11" t="s">
        <v>54</v>
      </c>
      <c r="AC549" s="11" t="str">
        <f>VLOOKUP(L549,'[1]singkron data'!D:M,10,FALSE)</f>
        <v>Gal Fauzi Dpr</v>
      </c>
      <c r="AD549" s="11" t="str">
        <f>VLOOKUP(L549,'[1]data 1129'!F:O,10,FALSE)</f>
        <v>Tahap I 208</v>
      </c>
      <c r="AE549" s="11" t="str">
        <f>VLOOKUP(L549,'[1]singkron data'!D:P,13,FALSE)</f>
        <v>sudah</v>
      </c>
      <c r="AF549" s="11" t="s">
        <v>55</v>
      </c>
      <c r="AG549" s="11" t="e">
        <f>VLOOKUP(L549,'[1]update kontrak'!E:K,6,FALSE)</f>
        <v>#N/A</v>
      </c>
      <c r="AH549" s="11" t="e">
        <f>VLOOKUP(L549,'[1]update kontrak'!E:K,7,FALSE)</f>
        <v>#N/A</v>
      </c>
      <c r="AI549" s="11" t="s">
        <v>58</v>
      </c>
      <c r="AJ549" s="11" t="str">
        <f>VLOOKUP(L549,[1]rekap!D:M,1,FALSE)</f>
        <v>Gaya Baru</v>
      </c>
      <c r="AK549" s="11" t="str">
        <f>VLOOKUP(L549,'[1]singkron data'!D:E,2,FALSE)</f>
        <v>CV. Syafiqah Sabil Abadi</v>
      </c>
      <c r="AL549" s="11" t="str">
        <f>VLOOKUP(L549,'[1]update 521'!D:D,1,FALSE)</f>
        <v>Gaya Baru</v>
      </c>
      <c r="AM549" s="11" t="s">
        <v>57</v>
      </c>
      <c r="AN549" s="17">
        <f>VLOOKUP(L549,[1]Sheet19!E:L,8,FALSE)</f>
        <v>4010573000</v>
      </c>
      <c r="AO549" s="11" t="str">
        <f>VLOOKUP(L549,[1]Sheet19!E:K,7,FALSE)</f>
        <v>SPPBJ</v>
      </c>
      <c r="AP549" s="12"/>
    </row>
    <row r="550" spans="1:42" ht="15" x14ac:dyDescent="0.2">
      <c r="A550" s="8" t="s">
        <v>42</v>
      </c>
      <c r="B550" s="9" t="s">
        <v>43</v>
      </c>
      <c r="C550" s="9">
        <v>566</v>
      </c>
      <c r="D550" s="9" t="s">
        <v>1112</v>
      </c>
      <c r="E550" s="9">
        <v>97</v>
      </c>
      <c r="F550" s="9" t="s">
        <v>1340</v>
      </c>
      <c r="G550" s="9" t="s">
        <v>1141</v>
      </c>
      <c r="H550" s="9" t="s">
        <v>287</v>
      </c>
      <c r="I550" s="9" t="s">
        <v>1269</v>
      </c>
      <c r="J550" s="9" t="s">
        <v>1343</v>
      </c>
      <c r="K550" s="9" t="s">
        <v>1344</v>
      </c>
      <c r="L550" s="10" t="s">
        <v>1344</v>
      </c>
      <c r="M550" s="9" t="s">
        <v>51</v>
      </c>
      <c r="N550" s="9">
        <v>209</v>
      </c>
      <c r="O550" s="9">
        <v>20</v>
      </c>
      <c r="P550" s="9">
        <v>75</v>
      </c>
      <c r="Q550" s="9">
        <v>95</v>
      </c>
      <c r="R550" s="9">
        <v>0.41</v>
      </c>
      <c r="S550" s="9">
        <v>-5.6825669999999997</v>
      </c>
      <c r="T550" s="9">
        <v>122.71508900000001</v>
      </c>
      <c r="U550" s="9" t="s">
        <v>52</v>
      </c>
      <c r="V550" s="20"/>
      <c r="W550" s="13">
        <f>VLOOKUP(L550,'[1]data 1129'!F:H,3,FALSE)</f>
        <v>3521058000</v>
      </c>
      <c r="X550" s="11" t="s">
        <v>55</v>
      </c>
      <c r="Y550" s="11">
        <f>VLOOKUP(L550,'[1]singkron data'!D:H,5,FALSE)</f>
        <v>0</v>
      </c>
      <c r="Z550" s="11">
        <f>VLOOKUP(L550,'[1]singkron data'!D:I,6,FALSE)</f>
        <v>0</v>
      </c>
      <c r="AA550" s="11"/>
      <c r="AB550" s="11" t="s">
        <v>54</v>
      </c>
      <c r="AC550" s="11" t="s">
        <v>1345</v>
      </c>
      <c r="AD550" s="11" t="str">
        <f>VLOOKUP(L550,'[1]data 1129'!F:O,10,FALSE)</f>
        <v>Tahap I 208</v>
      </c>
      <c r="AE550" s="11" t="str">
        <f>VLOOKUP(L550,'[1]singkron data'!D:P,13,FALSE)</f>
        <v>sudah</v>
      </c>
      <c r="AF550" s="11" t="s">
        <v>55</v>
      </c>
      <c r="AG550" s="11" t="e">
        <f>VLOOKUP(L550,'[1]update kontrak'!E:K,6,FALSE)</f>
        <v>#N/A</v>
      </c>
      <c r="AH550" s="11" t="e">
        <f>VLOOKUP(L550,'[1]update kontrak'!E:K,7,FALSE)</f>
        <v>#N/A</v>
      </c>
      <c r="AI550" s="11" t="s">
        <v>58</v>
      </c>
      <c r="AJ550" s="11" t="str">
        <f>VLOOKUP(L550,[1]rekap!D:M,1,FALSE)</f>
        <v>Bahari Dua</v>
      </c>
      <c r="AK550" s="11" t="str">
        <f>VLOOKUP(L550,'[1]singkron data'!D:E,2,FALSE)</f>
        <v>First Grand Synergy Indonesia</v>
      </c>
      <c r="AL550" s="11" t="str">
        <f>VLOOKUP(L550,'[1]update 521'!D:D,1,FALSE)</f>
        <v>Bahari Dua</v>
      </c>
      <c r="AM550" s="11" t="s">
        <v>57</v>
      </c>
      <c r="AN550" s="11" t="e">
        <f>VLOOKUP(L550,[1]Sheet19!E:L,8,FALSE)</f>
        <v>#N/A</v>
      </c>
      <c r="AO550" s="11" t="s">
        <v>58</v>
      </c>
      <c r="AP550" s="12"/>
    </row>
    <row r="551" spans="1:42" ht="15" x14ac:dyDescent="0.2">
      <c r="A551" s="8" t="s">
        <v>42</v>
      </c>
      <c r="B551" s="9" t="s">
        <v>43</v>
      </c>
      <c r="C551" s="9">
        <v>567</v>
      </c>
      <c r="D551" s="9" t="s">
        <v>1112</v>
      </c>
      <c r="E551" s="9">
        <v>98</v>
      </c>
      <c r="F551" s="9" t="s">
        <v>1340</v>
      </c>
      <c r="G551" s="9" t="s">
        <v>1141</v>
      </c>
      <c r="H551" s="9" t="s">
        <v>287</v>
      </c>
      <c r="I551" s="9" t="s">
        <v>1269</v>
      </c>
      <c r="J551" s="9" t="s">
        <v>1346</v>
      </c>
      <c r="K551" s="9" t="s">
        <v>1347</v>
      </c>
      <c r="L551" s="10" t="s">
        <v>1347</v>
      </c>
      <c r="M551" s="9" t="s">
        <v>51</v>
      </c>
      <c r="N551" s="9">
        <v>393</v>
      </c>
      <c r="O551" s="9">
        <v>10</v>
      </c>
      <c r="P551" s="9">
        <v>185</v>
      </c>
      <c r="Q551" s="9">
        <v>195</v>
      </c>
      <c r="R551" s="9">
        <v>0.11</v>
      </c>
      <c r="S551" s="9">
        <v>-5.6981590000000004</v>
      </c>
      <c r="T551" s="9">
        <v>122.49038899999999</v>
      </c>
      <c r="U551" s="9" t="s">
        <v>52</v>
      </c>
      <c r="V551" s="20"/>
      <c r="W551" s="13">
        <f>VLOOKUP(L551,'[1]data 1129'!F:H,3,FALSE)</f>
        <v>4550394000</v>
      </c>
      <c r="X551" s="11" t="s">
        <v>55</v>
      </c>
      <c r="Y551" s="11">
        <f>VLOOKUP(L551,'[1]singkron data'!D:H,5,FALSE)</f>
        <v>0</v>
      </c>
      <c r="Z551" s="11">
        <f>VLOOKUP(L551,'[1]singkron data'!D:I,6,FALSE)</f>
        <v>0</v>
      </c>
      <c r="AA551" s="11"/>
      <c r="AB551" s="11" t="s">
        <v>54</v>
      </c>
      <c r="AC551" s="11" t="s">
        <v>1348</v>
      </c>
      <c r="AD551" s="11" t="str">
        <f>VLOOKUP(L551,'[1]data 1129'!F:O,10,FALSE)</f>
        <v>Tahap I 208</v>
      </c>
      <c r="AE551" s="11" t="str">
        <f>VLOOKUP(L551,'[1]singkron data'!D:P,13,FALSE)</f>
        <v>sudah</v>
      </c>
      <c r="AF551" s="11" t="s">
        <v>55</v>
      </c>
      <c r="AG551" s="11" t="e">
        <f>VLOOKUP(L551,'[1]update kontrak'!E:K,6,FALSE)</f>
        <v>#N/A</v>
      </c>
      <c r="AH551" s="11" t="e">
        <f>VLOOKUP(L551,'[1]update kontrak'!E:K,7,FALSE)</f>
        <v>#N/A</v>
      </c>
      <c r="AI551" s="11" t="s">
        <v>58</v>
      </c>
      <c r="AJ551" s="11" t="str">
        <f>VLOOKUP(L551,[1]rekap!D:M,1,FALSE)</f>
        <v>Lamaninggara</v>
      </c>
      <c r="AK551" s="11" t="str">
        <f>VLOOKUP(L551,'[1]singkron data'!D:E,2,FALSE)</f>
        <v>First Grand Synergy Indonesia</v>
      </c>
      <c r="AL551" s="11" t="str">
        <f>VLOOKUP(L551,'[1]update 521'!D:D,1,FALSE)</f>
        <v>Lamaninggara</v>
      </c>
      <c r="AM551" s="11" t="s">
        <v>57</v>
      </c>
      <c r="AN551" s="11" t="e">
        <f>VLOOKUP(L551,[1]Sheet19!E:L,8,FALSE)</f>
        <v>#N/A</v>
      </c>
      <c r="AO551" s="11" t="s">
        <v>58</v>
      </c>
      <c r="AP551" s="12"/>
    </row>
    <row r="552" spans="1:42" ht="15" x14ac:dyDescent="0.2">
      <c r="A552" s="8" t="s">
        <v>42</v>
      </c>
      <c r="B552" s="9" t="s">
        <v>43</v>
      </c>
      <c r="C552" s="9">
        <v>568</v>
      </c>
      <c r="D552" s="9" t="s">
        <v>1112</v>
      </c>
      <c r="E552" s="9">
        <v>99</v>
      </c>
      <c r="F552" s="9" t="s">
        <v>1349</v>
      </c>
      <c r="G552" s="9" t="s">
        <v>1141</v>
      </c>
      <c r="H552" s="9" t="s">
        <v>287</v>
      </c>
      <c r="I552" s="9" t="s">
        <v>1350</v>
      </c>
      <c r="J552" s="9" t="s">
        <v>1351</v>
      </c>
      <c r="K552" s="9" t="s">
        <v>1352</v>
      </c>
      <c r="L552" s="10" t="s">
        <v>1352</v>
      </c>
      <c r="M552" s="9" t="s">
        <v>51</v>
      </c>
      <c r="N552" s="9">
        <v>157</v>
      </c>
      <c r="O552" s="9">
        <v>20</v>
      </c>
      <c r="P552" s="9">
        <v>137</v>
      </c>
      <c r="Q552" s="9">
        <v>157</v>
      </c>
      <c r="R552" s="9">
        <v>1</v>
      </c>
      <c r="S552" s="9">
        <v>-4.7309749999999999</v>
      </c>
      <c r="T552" s="9">
        <v>122.730192</v>
      </c>
      <c r="U552" s="9" t="s">
        <v>52</v>
      </c>
      <c r="V552" s="20" t="str">
        <f>VLOOKUP(L552,'[1]singkron data'!D:E,2,FALSE)</f>
        <v>CV. NISCALA INDO RAYA</v>
      </c>
      <c r="W552" s="13">
        <f>VLOOKUP(L552,'[1]data 1129'!F:H,3,FALSE)</f>
        <v>4500000000</v>
      </c>
      <c r="X552" s="11" t="s">
        <v>55</v>
      </c>
      <c r="Y552" s="11" t="str">
        <f>VLOOKUP(L552,'[1]singkron data'!D:H,5,FALSE)</f>
        <v>Muna</v>
      </c>
      <c r="Z552" s="11" t="str">
        <f>VLOOKUP(L552,'[1]singkron data'!D:I,6,FALSE)</f>
        <v>Online</v>
      </c>
      <c r="AA552" s="11">
        <f>VLOOKUP(L552,'[1]singkron data'!D:L,9,FALSE)</f>
        <v>82130000611</v>
      </c>
      <c r="AB552" s="11" t="s">
        <v>54</v>
      </c>
      <c r="AC552" s="11" t="str">
        <f>VLOOKUP(L552,'[1]singkron data'!D:M,10,FALSE)</f>
        <v>Hyl</v>
      </c>
      <c r="AD552" s="11" t="str">
        <f>VLOOKUP(L552,'[1]data 1129'!F:O,10,FALSE)</f>
        <v>Tahap I 208</v>
      </c>
      <c r="AE552" s="11" t="str">
        <f>VLOOKUP(L552,'[1]singkron data'!D:P,13,FALSE)</f>
        <v>sudah</v>
      </c>
      <c r="AF552" s="11" t="s">
        <v>55</v>
      </c>
      <c r="AG552" s="17">
        <f>VLOOKUP(L552,'[1]update kontrak'!E:K,6,FALSE)</f>
        <v>4229783800</v>
      </c>
      <c r="AH552" s="11" t="str">
        <f>VLOOKUP(L552,'[1]update kontrak'!E:K,7,FALSE)</f>
        <v>SPPBJ</v>
      </c>
      <c r="AI552" s="11" t="s">
        <v>58</v>
      </c>
      <c r="AJ552" s="11" t="str">
        <f>VLOOKUP(L552,[1]rekap!D:M,1,FALSE)</f>
        <v>Labone</v>
      </c>
      <c r="AK552" s="11" t="str">
        <f>VLOOKUP(L552,'[1]singkron data'!D:E,2,FALSE)</f>
        <v>CV. NISCALA INDO RAYA</v>
      </c>
      <c r="AL552" s="11" t="str">
        <f>VLOOKUP(L552,'[1]update 521'!D:D,1,FALSE)</f>
        <v>Labone</v>
      </c>
      <c r="AM552" s="11" t="s">
        <v>57</v>
      </c>
      <c r="AN552" s="17">
        <f>VLOOKUP(L552,[1]Sheet19!E:L,8,FALSE)</f>
        <v>4229783800</v>
      </c>
      <c r="AO552" s="11" t="str">
        <f>VLOOKUP(L552,[1]Sheet19!E:K,7,FALSE)</f>
        <v>KONTRAK</v>
      </c>
      <c r="AP552" s="12" t="s">
        <v>41</v>
      </c>
    </row>
    <row r="553" spans="1:42" ht="15" x14ac:dyDescent="0.2">
      <c r="A553" s="8" t="s">
        <v>42</v>
      </c>
      <c r="B553" s="9" t="s">
        <v>43</v>
      </c>
      <c r="C553" s="9">
        <v>569</v>
      </c>
      <c r="D553" s="9" t="s">
        <v>1112</v>
      </c>
      <c r="E553" s="9">
        <v>100</v>
      </c>
      <c r="F553" s="9" t="s">
        <v>1353</v>
      </c>
      <c r="G553" s="9" t="s">
        <v>1125</v>
      </c>
      <c r="H553" s="9" t="s">
        <v>287</v>
      </c>
      <c r="I553" s="9" t="s">
        <v>1354</v>
      </c>
      <c r="J553" s="9" t="s">
        <v>1355</v>
      </c>
      <c r="K553" s="9" t="s">
        <v>1356</v>
      </c>
      <c r="L553" s="9" t="s">
        <v>1356</v>
      </c>
      <c r="M553" s="9" t="s">
        <v>51</v>
      </c>
      <c r="N553" s="9">
        <v>390</v>
      </c>
      <c r="O553" s="9">
        <v>6</v>
      </c>
      <c r="P553" s="9">
        <v>82</v>
      </c>
      <c r="Q553" s="9">
        <v>88</v>
      </c>
      <c r="R553" s="9">
        <v>1</v>
      </c>
      <c r="S553" s="9">
        <v>0.92044499999999996</v>
      </c>
      <c r="T553" s="9">
        <v>124.11111699999999</v>
      </c>
      <c r="U553" s="9"/>
      <c r="V553" s="11" t="e">
        <f>VLOOKUP(L553,'[1]singkron data'!D:E,2,FALSE)</f>
        <v>#N/A</v>
      </c>
      <c r="W553" s="13" t="str">
        <f>VLOOKUP(L553,[1]Sheet18!A:B,2,FALSE)</f>
        <v>revisi</v>
      </c>
      <c r="X553" s="11" t="s">
        <v>55</v>
      </c>
      <c r="Y553" s="11" t="e">
        <f>VLOOKUP(L553,'[1]singkron data'!D:H,5,FALSE)</f>
        <v>#N/A</v>
      </c>
      <c r="Z553" s="11" t="e">
        <f>VLOOKUP(L553,'[1]singkron data'!D:I,6,FALSE)</f>
        <v>#N/A</v>
      </c>
      <c r="AA553" s="11" t="e">
        <f>VLOOKUP(L553,'[1]singkron data'!D:L,9,FALSE)</f>
        <v>#N/A</v>
      </c>
      <c r="AB553" s="11" t="s">
        <v>694</v>
      </c>
      <c r="AC553" s="11" t="e">
        <f>VLOOKUP(L553,'[1]singkron data'!D:M,10,FALSE)</f>
        <v>#N/A</v>
      </c>
      <c r="AD553" s="11"/>
      <c r="AE553" s="11" t="e">
        <f>VLOOKUP(L553,'[1]singkron data'!D:P,13,FALSE)</f>
        <v>#N/A</v>
      </c>
      <c r="AF553" s="11" t="s">
        <v>55</v>
      </c>
      <c r="AG553" s="11" t="e">
        <f>VLOOKUP(L553,'[1]update kontrak'!E:K,6,FALSE)</f>
        <v>#N/A</v>
      </c>
      <c r="AH553" s="11" t="e">
        <f>VLOOKUP(L553,'[1]update kontrak'!E:K,7,FALSE)</f>
        <v>#N/A</v>
      </c>
      <c r="AI553" s="11"/>
      <c r="AJ553" s="11" t="str">
        <f>VLOOKUP(L553,[1]rekap!D:M,1,FALSE)</f>
        <v>Inobonto Ii</v>
      </c>
      <c r="AK553" s="11" t="e">
        <f>VLOOKUP(L553,'[1]singkron data'!D:E,2,FALSE)</f>
        <v>#N/A</v>
      </c>
      <c r="AL553" s="11" t="str">
        <f>VLOOKUP(L553,'[1]update 521'!D:D,1,FALSE)</f>
        <v>Inobonto Ii</v>
      </c>
      <c r="AM553" s="11" t="s">
        <v>57</v>
      </c>
      <c r="AN553" s="11" t="e">
        <f>VLOOKUP(L553,[1]Sheet19!E:L,8,FALSE)</f>
        <v>#N/A</v>
      </c>
      <c r="AO553" s="11" t="e">
        <f>VLOOKUP(L553,[1]Sheet19!E:K,7,FALSE)</f>
        <v>#N/A</v>
      </c>
      <c r="AP553" s="12"/>
    </row>
    <row r="554" spans="1:42" ht="15" x14ac:dyDescent="0.2">
      <c r="A554" s="8" t="s">
        <v>42</v>
      </c>
      <c r="B554" s="9" t="s">
        <v>43</v>
      </c>
      <c r="C554" s="9">
        <v>570</v>
      </c>
      <c r="D554" s="9" t="s">
        <v>1112</v>
      </c>
      <c r="E554" s="9">
        <v>101</v>
      </c>
      <c r="F554" s="9" t="s">
        <v>1353</v>
      </c>
      <c r="G554" s="9" t="s">
        <v>1125</v>
      </c>
      <c r="H554" s="9" t="s">
        <v>287</v>
      </c>
      <c r="I554" s="9" t="s">
        <v>1354</v>
      </c>
      <c r="J554" s="9" t="s">
        <v>1357</v>
      </c>
      <c r="K554" s="9" t="s">
        <v>1353</v>
      </c>
      <c r="L554" s="9" t="s">
        <v>1353</v>
      </c>
      <c r="M554" s="9" t="s">
        <v>65</v>
      </c>
      <c r="N554" s="9">
        <v>160</v>
      </c>
      <c r="O554" s="9">
        <v>11</v>
      </c>
      <c r="P554" s="9">
        <v>155</v>
      </c>
      <c r="Q554" s="9">
        <v>166</v>
      </c>
      <c r="R554" s="9">
        <v>0.65</v>
      </c>
      <c r="S554" s="9">
        <v>0.83840499999999996</v>
      </c>
      <c r="T554" s="9">
        <v>123.94516</v>
      </c>
      <c r="U554" s="9"/>
      <c r="V554" s="11" t="e">
        <f>VLOOKUP(L554,'[1]singkron data'!D:E,2,FALSE)</f>
        <v>#N/A</v>
      </c>
      <c r="W554" s="13">
        <f>VLOOKUP(L554,[1]Sheet18!A:B,2,FALSE)</f>
        <v>9729463000</v>
      </c>
      <c r="X554" s="11" t="s">
        <v>55</v>
      </c>
      <c r="Y554" s="11" t="e">
        <f>VLOOKUP(L554,'[1]singkron data'!D:H,5,FALSE)</f>
        <v>#N/A</v>
      </c>
      <c r="Z554" s="11" t="e">
        <f>VLOOKUP(L554,'[1]singkron data'!D:I,6,FALSE)</f>
        <v>#N/A</v>
      </c>
      <c r="AA554" s="11" t="e">
        <f>VLOOKUP(L554,'[1]singkron data'!D:L,9,FALSE)</f>
        <v>#N/A</v>
      </c>
      <c r="AB554" s="11" t="s">
        <v>694</v>
      </c>
      <c r="AC554" s="11" t="e">
        <f>VLOOKUP(L554,'[1]singkron data'!D:M,10,FALSE)</f>
        <v>#N/A</v>
      </c>
      <c r="AD554" s="11"/>
      <c r="AE554" s="11" t="e">
        <f>VLOOKUP(L554,'[1]singkron data'!D:P,13,FALSE)</f>
        <v>#N/A</v>
      </c>
      <c r="AF554" s="11" t="s">
        <v>55</v>
      </c>
      <c r="AG554" s="11" t="e">
        <f>VLOOKUP(L554,'[1]update kontrak'!E:K,6,FALSE)</f>
        <v>#N/A</v>
      </c>
      <c r="AH554" s="11" t="e">
        <f>VLOOKUP(L554,'[1]update kontrak'!E:K,7,FALSE)</f>
        <v>#N/A</v>
      </c>
      <c r="AI554" s="11"/>
      <c r="AJ554" s="11" t="str">
        <f>VLOOKUP(L554,[1]rekap!D:M,1,FALSE)</f>
        <v>Sauk</v>
      </c>
      <c r="AK554" s="11" t="e">
        <f>VLOOKUP(L554,'[1]singkron data'!D:E,2,FALSE)</f>
        <v>#N/A</v>
      </c>
      <c r="AL554" s="11" t="str">
        <f>VLOOKUP(L554,'[1]update 521'!D:D,1,FALSE)</f>
        <v>Sauk</v>
      </c>
      <c r="AM554" s="11" t="s">
        <v>57</v>
      </c>
      <c r="AN554" s="11" t="e">
        <f>VLOOKUP(L554,[1]Sheet19!E:L,8,FALSE)</f>
        <v>#N/A</v>
      </c>
      <c r="AO554" s="11" t="s">
        <v>1129</v>
      </c>
      <c r="AP554" s="12"/>
    </row>
    <row r="555" spans="1:42" ht="15" x14ac:dyDescent="0.2">
      <c r="A555" s="8" t="s">
        <v>42</v>
      </c>
      <c r="B555" s="9" t="s">
        <v>43</v>
      </c>
      <c r="C555" s="9">
        <v>571</v>
      </c>
      <c r="D555" s="9" t="s">
        <v>1112</v>
      </c>
      <c r="E555" s="9">
        <v>102</v>
      </c>
      <c r="F555" s="9" t="s">
        <v>1358</v>
      </c>
      <c r="G555" s="9" t="s">
        <v>1125</v>
      </c>
      <c r="H555" s="9" t="s">
        <v>287</v>
      </c>
      <c r="I555" s="9" t="s">
        <v>1359</v>
      </c>
      <c r="J555" s="9" t="s">
        <v>1360</v>
      </c>
      <c r="K555" s="9" t="s">
        <v>1361</v>
      </c>
      <c r="L555" s="9" t="s">
        <v>1361</v>
      </c>
      <c r="M555" s="9" t="s">
        <v>51</v>
      </c>
      <c r="N555" s="9">
        <v>273</v>
      </c>
      <c r="O555" s="9">
        <v>20</v>
      </c>
      <c r="P555" s="9">
        <v>25</v>
      </c>
      <c r="Q555" s="9">
        <v>45</v>
      </c>
      <c r="R555" s="9">
        <v>1</v>
      </c>
      <c r="S555" s="9">
        <v>1.2585033000000001</v>
      </c>
      <c r="T555" s="9">
        <v>124.6058567</v>
      </c>
      <c r="U555" s="9"/>
      <c r="V555" s="11" t="e">
        <f>VLOOKUP(L555,'[1]singkron data'!D:E,2,FALSE)</f>
        <v>#N/A</v>
      </c>
      <c r="W555" s="13">
        <f>VLOOKUP(L555,[1]Sheet18!A:B,2,FALSE)</f>
        <v>4085010000</v>
      </c>
      <c r="X555" s="11" t="s">
        <v>55</v>
      </c>
      <c r="Y555" s="11" t="e">
        <f>VLOOKUP(L555,'[1]singkron data'!D:H,5,FALSE)</f>
        <v>#N/A</v>
      </c>
      <c r="Z555" s="11" t="e">
        <f>VLOOKUP(L555,'[1]singkron data'!D:I,6,FALSE)</f>
        <v>#N/A</v>
      </c>
      <c r="AA555" s="11" t="e">
        <f>VLOOKUP(L555,'[1]singkron data'!D:L,9,FALSE)</f>
        <v>#N/A</v>
      </c>
      <c r="AB555" s="11" t="s">
        <v>694</v>
      </c>
      <c r="AC555" s="11" t="e">
        <f>VLOOKUP(L555,'[1]singkron data'!D:M,10,FALSE)</f>
        <v>#N/A</v>
      </c>
      <c r="AD555" s="11"/>
      <c r="AE555" s="11" t="e">
        <f>VLOOKUP(L555,'[1]singkron data'!D:P,13,FALSE)</f>
        <v>#N/A</v>
      </c>
      <c r="AF555" s="11" t="s">
        <v>55</v>
      </c>
      <c r="AG555" s="11" t="e">
        <f>VLOOKUP(L555,'[1]update kontrak'!E:K,6,FALSE)</f>
        <v>#N/A</v>
      </c>
      <c r="AH555" s="11" t="e">
        <f>VLOOKUP(L555,'[1]update kontrak'!E:K,7,FALSE)</f>
        <v>#N/A</v>
      </c>
      <c r="AI555" s="11"/>
      <c r="AJ555" s="11" t="str">
        <f>VLOOKUP(L555,[1]rekap!D:M,1,FALSE)</f>
        <v>Matani Satu</v>
      </c>
      <c r="AK555" s="11" t="e">
        <f>VLOOKUP(L555,'[1]singkron data'!D:E,2,FALSE)</f>
        <v>#N/A</v>
      </c>
      <c r="AL555" s="11" t="str">
        <f>VLOOKUP(L555,'[1]update 521'!D:D,1,FALSE)</f>
        <v>Matani Satu</v>
      </c>
      <c r="AM555" s="11" t="s">
        <v>57</v>
      </c>
      <c r="AN555" s="11" t="e">
        <f>VLOOKUP(L555,[1]Sheet19!E:L,8,FALSE)</f>
        <v>#N/A</v>
      </c>
      <c r="AO555" s="11" t="s">
        <v>1129</v>
      </c>
      <c r="AP555" s="12"/>
    </row>
    <row r="556" spans="1:42" ht="15" x14ac:dyDescent="0.2">
      <c r="A556" s="8" t="s">
        <v>42</v>
      </c>
      <c r="B556" s="9" t="s">
        <v>43</v>
      </c>
      <c r="C556" s="9">
        <v>572</v>
      </c>
      <c r="D556" s="9" t="s">
        <v>1112</v>
      </c>
      <c r="E556" s="9">
        <v>103</v>
      </c>
      <c r="F556" s="9" t="s">
        <v>1358</v>
      </c>
      <c r="G556" s="9" t="s">
        <v>1125</v>
      </c>
      <c r="H556" s="9" t="s">
        <v>287</v>
      </c>
      <c r="I556" s="9" t="s">
        <v>1359</v>
      </c>
      <c r="J556" s="9" t="s">
        <v>1362</v>
      </c>
      <c r="K556" s="9" t="s">
        <v>1363</v>
      </c>
      <c r="L556" s="9" t="s">
        <v>1363</v>
      </c>
      <c r="M556" s="9" t="s">
        <v>51</v>
      </c>
      <c r="N556" s="9">
        <v>33</v>
      </c>
      <c r="O556" s="9">
        <v>6</v>
      </c>
      <c r="P556" s="9">
        <v>13</v>
      </c>
      <c r="Q556" s="9">
        <v>19</v>
      </c>
      <c r="R556" s="9">
        <v>1</v>
      </c>
      <c r="S556" s="9">
        <v>1.1979067000000001</v>
      </c>
      <c r="T556" s="9">
        <v>124.58524</v>
      </c>
      <c r="U556" s="9"/>
      <c r="V556" s="11" t="e">
        <f>VLOOKUP(L556,'[1]singkron data'!D:E,2,FALSE)</f>
        <v>#N/A</v>
      </c>
      <c r="W556" s="13">
        <f>VLOOKUP(L556,[1]Sheet18!A:B,2,FALSE)</f>
        <v>3972484000</v>
      </c>
      <c r="X556" s="11" t="s">
        <v>55</v>
      </c>
      <c r="Y556" s="11" t="e">
        <f>VLOOKUP(L556,'[1]singkron data'!D:H,5,FALSE)</f>
        <v>#N/A</v>
      </c>
      <c r="Z556" s="11" t="e">
        <f>VLOOKUP(L556,'[1]singkron data'!D:I,6,FALSE)</f>
        <v>#N/A</v>
      </c>
      <c r="AA556" s="11" t="e">
        <f>VLOOKUP(L556,'[1]singkron data'!D:L,9,FALSE)</f>
        <v>#N/A</v>
      </c>
      <c r="AB556" s="11" t="s">
        <v>694</v>
      </c>
      <c r="AC556" s="11" t="e">
        <f>VLOOKUP(L556,'[1]singkron data'!D:M,10,FALSE)</f>
        <v>#N/A</v>
      </c>
      <c r="AD556" s="11"/>
      <c r="AE556" s="11" t="e">
        <f>VLOOKUP(L556,'[1]singkron data'!D:P,13,FALSE)</f>
        <v>#N/A</v>
      </c>
      <c r="AF556" s="11" t="s">
        <v>55</v>
      </c>
      <c r="AG556" s="11" t="e">
        <f>VLOOKUP(L556,'[1]update kontrak'!E:K,6,FALSE)</f>
        <v>#N/A</v>
      </c>
      <c r="AH556" s="11" t="e">
        <f>VLOOKUP(L556,'[1]update kontrak'!E:K,7,FALSE)</f>
        <v>#N/A</v>
      </c>
      <c r="AI556" s="11"/>
      <c r="AJ556" s="11" t="str">
        <f>VLOOKUP(L556,[1]rekap!D:M,1,FALSE)</f>
        <v>Ranomea</v>
      </c>
      <c r="AK556" s="11" t="e">
        <f>VLOOKUP(L556,'[1]singkron data'!D:E,2,FALSE)</f>
        <v>#N/A</v>
      </c>
      <c r="AL556" s="11" t="str">
        <f>VLOOKUP(L556,'[1]update 521'!D:D,1,FALSE)</f>
        <v>Ranomea</v>
      </c>
      <c r="AM556" s="11" t="s">
        <v>57</v>
      </c>
      <c r="AN556" s="11" t="e">
        <f>VLOOKUP(L556,[1]Sheet19!E:L,8,FALSE)</f>
        <v>#N/A</v>
      </c>
      <c r="AO556" s="11" t="s">
        <v>1129</v>
      </c>
      <c r="AP556" s="12"/>
    </row>
    <row r="557" spans="1:42" ht="15" x14ac:dyDescent="0.2">
      <c r="A557" s="8" t="s">
        <v>42</v>
      </c>
      <c r="B557" s="9" t="s">
        <v>43</v>
      </c>
      <c r="C557" s="9">
        <v>573</v>
      </c>
      <c r="D557" s="9" t="s">
        <v>1112</v>
      </c>
      <c r="E557" s="9">
        <v>104</v>
      </c>
      <c r="F557" s="9" t="s">
        <v>1364</v>
      </c>
      <c r="G557" s="9" t="s">
        <v>1125</v>
      </c>
      <c r="H557" s="9" t="s">
        <v>287</v>
      </c>
      <c r="I557" s="9" t="s">
        <v>1327</v>
      </c>
      <c r="J557" s="9" t="s">
        <v>1365</v>
      </c>
      <c r="K557" s="9" t="s">
        <v>1364</v>
      </c>
      <c r="L557" s="9" t="s">
        <v>1364</v>
      </c>
      <c r="M557" s="9" t="s">
        <v>65</v>
      </c>
      <c r="N557" s="9">
        <v>215</v>
      </c>
      <c r="O557" s="9">
        <v>15</v>
      </c>
      <c r="P557" s="9">
        <v>120</v>
      </c>
      <c r="Q557" s="9">
        <v>135</v>
      </c>
      <c r="R557" s="9">
        <v>1</v>
      </c>
      <c r="S557" s="9">
        <v>0.61984399999999995</v>
      </c>
      <c r="T557" s="9">
        <v>124.548434</v>
      </c>
      <c r="U557" s="9"/>
      <c r="V557" s="11" t="e">
        <f>VLOOKUP(L557,'[1]singkron data'!D:E,2,FALSE)</f>
        <v>#N/A</v>
      </c>
      <c r="W557" s="13"/>
      <c r="X557" s="11"/>
      <c r="Y557" s="11" t="e">
        <f>VLOOKUP(L557,'[1]singkron data'!D:H,5,FALSE)</f>
        <v>#N/A</v>
      </c>
      <c r="Z557" s="11" t="e">
        <f>VLOOKUP(L557,'[1]singkron data'!D:I,6,FALSE)</f>
        <v>#N/A</v>
      </c>
      <c r="AA557" s="11" t="e">
        <f>VLOOKUP(L557,'[1]singkron data'!D:L,9,FALSE)</f>
        <v>#N/A</v>
      </c>
      <c r="AB557" s="11" t="s">
        <v>694</v>
      </c>
      <c r="AC557" s="11" t="e">
        <f>VLOOKUP(L557,'[1]singkron data'!D:M,10,FALSE)</f>
        <v>#N/A</v>
      </c>
      <c r="AD557" s="11"/>
      <c r="AE557" s="11" t="e">
        <f>VLOOKUP(L557,'[1]singkron data'!D:P,13,FALSE)</f>
        <v>#N/A</v>
      </c>
      <c r="AF557" s="11" t="s">
        <v>55</v>
      </c>
      <c r="AG557" s="11" t="e">
        <f>VLOOKUP(L557,'[1]update kontrak'!E:K,6,FALSE)</f>
        <v>#N/A</v>
      </c>
      <c r="AH557" s="11" t="e">
        <f>VLOOKUP(L557,'[1]update kontrak'!E:K,7,FALSE)</f>
        <v>#N/A</v>
      </c>
      <c r="AI557" s="11"/>
      <c r="AJ557" s="11" t="str">
        <f>VLOOKUP(L557,[1]rekap!D:M,1,FALSE)</f>
        <v>Jiko</v>
      </c>
      <c r="AK557" s="11" t="e">
        <f>VLOOKUP(L557,'[1]singkron data'!D:E,2,FALSE)</f>
        <v>#N/A</v>
      </c>
      <c r="AL557" s="11" t="str">
        <f>VLOOKUP(L557,'[1]update 521'!D:D,1,FALSE)</f>
        <v>Jiko</v>
      </c>
      <c r="AM557" s="11" t="s">
        <v>57</v>
      </c>
      <c r="AN557" s="11" t="e">
        <f>VLOOKUP(L557,[1]Sheet19!E:L,8,FALSE)</f>
        <v>#N/A</v>
      </c>
      <c r="AO557" s="11" t="e">
        <f>VLOOKUP(L557,[1]Sheet19!E:K,7,FALSE)</f>
        <v>#N/A</v>
      </c>
      <c r="AP557" s="12"/>
    </row>
    <row r="558" spans="1:42" ht="15" x14ac:dyDescent="0.2">
      <c r="A558" s="8" t="s">
        <v>42</v>
      </c>
      <c r="B558" s="9" t="s">
        <v>43</v>
      </c>
      <c r="C558" s="9">
        <v>574</v>
      </c>
      <c r="D558" s="9" t="s">
        <v>1112</v>
      </c>
      <c r="E558" s="9">
        <v>105</v>
      </c>
      <c r="F558" s="9" t="s">
        <v>1364</v>
      </c>
      <c r="G558" s="9" t="s">
        <v>1125</v>
      </c>
      <c r="H558" s="9" t="s">
        <v>287</v>
      </c>
      <c r="I558" s="9" t="s">
        <v>1327</v>
      </c>
      <c r="J558" s="9" t="s">
        <v>1366</v>
      </c>
      <c r="K558" s="9" t="s">
        <v>1367</v>
      </c>
      <c r="L558" s="9" t="s">
        <v>1367</v>
      </c>
      <c r="M558" s="9" t="s">
        <v>51</v>
      </c>
      <c r="N558" s="9">
        <v>253</v>
      </c>
      <c r="O558" s="9">
        <v>12</v>
      </c>
      <c r="P558" s="9">
        <v>54</v>
      </c>
      <c r="Q558" s="9">
        <v>66</v>
      </c>
      <c r="R558" s="9">
        <v>1</v>
      </c>
      <c r="S558" s="9">
        <v>0.54181800000000002</v>
      </c>
      <c r="T558" s="9">
        <v>124.492407</v>
      </c>
      <c r="U558" s="9"/>
      <c r="V558" s="11" t="e">
        <f>VLOOKUP(L558,'[1]singkron data'!D:E,2,FALSE)</f>
        <v>#N/A</v>
      </c>
      <c r="W558" s="13">
        <f>VLOOKUP(L558,[1]Sheet18!A:B,2,FALSE)</f>
        <v>7003592000</v>
      </c>
      <c r="X558" s="11" t="s">
        <v>55</v>
      </c>
      <c r="Y558" s="11" t="e">
        <f>VLOOKUP(L558,'[1]singkron data'!D:H,5,FALSE)</f>
        <v>#N/A</v>
      </c>
      <c r="Z558" s="11" t="e">
        <f>VLOOKUP(L558,'[1]singkron data'!D:I,6,FALSE)</f>
        <v>#N/A</v>
      </c>
      <c r="AA558" s="11" t="e">
        <f>VLOOKUP(L558,'[1]singkron data'!D:L,9,FALSE)</f>
        <v>#N/A</v>
      </c>
      <c r="AB558" s="11" t="s">
        <v>694</v>
      </c>
      <c r="AC558" s="11" t="e">
        <f>VLOOKUP(L558,'[1]singkron data'!D:M,10,FALSE)</f>
        <v>#N/A</v>
      </c>
      <c r="AD558" s="11"/>
      <c r="AE558" s="11" t="e">
        <f>VLOOKUP(L558,'[1]singkron data'!D:P,13,FALSE)</f>
        <v>#N/A</v>
      </c>
      <c r="AF558" s="11" t="s">
        <v>55</v>
      </c>
      <c r="AG558" s="11" t="e">
        <f>VLOOKUP(L558,'[1]update kontrak'!E:K,6,FALSE)</f>
        <v>#N/A</v>
      </c>
      <c r="AH558" s="11" t="e">
        <f>VLOOKUP(L558,'[1]update kontrak'!E:K,7,FALSE)</f>
        <v>#N/A</v>
      </c>
      <c r="AI558" s="11"/>
      <c r="AJ558" s="11" t="str">
        <f>VLOOKUP(L558,[1]rekap!D:M,1,FALSE)</f>
        <v>Matabulu Timur</v>
      </c>
      <c r="AK558" s="11" t="e">
        <f>VLOOKUP(L558,'[1]singkron data'!D:E,2,FALSE)</f>
        <v>#N/A</v>
      </c>
      <c r="AL558" s="11" t="str">
        <f>VLOOKUP(L558,'[1]update 521'!D:D,1,FALSE)</f>
        <v>Matabulu Timur</v>
      </c>
      <c r="AM558" s="11" t="s">
        <v>57</v>
      </c>
      <c r="AN558" s="11" t="e">
        <f>VLOOKUP(L558,[1]Sheet19!E:L,8,FALSE)</f>
        <v>#N/A</v>
      </c>
      <c r="AO558" s="11" t="s">
        <v>1129</v>
      </c>
      <c r="AP558" s="12"/>
    </row>
    <row r="559" spans="1:42" ht="15" x14ac:dyDescent="0.2">
      <c r="A559" s="8" t="s">
        <v>42</v>
      </c>
      <c r="B559" s="9" t="s">
        <v>43</v>
      </c>
      <c r="C559" s="9">
        <v>575</v>
      </c>
      <c r="D559" s="9" t="s">
        <v>1112</v>
      </c>
      <c r="E559" s="9">
        <v>106</v>
      </c>
      <c r="F559" s="9" t="s">
        <v>1364</v>
      </c>
      <c r="G559" s="9" t="s">
        <v>1125</v>
      </c>
      <c r="H559" s="9" t="s">
        <v>287</v>
      </c>
      <c r="I559" s="9" t="s">
        <v>1327</v>
      </c>
      <c r="J559" s="9" t="s">
        <v>1365</v>
      </c>
      <c r="K559" s="9" t="s">
        <v>1368</v>
      </c>
      <c r="L559" s="9" t="s">
        <v>1368</v>
      </c>
      <c r="M559" s="9" t="s">
        <v>51</v>
      </c>
      <c r="N559" s="9">
        <v>40</v>
      </c>
      <c r="O559" s="9">
        <v>3</v>
      </c>
      <c r="P559" s="9">
        <v>25</v>
      </c>
      <c r="Q559" s="9">
        <v>28</v>
      </c>
      <c r="R559" s="9">
        <v>1</v>
      </c>
      <c r="S559" s="9">
        <v>0.65962500000000002</v>
      </c>
      <c r="T559" s="9">
        <v>124.562889</v>
      </c>
      <c r="U559" s="9"/>
      <c r="V559" s="11" t="e">
        <f>VLOOKUP(L559,'[1]singkron data'!D:E,2,FALSE)</f>
        <v>#N/A</v>
      </c>
      <c r="W559" s="13"/>
      <c r="X559" s="11"/>
      <c r="Y559" s="11" t="e">
        <f>VLOOKUP(L559,'[1]singkron data'!D:H,5,FALSE)</f>
        <v>#N/A</v>
      </c>
      <c r="Z559" s="11" t="e">
        <f>VLOOKUP(L559,'[1]singkron data'!D:I,6,FALSE)</f>
        <v>#N/A</v>
      </c>
      <c r="AA559" s="11" t="e">
        <f>VLOOKUP(L559,'[1]singkron data'!D:L,9,FALSE)</f>
        <v>#N/A</v>
      </c>
      <c r="AB559" s="11" t="s">
        <v>694</v>
      </c>
      <c r="AC559" s="11" t="e">
        <f>VLOOKUP(L559,'[1]singkron data'!D:M,10,FALSE)</f>
        <v>#N/A</v>
      </c>
      <c r="AD559" s="11"/>
      <c r="AE559" s="11" t="e">
        <f>VLOOKUP(L559,'[1]singkron data'!D:P,13,FALSE)</f>
        <v>#N/A</v>
      </c>
      <c r="AF559" s="11" t="s">
        <v>55</v>
      </c>
      <c r="AG559" s="11" t="e">
        <f>VLOOKUP(L559,'[1]update kontrak'!E:K,6,FALSE)</f>
        <v>#N/A</v>
      </c>
      <c r="AH559" s="11" t="e">
        <f>VLOOKUP(L559,'[1]update kontrak'!E:K,7,FALSE)</f>
        <v>#N/A</v>
      </c>
      <c r="AI559" s="11"/>
      <c r="AJ559" s="11" t="str">
        <f>VLOOKUP(L559,[1]rekap!D:M,1,FALSE)</f>
        <v>Motongkad Selatan</v>
      </c>
      <c r="AK559" s="11" t="e">
        <f>VLOOKUP(L559,'[1]singkron data'!D:E,2,FALSE)</f>
        <v>#N/A</v>
      </c>
      <c r="AL559" s="11" t="str">
        <f>VLOOKUP(L559,'[1]update 521'!D:D,1,FALSE)</f>
        <v>Motongkad Selatan</v>
      </c>
      <c r="AM559" s="11" t="s">
        <v>57</v>
      </c>
      <c r="AN559" s="11" t="e">
        <f>VLOOKUP(L559,[1]Sheet19!E:L,8,FALSE)</f>
        <v>#N/A</v>
      </c>
      <c r="AO559" s="11" t="e">
        <f>VLOOKUP(L559,[1]Sheet19!E:K,7,FALSE)</f>
        <v>#N/A</v>
      </c>
      <c r="AP559" s="12"/>
    </row>
    <row r="560" spans="1:42" ht="15" x14ac:dyDescent="0.2">
      <c r="A560" s="8" t="s">
        <v>42</v>
      </c>
      <c r="B560" s="9" t="s">
        <v>43</v>
      </c>
      <c r="C560" s="9">
        <v>576</v>
      </c>
      <c r="D560" s="9" t="s">
        <v>1112</v>
      </c>
      <c r="E560" s="9">
        <v>107</v>
      </c>
      <c r="F560" s="9" t="s">
        <v>1364</v>
      </c>
      <c r="G560" s="9" t="s">
        <v>1125</v>
      </c>
      <c r="H560" s="9" t="s">
        <v>287</v>
      </c>
      <c r="I560" s="9" t="s">
        <v>1327</v>
      </c>
      <c r="J560" s="9" t="s">
        <v>1366</v>
      </c>
      <c r="K560" s="9" t="s">
        <v>1369</v>
      </c>
      <c r="L560" s="9" t="s">
        <v>1369</v>
      </c>
      <c r="M560" s="9" t="s">
        <v>51</v>
      </c>
      <c r="N560" s="9">
        <v>98</v>
      </c>
      <c r="O560" s="9">
        <v>4</v>
      </c>
      <c r="P560" s="9">
        <v>44</v>
      </c>
      <c r="Q560" s="9">
        <v>48</v>
      </c>
      <c r="R560" s="9">
        <v>0.5</v>
      </c>
      <c r="S560" s="9">
        <v>0.58747400000000005</v>
      </c>
      <c r="T560" s="9">
        <v>124.53238</v>
      </c>
      <c r="U560" s="9"/>
      <c r="V560" s="11" t="e">
        <f>VLOOKUP(L560,'[1]singkron data'!D:E,2,FALSE)</f>
        <v>#N/A</v>
      </c>
      <c r="W560" s="13">
        <f>VLOOKUP(L560,[1]Sheet18!A:B,2,FALSE)</f>
        <v>4480364000</v>
      </c>
      <c r="X560" s="11" t="s">
        <v>55</v>
      </c>
      <c r="Y560" s="11" t="e">
        <f>VLOOKUP(L560,'[1]singkron data'!D:H,5,FALSE)</f>
        <v>#N/A</v>
      </c>
      <c r="Z560" s="11" t="e">
        <f>VLOOKUP(L560,'[1]singkron data'!D:I,6,FALSE)</f>
        <v>#N/A</v>
      </c>
      <c r="AA560" s="11" t="e">
        <f>VLOOKUP(L560,'[1]singkron data'!D:L,9,FALSE)</f>
        <v>#N/A</v>
      </c>
      <c r="AB560" s="11" t="s">
        <v>694</v>
      </c>
      <c r="AC560" s="11" t="e">
        <f>VLOOKUP(L560,'[1]singkron data'!D:M,10,FALSE)</f>
        <v>#N/A</v>
      </c>
      <c r="AD560" s="11"/>
      <c r="AE560" s="11" t="e">
        <f>VLOOKUP(L560,'[1]singkron data'!D:P,13,FALSE)</f>
        <v>#N/A</v>
      </c>
      <c r="AF560" s="11" t="s">
        <v>55</v>
      </c>
      <c r="AG560" s="11" t="e">
        <f>VLOOKUP(L560,'[1]update kontrak'!E:K,6,FALSE)</f>
        <v>#N/A</v>
      </c>
      <c r="AH560" s="11" t="e">
        <f>VLOOKUP(L560,'[1]update kontrak'!E:K,7,FALSE)</f>
        <v>#N/A</v>
      </c>
      <c r="AI560" s="11"/>
      <c r="AJ560" s="11" t="str">
        <f>VLOOKUP(L560,[1]rekap!D:M,1,FALSE)</f>
        <v>Iyok</v>
      </c>
      <c r="AK560" s="11" t="e">
        <f>VLOOKUP(L560,'[1]singkron data'!D:E,2,FALSE)</f>
        <v>#N/A</v>
      </c>
      <c r="AL560" s="11" t="str">
        <f>VLOOKUP(L560,'[1]update 521'!D:D,1,FALSE)</f>
        <v>Iyok</v>
      </c>
      <c r="AM560" s="11" t="s">
        <v>57</v>
      </c>
      <c r="AN560" s="11" t="e">
        <f>VLOOKUP(L560,[1]Sheet19!E:L,8,FALSE)</f>
        <v>#N/A</v>
      </c>
      <c r="AO560" s="11" t="s">
        <v>1129</v>
      </c>
      <c r="AP560" s="12"/>
    </row>
    <row r="561" spans="1:42" ht="15" x14ac:dyDescent="0.2">
      <c r="A561" s="8" t="s">
        <v>42</v>
      </c>
      <c r="B561" s="9" t="s">
        <v>43</v>
      </c>
      <c r="C561" s="9">
        <v>577</v>
      </c>
      <c r="D561" s="9" t="s">
        <v>1112</v>
      </c>
      <c r="E561" s="9">
        <v>108</v>
      </c>
      <c r="F561" s="9" t="s">
        <v>1364</v>
      </c>
      <c r="G561" s="9" t="s">
        <v>1125</v>
      </c>
      <c r="H561" s="9" t="s">
        <v>287</v>
      </c>
      <c r="I561" s="9" t="s">
        <v>1327</v>
      </c>
      <c r="J561" s="9" t="s">
        <v>1366</v>
      </c>
      <c r="K561" s="9" t="s">
        <v>1370</v>
      </c>
      <c r="L561" s="9" t="s">
        <v>1370</v>
      </c>
      <c r="M561" s="9" t="s">
        <v>51</v>
      </c>
      <c r="N561" s="9">
        <v>193</v>
      </c>
      <c r="O561" s="9">
        <v>6</v>
      </c>
      <c r="P561" s="9">
        <v>43</v>
      </c>
      <c r="Q561" s="9">
        <v>49</v>
      </c>
      <c r="R561" s="9">
        <v>3.15</v>
      </c>
      <c r="S561" s="9">
        <v>0.58360000000000001</v>
      </c>
      <c r="T561" s="9">
        <v>124.52612999999999</v>
      </c>
      <c r="U561" s="9"/>
      <c r="V561" s="11" t="e">
        <f>VLOOKUP(L561,'[1]singkron data'!D:E,2,FALSE)</f>
        <v>#N/A</v>
      </c>
      <c r="W561" s="13">
        <f>VLOOKUP(L561,[1]Sheet18!A:B,2,FALSE)</f>
        <v>3938916000</v>
      </c>
      <c r="X561" s="11" t="s">
        <v>55</v>
      </c>
      <c r="Y561" s="11" t="e">
        <f>VLOOKUP(L561,'[1]singkron data'!D:H,5,FALSE)</f>
        <v>#N/A</v>
      </c>
      <c r="Z561" s="11" t="e">
        <f>VLOOKUP(L561,'[1]singkron data'!D:I,6,FALSE)</f>
        <v>#N/A</v>
      </c>
      <c r="AA561" s="11" t="e">
        <f>VLOOKUP(L561,'[1]singkron data'!D:L,9,FALSE)</f>
        <v>#N/A</v>
      </c>
      <c r="AB561" s="11" t="s">
        <v>694</v>
      </c>
      <c r="AC561" s="11" t="e">
        <f>VLOOKUP(L561,'[1]singkron data'!D:M,10,FALSE)</f>
        <v>#N/A</v>
      </c>
      <c r="AD561" s="11"/>
      <c r="AE561" s="11" t="e">
        <f>VLOOKUP(L561,'[1]singkron data'!D:P,13,FALSE)</f>
        <v>#N/A</v>
      </c>
      <c r="AF561" s="11" t="s">
        <v>55</v>
      </c>
      <c r="AG561" s="11" t="e">
        <f>VLOOKUP(L561,'[1]update kontrak'!E:K,6,FALSE)</f>
        <v>#N/A</v>
      </c>
      <c r="AH561" s="11" t="e">
        <f>VLOOKUP(L561,'[1]update kontrak'!E:K,7,FALSE)</f>
        <v>#N/A</v>
      </c>
      <c r="AI561" s="11"/>
      <c r="AJ561" s="11" t="str">
        <f>VLOOKUP(L561,[1]rekap!D:M,1,FALSE)</f>
        <v>Loyow</v>
      </c>
      <c r="AK561" s="11" t="e">
        <f>VLOOKUP(L561,'[1]singkron data'!D:E,2,FALSE)</f>
        <v>#N/A</v>
      </c>
      <c r="AL561" s="11" t="str">
        <f>VLOOKUP(L561,'[1]update 521'!D:D,1,FALSE)</f>
        <v>Loyow</v>
      </c>
      <c r="AM561" s="11" t="s">
        <v>57</v>
      </c>
      <c r="AN561" s="11" t="e">
        <f>VLOOKUP(L561,[1]Sheet19!E:L,8,FALSE)</f>
        <v>#N/A</v>
      </c>
      <c r="AO561" s="11" t="s">
        <v>1129</v>
      </c>
      <c r="AP561" s="12"/>
    </row>
    <row r="562" spans="1:42" ht="15" x14ac:dyDescent="0.2">
      <c r="A562" s="8" t="s">
        <v>42</v>
      </c>
      <c r="B562" s="9" t="s">
        <v>43</v>
      </c>
      <c r="C562" s="9">
        <v>578</v>
      </c>
      <c r="D562" s="9" t="s">
        <v>1112</v>
      </c>
      <c r="E562" s="9">
        <v>109</v>
      </c>
      <c r="F562" s="9" t="s">
        <v>1364</v>
      </c>
      <c r="G562" s="9" t="s">
        <v>1125</v>
      </c>
      <c r="H562" s="9" t="s">
        <v>287</v>
      </c>
      <c r="I562" s="9" t="s">
        <v>1371</v>
      </c>
      <c r="J562" s="9" t="s">
        <v>1372</v>
      </c>
      <c r="K562" s="9" t="s">
        <v>1373</v>
      </c>
      <c r="L562" s="9" t="s">
        <v>1373</v>
      </c>
      <c r="M562" s="9" t="s">
        <v>51</v>
      </c>
      <c r="N562" s="9">
        <v>12</v>
      </c>
      <c r="O562" s="9" t="s">
        <v>72</v>
      </c>
      <c r="P562" s="9">
        <v>12</v>
      </c>
      <c r="Q562" s="9">
        <v>12</v>
      </c>
      <c r="R562" s="9">
        <v>1</v>
      </c>
      <c r="S562" s="9">
        <v>0.45104699999999998</v>
      </c>
      <c r="T562" s="9">
        <v>124.430997</v>
      </c>
      <c r="U562" s="9"/>
      <c r="V562" s="11" t="e">
        <f>VLOOKUP(L562,'[1]singkron data'!D:E,2,FALSE)</f>
        <v>#N/A</v>
      </c>
      <c r="W562" s="13">
        <f>VLOOKUP(L562,[1]Sheet18!A:B,2,FALSE)</f>
        <v>3587043000</v>
      </c>
      <c r="X562" s="11" t="s">
        <v>55</v>
      </c>
      <c r="Y562" s="11" t="e">
        <f>VLOOKUP(L562,'[1]singkron data'!D:H,5,FALSE)</f>
        <v>#N/A</v>
      </c>
      <c r="Z562" s="11" t="e">
        <f>VLOOKUP(L562,'[1]singkron data'!D:I,6,FALSE)</f>
        <v>#N/A</v>
      </c>
      <c r="AA562" s="11" t="e">
        <f>VLOOKUP(L562,'[1]singkron data'!D:L,9,FALSE)</f>
        <v>#N/A</v>
      </c>
      <c r="AB562" s="11" t="s">
        <v>694</v>
      </c>
      <c r="AC562" s="11" t="e">
        <f>VLOOKUP(L562,'[1]singkron data'!D:M,10,FALSE)</f>
        <v>#N/A</v>
      </c>
      <c r="AD562" s="11"/>
      <c r="AE562" s="11" t="e">
        <f>VLOOKUP(L562,'[1]singkron data'!D:P,13,FALSE)</f>
        <v>#N/A</v>
      </c>
      <c r="AF562" s="11" t="s">
        <v>55</v>
      </c>
      <c r="AG562" s="11" t="e">
        <f>VLOOKUP(L562,'[1]update kontrak'!E:K,6,FALSE)</f>
        <v>#N/A</v>
      </c>
      <c r="AH562" s="11" t="e">
        <f>VLOOKUP(L562,'[1]update kontrak'!E:K,7,FALSE)</f>
        <v>#N/A</v>
      </c>
      <c r="AI562" s="11"/>
      <c r="AJ562" s="11" t="str">
        <f>VLOOKUP(L562,[1]rekap!D:M,1,FALSE)</f>
        <v>Modisi</v>
      </c>
      <c r="AK562" s="11" t="e">
        <f>VLOOKUP(L562,'[1]singkron data'!D:E,2,FALSE)</f>
        <v>#N/A</v>
      </c>
      <c r="AL562" s="11" t="str">
        <f>VLOOKUP(L562,'[1]update 521'!D:D,1,FALSE)</f>
        <v>Modisi</v>
      </c>
      <c r="AM562" s="11" t="s">
        <v>57</v>
      </c>
      <c r="AN562" s="11" t="e">
        <f>VLOOKUP(L562,[1]Sheet19!E:L,8,FALSE)</f>
        <v>#N/A</v>
      </c>
      <c r="AO562" s="11" t="s">
        <v>1129</v>
      </c>
      <c r="AP562" s="12"/>
    </row>
    <row r="563" spans="1:42" ht="15" x14ac:dyDescent="0.2">
      <c r="A563" s="8" t="s">
        <v>42</v>
      </c>
      <c r="B563" s="9" t="s">
        <v>43</v>
      </c>
      <c r="C563" s="9">
        <v>579</v>
      </c>
      <c r="D563" s="9" t="s">
        <v>1112</v>
      </c>
      <c r="E563" s="9">
        <v>110</v>
      </c>
      <c r="F563" s="9" t="s">
        <v>1364</v>
      </c>
      <c r="G563" s="9" t="s">
        <v>1125</v>
      </c>
      <c r="H563" s="9" t="s">
        <v>287</v>
      </c>
      <c r="I563" s="9" t="s">
        <v>1371</v>
      </c>
      <c r="J563" s="9" t="s">
        <v>1372</v>
      </c>
      <c r="K563" s="9" t="s">
        <v>1374</v>
      </c>
      <c r="L563" s="9" t="s">
        <v>1374</v>
      </c>
      <c r="M563" s="9" t="s">
        <v>51</v>
      </c>
      <c r="N563" s="9">
        <v>87</v>
      </c>
      <c r="O563" s="9" t="s">
        <v>72</v>
      </c>
      <c r="P563" s="9">
        <v>105</v>
      </c>
      <c r="Q563" s="9">
        <v>105</v>
      </c>
      <c r="R563" s="9">
        <v>2</v>
      </c>
      <c r="S563" s="9">
        <v>0.46699000000000002</v>
      </c>
      <c r="T563" s="9">
        <v>124.449386</v>
      </c>
      <c r="U563" s="9"/>
      <c r="V563" s="11" t="e">
        <f>VLOOKUP(L563,'[1]singkron data'!D:E,2,FALSE)</f>
        <v>#N/A</v>
      </c>
      <c r="W563" s="13">
        <f>VLOOKUP(L563,[1]Sheet18!A:B,2,FALSE)</f>
        <v>4969578000</v>
      </c>
      <c r="X563" s="11" t="s">
        <v>55</v>
      </c>
      <c r="Y563" s="11" t="e">
        <f>VLOOKUP(L563,'[1]singkron data'!D:H,5,FALSE)</f>
        <v>#N/A</v>
      </c>
      <c r="Z563" s="11" t="e">
        <f>VLOOKUP(L563,'[1]singkron data'!D:I,6,FALSE)</f>
        <v>#N/A</v>
      </c>
      <c r="AA563" s="11" t="e">
        <f>VLOOKUP(L563,'[1]singkron data'!D:L,9,FALSE)</f>
        <v>#N/A</v>
      </c>
      <c r="AB563" s="11" t="s">
        <v>694</v>
      </c>
      <c r="AC563" s="11" t="e">
        <f>VLOOKUP(L563,'[1]singkron data'!D:M,10,FALSE)</f>
        <v>#N/A</v>
      </c>
      <c r="AD563" s="11"/>
      <c r="AE563" s="11" t="e">
        <f>VLOOKUP(L563,'[1]singkron data'!D:P,13,FALSE)</f>
        <v>#N/A</v>
      </c>
      <c r="AF563" s="11" t="s">
        <v>55</v>
      </c>
      <c r="AG563" s="11" t="e">
        <f>VLOOKUP(L563,'[1]update kontrak'!E:K,6,FALSE)</f>
        <v>#N/A</v>
      </c>
      <c r="AH563" s="11" t="e">
        <f>VLOOKUP(L563,'[1]update kontrak'!E:K,7,FALSE)</f>
        <v>#N/A</v>
      </c>
      <c r="AI563" s="11"/>
      <c r="AJ563" s="11" t="str">
        <f>VLOOKUP(L563,[1]rekap!D:M,1,FALSE)</f>
        <v>Iligon</v>
      </c>
      <c r="AK563" s="11" t="e">
        <f>VLOOKUP(L563,'[1]singkron data'!D:E,2,FALSE)</f>
        <v>#N/A</v>
      </c>
      <c r="AL563" s="11" t="str">
        <f>VLOOKUP(L563,'[1]update 521'!D:D,1,FALSE)</f>
        <v>Iligon</v>
      </c>
      <c r="AM563" s="11" t="s">
        <v>57</v>
      </c>
      <c r="AN563" s="11" t="e">
        <f>VLOOKUP(L563,[1]Sheet19!E:L,8,FALSE)</f>
        <v>#N/A</v>
      </c>
      <c r="AO563" s="11" t="s">
        <v>1129</v>
      </c>
      <c r="AP563" s="12"/>
    </row>
    <row r="564" spans="1:42" ht="15" x14ac:dyDescent="0.2">
      <c r="A564" s="8" t="s">
        <v>42</v>
      </c>
      <c r="B564" s="9" t="s">
        <v>43</v>
      </c>
      <c r="C564" s="9">
        <v>580</v>
      </c>
      <c r="D564" s="9" t="s">
        <v>1112</v>
      </c>
      <c r="E564" s="9">
        <v>111</v>
      </c>
      <c r="F564" s="9" t="s">
        <v>1364</v>
      </c>
      <c r="G564" s="9" t="s">
        <v>1125</v>
      </c>
      <c r="H564" s="9" t="s">
        <v>287</v>
      </c>
      <c r="I564" s="9" t="s">
        <v>1371</v>
      </c>
      <c r="J564" s="9" t="s">
        <v>1375</v>
      </c>
      <c r="K564" s="9" t="s">
        <v>1376</v>
      </c>
      <c r="L564" s="9" t="s">
        <v>1376</v>
      </c>
      <c r="M564" s="9" t="s">
        <v>51</v>
      </c>
      <c r="N564" s="9">
        <v>120</v>
      </c>
      <c r="O564" s="9">
        <v>1</v>
      </c>
      <c r="P564" s="9">
        <v>19</v>
      </c>
      <c r="Q564" s="9">
        <v>20</v>
      </c>
      <c r="R564" s="9">
        <v>1.1000000000000001</v>
      </c>
      <c r="S564" s="9">
        <v>0.42830699999999999</v>
      </c>
      <c r="T564" s="9">
        <v>124.293891</v>
      </c>
      <c r="U564" s="9"/>
      <c r="V564" s="11" t="e">
        <f>VLOOKUP(L564,'[1]singkron data'!D:E,2,FALSE)</f>
        <v>#N/A</v>
      </c>
      <c r="W564" s="13">
        <f>VLOOKUP(L564,[1]Sheet18!A:B,2,FALSE)</f>
        <v>3471639000</v>
      </c>
      <c r="X564" s="11" t="s">
        <v>55</v>
      </c>
      <c r="Y564" s="11" t="e">
        <f>VLOOKUP(L564,'[1]singkron data'!D:H,5,FALSE)</f>
        <v>#N/A</v>
      </c>
      <c r="Z564" s="11" t="e">
        <f>VLOOKUP(L564,'[1]singkron data'!D:I,6,FALSE)</f>
        <v>#N/A</v>
      </c>
      <c r="AA564" s="11" t="e">
        <f>VLOOKUP(L564,'[1]singkron data'!D:L,9,FALSE)</f>
        <v>#N/A</v>
      </c>
      <c r="AB564" s="11" t="s">
        <v>694</v>
      </c>
      <c r="AC564" s="11" t="e">
        <f>VLOOKUP(L564,'[1]singkron data'!D:M,10,FALSE)</f>
        <v>#N/A</v>
      </c>
      <c r="AD564" s="11"/>
      <c r="AE564" s="11" t="e">
        <f>VLOOKUP(L564,'[1]singkron data'!D:P,13,FALSE)</f>
        <v>#N/A</v>
      </c>
      <c r="AF564" s="11" t="s">
        <v>55</v>
      </c>
      <c r="AG564" s="11" t="e">
        <f>VLOOKUP(L564,'[1]update kontrak'!E:K,6,FALSE)</f>
        <v>#N/A</v>
      </c>
      <c r="AH564" s="11" t="e">
        <f>VLOOKUP(L564,'[1]update kontrak'!E:K,7,FALSE)</f>
        <v>#N/A</v>
      </c>
      <c r="AI564" s="11"/>
      <c r="AJ564" s="11" t="str">
        <f>VLOOKUP(L564,[1]rekap!D:M,1,FALSE)</f>
        <v>Deaga</v>
      </c>
      <c r="AK564" s="11" t="e">
        <f>VLOOKUP(L564,'[1]singkron data'!D:E,2,FALSE)</f>
        <v>#N/A</v>
      </c>
      <c r="AL564" s="11" t="str">
        <f>VLOOKUP(L564,'[1]update 521'!D:D,1,FALSE)</f>
        <v>Deaga</v>
      </c>
      <c r="AM564" s="11" t="s">
        <v>57</v>
      </c>
      <c r="AN564" s="11" t="e">
        <f>VLOOKUP(L564,[1]Sheet19!E:L,8,FALSE)</f>
        <v>#N/A</v>
      </c>
      <c r="AO564" s="11" t="s">
        <v>1129</v>
      </c>
      <c r="AP564" s="12"/>
    </row>
    <row r="565" spans="1:42" ht="15" x14ac:dyDescent="0.2">
      <c r="A565" s="8" t="s">
        <v>42</v>
      </c>
      <c r="B565" s="9" t="s">
        <v>43</v>
      </c>
      <c r="C565" s="9">
        <v>581</v>
      </c>
      <c r="D565" s="9" t="s">
        <v>1112</v>
      </c>
      <c r="E565" s="9">
        <v>112</v>
      </c>
      <c r="F565" s="9" t="s">
        <v>1377</v>
      </c>
      <c r="G565" s="9" t="s">
        <v>1184</v>
      </c>
      <c r="H565" s="9" t="s">
        <v>287</v>
      </c>
      <c r="I565" s="9" t="s">
        <v>1378</v>
      </c>
      <c r="J565" s="9" t="s">
        <v>1379</v>
      </c>
      <c r="K565" s="9" t="s">
        <v>1380</v>
      </c>
      <c r="L565" s="10" t="s">
        <v>1380</v>
      </c>
      <c r="M565" s="9" t="s">
        <v>65</v>
      </c>
      <c r="N565" s="9">
        <v>855</v>
      </c>
      <c r="O565" s="9" t="s">
        <v>72</v>
      </c>
      <c r="P565" s="9">
        <v>855</v>
      </c>
      <c r="Q565" s="9">
        <v>855</v>
      </c>
      <c r="R565" s="9">
        <v>1.19</v>
      </c>
      <c r="S565" s="9">
        <v>-1.417878</v>
      </c>
      <c r="T565" s="9">
        <v>123.167511</v>
      </c>
      <c r="U565" s="9" t="s">
        <v>52</v>
      </c>
      <c r="V565" s="11" t="str">
        <f>VLOOKUP(L565,'[1]singkron data'!D:E,2,FALSE)</f>
        <v>CV. Lasinrang Jaya Perkasa</v>
      </c>
      <c r="W565" s="13">
        <f>VLOOKUP(L565,'[1]data 1129'!F:H,3,FALSE)</f>
        <v>8231000000</v>
      </c>
      <c r="X565" s="11" t="s">
        <v>55</v>
      </c>
      <c r="Y565" s="11" t="str">
        <f>VLOOKUP(L565,'[1]singkron data'!D:H,5,FALSE)</f>
        <v>Makassar</v>
      </c>
      <c r="Z565" s="11" t="str">
        <f>VLOOKUP(L565,'[1]singkron data'!D:I,6,FALSE)</f>
        <v>Online</v>
      </c>
      <c r="AA565" s="11"/>
      <c r="AB565" s="11" t="s">
        <v>54</v>
      </c>
      <c r="AC565" s="11" t="str">
        <f>VLOOKUP(L565,'[1]singkron data'!D:M,10,FALSE)</f>
        <v>Pangu</v>
      </c>
      <c r="AD565" s="11" t="str">
        <f>VLOOKUP(L565,'[1]data 1129'!F:O,10,FALSE)</f>
        <v>Tahap I 208</v>
      </c>
      <c r="AE565" s="11">
        <f>VLOOKUP(L565,'[1]singkron data'!D:P,13,FALSE)</f>
        <v>0</v>
      </c>
      <c r="AF565" s="11" t="s">
        <v>55</v>
      </c>
      <c r="AG565" s="11" t="e">
        <f>VLOOKUP(L565,'[1]update kontrak'!E:K,6,FALSE)</f>
        <v>#N/A</v>
      </c>
      <c r="AH565" s="11" t="e">
        <f>VLOOKUP(L565,'[1]update kontrak'!E:K,7,FALSE)</f>
        <v>#N/A</v>
      </c>
      <c r="AI565" s="11" t="s">
        <v>58</v>
      </c>
      <c r="AJ565" s="11" t="str">
        <f>VLOOKUP(L565,[1]rekap!D:M,1,FALSE)</f>
        <v>Patukuki</v>
      </c>
      <c r="AK565" s="11" t="str">
        <f>VLOOKUP(L565,'[1]singkron data'!D:E,2,FALSE)</f>
        <v>CV. Lasinrang Jaya Perkasa</v>
      </c>
      <c r="AL565" s="11" t="str">
        <f>VLOOKUP(L565,'[1]update 521'!D:D,1,FALSE)</f>
        <v>Patukuki</v>
      </c>
      <c r="AM565" s="11" t="s">
        <v>57</v>
      </c>
      <c r="AN565" s="11" t="e">
        <f>VLOOKUP(L565,[1]Sheet19!E:L,8,FALSE)</f>
        <v>#N/A</v>
      </c>
      <c r="AO565" s="11" t="s">
        <v>58</v>
      </c>
      <c r="AP565" s="12"/>
    </row>
    <row r="566" spans="1:42" ht="15" x14ac:dyDescent="0.2">
      <c r="A566" s="8" t="s">
        <v>42</v>
      </c>
      <c r="B566" s="9" t="s">
        <v>43</v>
      </c>
      <c r="C566" s="9">
        <v>582</v>
      </c>
      <c r="D566" s="9" t="s">
        <v>1112</v>
      </c>
      <c r="E566" s="9">
        <v>113</v>
      </c>
      <c r="F566" s="9" t="s">
        <v>1377</v>
      </c>
      <c r="G566" s="9" t="s">
        <v>1184</v>
      </c>
      <c r="H566" s="9" t="s">
        <v>287</v>
      </c>
      <c r="I566" s="9" t="s">
        <v>1378</v>
      </c>
      <c r="J566" s="9" t="s">
        <v>1381</v>
      </c>
      <c r="K566" s="9" t="s">
        <v>1382</v>
      </c>
      <c r="L566" s="10" t="s">
        <v>1382</v>
      </c>
      <c r="M566" s="9" t="s">
        <v>51</v>
      </c>
      <c r="N566" s="9">
        <v>113</v>
      </c>
      <c r="O566" s="9" t="s">
        <v>72</v>
      </c>
      <c r="P566" s="9">
        <v>113</v>
      </c>
      <c r="Q566" s="9">
        <v>113</v>
      </c>
      <c r="R566" s="9">
        <v>1.01</v>
      </c>
      <c r="S566" s="9">
        <v>-1.5392939999999999</v>
      </c>
      <c r="T566" s="9">
        <v>122.95262200000001</v>
      </c>
      <c r="U566" s="9" t="s">
        <v>52</v>
      </c>
      <c r="V566" s="11" t="str">
        <f>VLOOKUP(L566,'[1]singkron data'!D:E,2,FALSE)</f>
        <v>CV. Lasinrang Jaya Perkasa</v>
      </c>
      <c r="W566" s="13">
        <f>VLOOKUP(L566,'[1]data 1129'!F:H,3,FALSE)</f>
        <v>4500000000</v>
      </c>
      <c r="X566" s="11" t="s">
        <v>55</v>
      </c>
      <c r="Y566" s="11" t="str">
        <f>VLOOKUP(L566,'[1]singkron data'!D:H,5,FALSE)</f>
        <v>Makassar</v>
      </c>
      <c r="Z566" s="11" t="str">
        <f>VLOOKUP(L566,'[1]singkron data'!D:I,6,FALSE)</f>
        <v>Online</v>
      </c>
      <c r="AA566" s="11"/>
      <c r="AB566" s="11" t="s">
        <v>54</v>
      </c>
      <c r="AC566" s="11" t="str">
        <f>VLOOKUP(L566,'[1]singkron data'!D:M,10,FALSE)</f>
        <v>Pangu</v>
      </c>
      <c r="AD566" s="11" t="str">
        <f>VLOOKUP(L566,'[1]data 1129'!F:O,10,FALSE)</f>
        <v>Tahap I 208</v>
      </c>
      <c r="AE566" s="11">
        <f>VLOOKUP(L566,'[1]singkron data'!D:P,13,FALSE)</f>
        <v>0</v>
      </c>
      <c r="AF566" s="11" t="s">
        <v>55</v>
      </c>
      <c r="AG566" s="11" t="e">
        <f>VLOOKUP(L566,'[1]update kontrak'!E:K,6,FALSE)</f>
        <v>#N/A</v>
      </c>
      <c r="AH566" s="11" t="e">
        <f>VLOOKUP(L566,'[1]update kontrak'!E:K,7,FALSE)</f>
        <v>#N/A</v>
      </c>
      <c r="AI566" s="11" t="s">
        <v>58</v>
      </c>
      <c r="AJ566" s="11" t="str">
        <f>VLOOKUP(L566,[1]rekap!D:M,1,FALSE)</f>
        <v>Balalon</v>
      </c>
      <c r="AK566" s="11" t="str">
        <f>VLOOKUP(L566,'[1]singkron data'!D:E,2,FALSE)</f>
        <v>CV. Lasinrang Jaya Perkasa</v>
      </c>
      <c r="AL566" s="11" t="str">
        <f>VLOOKUP(L566,'[1]update 521'!D:D,1,FALSE)</f>
        <v>Balalon</v>
      </c>
      <c r="AM566" s="11" t="s">
        <v>57</v>
      </c>
      <c r="AN566" s="11" t="e">
        <f>VLOOKUP(L566,[1]Sheet19!E:L,8,FALSE)</f>
        <v>#N/A</v>
      </c>
      <c r="AO566" s="11" t="s">
        <v>58</v>
      </c>
      <c r="AP566" s="12"/>
    </row>
    <row r="567" spans="1:42" ht="15" x14ac:dyDescent="0.2">
      <c r="A567" s="8" t="s">
        <v>42</v>
      </c>
      <c r="B567" s="9" t="s">
        <v>43</v>
      </c>
      <c r="C567" s="9">
        <v>583</v>
      </c>
      <c r="D567" s="9" t="s">
        <v>1112</v>
      </c>
      <c r="E567" s="9">
        <v>114</v>
      </c>
      <c r="F567" s="9" t="s">
        <v>1377</v>
      </c>
      <c r="G567" s="9" t="s">
        <v>1184</v>
      </c>
      <c r="H567" s="9" t="s">
        <v>287</v>
      </c>
      <c r="I567" s="9" t="s">
        <v>1378</v>
      </c>
      <c r="J567" s="9" t="s">
        <v>1383</v>
      </c>
      <c r="K567" s="9" t="s">
        <v>714</v>
      </c>
      <c r="L567" s="10" t="s">
        <v>714</v>
      </c>
      <c r="M567" s="9" t="s">
        <v>51</v>
      </c>
      <c r="N567" s="9">
        <v>237</v>
      </c>
      <c r="O567" s="9">
        <v>7</v>
      </c>
      <c r="P567" s="9">
        <v>220</v>
      </c>
      <c r="Q567" s="9">
        <v>227</v>
      </c>
      <c r="R567" s="9">
        <v>1</v>
      </c>
      <c r="S567" s="9">
        <v>-1.555814</v>
      </c>
      <c r="T567" s="9">
        <v>123.240403</v>
      </c>
      <c r="U567" s="9"/>
      <c r="V567" s="11" t="s">
        <v>1384</v>
      </c>
      <c r="W567" s="11">
        <f>VLOOKUP(L567,'[1]data 1129'!F:H,3,FALSE)</f>
        <v>0</v>
      </c>
      <c r="X567" s="11"/>
      <c r="Y567" s="11">
        <f>VLOOKUP(L567,'[1]singkron data'!D:H,5,FALSE)</f>
        <v>0</v>
      </c>
      <c r="Z567" s="11">
        <f>VLOOKUP(L567,'[1]singkron data'!D:I,6,FALSE)</f>
        <v>0</v>
      </c>
      <c r="AA567" s="11">
        <f>VLOOKUP(L567,'[1]singkron data'!D:L,9,FALSE)</f>
        <v>0</v>
      </c>
      <c r="AB567" s="11" t="s">
        <v>54</v>
      </c>
      <c r="AC567" s="11" t="s">
        <v>1385</v>
      </c>
      <c r="AD567" s="11" t="str">
        <f>VLOOKUP(L567,'[1]data 1129'!F:O,10,FALSE)</f>
        <v>Tahap III 167</v>
      </c>
      <c r="AE567" s="11">
        <f>VLOOKUP(L567,'[1]singkron data'!D:P,13,FALSE)</f>
        <v>0</v>
      </c>
      <c r="AF567" s="11"/>
      <c r="AG567" s="11" t="e">
        <f>VLOOKUP(L567,'[1]update kontrak'!E:K,6,FALSE)</f>
        <v>#N/A</v>
      </c>
      <c r="AH567" s="11" t="e">
        <f>VLOOKUP(L567,'[1]update kontrak'!E:K,7,FALSE)</f>
        <v>#N/A</v>
      </c>
      <c r="AI567" s="11"/>
      <c r="AJ567" s="11" t="str">
        <f>VLOOKUP(L567,[1]rekap!D:M,1,FALSE)</f>
        <v>Bajo</v>
      </c>
      <c r="AK567" s="11">
        <f>VLOOKUP(L567,'[1]singkron data'!D:E,2,FALSE)</f>
        <v>0</v>
      </c>
      <c r="AL567" s="11" t="str">
        <f>VLOOKUP(L567,'[1]update 521'!D:D,1,FALSE)</f>
        <v>Bajo</v>
      </c>
      <c r="AM567" s="11" t="s">
        <v>57</v>
      </c>
      <c r="AN567" s="11" t="e">
        <f>VLOOKUP(L567,[1]Sheet19!E:L,8,FALSE)</f>
        <v>#N/A</v>
      </c>
      <c r="AO567" s="11" t="e">
        <f>VLOOKUP(L567,[1]Sheet19!E:K,7,FALSE)</f>
        <v>#N/A</v>
      </c>
      <c r="AP567" s="12"/>
    </row>
    <row r="568" spans="1:42" ht="15" x14ac:dyDescent="0.2">
      <c r="A568" s="8" t="s">
        <v>42</v>
      </c>
      <c r="B568" s="9" t="s">
        <v>43</v>
      </c>
      <c r="C568" s="9">
        <v>584</v>
      </c>
      <c r="D568" s="9" t="s">
        <v>1112</v>
      </c>
      <c r="E568" s="9">
        <v>115</v>
      </c>
      <c r="F568" s="9" t="s">
        <v>1386</v>
      </c>
      <c r="G568" s="9" t="s">
        <v>1184</v>
      </c>
      <c r="H568" s="9" t="s">
        <v>287</v>
      </c>
      <c r="I568" s="9" t="s">
        <v>1387</v>
      </c>
      <c r="J568" s="9" t="s">
        <v>1388</v>
      </c>
      <c r="K568" s="9" t="s">
        <v>1389</v>
      </c>
      <c r="L568" s="10" t="s">
        <v>1389</v>
      </c>
      <c r="M568" s="9" t="s">
        <v>51</v>
      </c>
      <c r="N568" s="9">
        <v>290</v>
      </c>
      <c r="O568" s="9">
        <v>2</v>
      </c>
      <c r="P568" s="9">
        <v>290</v>
      </c>
      <c r="Q568" s="9">
        <v>292</v>
      </c>
      <c r="R568" s="9">
        <v>0.55000000000000004</v>
      </c>
      <c r="S568" s="9">
        <v>-1.0841288</v>
      </c>
      <c r="T568" s="9">
        <v>121.3238915</v>
      </c>
      <c r="U568" s="9" t="s">
        <v>52</v>
      </c>
      <c r="V568" s="11" t="str">
        <f>VLOOKUP(L568,'[1]singkron data'!D:E,2,FALSE)</f>
        <v>CV. Penggawa Raya</v>
      </c>
      <c r="W568" s="13">
        <f>VLOOKUP(L568,'[1]data 1129'!F:H,3,FALSE)</f>
        <v>4500000000</v>
      </c>
      <c r="X568" s="11" t="s">
        <v>55</v>
      </c>
      <c r="Y568" s="11">
        <f>VLOOKUP(L568,'[1]singkron data'!D:H,5,FALSE)</f>
        <v>0</v>
      </c>
      <c r="Z568" s="11">
        <f>VLOOKUP(L568,'[1]singkron data'!D:I,6,FALSE)</f>
        <v>0</v>
      </c>
      <c r="AA568" s="11" t="str">
        <f>VLOOKUP(L568,'[1]singkron data'!D:L,9,FALSE)</f>
        <v>085255820675/Firman</v>
      </c>
      <c r="AB568" s="11" t="s">
        <v>54</v>
      </c>
      <c r="AC568" s="11" t="str">
        <f>VLOOKUP(L568,'[1]singkron data'!D:M,10,FALSE)</f>
        <v>Hyl</v>
      </c>
      <c r="AD568" s="11" t="str">
        <f>VLOOKUP(L568,'[1]data 1129'!F:O,10,FALSE)</f>
        <v>Tahap I 208</v>
      </c>
      <c r="AE568" s="11" t="str">
        <f>VLOOKUP(L568,'[1]singkron data'!D:P,13,FALSE)</f>
        <v>sudah</v>
      </c>
      <c r="AF568" s="11" t="s">
        <v>55</v>
      </c>
      <c r="AG568" s="17">
        <f>VLOOKUP(L568,'[1]update kontrak'!E:K,6,FALSE)</f>
        <v>5780711912.5900002</v>
      </c>
      <c r="AH568" s="11" t="str">
        <f>VLOOKUP(L568,'[1]update kontrak'!E:K,7,FALSE)</f>
        <v>KONTRAK</v>
      </c>
      <c r="AI568" s="11" t="s">
        <v>41</v>
      </c>
      <c r="AJ568" s="11" t="str">
        <f>VLOOKUP(L568,[1]rekap!D:M,1,FALSE)</f>
        <v>Podi</v>
      </c>
      <c r="AK568" s="11" t="str">
        <f>VLOOKUP(L568,'[1]singkron data'!D:E,2,FALSE)</f>
        <v>CV. Penggawa Raya</v>
      </c>
      <c r="AL568" s="11" t="str">
        <f>VLOOKUP(L568,'[1]update 521'!D:D,1,FALSE)</f>
        <v>Podi</v>
      </c>
      <c r="AM568" s="11" t="s">
        <v>57</v>
      </c>
      <c r="AN568" s="17">
        <f>VLOOKUP(L568,[1]Sheet19!E:L,8,FALSE)</f>
        <v>5780711912.5900002</v>
      </c>
      <c r="AO568" s="11" t="str">
        <f>VLOOKUP(L568,[1]Sheet19!E:K,7,FALSE)</f>
        <v>KONTRAK</v>
      </c>
      <c r="AP568" s="12" t="s">
        <v>41</v>
      </c>
    </row>
    <row r="569" spans="1:42" ht="15" x14ac:dyDescent="0.2">
      <c r="A569" s="8" t="s">
        <v>42</v>
      </c>
      <c r="B569" s="9" t="s">
        <v>43</v>
      </c>
      <c r="C569" s="9">
        <v>585</v>
      </c>
      <c r="D569" s="9" t="s">
        <v>1112</v>
      </c>
      <c r="E569" s="9">
        <v>116</v>
      </c>
      <c r="F569" s="9" t="s">
        <v>1386</v>
      </c>
      <c r="G569" s="9" t="s">
        <v>1184</v>
      </c>
      <c r="H569" s="9" t="s">
        <v>287</v>
      </c>
      <c r="I569" s="9" t="s">
        <v>1387</v>
      </c>
      <c r="J569" s="9" t="s">
        <v>1390</v>
      </c>
      <c r="K569" s="9" t="s">
        <v>1391</v>
      </c>
      <c r="L569" s="10" t="s">
        <v>1391</v>
      </c>
      <c r="M569" s="9" t="s">
        <v>51</v>
      </c>
      <c r="N569" s="9">
        <v>270</v>
      </c>
      <c r="O569" s="9">
        <v>4</v>
      </c>
      <c r="P569" s="9">
        <v>270</v>
      </c>
      <c r="Q569" s="9">
        <v>274</v>
      </c>
      <c r="R569" s="9">
        <v>0.67</v>
      </c>
      <c r="S569" s="9">
        <v>-0.87819440000000004</v>
      </c>
      <c r="T569" s="9">
        <v>121.6618366</v>
      </c>
      <c r="U569" s="9" t="s">
        <v>52</v>
      </c>
      <c r="V569" s="11" t="str">
        <f>VLOOKUP(L569,'[1]singkron data'!D:E,2,FALSE)</f>
        <v>CV. Penggawa Raya</v>
      </c>
      <c r="W569" s="13">
        <f>VLOOKUP(L569,'[1]data 1129'!F:H,3,FALSE)</f>
        <v>4500000000</v>
      </c>
      <c r="X569" s="11" t="s">
        <v>55</v>
      </c>
      <c r="Y569" s="11">
        <f>VLOOKUP(L569,'[1]singkron data'!D:H,5,FALSE)</f>
        <v>0</v>
      </c>
      <c r="Z569" s="11">
        <f>VLOOKUP(L569,'[1]singkron data'!D:I,6,FALSE)</f>
        <v>0</v>
      </c>
      <c r="AA569" s="11" t="str">
        <f>VLOOKUP(L569,'[1]singkron data'!D:L,9,FALSE)</f>
        <v>085255820675/Firman</v>
      </c>
      <c r="AB569" s="11" t="s">
        <v>54</v>
      </c>
      <c r="AC569" s="11" t="str">
        <f>VLOOKUP(L569,'[1]singkron data'!D:M,10,FALSE)</f>
        <v>Hyl</v>
      </c>
      <c r="AD569" s="11" t="str">
        <f>VLOOKUP(L569,'[1]data 1129'!F:O,10,FALSE)</f>
        <v>Tahap III 166</v>
      </c>
      <c r="AE569" s="11" t="str">
        <f>VLOOKUP(L569,'[1]singkron data'!D:P,13,FALSE)</f>
        <v>sudah</v>
      </c>
      <c r="AF569" s="11" t="s">
        <v>55</v>
      </c>
      <c r="AG569" s="17">
        <f>VLOOKUP(L569,'[1]update kontrak'!E:K,6,FALSE)</f>
        <v>3982982064.3800001</v>
      </c>
      <c r="AH569" s="11" t="str">
        <f>VLOOKUP(L569,'[1]update kontrak'!E:K,7,FALSE)</f>
        <v>KONTRAK</v>
      </c>
      <c r="AI569" s="11" t="s">
        <v>41</v>
      </c>
      <c r="AJ569" s="11" t="str">
        <f>VLOOKUP(L569,[1]rekap!D:M,1,FALSE)</f>
        <v>Tete B</v>
      </c>
      <c r="AK569" s="11" t="str">
        <f>VLOOKUP(L569,'[1]singkron data'!D:E,2,FALSE)</f>
        <v>CV. Penggawa Raya</v>
      </c>
      <c r="AL569" s="11" t="str">
        <f>VLOOKUP(L569,'[1]update 521'!D:D,1,FALSE)</f>
        <v>Tete B</v>
      </c>
      <c r="AM569" s="11" t="s">
        <v>57</v>
      </c>
      <c r="AN569" s="17">
        <f>VLOOKUP(L569,[1]Sheet19!E:L,8,FALSE)</f>
        <v>3982982064.3800001</v>
      </c>
      <c r="AO569" s="11" t="str">
        <f>VLOOKUP(L569,[1]Sheet19!E:K,7,FALSE)</f>
        <v>KONTRAK</v>
      </c>
      <c r="AP569" s="12" t="s">
        <v>41</v>
      </c>
    </row>
    <row r="570" spans="1:42" ht="15" x14ac:dyDescent="0.2">
      <c r="A570" s="8" t="s">
        <v>42</v>
      </c>
      <c r="B570" s="9" t="s">
        <v>43</v>
      </c>
      <c r="C570" s="9">
        <v>586</v>
      </c>
      <c r="D570" s="9" t="s">
        <v>1112</v>
      </c>
      <c r="E570" s="9">
        <v>117</v>
      </c>
      <c r="F570" s="9" t="s">
        <v>1392</v>
      </c>
      <c r="G570" s="9" t="s">
        <v>1125</v>
      </c>
      <c r="H570" s="9" t="s">
        <v>287</v>
      </c>
      <c r="I570" s="9" t="s">
        <v>1393</v>
      </c>
      <c r="J570" s="9" t="s">
        <v>1394</v>
      </c>
      <c r="K570" s="9" t="s">
        <v>1392</v>
      </c>
      <c r="L570" s="9" t="s">
        <v>1392</v>
      </c>
      <c r="M570" s="9" t="s">
        <v>65</v>
      </c>
      <c r="N570" s="9">
        <v>167</v>
      </c>
      <c r="O570" s="9">
        <v>100</v>
      </c>
      <c r="P570" s="9">
        <v>2</v>
      </c>
      <c r="Q570" s="9">
        <v>102</v>
      </c>
      <c r="R570" s="9">
        <v>1</v>
      </c>
      <c r="S570" s="9">
        <v>2.1204719000000001</v>
      </c>
      <c r="T570" s="9">
        <v>125.3755709</v>
      </c>
      <c r="U570" s="9"/>
      <c r="V570" s="11" t="e">
        <f>VLOOKUP(L570,'[1]singkron data'!D:E,2,FALSE)</f>
        <v>#N/A</v>
      </c>
      <c r="W570" s="13">
        <f>VLOOKUP(L570,[1]Sheet18!A:B,2,FALSE)</f>
        <v>8465611000</v>
      </c>
      <c r="X570" s="11" t="s">
        <v>55</v>
      </c>
      <c r="Y570" s="11" t="e">
        <f>VLOOKUP(L570,'[1]singkron data'!D:H,5,FALSE)</f>
        <v>#N/A</v>
      </c>
      <c r="Z570" s="11" t="e">
        <f>VLOOKUP(L570,'[1]singkron data'!D:I,6,FALSE)</f>
        <v>#N/A</v>
      </c>
      <c r="AA570" s="11" t="e">
        <f>VLOOKUP(L570,'[1]singkron data'!D:L,9,FALSE)</f>
        <v>#N/A</v>
      </c>
      <c r="AB570" s="11" t="s">
        <v>694</v>
      </c>
      <c r="AC570" s="11" t="e">
        <f>VLOOKUP(L570,'[1]singkron data'!D:M,10,FALSE)</f>
        <v>#N/A</v>
      </c>
      <c r="AD570" s="11"/>
      <c r="AE570" s="11" t="e">
        <f>VLOOKUP(L570,'[1]singkron data'!D:P,13,FALSE)</f>
        <v>#N/A</v>
      </c>
      <c r="AF570" s="11" t="s">
        <v>55</v>
      </c>
      <c r="AG570" s="11" t="e">
        <f>VLOOKUP(L570,'[1]update kontrak'!E:K,6,FALSE)</f>
        <v>#N/A</v>
      </c>
      <c r="AH570" s="11" t="e">
        <f>VLOOKUP(L570,'[1]update kontrak'!E:K,7,FALSE)</f>
        <v>#N/A</v>
      </c>
      <c r="AI570" s="11"/>
      <c r="AJ570" s="11" t="str">
        <f>VLOOKUP(L570,[1]rekap!D:M,1,FALSE)</f>
        <v>Lamanggo</v>
      </c>
      <c r="AK570" s="11" t="e">
        <f>VLOOKUP(L570,'[1]singkron data'!D:E,2,FALSE)</f>
        <v>#N/A</v>
      </c>
      <c r="AL570" s="11" t="str">
        <f>VLOOKUP(L570,'[1]update 521'!D:D,1,FALSE)</f>
        <v>Lamanggo</v>
      </c>
      <c r="AM570" s="11" t="s">
        <v>57</v>
      </c>
      <c r="AN570" s="11" t="e">
        <f>VLOOKUP(L570,[1]Sheet19!E:L,8,FALSE)</f>
        <v>#N/A</v>
      </c>
      <c r="AO570" s="11" t="s">
        <v>1129</v>
      </c>
      <c r="AP570" s="12"/>
    </row>
    <row r="571" spans="1:42" ht="15" x14ac:dyDescent="0.2">
      <c r="A571" s="8" t="s">
        <v>42</v>
      </c>
      <c r="B571" s="9" t="s">
        <v>43</v>
      </c>
      <c r="C571" s="9">
        <v>587</v>
      </c>
      <c r="D571" s="9" t="s">
        <v>1112</v>
      </c>
      <c r="E571" s="9">
        <v>118</v>
      </c>
      <c r="F571" s="9" t="s">
        <v>1392</v>
      </c>
      <c r="G571" s="9" t="s">
        <v>1125</v>
      </c>
      <c r="H571" s="9" t="s">
        <v>287</v>
      </c>
      <c r="I571" s="9" t="s">
        <v>1393</v>
      </c>
      <c r="J571" s="9" t="s">
        <v>1394</v>
      </c>
      <c r="K571" s="9" t="s">
        <v>1395</v>
      </c>
      <c r="L571" s="9" t="s">
        <v>1395</v>
      </c>
      <c r="M571" s="9" t="s">
        <v>51</v>
      </c>
      <c r="N571" s="9">
        <v>227</v>
      </c>
      <c r="O571" s="9">
        <v>26</v>
      </c>
      <c r="P571" s="9">
        <v>40</v>
      </c>
      <c r="Q571" s="9">
        <v>66</v>
      </c>
      <c r="R571" s="9">
        <v>1.2</v>
      </c>
      <c r="S571" s="9">
        <v>2.1164781000000001</v>
      </c>
      <c r="T571" s="9">
        <v>125.3849811</v>
      </c>
      <c r="U571" s="9"/>
      <c r="V571" s="11" t="e">
        <f>VLOOKUP(L571,'[1]singkron data'!D:E,2,FALSE)</f>
        <v>#N/A</v>
      </c>
      <c r="W571" s="13" t="str">
        <f>VLOOKUP(L571,[1]Sheet18!A:B,2,FALSE)</f>
        <v>revisi</v>
      </c>
      <c r="X571" s="11" t="s">
        <v>55</v>
      </c>
      <c r="Y571" s="11" t="e">
        <f>VLOOKUP(L571,'[1]singkron data'!D:H,5,FALSE)</f>
        <v>#N/A</v>
      </c>
      <c r="Z571" s="11" t="e">
        <f>VLOOKUP(L571,'[1]singkron data'!D:I,6,FALSE)</f>
        <v>#N/A</v>
      </c>
      <c r="AA571" s="11" t="e">
        <f>VLOOKUP(L571,'[1]singkron data'!D:L,9,FALSE)</f>
        <v>#N/A</v>
      </c>
      <c r="AB571" s="11" t="s">
        <v>694</v>
      </c>
      <c r="AC571" s="11" t="e">
        <f>VLOOKUP(L571,'[1]singkron data'!D:M,10,FALSE)</f>
        <v>#N/A</v>
      </c>
      <c r="AD571" s="11"/>
      <c r="AE571" s="11" t="e">
        <f>VLOOKUP(L571,'[1]singkron data'!D:P,13,FALSE)</f>
        <v>#N/A</v>
      </c>
      <c r="AF571" s="11" t="s">
        <v>55</v>
      </c>
      <c r="AG571" s="11" t="e">
        <f>VLOOKUP(L571,'[1]update kontrak'!E:K,6,FALSE)</f>
        <v>#N/A</v>
      </c>
      <c r="AH571" s="11" t="e">
        <f>VLOOKUP(L571,'[1]update kontrak'!E:K,7,FALSE)</f>
        <v>#N/A</v>
      </c>
      <c r="AI571" s="11"/>
      <c r="AJ571" s="11" t="str">
        <f>VLOOKUP(L571,[1]rekap!D:M,1,FALSE)</f>
        <v>Dalinsaheng</v>
      </c>
      <c r="AK571" s="11" t="e">
        <f>VLOOKUP(L571,'[1]singkron data'!D:E,2,FALSE)</f>
        <v>#N/A</v>
      </c>
      <c r="AL571" s="11" t="str">
        <f>VLOOKUP(L571,'[1]update 521'!D:D,1,FALSE)</f>
        <v>Dalinsaheng</v>
      </c>
      <c r="AM571" s="11" t="s">
        <v>57</v>
      </c>
      <c r="AN571" s="11" t="e">
        <f>VLOOKUP(L571,[1]Sheet19!E:L,8,FALSE)</f>
        <v>#N/A</v>
      </c>
      <c r="AO571" s="11" t="e">
        <f>VLOOKUP(L571,[1]Sheet19!E:K,7,FALSE)</f>
        <v>#N/A</v>
      </c>
      <c r="AP571" s="12"/>
    </row>
    <row r="572" spans="1:42" ht="15" x14ac:dyDescent="0.2">
      <c r="A572" s="8" t="s">
        <v>42</v>
      </c>
      <c r="B572" s="9" t="s">
        <v>43</v>
      </c>
      <c r="C572" s="9">
        <v>588</v>
      </c>
      <c r="D572" s="9" t="s">
        <v>1112</v>
      </c>
      <c r="E572" s="9">
        <v>119</v>
      </c>
      <c r="F572" s="9" t="s">
        <v>1392</v>
      </c>
      <c r="G572" s="9" t="s">
        <v>1125</v>
      </c>
      <c r="H572" s="9" t="s">
        <v>287</v>
      </c>
      <c r="I572" s="9" t="s">
        <v>1393</v>
      </c>
      <c r="J572" s="9" t="s">
        <v>1396</v>
      </c>
      <c r="K572" s="9" t="s">
        <v>1397</v>
      </c>
      <c r="L572" s="9" t="s">
        <v>1397</v>
      </c>
      <c r="M572" s="9" t="s">
        <v>51</v>
      </c>
      <c r="N572" s="9">
        <v>153</v>
      </c>
      <c r="O572" s="9">
        <v>19</v>
      </c>
      <c r="P572" s="9">
        <v>27</v>
      </c>
      <c r="Q572" s="9">
        <v>46</v>
      </c>
      <c r="R572" s="9">
        <v>0.6</v>
      </c>
      <c r="S572" s="9">
        <v>2.6824721999999999</v>
      </c>
      <c r="T572" s="9">
        <v>125.3922778</v>
      </c>
      <c r="U572" s="9"/>
      <c r="V572" s="11" t="e">
        <f>VLOOKUP(L572,'[1]singkron data'!D:E,2,FALSE)</f>
        <v>#N/A</v>
      </c>
      <c r="W572" s="13">
        <f>VLOOKUP(L572,[1]Sheet18!A:B,2,FALSE)</f>
        <v>6747798000</v>
      </c>
      <c r="X572" s="11" t="s">
        <v>55</v>
      </c>
      <c r="Y572" s="11" t="e">
        <f>VLOOKUP(L572,'[1]singkron data'!D:H,5,FALSE)</f>
        <v>#N/A</v>
      </c>
      <c r="Z572" s="11" t="e">
        <f>VLOOKUP(L572,'[1]singkron data'!D:I,6,FALSE)</f>
        <v>#N/A</v>
      </c>
      <c r="AA572" s="11" t="e">
        <f>VLOOKUP(L572,'[1]singkron data'!D:L,9,FALSE)</f>
        <v>#N/A</v>
      </c>
      <c r="AB572" s="11" t="s">
        <v>694</v>
      </c>
      <c r="AC572" s="11" t="e">
        <f>VLOOKUP(L572,'[1]singkron data'!D:M,10,FALSE)</f>
        <v>#N/A</v>
      </c>
      <c r="AD572" s="11"/>
      <c r="AE572" s="11" t="e">
        <f>VLOOKUP(L572,'[1]singkron data'!D:P,13,FALSE)</f>
        <v>#N/A</v>
      </c>
      <c r="AF572" s="11" t="s">
        <v>55</v>
      </c>
      <c r="AG572" s="11" t="e">
        <f>VLOOKUP(L572,'[1]update kontrak'!E:K,6,FALSE)</f>
        <v>#N/A</v>
      </c>
      <c r="AH572" s="11" t="e">
        <f>VLOOKUP(L572,'[1]update kontrak'!E:K,7,FALSE)</f>
        <v>#N/A</v>
      </c>
      <c r="AI572" s="11"/>
      <c r="AJ572" s="11" t="str">
        <f>VLOOKUP(L572,[1]rekap!D:M,1,FALSE)</f>
        <v>Bandil</v>
      </c>
      <c r="AK572" s="11" t="e">
        <f>VLOOKUP(L572,'[1]singkron data'!D:E,2,FALSE)</f>
        <v>#N/A</v>
      </c>
      <c r="AL572" s="11" t="str">
        <f>VLOOKUP(L572,'[1]update 521'!D:D,1,FALSE)</f>
        <v>Bandil</v>
      </c>
      <c r="AM572" s="11" t="s">
        <v>57</v>
      </c>
      <c r="AN572" s="11" t="e">
        <f>VLOOKUP(L572,[1]Sheet19!E:L,8,FALSE)</f>
        <v>#N/A</v>
      </c>
      <c r="AO572" s="11" t="s">
        <v>1129</v>
      </c>
      <c r="AP572" s="12"/>
    </row>
    <row r="573" spans="1:42" ht="15" x14ac:dyDescent="0.2">
      <c r="A573" s="8" t="s">
        <v>42</v>
      </c>
      <c r="B573" s="9" t="s">
        <v>43</v>
      </c>
      <c r="C573" s="9">
        <v>591</v>
      </c>
      <c r="D573" s="9" t="s">
        <v>1112</v>
      </c>
      <c r="E573" s="9">
        <v>122</v>
      </c>
      <c r="F573" s="9" t="s">
        <v>1398</v>
      </c>
      <c r="G573" s="9" t="s">
        <v>1243</v>
      </c>
      <c r="H573" s="9" t="s">
        <v>287</v>
      </c>
      <c r="I573" s="9" t="s">
        <v>1243</v>
      </c>
      <c r="J573" s="9" t="s">
        <v>1399</v>
      </c>
      <c r="K573" s="9" t="s">
        <v>1400</v>
      </c>
      <c r="L573" s="10" t="s">
        <v>1400</v>
      </c>
      <c r="M573" s="9" t="s">
        <v>51</v>
      </c>
      <c r="N573" s="9">
        <v>131</v>
      </c>
      <c r="O573" s="9">
        <v>1</v>
      </c>
      <c r="P573" s="9">
        <v>55</v>
      </c>
      <c r="Q573" s="9">
        <v>56</v>
      </c>
      <c r="R573" s="9">
        <v>0.56000000000000005</v>
      </c>
      <c r="S573" s="9">
        <v>0.49349100000000001</v>
      </c>
      <c r="T573" s="9">
        <v>122.821167</v>
      </c>
      <c r="U573" s="9" t="s">
        <v>52</v>
      </c>
      <c r="V573" s="11" t="str">
        <f>VLOOKUP(L573,'[1]singkron data'!D:E,2,FALSE)</f>
        <v>PT. Mega Kreasi Bersinar</v>
      </c>
      <c r="W573" s="13">
        <f>VLOOKUP(L573,'[1]data 1129'!F:H,3,FALSE)</f>
        <v>8042045000</v>
      </c>
      <c r="X573" s="11" t="s">
        <v>55</v>
      </c>
      <c r="Y573" s="11">
        <f>VLOOKUP(L573,'[1]singkron data'!D:H,5,FALSE)</f>
        <v>0</v>
      </c>
      <c r="Z573" s="11">
        <f>VLOOKUP(L573,'[1]singkron data'!D:I,6,FALSE)</f>
        <v>0</v>
      </c>
      <c r="AA573" s="11" t="str">
        <f>VLOOKUP(L573,'[1]singkron data'!D:L,9,FALSE)</f>
        <v>082311097406/dedi</v>
      </c>
      <c r="AB573" s="11" t="s">
        <v>54</v>
      </c>
      <c r="AC573" s="11" t="str">
        <f>VLOOKUP(L573,'[1]singkron data'!D:M,10,FALSE)</f>
        <v>Hyl</v>
      </c>
      <c r="AD573" s="11" t="str">
        <f>VLOOKUP(L573,'[1]data 1129'!F:O,10,FALSE)</f>
        <v>Tahap I 208</v>
      </c>
      <c r="AE573" s="11" t="str">
        <f>VLOOKUP(L573,'[1]singkron data'!D:P,13,FALSE)</f>
        <v>sudah</v>
      </c>
      <c r="AF573" s="11" t="s">
        <v>55</v>
      </c>
      <c r="AG573" s="11" t="e">
        <f>VLOOKUP(L573,'[1]update kontrak'!E:K,6,FALSE)</f>
        <v>#N/A</v>
      </c>
      <c r="AH573" s="11" t="e">
        <f>VLOOKUP(L573,'[1]update kontrak'!E:K,7,FALSE)</f>
        <v>#N/A</v>
      </c>
      <c r="AI573" s="11" t="s">
        <v>58</v>
      </c>
      <c r="AJ573" s="11" t="str">
        <f>VLOOKUP(L573,[1]rekap!D:M,1,FALSE)</f>
        <v>Botubolu'O</v>
      </c>
      <c r="AK573" s="11" t="str">
        <f>AJ573</f>
        <v>Botubolu'O</v>
      </c>
      <c r="AL573" s="11" t="str">
        <f>VLOOKUP(L573,'[1]update 521'!D:D,1,FALSE)</f>
        <v>Botubolu'O</v>
      </c>
      <c r="AM573" s="11" t="s">
        <v>57</v>
      </c>
      <c r="AN573" s="11" t="e">
        <f>VLOOKUP(L573,[1]Sheet19!E:L,8,FALSE)</f>
        <v>#N/A</v>
      </c>
      <c r="AO573" s="11" t="s">
        <v>58</v>
      </c>
      <c r="AP573" s="12"/>
    </row>
    <row r="574" spans="1:42" ht="15" x14ac:dyDescent="0.2">
      <c r="A574" s="8" t="s">
        <v>42</v>
      </c>
      <c r="B574" s="9" t="s">
        <v>43</v>
      </c>
      <c r="C574" s="9">
        <v>592</v>
      </c>
      <c r="D574" s="9" t="s">
        <v>1112</v>
      </c>
      <c r="E574" s="9">
        <v>123</v>
      </c>
      <c r="F574" s="9" t="s">
        <v>1398</v>
      </c>
      <c r="G574" s="9" t="s">
        <v>1243</v>
      </c>
      <c r="H574" s="9" t="s">
        <v>287</v>
      </c>
      <c r="I574" s="9" t="s">
        <v>1243</v>
      </c>
      <c r="J574" s="9" t="s">
        <v>1401</v>
      </c>
      <c r="K574" s="9" t="s">
        <v>1402</v>
      </c>
      <c r="L574" s="10" t="s">
        <v>1402</v>
      </c>
      <c r="M574" s="9" t="s">
        <v>51</v>
      </c>
      <c r="N574" s="9">
        <v>80</v>
      </c>
      <c r="O574" s="9" t="s">
        <v>72</v>
      </c>
      <c r="P574" s="9">
        <v>52</v>
      </c>
      <c r="Q574" s="9">
        <v>52</v>
      </c>
      <c r="R574" s="9">
        <v>0.02</v>
      </c>
      <c r="S574" s="9">
        <v>0.48735820000000002</v>
      </c>
      <c r="T574" s="9">
        <v>122.8865622</v>
      </c>
      <c r="U574" s="9" t="s">
        <v>52</v>
      </c>
      <c r="V574" s="11" t="s">
        <v>1403</v>
      </c>
      <c r="W574" s="13">
        <f>VLOOKUP(L574,'[1]data 1129'!F:H,3,FALSE)</f>
        <v>4190608000</v>
      </c>
      <c r="X574" s="11" t="s">
        <v>55</v>
      </c>
      <c r="Y574" s="11">
        <f>VLOOKUP(L574,'[1]singkron data'!D:H,5,FALSE)</f>
        <v>0</v>
      </c>
      <c r="Z574" s="11">
        <f>VLOOKUP(L574,'[1]singkron data'!D:I,6,FALSE)</f>
        <v>0</v>
      </c>
      <c r="AA574" s="11" t="str">
        <f>VLOOKUP(L574,'[1]singkron data'!D:L,9,FALSE)</f>
        <v>0811946557/sutanto</v>
      </c>
      <c r="AB574" s="11" t="s">
        <v>54</v>
      </c>
      <c r="AC574" s="11" t="str">
        <f>VLOOKUP(L574,'[1]singkron data'!D:M,10,FALSE)</f>
        <v>Hyl</v>
      </c>
      <c r="AD574" s="11" t="str">
        <f>VLOOKUP(L574,'[1]data 1129'!F:O,10,FALSE)</f>
        <v>Tahap I 208</v>
      </c>
      <c r="AE574" s="11" t="str">
        <f>VLOOKUP(L574,'[1]singkron data'!D:P,13,FALSE)</f>
        <v>sudah</v>
      </c>
      <c r="AF574" s="11" t="s">
        <v>55</v>
      </c>
      <c r="AG574" s="11" t="e">
        <f>VLOOKUP(L574,'[1]update kontrak'!E:K,6,FALSE)</f>
        <v>#N/A</v>
      </c>
      <c r="AH574" s="11" t="e">
        <f>VLOOKUP(L574,'[1]update kontrak'!E:K,7,FALSE)</f>
        <v>#N/A</v>
      </c>
      <c r="AI574" s="11" t="s">
        <v>58</v>
      </c>
      <c r="AJ574" s="11" t="str">
        <f>VLOOKUP(L574,[1]rekap!D:M,1,FALSE)</f>
        <v>Olimoo'O</v>
      </c>
      <c r="AK574" s="11" t="str">
        <f>VLOOKUP(L574,'[1]singkron data'!D:E,2,FALSE)</f>
        <v>PT. KARYA PALMALINDO ANUGERAH</v>
      </c>
      <c r="AL574" s="11" t="str">
        <f>VLOOKUP(L574,'[1]update 521'!D:D,1,FALSE)</f>
        <v>Olimoo'O</v>
      </c>
      <c r="AM574" s="11" t="s">
        <v>57</v>
      </c>
      <c r="AN574" s="11" t="e">
        <f>VLOOKUP(L574,[1]Sheet19!E:L,8,FALSE)</f>
        <v>#N/A</v>
      </c>
      <c r="AO574" s="11" t="s">
        <v>58</v>
      </c>
      <c r="AP574" s="12"/>
    </row>
    <row r="575" spans="1:42" ht="15" x14ac:dyDescent="0.2">
      <c r="A575" s="8" t="s">
        <v>42</v>
      </c>
      <c r="B575" s="9" t="s">
        <v>43</v>
      </c>
      <c r="C575" s="9">
        <v>593</v>
      </c>
      <c r="D575" s="9" t="s">
        <v>1112</v>
      </c>
      <c r="E575" s="9">
        <v>124</v>
      </c>
      <c r="F575" s="9" t="s">
        <v>1398</v>
      </c>
      <c r="G575" s="9" t="s">
        <v>1243</v>
      </c>
      <c r="H575" s="9" t="s">
        <v>287</v>
      </c>
      <c r="I575" s="9" t="s">
        <v>1243</v>
      </c>
      <c r="J575" s="9" t="s">
        <v>1399</v>
      </c>
      <c r="K575" s="9" t="s">
        <v>1404</v>
      </c>
      <c r="L575" s="10" t="s">
        <v>1404</v>
      </c>
      <c r="M575" s="9" t="s">
        <v>51</v>
      </c>
      <c r="N575" s="9">
        <v>75</v>
      </c>
      <c r="O575" s="9">
        <v>2</v>
      </c>
      <c r="P575" s="9">
        <v>32</v>
      </c>
      <c r="Q575" s="9">
        <v>34</v>
      </c>
      <c r="R575" s="9">
        <v>0.88</v>
      </c>
      <c r="S575" s="9">
        <v>0.48365859999999999</v>
      </c>
      <c r="T575" s="9">
        <v>122.7482074</v>
      </c>
      <c r="U575" s="9" t="s">
        <v>52</v>
      </c>
      <c r="V575" s="11" t="str">
        <f>VLOOKUP(L575,'[1]singkron data'!D:E,2,FALSE)</f>
        <v>PT. Mega Kreasi Bersinar</v>
      </c>
      <c r="W575" s="13">
        <f>VLOOKUP(L575,'[1]data 1129'!F:H,3,FALSE)</f>
        <v>4500000000</v>
      </c>
      <c r="X575" s="11" t="s">
        <v>55</v>
      </c>
      <c r="Y575" s="11">
        <f>VLOOKUP(L575,'[1]singkron data'!D:H,5,FALSE)</f>
        <v>0</v>
      </c>
      <c r="Z575" s="11">
        <f>VLOOKUP(L575,'[1]singkron data'!D:I,6,FALSE)</f>
        <v>0</v>
      </c>
      <c r="AA575" s="11" t="str">
        <f>VLOOKUP(L575,'[1]singkron data'!D:L,9,FALSE)</f>
        <v>082311097406/dedi</v>
      </c>
      <c r="AB575" s="11" t="s">
        <v>54</v>
      </c>
      <c r="AC575" s="11" t="str">
        <f>VLOOKUP(L575,'[1]singkron data'!D:M,10,FALSE)</f>
        <v>Hyl</v>
      </c>
      <c r="AD575" s="11" t="str">
        <f>VLOOKUP(L575,'[1]data 1129'!F:O,10,FALSE)</f>
        <v>Tahap I 208</v>
      </c>
      <c r="AE575" s="11" t="str">
        <f>VLOOKUP(L575,'[1]singkron data'!D:P,13,FALSE)</f>
        <v>sudah</v>
      </c>
      <c r="AF575" s="11" t="s">
        <v>55</v>
      </c>
      <c r="AG575" s="11" t="e">
        <f>VLOOKUP(L575,'[1]update kontrak'!E:K,6,FALSE)</f>
        <v>#N/A</v>
      </c>
      <c r="AH575" s="11" t="e">
        <f>VLOOKUP(L575,'[1]update kontrak'!E:K,7,FALSE)</f>
        <v>#N/A</v>
      </c>
      <c r="AI575" s="11" t="s">
        <v>58</v>
      </c>
      <c r="AJ575" s="11" t="str">
        <f>VLOOKUP(L575,[1]rekap!D:M,1,FALSE)</f>
        <v>Biluhu Barat</v>
      </c>
      <c r="AK575" s="11" t="str">
        <f>AJ575</f>
        <v>Biluhu Barat</v>
      </c>
      <c r="AL575" s="11" t="str">
        <f>VLOOKUP(L575,'[1]update 521'!D:D,1,FALSE)</f>
        <v>Biluhu Barat</v>
      </c>
      <c r="AM575" s="11" t="s">
        <v>57</v>
      </c>
      <c r="AN575" s="11" t="e">
        <f>VLOOKUP(L575,[1]Sheet19!E:L,8,FALSE)</f>
        <v>#N/A</v>
      </c>
      <c r="AO575" s="11" t="s">
        <v>58</v>
      </c>
      <c r="AP575" s="12"/>
    </row>
    <row r="576" spans="1:42" ht="15" x14ac:dyDescent="0.2">
      <c r="A576" s="8" t="s">
        <v>42</v>
      </c>
      <c r="B576" s="9" t="s">
        <v>43</v>
      </c>
      <c r="C576" s="9">
        <v>594</v>
      </c>
      <c r="D576" s="9" t="s">
        <v>1112</v>
      </c>
      <c r="E576" s="9">
        <v>125</v>
      </c>
      <c r="F576" s="9" t="s">
        <v>1398</v>
      </c>
      <c r="G576" s="9" t="s">
        <v>1243</v>
      </c>
      <c r="H576" s="9" t="s">
        <v>287</v>
      </c>
      <c r="I576" s="9" t="s">
        <v>1243</v>
      </c>
      <c r="J576" s="9" t="s">
        <v>1399</v>
      </c>
      <c r="K576" s="9" t="s">
        <v>1405</v>
      </c>
      <c r="L576" s="10" t="s">
        <v>1405</v>
      </c>
      <c r="M576" s="9" t="s">
        <v>51</v>
      </c>
      <c r="N576" s="9">
        <v>156</v>
      </c>
      <c r="O576" s="9">
        <v>25</v>
      </c>
      <c r="P576" s="9">
        <v>3</v>
      </c>
      <c r="Q576" s="9">
        <v>28</v>
      </c>
      <c r="R576" s="9">
        <v>0.1</v>
      </c>
      <c r="S576" s="9">
        <v>0.49269499999999999</v>
      </c>
      <c r="T576" s="9">
        <v>122.8504241</v>
      </c>
      <c r="U576" s="9" t="s">
        <v>52</v>
      </c>
      <c r="V576" s="11" t="s">
        <v>1403</v>
      </c>
      <c r="W576" s="13">
        <f>VLOOKUP(L576,'[1]data 1129'!F:H,3,FALSE)</f>
        <v>4500000000</v>
      </c>
      <c r="X576" s="11" t="s">
        <v>55</v>
      </c>
      <c r="Y576" s="11">
        <f>VLOOKUP(L576,'[1]singkron data'!D:H,5,FALSE)</f>
        <v>0</v>
      </c>
      <c r="Z576" s="11">
        <f>VLOOKUP(L576,'[1]singkron data'!D:I,6,FALSE)</f>
        <v>0</v>
      </c>
      <c r="AA576" s="11" t="str">
        <f>VLOOKUP(L576,'[1]singkron data'!D:L,9,FALSE)</f>
        <v>0811946557/sutanto</v>
      </c>
      <c r="AB576" s="11" t="s">
        <v>54</v>
      </c>
      <c r="AC576" s="11" t="str">
        <f>VLOOKUP(L576,'[1]singkron data'!D:M,10,FALSE)</f>
        <v>Hyl</v>
      </c>
      <c r="AD576" s="11" t="str">
        <f>VLOOKUP(L576,'[1]data 1129'!F:O,10,FALSE)</f>
        <v>Tahap I 208</v>
      </c>
      <c r="AE576" s="11" t="str">
        <f>VLOOKUP(L576,'[1]singkron data'!D:P,13,FALSE)</f>
        <v>sudah</v>
      </c>
      <c r="AF576" s="11" t="s">
        <v>55</v>
      </c>
      <c r="AG576" s="11" t="e">
        <f>VLOOKUP(L576,'[1]update kontrak'!E:K,6,FALSE)</f>
        <v>#N/A</v>
      </c>
      <c r="AH576" s="11" t="e">
        <f>VLOOKUP(L576,'[1]update kontrak'!E:K,7,FALSE)</f>
        <v>#N/A</v>
      </c>
      <c r="AI576" s="11" t="s">
        <v>58</v>
      </c>
      <c r="AJ576" s="11" t="str">
        <f>VLOOKUP(L576,[1]rekap!D:M,1,FALSE)</f>
        <v>Biluhu Tengah</v>
      </c>
      <c r="AK576" s="11" t="str">
        <f>VLOOKUP(L576,'[1]singkron data'!D:E,2,FALSE)</f>
        <v>PT. KARYA PALMALINDO ANUGERAH</v>
      </c>
      <c r="AL576" s="11" t="str">
        <f>VLOOKUP(L576,'[1]update 521'!D:D,1,FALSE)</f>
        <v>Biluhu Tengah</v>
      </c>
      <c r="AM576" s="11" t="s">
        <v>57</v>
      </c>
      <c r="AN576" s="11" t="e">
        <f>VLOOKUP(L576,[1]Sheet19!E:L,8,FALSE)</f>
        <v>#N/A</v>
      </c>
      <c r="AO576" s="11" t="s">
        <v>58</v>
      </c>
      <c r="AP576" s="12"/>
    </row>
    <row r="577" spans="1:42" ht="15" x14ac:dyDescent="0.2">
      <c r="A577" s="8" t="s">
        <v>42</v>
      </c>
      <c r="B577" s="9" t="s">
        <v>43</v>
      </c>
      <c r="C577" s="9">
        <v>595</v>
      </c>
      <c r="D577" s="9" t="s">
        <v>1112</v>
      </c>
      <c r="E577" s="9">
        <v>126</v>
      </c>
      <c r="F577" s="9" t="s">
        <v>1398</v>
      </c>
      <c r="G577" s="9" t="s">
        <v>1243</v>
      </c>
      <c r="H577" s="9" t="s">
        <v>287</v>
      </c>
      <c r="I577" s="9" t="s">
        <v>1243</v>
      </c>
      <c r="J577" s="9" t="s">
        <v>1399</v>
      </c>
      <c r="K577" s="9" t="s">
        <v>1406</v>
      </c>
      <c r="L577" s="10" t="s">
        <v>1406</v>
      </c>
      <c r="M577" s="9" t="s">
        <v>51</v>
      </c>
      <c r="N577" s="9">
        <v>122</v>
      </c>
      <c r="O577" s="9">
        <v>2</v>
      </c>
      <c r="P577" s="9">
        <v>39</v>
      </c>
      <c r="Q577" s="9">
        <v>41</v>
      </c>
      <c r="R577" s="9">
        <v>0.08</v>
      </c>
      <c r="S577" s="9">
        <v>0.4906721</v>
      </c>
      <c r="T577" s="9">
        <v>122.77909289999999</v>
      </c>
      <c r="U577" s="9" t="s">
        <v>52</v>
      </c>
      <c r="V577" s="11" t="str">
        <f>VLOOKUP(L577,'[1]singkron data'!D:E,2,FALSE)</f>
        <v>PT. Mega Kreasi Bersinar</v>
      </c>
      <c r="W577" s="13">
        <f>VLOOKUP(L577,'[1]data 1129'!F:H,3,FALSE)</f>
        <v>4500000000</v>
      </c>
      <c r="X577" s="11" t="s">
        <v>55</v>
      </c>
      <c r="Y577" s="11">
        <f>VLOOKUP(L577,'[1]singkron data'!D:H,5,FALSE)</f>
        <v>0</v>
      </c>
      <c r="Z577" s="11">
        <f>VLOOKUP(L577,'[1]singkron data'!D:I,6,FALSE)</f>
        <v>0</v>
      </c>
      <c r="AA577" s="11" t="str">
        <f>VLOOKUP(L577,'[1]singkron data'!D:L,9,FALSE)</f>
        <v>082311097406/dedi</v>
      </c>
      <c r="AB577" s="11" t="s">
        <v>54</v>
      </c>
      <c r="AC577" s="11" t="str">
        <f>VLOOKUP(L577,'[1]singkron data'!D:M,10,FALSE)</f>
        <v>Hyl</v>
      </c>
      <c r="AD577" s="11" t="str">
        <f>VLOOKUP(L577,'[1]data 1129'!F:O,10,FALSE)</f>
        <v>Tahap I 208</v>
      </c>
      <c r="AE577" s="11" t="str">
        <f>VLOOKUP(L577,'[1]singkron data'!D:P,13,FALSE)</f>
        <v>sudah</v>
      </c>
      <c r="AF577" s="11" t="s">
        <v>55</v>
      </c>
      <c r="AG577" s="11" t="e">
        <f>VLOOKUP(L577,'[1]update kontrak'!E:K,6,FALSE)</f>
        <v>#N/A</v>
      </c>
      <c r="AH577" s="11" t="e">
        <f>VLOOKUP(L577,'[1]update kontrak'!E:K,7,FALSE)</f>
        <v>#N/A</v>
      </c>
      <c r="AI577" s="11" t="s">
        <v>58</v>
      </c>
      <c r="AJ577" s="11" t="str">
        <f>VLOOKUP(L577,[1]rekap!D:M,1,FALSE)</f>
        <v>Lobuto</v>
      </c>
      <c r="AK577" s="11" t="str">
        <f>AJ577</f>
        <v>Lobuto</v>
      </c>
      <c r="AL577" s="11" t="str">
        <f>VLOOKUP(L577,'[1]update 521'!D:D,1,FALSE)</f>
        <v>Lobuto</v>
      </c>
      <c r="AM577" s="11" t="s">
        <v>57</v>
      </c>
      <c r="AN577" s="11" t="e">
        <f>VLOOKUP(L577,[1]Sheet19!E:L,8,FALSE)</f>
        <v>#N/A</v>
      </c>
      <c r="AO577" s="11" t="s">
        <v>58</v>
      </c>
      <c r="AP577" s="12"/>
    </row>
    <row r="578" spans="1:42" ht="15" x14ac:dyDescent="0.2">
      <c r="A578" s="8" t="s">
        <v>42</v>
      </c>
      <c r="B578" s="9" t="s">
        <v>43</v>
      </c>
      <c r="C578" s="9">
        <v>602</v>
      </c>
      <c r="D578" s="9" t="s">
        <v>1112</v>
      </c>
      <c r="E578" s="9">
        <v>133</v>
      </c>
      <c r="F578" s="9" t="s">
        <v>1277</v>
      </c>
      <c r="G578" s="9" t="s">
        <v>1114</v>
      </c>
      <c r="H578" s="9" t="s">
        <v>287</v>
      </c>
      <c r="I578" s="9" t="s">
        <v>1220</v>
      </c>
      <c r="J578" s="9" t="s">
        <v>1407</v>
      </c>
      <c r="K578" s="9" t="s">
        <v>1277</v>
      </c>
      <c r="L578" s="10" t="s">
        <v>1277</v>
      </c>
      <c r="M578" s="9" t="s">
        <v>65</v>
      </c>
      <c r="N578" s="14">
        <v>1205</v>
      </c>
      <c r="O578" s="9">
        <v>117</v>
      </c>
      <c r="P578" s="9">
        <v>130</v>
      </c>
      <c r="Q578" s="9">
        <v>247</v>
      </c>
      <c r="R578" s="9">
        <v>1.07</v>
      </c>
      <c r="S578" s="9">
        <v>-4.0440199999999997</v>
      </c>
      <c r="T578" s="9">
        <v>119.59542399999999</v>
      </c>
      <c r="U578" s="9" t="s">
        <v>52</v>
      </c>
      <c r="V578" s="11" t="str">
        <f>VLOOKUP(L578,'[1]singkron data'!D:E,2,FALSE)</f>
        <v>CV. Triga Cipta Abadi</v>
      </c>
      <c r="W578" s="13">
        <f>VLOOKUP(L578,'[1]data 1129'!F:H,3,FALSE)</f>
        <v>4500000000</v>
      </c>
      <c r="X578" s="11" t="s">
        <v>55</v>
      </c>
      <c r="Y578" s="11">
        <f>VLOOKUP(L578,'[1]singkron data'!D:H,5,FALSE)</f>
        <v>0</v>
      </c>
      <c r="Z578" s="11">
        <f>VLOOKUP(L578,'[1]singkron data'!D:I,6,FALSE)</f>
        <v>0</v>
      </c>
      <c r="AA578" s="11">
        <f>VLOOKUP(L578,'[1]singkron data'!D:L,9,FALSE)</f>
        <v>81341336969</v>
      </c>
      <c r="AB578" s="11" t="s">
        <v>54</v>
      </c>
      <c r="AC578" s="11" t="str">
        <f>VLOOKUP(L578,'[1]singkron data'!D:M,10,FALSE)</f>
        <v>Hyl</v>
      </c>
      <c r="AD578" s="11" t="str">
        <f>VLOOKUP(L578,'[1]data 1129'!F:O,10,FALSE)</f>
        <v>Tahap I 208</v>
      </c>
      <c r="AE578" s="11" t="str">
        <f>VLOOKUP(L578,'[1]singkron data'!D:P,13,FALSE)</f>
        <v>sudah</v>
      </c>
      <c r="AF578" s="11" t="s">
        <v>55</v>
      </c>
      <c r="AG578" s="17">
        <f>VLOOKUP(L578,'[1]update kontrak'!E:K,6,FALSE)</f>
        <v>7628422000</v>
      </c>
      <c r="AH578" s="11" t="str">
        <f>VLOOKUP(L578,'[1]update kontrak'!E:K,7,FALSE)</f>
        <v>KONTRAK</v>
      </c>
      <c r="AI578" s="11" t="s">
        <v>41</v>
      </c>
      <c r="AJ578" s="11" t="str">
        <f>VLOOKUP(L578,[1]rekap!D:M,1,FALSE)</f>
        <v>Lero</v>
      </c>
      <c r="AK578" s="11" t="str">
        <f>VLOOKUP(L578,'[1]singkron data'!D:E,2,FALSE)</f>
        <v>CV. Triga Cipta Abadi</v>
      </c>
      <c r="AL578" s="11" t="str">
        <f>VLOOKUP(L578,'[1]update 521'!D:D,1,FALSE)</f>
        <v>Lero</v>
      </c>
      <c r="AM578" s="11" t="s">
        <v>57</v>
      </c>
      <c r="AN578" s="17">
        <f>VLOOKUP(L578,[1]Sheet19!E:L,8,FALSE)</f>
        <v>7628422000</v>
      </c>
      <c r="AO578" s="11" t="str">
        <f>VLOOKUP(L578,[1]Sheet19!E:K,7,FALSE)</f>
        <v>KONTRAK</v>
      </c>
      <c r="AP578" s="12" t="s">
        <v>41</v>
      </c>
    </row>
    <row r="579" spans="1:42" ht="15" x14ac:dyDescent="0.2">
      <c r="A579" s="8" t="s">
        <v>42</v>
      </c>
      <c r="B579" s="9" t="s">
        <v>43</v>
      </c>
      <c r="C579" s="9">
        <v>603</v>
      </c>
      <c r="D579" s="9" t="s">
        <v>1112</v>
      </c>
      <c r="E579" s="9">
        <v>134</v>
      </c>
      <c r="F579" s="9" t="s">
        <v>1277</v>
      </c>
      <c r="G579" s="9" t="s">
        <v>1114</v>
      </c>
      <c r="H579" s="9" t="s">
        <v>287</v>
      </c>
      <c r="I579" s="9" t="s">
        <v>1408</v>
      </c>
      <c r="J579" s="9" t="s">
        <v>1409</v>
      </c>
      <c r="K579" s="9" t="s">
        <v>1410</v>
      </c>
      <c r="L579" s="10" t="s">
        <v>1410</v>
      </c>
      <c r="M579" s="9" t="s">
        <v>51</v>
      </c>
      <c r="N579" s="9">
        <v>89</v>
      </c>
      <c r="O579" s="9">
        <v>2</v>
      </c>
      <c r="P579" s="9">
        <v>48</v>
      </c>
      <c r="Q579" s="9">
        <v>50</v>
      </c>
      <c r="R579" s="9">
        <v>0.2</v>
      </c>
      <c r="S579" s="9">
        <v>-4.316376</v>
      </c>
      <c r="T579" s="9">
        <v>119.635679</v>
      </c>
      <c r="U579" s="9" t="s">
        <v>52</v>
      </c>
      <c r="V579" s="11" t="str">
        <f>VLOOKUP(L579,'[1]singkron data'!D:E,2,FALSE)</f>
        <v>CV. LIAN</v>
      </c>
      <c r="W579" s="13">
        <f>VLOOKUP(L579,'[1]data 1129'!F:H,3,FALSE)</f>
        <v>5692343000</v>
      </c>
      <c r="X579" s="11" t="s">
        <v>55</v>
      </c>
      <c r="Y579" s="11">
        <f>VLOOKUP(L579,'[1]singkron data'!D:H,5,FALSE)</f>
        <v>0</v>
      </c>
      <c r="Z579" s="11">
        <f>VLOOKUP(L579,'[1]singkron data'!D:I,6,FALSE)</f>
        <v>0</v>
      </c>
      <c r="AA579" s="11" t="str">
        <f>VLOOKUP(L579,'[1]singkron data'!D:L,9,FALSE)</f>
        <v>08114212144/yafet</v>
      </c>
      <c r="AB579" s="11" t="s">
        <v>54</v>
      </c>
      <c r="AC579" s="11" t="s">
        <v>1199</v>
      </c>
      <c r="AD579" s="11" t="str">
        <f>VLOOKUP(L579,'[1]data 1129'!F:O,10,FALSE)</f>
        <v>Tahap I 208</v>
      </c>
      <c r="AE579" s="11" t="str">
        <f>VLOOKUP(L579,'[1]singkron data'!D:P,13,FALSE)</f>
        <v>sudah</v>
      </c>
      <c r="AF579" s="11" t="s">
        <v>55</v>
      </c>
      <c r="AG579" s="11" t="e">
        <f>VLOOKUP(L579,'[1]update kontrak'!E:K,6,FALSE)</f>
        <v>#N/A</v>
      </c>
      <c r="AH579" s="11" t="e">
        <f>VLOOKUP(L579,'[1]update kontrak'!E:K,7,FALSE)</f>
        <v>#N/A</v>
      </c>
      <c r="AI579" s="11" t="s">
        <v>58</v>
      </c>
      <c r="AJ579" s="11" t="str">
        <f>VLOOKUP(L579,[1]rekap!D:M,1,FALSE)</f>
        <v>Takkalasi</v>
      </c>
      <c r="AK579" s="11" t="str">
        <f t="shared" ref="AK579:AK580" si="3">AJ579</f>
        <v>Takkalasi</v>
      </c>
      <c r="AL579" s="11" t="str">
        <f>VLOOKUP(L579,'[1]update 521'!D:D,1,FALSE)</f>
        <v>Takkalasi</v>
      </c>
      <c r="AM579" s="11" t="s">
        <v>57</v>
      </c>
      <c r="AN579" s="17">
        <f>VLOOKUP(L579,[1]Sheet19!E:L,8,FALSE)</f>
        <v>2218425000</v>
      </c>
      <c r="AO579" s="11" t="str">
        <f>VLOOKUP(L579,[1]Sheet19!E:K,7,FALSE)</f>
        <v>KONTRAK</v>
      </c>
      <c r="AP579" s="12" t="s">
        <v>41</v>
      </c>
    </row>
    <row r="580" spans="1:42" ht="15" x14ac:dyDescent="0.2">
      <c r="A580" s="8" t="s">
        <v>42</v>
      </c>
      <c r="B580" s="9" t="s">
        <v>43</v>
      </c>
      <c r="C580" s="9">
        <v>604</v>
      </c>
      <c r="D580" s="9" t="s">
        <v>1112</v>
      </c>
      <c r="E580" s="9">
        <v>135</v>
      </c>
      <c r="F580" s="9" t="s">
        <v>1277</v>
      </c>
      <c r="G580" s="9" t="s">
        <v>1114</v>
      </c>
      <c r="H580" s="9" t="s">
        <v>287</v>
      </c>
      <c r="I580" s="9" t="s">
        <v>1408</v>
      </c>
      <c r="J580" s="9" t="s">
        <v>1411</v>
      </c>
      <c r="K580" s="9" t="s">
        <v>1412</v>
      </c>
      <c r="L580" s="10" t="s">
        <v>1412</v>
      </c>
      <c r="M580" s="9" t="s">
        <v>51</v>
      </c>
      <c r="N580" s="9">
        <v>200</v>
      </c>
      <c r="O580" s="9">
        <v>18</v>
      </c>
      <c r="P580" s="9">
        <v>150</v>
      </c>
      <c r="Q580" s="9">
        <v>168</v>
      </c>
      <c r="R580" s="9">
        <v>0.5</v>
      </c>
      <c r="S580" s="9">
        <v>-4.1067929999999997</v>
      </c>
      <c r="T580" s="9">
        <v>119.61255</v>
      </c>
      <c r="U580" s="9" t="s">
        <v>52</v>
      </c>
      <c r="V580" s="11" t="str">
        <f>VLOOKUP(L580,'[1]singkron data'!D:E,2,FALSE)</f>
        <v>CV. LIAN</v>
      </c>
      <c r="W580" s="13">
        <f>VLOOKUP(L580,'[1]data 1129'!F:H,3,FALSE)</f>
        <v>7855274000</v>
      </c>
      <c r="X580" s="11" t="s">
        <v>55</v>
      </c>
      <c r="Y580" s="11">
        <f>VLOOKUP(L580,'[1]singkron data'!D:H,5,FALSE)</f>
        <v>0</v>
      </c>
      <c r="Z580" s="11">
        <f>VLOOKUP(L580,'[1]singkron data'!D:I,6,FALSE)</f>
        <v>0</v>
      </c>
      <c r="AA580" s="11" t="str">
        <f>VLOOKUP(L580,'[1]singkron data'!D:L,9,FALSE)</f>
        <v>08114212144/yafet</v>
      </c>
      <c r="AB580" s="11" t="s">
        <v>54</v>
      </c>
      <c r="AC580" s="11" t="s">
        <v>1199</v>
      </c>
      <c r="AD580" s="11" t="str">
        <f>VLOOKUP(L580,'[1]data 1129'!F:O,10,FALSE)</f>
        <v>Tahap I 208</v>
      </c>
      <c r="AE580" s="11" t="str">
        <f>VLOOKUP(L580,'[1]singkron data'!D:P,13,FALSE)</f>
        <v>sudah</v>
      </c>
      <c r="AF580" s="11" t="s">
        <v>55</v>
      </c>
      <c r="AG580" s="11" t="e">
        <f>VLOOKUP(L580,'[1]update kontrak'!E:K,6,FALSE)</f>
        <v>#N/A</v>
      </c>
      <c r="AH580" s="11" t="e">
        <f>VLOOKUP(L580,'[1]update kontrak'!E:K,7,FALSE)</f>
        <v>#N/A</v>
      </c>
      <c r="AI580" s="11" t="s">
        <v>58</v>
      </c>
      <c r="AJ580" s="11" t="str">
        <f>VLOOKUP(L580,[1]rekap!D:M,1,FALSE)</f>
        <v>Kupa</v>
      </c>
      <c r="AK580" s="11" t="str">
        <f t="shared" si="3"/>
        <v>Kupa</v>
      </c>
      <c r="AL580" s="11" t="str">
        <f>VLOOKUP(L580,'[1]update 521'!D:D,1,FALSE)</f>
        <v>Kupa</v>
      </c>
      <c r="AM580" s="11" t="s">
        <v>57</v>
      </c>
      <c r="AN580" s="17">
        <f>VLOOKUP(L580,[1]Sheet19!E:L,8,FALSE)</f>
        <v>4562879000</v>
      </c>
      <c r="AO580" s="11" t="str">
        <f>VLOOKUP(L580,[1]Sheet19!E:K,7,FALSE)</f>
        <v>KONTRAK</v>
      </c>
      <c r="AP580" s="12" t="s">
        <v>41</v>
      </c>
    </row>
    <row r="581" spans="1:42" ht="15" x14ac:dyDescent="0.2">
      <c r="A581" s="8" t="s">
        <v>42</v>
      </c>
      <c r="B581" s="9" t="s">
        <v>43</v>
      </c>
      <c r="C581" s="9">
        <v>605</v>
      </c>
      <c r="D581" s="9" t="s">
        <v>1112</v>
      </c>
      <c r="E581" s="9">
        <v>136</v>
      </c>
      <c r="F581" s="9" t="s">
        <v>1277</v>
      </c>
      <c r="G581" s="9" t="s">
        <v>1114</v>
      </c>
      <c r="H581" s="9" t="s">
        <v>287</v>
      </c>
      <c r="I581" s="9" t="s">
        <v>1413</v>
      </c>
      <c r="J581" s="9" t="s">
        <v>1414</v>
      </c>
      <c r="K581" s="9" t="s">
        <v>1415</v>
      </c>
      <c r="L581" s="10" t="s">
        <v>1415</v>
      </c>
      <c r="M581" s="9" t="s">
        <v>51</v>
      </c>
      <c r="N581" s="9">
        <v>251</v>
      </c>
      <c r="O581" s="9">
        <v>29</v>
      </c>
      <c r="P581" s="9">
        <v>107</v>
      </c>
      <c r="Q581" s="9">
        <v>136</v>
      </c>
      <c r="R581" s="9">
        <v>1.29</v>
      </c>
      <c r="S581" s="9">
        <v>-4.0513279999999998</v>
      </c>
      <c r="T581" s="9">
        <v>119.617237</v>
      </c>
      <c r="U581" s="9" t="s">
        <v>52</v>
      </c>
      <c r="V581" s="11" t="str">
        <f>VLOOKUP(L581,'[1]singkron data'!D:E,2,FALSE)</f>
        <v>PT Viqry Sanjaya Putra</v>
      </c>
      <c r="W581" s="13">
        <f>VLOOKUP(L581,'[1]data 1129'!F:H,3,FALSE)</f>
        <v>5059580000</v>
      </c>
      <c r="X581" s="11" t="s">
        <v>55</v>
      </c>
      <c r="Y581" s="11">
        <f>VLOOKUP(L581,'[1]singkron data'!D:H,5,FALSE)</f>
        <v>0</v>
      </c>
      <c r="Z581" s="11">
        <f>VLOOKUP(L581,'[1]singkron data'!D:I,6,FALSE)</f>
        <v>0</v>
      </c>
      <c r="AA581" s="11" t="str">
        <f>VLOOKUP(L581,'[1]singkron data'!D:L,9,FALSE)</f>
        <v>081342161100/Syamsul</v>
      </c>
      <c r="AB581" s="11" t="s">
        <v>54</v>
      </c>
      <c r="AC581" s="11" t="str">
        <f>VLOOKUP(L581,'[1]singkron data'!D:M,10,FALSE)</f>
        <v>Hyl</v>
      </c>
      <c r="AD581" s="11" t="str">
        <f>VLOOKUP(L581,'[1]data 1129'!F:O,10,FALSE)</f>
        <v>Tahap I 208</v>
      </c>
      <c r="AE581" s="11" t="str">
        <f>VLOOKUP(L581,'[1]singkron data'!D:P,13,FALSE)</f>
        <v>sudah</v>
      </c>
      <c r="AF581" s="11" t="s">
        <v>55</v>
      </c>
      <c r="AG581" s="17">
        <f>VLOOKUP(L581,'[1]update kontrak'!E:K,6,FALSE)</f>
        <v>4324242000</v>
      </c>
      <c r="AH581" s="11" t="str">
        <f>VLOOKUP(L581,'[1]update kontrak'!E:K,7,FALSE)</f>
        <v>KONTRAK</v>
      </c>
      <c r="AI581" s="11" t="s">
        <v>41</v>
      </c>
      <c r="AJ581" s="11" t="str">
        <f>VLOOKUP(L581,[1]rekap!D:M,1,FALSE)</f>
        <v>Lumpue</v>
      </c>
      <c r="AK581" s="11" t="str">
        <f>VLOOKUP(L581,'[1]singkron data'!D:E,2,FALSE)</f>
        <v>PT Viqry Sanjaya Putra</v>
      </c>
      <c r="AL581" s="11" t="str">
        <f>VLOOKUP(L581,'[1]update 521'!D:D,1,FALSE)</f>
        <v>Lumpue</v>
      </c>
      <c r="AM581" s="11" t="s">
        <v>57</v>
      </c>
      <c r="AN581" s="17">
        <f>VLOOKUP(L581,[1]Sheet19!E:L,8,FALSE)</f>
        <v>4324242000</v>
      </c>
      <c r="AO581" s="11" t="str">
        <f>VLOOKUP(L581,[1]Sheet19!E:K,7,FALSE)</f>
        <v>KONTRAK</v>
      </c>
      <c r="AP581" s="12" t="s">
        <v>41</v>
      </c>
    </row>
    <row r="582" spans="1:42" ht="15" x14ac:dyDescent="0.2">
      <c r="A582" s="8" t="s">
        <v>42</v>
      </c>
      <c r="B582" s="9" t="s">
        <v>43</v>
      </c>
      <c r="C582" s="9">
        <v>606</v>
      </c>
      <c r="D582" s="9" t="s">
        <v>1112</v>
      </c>
      <c r="E582" s="9">
        <v>137</v>
      </c>
      <c r="F582" s="9" t="s">
        <v>1277</v>
      </c>
      <c r="G582" s="9" t="s">
        <v>1114</v>
      </c>
      <c r="H582" s="9" t="s">
        <v>287</v>
      </c>
      <c r="I582" s="9" t="s">
        <v>1413</v>
      </c>
      <c r="J582" s="9" t="s">
        <v>1416</v>
      </c>
      <c r="K582" s="9" t="s">
        <v>1417</v>
      </c>
      <c r="L582" s="10" t="s">
        <v>1417</v>
      </c>
      <c r="M582" s="9" t="s">
        <v>51</v>
      </c>
      <c r="N582" s="9">
        <v>170</v>
      </c>
      <c r="O582" s="9">
        <v>8</v>
      </c>
      <c r="P582" s="9">
        <v>95</v>
      </c>
      <c r="Q582" s="9">
        <v>103</v>
      </c>
      <c r="R582" s="9">
        <v>0.54</v>
      </c>
      <c r="S582" s="9">
        <v>-3.9915699999999998</v>
      </c>
      <c r="T582" s="9">
        <v>119.633312</v>
      </c>
      <c r="U582" s="9" t="s">
        <v>52</v>
      </c>
      <c r="V582" s="11" t="str">
        <f>VLOOKUP(L582,'[1]singkron data'!D:E,2,FALSE)</f>
        <v>PT Viqry Sanjaya Putra</v>
      </c>
      <c r="W582" s="13">
        <f>VLOOKUP(L582,'[1]data 1129'!F:H,3,FALSE)</f>
        <v>4943751000</v>
      </c>
      <c r="X582" s="11" t="s">
        <v>55</v>
      </c>
      <c r="Y582" s="11" t="str">
        <f>VLOOKUP(L582,'[1]singkron data'!D:H,5,FALSE)</f>
        <v>Pare Pare</v>
      </c>
      <c r="Z582" s="11" t="str">
        <f>VLOOKUP(L582,'[1]singkron data'!D:I,6,FALSE)</f>
        <v>Online</v>
      </c>
      <c r="AA582" s="11" t="str">
        <f>VLOOKUP(L582,'[1]singkron data'!D:L,9,FALSE)</f>
        <v>081342161100/Syamsul</v>
      </c>
      <c r="AB582" s="11" t="s">
        <v>54</v>
      </c>
      <c r="AC582" s="11" t="str">
        <f>VLOOKUP(L582,'[1]singkron data'!D:M,10,FALSE)</f>
        <v>Hyl</v>
      </c>
      <c r="AD582" s="11" t="str">
        <f>VLOOKUP(L582,'[1]data 1129'!F:O,10,FALSE)</f>
        <v>Tahap I 208</v>
      </c>
      <c r="AE582" s="11" t="str">
        <f>VLOOKUP(L582,'[1]singkron data'!D:P,13,FALSE)</f>
        <v>sudah</v>
      </c>
      <c r="AF582" s="11" t="s">
        <v>55</v>
      </c>
      <c r="AG582" s="17">
        <f>VLOOKUP(L582,'[1]update kontrak'!E:K,6,FALSE)</f>
        <v>4265935000</v>
      </c>
      <c r="AH582" s="11" t="str">
        <f>VLOOKUP(L582,'[1]update kontrak'!E:K,7,FALSE)</f>
        <v>KONTRAK</v>
      </c>
      <c r="AI582" s="11" t="s">
        <v>41</v>
      </c>
      <c r="AJ582" s="11" t="str">
        <f>VLOOKUP(L582,[1]rekap!D:M,1,FALSE)</f>
        <v>Watang Soreang</v>
      </c>
      <c r="AK582" s="11" t="str">
        <f>VLOOKUP(L582,'[1]singkron data'!D:E,2,FALSE)</f>
        <v>PT Viqry Sanjaya Putra</v>
      </c>
      <c r="AL582" s="11" t="str">
        <f>VLOOKUP(L582,'[1]update 521'!D:D,1,FALSE)</f>
        <v>Watang Soreang</v>
      </c>
      <c r="AM582" s="11" t="s">
        <v>57</v>
      </c>
      <c r="AN582" s="17">
        <f>VLOOKUP(L582,[1]Sheet19!E:L,8,FALSE)</f>
        <v>4265935000</v>
      </c>
      <c r="AO582" s="11" t="str">
        <f>VLOOKUP(L582,[1]Sheet19!E:K,7,FALSE)</f>
        <v>KONTRAK</v>
      </c>
      <c r="AP582" s="12" t="s">
        <v>41</v>
      </c>
    </row>
    <row r="583" spans="1:42" ht="15" x14ac:dyDescent="0.2">
      <c r="A583" s="8" t="s">
        <v>42</v>
      </c>
      <c r="B583" s="9" t="s">
        <v>43</v>
      </c>
      <c r="C583" s="9">
        <v>607</v>
      </c>
      <c r="D583" s="9" t="s">
        <v>1112</v>
      </c>
      <c r="E583" s="9">
        <v>138</v>
      </c>
      <c r="F583" s="9" t="s">
        <v>1418</v>
      </c>
      <c r="G583" s="9" t="s">
        <v>1125</v>
      </c>
      <c r="H583" s="9" t="s">
        <v>287</v>
      </c>
      <c r="I583" s="9" t="s">
        <v>1132</v>
      </c>
      <c r="J583" s="9" t="s">
        <v>1419</v>
      </c>
      <c r="K583" s="9" t="s">
        <v>1420</v>
      </c>
      <c r="L583" s="9" t="s">
        <v>1420</v>
      </c>
      <c r="M583" s="9" t="s">
        <v>65</v>
      </c>
      <c r="N583" s="9">
        <v>300</v>
      </c>
      <c r="O583" s="9">
        <v>3</v>
      </c>
      <c r="P583" s="9">
        <v>250</v>
      </c>
      <c r="Q583" s="9">
        <v>253</v>
      </c>
      <c r="R583" s="9">
        <v>1</v>
      </c>
      <c r="S583" s="9">
        <v>1.6720999999999999</v>
      </c>
      <c r="T583" s="9">
        <v>125.0656</v>
      </c>
      <c r="U583" s="9"/>
      <c r="V583" s="11" t="e">
        <f>VLOOKUP(L583,'[1]singkron data'!D:E,2,FALSE)</f>
        <v>#N/A</v>
      </c>
      <c r="W583" s="13"/>
      <c r="X583" s="11"/>
      <c r="Y583" s="11" t="e">
        <f>VLOOKUP(L583,'[1]singkron data'!D:H,5,FALSE)</f>
        <v>#N/A</v>
      </c>
      <c r="Z583" s="11" t="e">
        <f>VLOOKUP(L583,'[1]singkron data'!D:I,6,FALSE)</f>
        <v>#N/A</v>
      </c>
      <c r="AA583" s="11" t="e">
        <f>VLOOKUP(L583,'[1]singkron data'!D:L,9,FALSE)</f>
        <v>#N/A</v>
      </c>
      <c r="AB583" s="11" t="s">
        <v>694</v>
      </c>
      <c r="AC583" s="11" t="e">
        <f>VLOOKUP(L583,'[1]singkron data'!D:M,10,FALSE)</f>
        <v>#N/A</v>
      </c>
      <c r="AD583" s="11"/>
      <c r="AE583" s="11" t="e">
        <f>VLOOKUP(L583,'[1]singkron data'!D:P,13,FALSE)</f>
        <v>#N/A</v>
      </c>
      <c r="AF583" s="11" t="s">
        <v>55</v>
      </c>
      <c r="AG583" s="11" t="e">
        <f>VLOOKUP(L583,'[1]update kontrak'!E:K,6,FALSE)</f>
        <v>#N/A</v>
      </c>
      <c r="AH583" s="11" t="e">
        <f>VLOOKUP(L583,'[1]update kontrak'!E:K,7,FALSE)</f>
        <v>#N/A</v>
      </c>
      <c r="AI583" s="11"/>
      <c r="AJ583" s="11" t="str">
        <f>VLOOKUP(L583,[1]rekap!D:M,1,FALSE)</f>
        <v>Likupang Kampung Ambong</v>
      </c>
      <c r="AK583" s="11" t="e">
        <f>VLOOKUP(L583,'[1]singkron data'!D:E,2,FALSE)</f>
        <v>#N/A</v>
      </c>
      <c r="AL583" s="11" t="str">
        <f>VLOOKUP(L583,'[1]update 521'!D:D,1,FALSE)</f>
        <v>Likupang Kampung Ambong</v>
      </c>
      <c r="AM583" s="11" t="s">
        <v>57</v>
      </c>
      <c r="AN583" s="11" t="e">
        <f>VLOOKUP(L583,[1]Sheet19!E:L,8,FALSE)</f>
        <v>#N/A</v>
      </c>
      <c r="AO583" s="11" t="e">
        <f>VLOOKUP(L583,[1]Sheet19!E:K,7,FALSE)</f>
        <v>#N/A</v>
      </c>
      <c r="AP583" s="12"/>
    </row>
    <row r="584" spans="1:42" ht="15" x14ac:dyDescent="0.2">
      <c r="A584" s="8" t="s">
        <v>42</v>
      </c>
      <c r="B584" s="9" t="s">
        <v>43</v>
      </c>
      <c r="C584" s="9">
        <v>608</v>
      </c>
      <c r="D584" s="9" t="s">
        <v>1112</v>
      </c>
      <c r="E584" s="9">
        <v>139</v>
      </c>
      <c r="F584" s="9" t="s">
        <v>1418</v>
      </c>
      <c r="G584" s="9" t="s">
        <v>1125</v>
      </c>
      <c r="H584" s="9" t="s">
        <v>287</v>
      </c>
      <c r="I584" s="9" t="s">
        <v>1132</v>
      </c>
      <c r="J584" s="9" t="s">
        <v>1421</v>
      </c>
      <c r="K584" s="9" t="s">
        <v>1422</v>
      </c>
      <c r="L584" s="9" t="s">
        <v>1422</v>
      </c>
      <c r="M584" s="9" t="s">
        <v>51</v>
      </c>
      <c r="N584" s="9">
        <v>270</v>
      </c>
      <c r="O584" s="9">
        <v>15</v>
      </c>
      <c r="P584" s="9">
        <v>45</v>
      </c>
      <c r="Q584" s="9">
        <v>60</v>
      </c>
      <c r="R584" s="9">
        <v>0.06</v>
      </c>
      <c r="S584" s="9">
        <v>1.7839</v>
      </c>
      <c r="T584" s="9">
        <v>125.05459999999999</v>
      </c>
      <c r="U584" s="9"/>
      <c r="V584" s="11" t="e">
        <f>VLOOKUP(L584,'[1]singkron data'!D:E,2,FALSE)</f>
        <v>#N/A</v>
      </c>
      <c r="W584" s="13">
        <f>VLOOKUP(L584,[1]Sheet18!A:B,2,FALSE)</f>
        <v>4738593000</v>
      </c>
      <c r="X584" s="11" t="s">
        <v>55</v>
      </c>
      <c r="Y584" s="11" t="e">
        <f>VLOOKUP(L584,'[1]singkron data'!D:H,5,FALSE)</f>
        <v>#N/A</v>
      </c>
      <c r="Z584" s="11" t="e">
        <f>VLOOKUP(L584,'[1]singkron data'!D:I,6,FALSE)</f>
        <v>#N/A</v>
      </c>
      <c r="AA584" s="11" t="e">
        <f>VLOOKUP(L584,'[1]singkron data'!D:L,9,FALSE)</f>
        <v>#N/A</v>
      </c>
      <c r="AB584" s="11" t="s">
        <v>694</v>
      </c>
      <c r="AC584" s="11" t="e">
        <f>VLOOKUP(L584,'[1]singkron data'!D:M,10,FALSE)</f>
        <v>#N/A</v>
      </c>
      <c r="AD584" s="11"/>
      <c r="AE584" s="11" t="e">
        <f>VLOOKUP(L584,'[1]singkron data'!D:P,13,FALSE)</f>
        <v>#N/A</v>
      </c>
      <c r="AF584" s="11" t="s">
        <v>55</v>
      </c>
      <c r="AG584" s="11" t="e">
        <f>VLOOKUP(L584,'[1]update kontrak'!E:K,6,FALSE)</f>
        <v>#N/A</v>
      </c>
      <c r="AH584" s="11" t="e">
        <f>VLOOKUP(L584,'[1]update kontrak'!E:K,7,FALSE)</f>
        <v>#N/A</v>
      </c>
      <c r="AI584" s="11"/>
      <c r="AJ584" s="11" t="str">
        <f>VLOOKUP(L584,[1]rekap!D:M,1,FALSE)</f>
        <v>Gangga II</v>
      </c>
      <c r="AK584" s="11" t="e">
        <f>VLOOKUP(L584,'[1]singkron data'!D:E,2,FALSE)</f>
        <v>#N/A</v>
      </c>
      <c r="AL584" s="11" t="str">
        <f>VLOOKUP(L584,'[1]update 521'!D:D,1,FALSE)</f>
        <v>Gangga II</v>
      </c>
      <c r="AM584" s="11" t="s">
        <v>57</v>
      </c>
      <c r="AN584" s="11" t="e">
        <f>VLOOKUP(L584,[1]Sheet19!E:L,8,FALSE)</f>
        <v>#N/A</v>
      </c>
      <c r="AO584" s="11" t="s">
        <v>1129</v>
      </c>
      <c r="AP584" s="12"/>
    </row>
    <row r="585" spans="1:42" ht="15" x14ac:dyDescent="0.2">
      <c r="A585" s="8" t="s">
        <v>42</v>
      </c>
      <c r="B585" s="9" t="s">
        <v>43</v>
      </c>
      <c r="C585" s="9">
        <v>609</v>
      </c>
      <c r="D585" s="9" t="s">
        <v>1112</v>
      </c>
      <c r="E585" s="9">
        <v>140</v>
      </c>
      <c r="F585" s="9" t="s">
        <v>1418</v>
      </c>
      <c r="G585" s="9" t="s">
        <v>1125</v>
      </c>
      <c r="H585" s="9" t="s">
        <v>287</v>
      </c>
      <c r="I585" s="9" t="s">
        <v>1132</v>
      </c>
      <c r="J585" s="9" t="s">
        <v>1421</v>
      </c>
      <c r="K585" s="9" t="s">
        <v>1423</v>
      </c>
      <c r="L585" s="9" t="s">
        <v>1423</v>
      </c>
      <c r="M585" s="9" t="s">
        <v>51</v>
      </c>
      <c r="N585" s="9">
        <v>201</v>
      </c>
      <c r="O585" s="9">
        <v>7</v>
      </c>
      <c r="P585" s="9">
        <v>16</v>
      </c>
      <c r="Q585" s="9">
        <v>23</v>
      </c>
      <c r="R585" s="9">
        <v>0.5</v>
      </c>
      <c r="S585" s="9">
        <v>1.7017</v>
      </c>
      <c r="T585" s="9">
        <v>125.0137</v>
      </c>
      <c r="U585" s="9"/>
      <c r="V585" s="11" t="e">
        <f>VLOOKUP(L585,'[1]singkron data'!D:E,2,FALSE)</f>
        <v>#N/A</v>
      </c>
      <c r="W585" s="13">
        <f>VLOOKUP(L585,[1]Sheet18!A:B,2,FALSE)</f>
        <v>4977188000</v>
      </c>
      <c r="X585" s="11" t="s">
        <v>55</v>
      </c>
      <c r="Y585" s="11" t="e">
        <f>VLOOKUP(L585,'[1]singkron data'!D:H,5,FALSE)</f>
        <v>#N/A</v>
      </c>
      <c r="Z585" s="11" t="e">
        <f>VLOOKUP(L585,'[1]singkron data'!D:I,6,FALSE)</f>
        <v>#N/A</v>
      </c>
      <c r="AA585" s="11" t="e">
        <f>VLOOKUP(L585,'[1]singkron data'!D:L,9,FALSE)</f>
        <v>#N/A</v>
      </c>
      <c r="AB585" s="11" t="s">
        <v>694</v>
      </c>
      <c r="AC585" s="11" t="e">
        <f>VLOOKUP(L585,'[1]singkron data'!D:M,10,FALSE)</f>
        <v>#N/A</v>
      </c>
      <c r="AD585" s="11"/>
      <c r="AE585" s="11" t="e">
        <f>VLOOKUP(L585,'[1]singkron data'!D:P,13,FALSE)</f>
        <v>#N/A</v>
      </c>
      <c r="AF585" s="11" t="s">
        <v>55</v>
      </c>
      <c r="AG585" s="11" t="e">
        <f>VLOOKUP(L585,'[1]update kontrak'!E:K,6,FALSE)</f>
        <v>#N/A</v>
      </c>
      <c r="AH585" s="11" t="e">
        <f>VLOOKUP(L585,'[1]update kontrak'!E:K,7,FALSE)</f>
        <v>#N/A</v>
      </c>
      <c r="AI585" s="11"/>
      <c r="AJ585" s="11" t="str">
        <f>VLOOKUP(L585,[1]rekap!D:M,1,FALSE)</f>
        <v>Bulutui</v>
      </c>
      <c r="AK585" s="11" t="e">
        <f>VLOOKUP(L585,'[1]singkron data'!D:E,2,FALSE)</f>
        <v>#N/A</v>
      </c>
      <c r="AL585" s="11" t="str">
        <f>VLOOKUP(L585,'[1]update 521'!D:D,1,FALSE)</f>
        <v>Bulutui</v>
      </c>
      <c r="AM585" s="11" t="s">
        <v>57</v>
      </c>
      <c r="AN585" s="11" t="e">
        <f>VLOOKUP(L585,[1]Sheet19!E:L,8,FALSE)</f>
        <v>#N/A</v>
      </c>
      <c r="AO585" s="11" t="s">
        <v>1129</v>
      </c>
      <c r="AP585" s="12"/>
    </row>
    <row r="586" spans="1:42" ht="15" x14ac:dyDescent="0.2">
      <c r="A586" s="8" t="s">
        <v>42</v>
      </c>
      <c r="B586" s="9" t="s">
        <v>43</v>
      </c>
      <c r="C586" s="9">
        <v>610</v>
      </c>
      <c r="D586" s="9" t="s">
        <v>1112</v>
      </c>
      <c r="E586" s="9">
        <v>141</v>
      </c>
      <c r="F586" s="9" t="s">
        <v>1418</v>
      </c>
      <c r="G586" s="9" t="s">
        <v>1125</v>
      </c>
      <c r="H586" s="9" t="s">
        <v>287</v>
      </c>
      <c r="I586" s="9" t="s">
        <v>1132</v>
      </c>
      <c r="J586" s="9" t="s">
        <v>1419</v>
      </c>
      <c r="K586" s="9" t="s">
        <v>1424</v>
      </c>
      <c r="L586" s="9" t="s">
        <v>1424</v>
      </c>
      <c r="M586" s="9" t="s">
        <v>51</v>
      </c>
      <c r="N586" s="9">
        <v>95</v>
      </c>
      <c r="O586" s="9">
        <v>15</v>
      </c>
      <c r="P586" s="9">
        <v>83</v>
      </c>
      <c r="Q586" s="9">
        <v>98</v>
      </c>
      <c r="R586" s="9">
        <v>0.1</v>
      </c>
      <c r="S586" s="9">
        <v>1.8004</v>
      </c>
      <c r="T586" s="9">
        <v>125.12</v>
      </c>
      <c r="U586" s="9"/>
      <c r="V586" s="11" t="e">
        <f>VLOOKUP(L586,'[1]singkron data'!D:E,2,FALSE)</f>
        <v>#N/A</v>
      </c>
      <c r="W586" s="13">
        <f>VLOOKUP(L586,[1]Sheet18!A:B,2,FALSE)</f>
        <v>4192695000</v>
      </c>
      <c r="X586" s="11" t="s">
        <v>55</v>
      </c>
      <c r="Y586" s="11" t="e">
        <f>VLOOKUP(L586,'[1]singkron data'!D:H,5,FALSE)</f>
        <v>#N/A</v>
      </c>
      <c r="Z586" s="11" t="e">
        <f>VLOOKUP(L586,'[1]singkron data'!D:I,6,FALSE)</f>
        <v>#N/A</v>
      </c>
      <c r="AA586" s="11" t="e">
        <f>VLOOKUP(L586,'[1]singkron data'!D:L,9,FALSE)</f>
        <v>#N/A</v>
      </c>
      <c r="AB586" s="11" t="s">
        <v>694</v>
      </c>
      <c r="AC586" s="11" t="e">
        <f>VLOOKUP(L586,'[1]singkron data'!D:M,10,FALSE)</f>
        <v>#N/A</v>
      </c>
      <c r="AD586" s="11"/>
      <c r="AE586" s="11" t="e">
        <f>VLOOKUP(L586,'[1]singkron data'!D:P,13,FALSE)</f>
        <v>#N/A</v>
      </c>
      <c r="AF586" s="11" t="s">
        <v>55</v>
      </c>
      <c r="AG586" s="11" t="e">
        <f>VLOOKUP(L586,'[1]update kontrak'!E:K,6,FALSE)</f>
        <v>#N/A</v>
      </c>
      <c r="AH586" s="11" t="e">
        <f>VLOOKUP(L586,'[1]update kontrak'!E:K,7,FALSE)</f>
        <v>#N/A</v>
      </c>
      <c r="AI586" s="11"/>
      <c r="AJ586" s="11" t="str">
        <f>VLOOKUP(L586,[1]rekap!D:M,1,FALSE)</f>
        <v>Kahuhu</v>
      </c>
      <c r="AK586" s="11" t="e">
        <f>VLOOKUP(L586,'[1]singkron data'!D:E,2,FALSE)</f>
        <v>#N/A</v>
      </c>
      <c r="AL586" s="11" t="str">
        <f>VLOOKUP(L586,'[1]update 521'!D:D,1,FALSE)</f>
        <v>Kahuhu</v>
      </c>
      <c r="AM586" s="11" t="s">
        <v>57</v>
      </c>
      <c r="AN586" s="11" t="e">
        <f>VLOOKUP(L586,[1]Sheet19!E:L,8,FALSE)</f>
        <v>#N/A</v>
      </c>
      <c r="AO586" s="11" t="s">
        <v>1129</v>
      </c>
      <c r="AP586" s="12"/>
    </row>
    <row r="587" spans="1:42" ht="15" x14ac:dyDescent="0.2">
      <c r="A587" s="8" t="s">
        <v>42</v>
      </c>
      <c r="B587" s="9" t="s">
        <v>43</v>
      </c>
      <c r="C587" s="9">
        <v>611</v>
      </c>
      <c r="D587" s="9" t="s">
        <v>1112</v>
      </c>
      <c r="E587" s="9">
        <v>142</v>
      </c>
      <c r="F587" s="9" t="s">
        <v>1418</v>
      </c>
      <c r="G587" s="9" t="s">
        <v>1125</v>
      </c>
      <c r="H587" s="9" t="s">
        <v>287</v>
      </c>
      <c r="I587" s="9" t="s">
        <v>1132</v>
      </c>
      <c r="J587" s="9" t="s">
        <v>1425</v>
      </c>
      <c r="K587" s="9" t="s">
        <v>1426</v>
      </c>
      <c r="L587" s="9" t="s">
        <v>1426</v>
      </c>
      <c r="M587" s="9" t="s">
        <v>51</v>
      </c>
      <c r="N587" s="9">
        <v>109</v>
      </c>
      <c r="O587" s="9">
        <v>3</v>
      </c>
      <c r="P587" s="9">
        <v>107</v>
      </c>
      <c r="Q587" s="9">
        <v>110</v>
      </c>
      <c r="R587" s="9">
        <v>0.17</v>
      </c>
      <c r="S587" s="9">
        <v>1.6168</v>
      </c>
      <c r="T587" s="9">
        <v>124.8711</v>
      </c>
      <c r="U587" s="9"/>
      <c r="V587" s="11" t="e">
        <f>VLOOKUP(L587,'[1]singkron data'!D:E,2,FALSE)</f>
        <v>#N/A</v>
      </c>
      <c r="W587" s="13"/>
      <c r="X587" s="11"/>
      <c r="Y587" s="11" t="e">
        <f>VLOOKUP(L587,'[1]singkron data'!D:H,5,FALSE)</f>
        <v>#N/A</v>
      </c>
      <c r="Z587" s="11" t="e">
        <f>VLOOKUP(L587,'[1]singkron data'!D:I,6,FALSE)</f>
        <v>#N/A</v>
      </c>
      <c r="AA587" s="11" t="e">
        <f>VLOOKUP(L587,'[1]singkron data'!D:L,9,FALSE)</f>
        <v>#N/A</v>
      </c>
      <c r="AB587" s="11" t="s">
        <v>694</v>
      </c>
      <c r="AC587" s="11" t="e">
        <f>VLOOKUP(L587,'[1]singkron data'!D:M,10,FALSE)</f>
        <v>#N/A</v>
      </c>
      <c r="AD587" s="11"/>
      <c r="AE587" s="11" t="e">
        <f>VLOOKUP(L587,'[1]singkron data'!D:P,13,FALSE)</f>
        <v>#N/A</v>
      </c>
      <c r="AF587" s="11" t="s">
        <v>55</v>
      </c>
      <c r="AG587" s="11" t="e">
        <f>VLOOKUP(L587,'[1]update kontrak'!E:K,6,FALSE)</f>
        <v>#N/A</v>
      </c>
      <c r="AH587" s="11" t="e">
        <f>VLOOKUP(L587,'[1]update kontrak'!E:K,7,FALSE)</f>
        <v>#N/A</v>
      </c>
      <c r="AI587" s="11"/>
      <c r="AJ587" s="11" t="str">
        <f>VLOOKUP(L587,[1]rekap!D:M,1,FALSE)</f>
        <v>Minaesa</v>
      </c>
      <c r="AK587" s="11" t="e">
        <f>VLOOKUP(L587,'[1]singkron data'!D:E,2,FALSE)</f>
        <v>#N/A</v>
      </c>
      <c r="AL587" s="11" t="str">
        <f>VLOOKUP(L587,'[1]update 521'!D:D,1,FALSE)</f>
        <v>Minaesa</v>
      </c>
      <c r="AM587" s="11" t="s">
        <v>57</v>
      </c>
      <c r="AN587" s="11" t="e">
        <f>VLOOKUP(L587,[1]Sheet19!E:L,8,FALSE)</f>
        <v>#N/A</v>
      </c>
      <c r="AO587" s="11" t="e">
        <f>VLOOKUP(L587,[1]Sheet19!E:K,7,FALSE)</f>
        <v>#N/A</v>
      </c>
      <c r="AP587" s="12"/>
    </row>
    <row r="588" spans="1:42" ht="15" x14ac:dyDescent="0.2">
      <c r="A588" s="8" t="s">
        <v>42</v>
      </c>
      <c r="B588" s="9" t="s">
        <v>43</v>
      </c>
      <c r="C588" s="9">
        <v>612</v>
      </c>
      <c r="D588" s="9" t="s">
        <v>1112</v>
      </c>
      <c r="E588" s="9">
        <v>143</v>
      </c>
      <c r="F588" s="9" t="s">
        <v>1427</v>
      </c>
      <c r="G588" s="9" t="s">
        <v>1141</v>
      </c>
      <c r="H588" s="9" t="s">
        <v>287</v>
      </c>
      <c r="I588" s="9" t="s">
        <v>1428</v>
      </c>
      <c r="J588" s="9" t="s">
        <v>1429</v>
      </c>
      <c r="K588" s="9" t="s">
        <v>1430</v>
      </c>
      <c r="L588" s="10" t="s">
        <v>1430</v>
      </c>
      <c r="M588" s="9" t="s">
        <v>65</v>
      </c>
      <c r="N588" s="9">
        <v>156</v>
      </c>
      <c r="O588" s="9">
        <v>79</v>
      </c>
      <c r="P588" s="9">
        <v>33</v>
      </c>
      <c r="Q588" s="9">
        <v>112</v>
      </c>
      <c r="R588" s="9">
        <v>1.08</v>
      </c>
      <c r="S588" s="9">
        <v>-4.5301239999999998</v>
      </c>
      <c r="T588" s="9">
        <v>123.158023</v>
      </c>
      <c r="U588" s="9" t="s">
        <v>52</v>
      </c>
      <c r="V588" s="11" t="str">
        <f>VLOOKUP(L588,'[1]singkron data'!D:E,2,FALSE)</f>
        <v>PT. VTB Jaya Makmur</v>
      </c>
      <c r="W588" s="13">
        <f>VLOOKUP(L588,'[1]data 1129'!F:H,3,FALSE)</f>
        <v>7647714000</v>
      </c>
      <c r="X588" s="11" t="s">
        <v>55</v>
      </c>
      <c r="Y588" s="11">
        <f>VLOOKUP(L588,'[1]singkron data'!D:H,5,FALSE)</f>
        <v>0</v>
      </c>
      <c r="Z588" s="11" t="str">
        <f>VLOOKUP(L588,'[1]singkron data'!D:I,6,FALSE)</f>
        <v>Online</v>
      </c>
      <c r="AA588" s="11" t="str">
        <f>VLOOKUP(L588,'[1]singkron data'!D:L,9,FALSE)</f>
        <v>085395302781/layla</v>
      </c>
      <c r="AB588" s="11" t="s">
        <v>54</v>
      </c>
      <c r="AC588" s="11" t="str">
        <f>VLOOKUP(L588,'[1]singkron data'!D:M,10,FALSE)</f>
        <v>V</v>
      </c>
      <c r="AD588" s="11" t="str">
        <f>VLOOKUP(L588,'[1]data 1129'!F:O,10,FALSE)</f>
        <v>Tahap I 208</v>
      </c>
      <c r="AE588" s="11" t="str">
        <f>VLOOKUP(L588,'[1]singkron data'!D:P,13,FALSE)</f>
        <v>sudah</v>
      </c>
      <c r="AF588" s="11" t="s">
        <v>55</v>
      </c>
      <c r="AG588" s="17">
        <f>VLOOKUP(L588,'[1]update kontrak'!E:K,6,FALSE)</f>
        <v>6601919000</v>
      </c>
      <c r="AH588" s="11" t="str">
        <f>VLOOKUP(L588,'[1]update kontrak'!E:K,7,FALSE)</f>
        <v>SPPBJ</v>
      </c>
      <c r="AI588" s="11" t="s">
        <v>58</v>
      </c>
      <c r="AJ588" s="11" t="str">
        <f>VLOOKUP(L588,[1]rekap!D:M,1,FALSE)</f>
        <v>Lanosangia</v>
      </c>
      <c r="AK588" s="11" t="str">
        <f>VLOOKUP(L588,'[1]singkron data'!D:E,2,FALSE)</f>
        <v>PT. VTB Jaya Makmur</v>
      </c>
      <c r="AL588" s="11" t="str">
        <f>VLOOKUP(L588,'[1]update 521'!D:D,1,FALSE)</f>
        <v>Lanosangia</v>
      </c>
      <c r="AM588" s="11" t="s">
        <v>57</v>
      </c>
      <c r="AN588" s="17">
        <f>VLOOKUP(L588,[1]Sheet19!E:L,8,FALSE)</f>
        <v>6601919000</v>
      </c>
      <c r="AO588" s="11" t="str">
        <f>VLOOKUP(L588,[1]Sheet19!E:K,7,FALSE)</f>
        <v>SPPBJ</v>
      </c>
      <c r="AP588" s="12"/>
    </row>
    <row r="589" spans="1:42" ht="15" x14ac:dyDescent="0.2">
      <c r="A589" s="8" t="s">
        <v>42</v>
      </c>
      <c r="B589" s="9" t="s">
        <v>43</v>
      </c>
      <c r="C589" s="9">
        <v>613</v>
      </c>
      <c r="D589" s="9" t="s">
        <v>1112</v>
      </c>
      <c r="E589" s="9">
        <v>144</v>
      </c>
      <c r="F589" s="9" t="s">
        <v>1431</v>
      </c>
      <c r="G589" s="9" t="s">
        <v>1141</v>
      </c>
      <c r="H589" s="9" t="s">
        <v>287</v>
      </c>
      <c r="I589" s="9" t="s">
        <v>1432</v>
      </c>
      <c r="J589" s="9" t="s">
        <v>1433</v>
      </c>
      <c r="K589" s="9" t="s">
        <v>1431</v>
      </c>
      <c r="L589" s="10" t="s">
        <v>1431</v>
      </c>
      <c r="M589" s="9" t="s">
        <v>65</v>
      </c>
      <c r="N589" s="9">
        <v>200</v>
      </c>
      <c r="O589" s="9">
        <v>30</v>
      </c>
      <c r="P589" s="9">
        <v>170</v>
      </c>
      <c r="Q589" s="9">
        <v>200</v>
      </c>
      <c r="R589" s="9">
        <v>1.1000000000000001</v>
      </c>
      <c r="S589" s="9">
        <v>-5.4262082999999999</v>
      </c>
      <c r="T589" s="9">
        <v>123.0509417</v>
      </c>
      <c r="U589" s="9" t="s">
        <v>52</v>
      </c>
      <c r="V589" s="31" t="s">
        <v>1434</v>
      </c>
      <c r="W589" s="13">
        <f>VLOOKUP(L589,'[1]data 1129'!F:H,3,FALSE)</f>
        <v>8382783000</v>
      </c>
      <c r="X589" s="11" t="s">
        <v>55</v>
      </c>
      <c r="Y589" s="11">
        <f>VLOOKUP(L589,'[1]singkron data'!D:H,5,FALSE)</f>
        <v>0</v>
      </c>
      <c r="Z589" s="11">
        <f>VLOOKUP(L589,'[1]singkron data'!D:I,6,FALSE)</f>
        <v>0</v>
      </c>
      <c r="AA589" s="11" t="s">
        <v>1268</v>
      </c>
      <c r="AB589" s="11" t="s">
        <v>54</v>
      </c>
      <c r="AC589" s="11" t="s">
        <v>1435</v>
      </c>
      <c r="AD589" s="11" t="str">
        <f>VLOOKUP(L589,'[1]data 1129'!F:O,10,FALSE)</f>
        <v>Tahap I 208</v>
      </c>
      <c r="AE589" s="11" t="str">
        <f>VLOOKUP(L589,'[1]singkron data'!D:P,13,FALSE)</f>
        <v>sudah</v>
      </c>
      <c r="AF589" s="11" t="s">
        <v>55</v>
      </c>
      <c r="AG589" s="11" t="e">
        <f>VLOOKUP(L589,'[1]update kontrak'!E:K,6,FALSE)</f>
        <v>#N/A</v>
      </c>
      <c r="AH589" s="11" t="e">
        <f>VLOOKUP(L589,'[1]update kontrak'!E:K,7,FALSE)</f>
        <v>#N/A</v>
      </c>
      <c r="AI589" s="11" t="s">
        <v>58</v>
      </c>
      <c r="AJ589" s="11" t="str">
        <f>VLOOKUP(L589,[1]rekap!D:M,1,FALSE)</f>
        <v>Manuru</v>
      </c>
      <c r="AK589" s="11" t="str">
        <f>VLOOKUP(L589,'[1]singkron data'!D:E,2,FALSE)</f>
        <v>First Grand Synergy Indonesia</v>
      </c>
      <c r="AL589" s="11" t="str">
        <f>VLOOKUP(L589,'[1]update 521'!D:D,1,FALSE)</f>
        <v>Manuru</v>
      </c>
      <c r="AM589" s="11" t="s">
        <v>57</v>
      </c>
      <c r="AN589" s="11" t="e">
        <f>VLOOKUP(L589,[1]Sheet19!E:L,8,FALSE)</f>
        <v>#N/A</v>
      </c>
      <c r="AO589" s="11" t="s">
        <v>58</v>
      </c>
      <c r="AP589" s="12"/>
    </row>
    <row r="590" spans="1:42" ht="15" x14ac:dyDescent="0.2">
      <c r="A590" s="8" t="s">
        <v>42</v>
      </c>
      <c r="B590" s="9" t="s">
        <v>43</v>
      </c>
      <c r="C590" s="9">
        <v>614</v>
      </c>
      <c r="D590" s="9" t="s">
        <v>1112</v>
      </c>
      <c r="E590" s="9">
        <v>145</v>
      </c>
      <c r="F590" s="9" t="s">
        <v>1431</v>
      </c>
      <c r="G590" s="9" t="s">
        <v>1141</v>
      </c>
      <c r="H590" s="9" t="s">
        <v>287</v>
      </c>
      <c r="I590" s="9" t="s">
        <v>1432</v>
      </c>
      <c r="J590" s="9" t="s">
        <v>1436</v>
      </c>
      <c r="K590" s="9" t="s">
        <v>1437</v>
      </c>
      <c r="L590" s="10" t="s">
        <v>1437</v>
      </c>
      <c r="M590" s="9" t="s">
        <v>51</v>
      </c>
      <c r="N590" s="9">
        <v>261</v>
      </c>
      <c r="O590" s="9">
        <v>12</v>
      </c>
      <c r="P590" s="9">
        <v>181</v>
      </c>
      <c r="Q590" s="9">
        <v>193</v>
      </c>
      <c r="R590" s="9">
        <v>1</v>
      </c>
      <c r="S590" s="9">
        <v>-5.2486459999999999</v>
      </c>
      <c r="T590" s="9">
        <v>123.164421</v>
      </c>
      <c r="U590" s="9" t="s">
        <v>52</v>
      </c>
      <c r="V590" s="20"/>
      <c r="W590" s="13">
        <f>VLOOKUP(L590,'[1]data 1129'!F:H,3,FALSE)</f>
        <v>5005536000</v>
      </c>
      <c r="X590" s="11" t="s">
        <v>55</v>
      </c>
      <c r="Y590" s="11">
        <f>VLOOKUP(L590,'[1]singkron data'!D:H,5,FALSE)</f>
        <v>0</v>
      </c>
      <c r="Z590" s="11">
        <f>VLOOKUP(L590,'[1]singkron data'!D:I,6,FALSE)</f>
        <v>0</v>
      </c>
      <c r="AA590" s="11"/>
      <c r="AB590" s="11" t="s">
        <v>54</v>
      </c>
      <c r="AC590" s="11" t="s">
        <v>1348</v>
      </c>
      <c r="AD590" s="11" t="str">
        <f>VLOOKUP(L590,'[1]data 1129'!F:O,10,FALSE)</f>
        <v>Tahap I 208</v>
      </c>
      <c r="AE590" s="11" t="str">
        <f>VLOOKUP(L590,'[1]singkron data'!D:P,13,FALSE)</f>
        <v>sudah</v>
      </c>
      <c r="AF590" s="11" t="s">
        <v>55</v>
      </c>
      <c r="AG590" s="11" t="e">
        <f>VLOOKUP(L590,'[1]update kontrak'!E:K,6,FALSE)</f>
        <v>#N/A</v>
      </c>
      <c r="AH590" s="11" t="e">
        <f>VLOOKUP(L590,'[1]update kontrak'!E:K,7,FALSE)</f>
        <v>#N/A</v>
      </c>
      <c r="AI590" s="11" t="s">
        <v>58</v>
      </c>
      <c r="AJ590" s="11" t="str">
        <f>VLOOKUP(L590,[1]rekap!D:M,1,FALSE)</f>
        <v>Lasalimu</v>
      </c>
      <c r="AK590" s="11" t="str">
        <f>VLOOKUP(L590,'[1]singkron data'!D:E,2,FALSE)</f>
        <v>First Grand Synergy Indonesia</v>
      </c>
      <c r="AL590" s="11" t="str">
        <f>VLOOKUP(L590,'[1]update 521'!D:D,1,FALSE)</f>
        <v>Lasalimu</v>
      </c>
      <c r="AM590" s="11" t="s">
        <v>57</v>
      </c>
      <c r="AN590" s="11" t="e">
        <f>VLOOKUP(L590,[1]Sheet19!E:L,8,FALSE)</f>
        <v>#N/A</v>
      </c>
      <c r="AO590" s="11" t="s">
        <v>58</v>
      </c>
      <c r="AP590" s="12"/>
    </row>
    <row r="591" spans="1:42" ht="15" x14ac:dyDescent="0.2">
      <c r="A591" s="8" t="s">
        <v>42</v>
      </c>
      <c r="B591" s="9" t="s">
        <v>43</v>
      </c>
      <c r="C591" s="9">
        <v>615</v>
      </c>
      <c r="D591" s="9" t="s">
        <v>1112</v>
      </c>
      <c r="E591" s="9">
        <v>146</v>
      </c>
      <c r="F591" s="9" t="s">
        <v>1438</v>
      </c>
      <c r="G591" s="9" t="s">
        <v>1243</v>
      </c>
      <c r="H591" s="9" t="s">
        <v>287</v>
      </c>
      <c r="I591" s="9" t="s">
        <v>1439</v>
      </c>
      <c r="J591" s="9" t="s">
        <v>1440</v>
      </c>
      <c r="K591" s="9" t="s">
        <v>1441</v>
      </c>
      <c r="L591" s="10" t="s">
        <v>1441</v>
      </c>
      <c r="M591" s="9" t="s">
        <v>51</v>
      </c>
      <c r="N591" s="9">
        <v>30</v>
      </c>
      <c r="O591" s="9" t="s">
        <v>72</v>
      </c>
      <c r="P591" s="9">
        <v>30</v>
      </c>
      <c r="Q591" s="9">
        <v>30</v>
      </c>
      <c r="R591" s="9">
        <v>0.56999999999999995</v>
      </c>
      <c r="S591" s="9">
        <v>0.338167</v>
      </c>
      <c r="T591" s="9">
        <v>123.46722200000001</v>
      </c>
      <c r="U591" s="9" t="s">
        <v>52</v>
      </c>
      <c r="V591" s="11" t="s">
        <v>1403</v>
      </c>
      <c r="W591" s="13">
        <f>VLOOKUP(L591,'[1]data 1129'!F:H,3,FALSE)</f>
        <v>5300969000</v>
      </c>
      <c r="X591" s="11" t="s">
        <v>55</v>
      </c>
      <c r="Y591" s="11">
        <f>VLOOKUP(L591,'[1]singkron data'!D:H,5,FALSE)</f>
        <v>0</v>
      </c>
      <c r="Z591" s="11">
        <f>VLOOKUP(L591,'[1]singkron data'!D:I,6,FALSE)</f>
        <v>0</v>
      </c>
      <c r="AA591" s="11" t="str">
        <f>VLOOKUP(L591,'[1]singkron data'!D:L,9,FALSE)</f>
        <v>0811946557/sutanto</v>
      </c>
      <c r="AB591" s="11" t="s">
        <v>54</v>
      </c>
      <c r="AC591" s="11" t="str">
        <f>VLOOKUP(L591,'[1]singkron data'!D:M,10,FALSE)</f>
        <v>Hyl</v>
      </c>
      <c r="AD591" s="11" t="str">
        <f>VLOOKUP(L591,'[1]data 1129'!F:O,10,FALSE)</f>
        <v>Tahap III 166</v>
      </c>
      <c r="AE591" s="11" t="str">
        <f>VLOOKUP(L591,'[1]singkron data'!D:P,13,FALSE)</f>
        <v>sudah</v>
      </c>
      <c r="AF591" s="11" t="s">
        <v>55</v>
      </c>
      <c r="AG591" s="11" t="e">
        <f>VLOOKUP(L591,'[1]update kontrak'!E:K,6,FALSE)</f>
        <v>#N/A</v>
      </c>
      <c r="AH591" s="11" t="e">
        <f>VLOOKUP(L591,'[1]update kontrak'!E:K,7,FALSE)</f>
        <v>#N/A</v>
      </c>
      <c r="AI591" s="11" t="s">
        <v>58</v>
      </c>
      <c r="AJ591" s="11" t="str">
        <f>VLOOKUP(L591,[1]rekap!D:M,1,FALSE)</f>
        <v>Muara Bone</v>
      </c>
      <c r="AK591" s="11" t="str">
        <f>AJ591</f>
        <v>Muara Bone</v>
      </c>
      <c r="AL591" s="11" t="str">
        <f>VLOOKUP(L591,'[1]update 521'!D:D,1,FALSE)</f>
        <v>Muara Bone</v>
      </c>
      <c r="AM591" s="11" t="s">
        <v>57</v>
      </c>
      <c r="AN591" s="11" t="e">
        <f>VLOOKUP(L591,[1]Sheet19!E:L,8,FALSE)</f>
        <v>#N/A</v>
      </c>
      <c r="AO591" s="11" t="s">
        <v>58</v>
      </c>
      <c r="AP591" s="12"/>
    </row>
    <row r="592" spans="1:42" ht="15" x14ac:dyDescent="0.2">
      <c r="A592" s="8" t="s">
        <v>42</v>
      </c>
      <c r="B592" s="9" t="s">
        <v>43</v>
      </c>
      <c r="C592" s="9">
        <v>616</v>
      </c>
      <c r="D592" s="9" t="s">
        <v>1112</v>
      </c>
      <c r="E592" s="9">
        <v>147</v>
      </c>
      <c r="F592" s="9" t="s">
        <v>1438</v>
      </c>
      <c r="G592" s="9" t="s">
        <v>1125</v>
      </c>
      <c r="H592" s="9" t="s">
        <v>287</v>
      </c>
      <c r="I592" s="9" t="s">
        <v>1371</v>
      </c>
      <c r="J592" s="9" t="s">
        <v>1442</v>
      </c>
      <c r="K592" s="9" t="s">
        <v>1443</v>
      </c>
      <c r="L592" s="9" t="s">
        <v>1443</v>
      </c>
      <c r="M592" s="9" t="s">
        <v>51</v>
      </c>
      <c r="N592" s="9">
        <v>357</v>
      </c>
      <c r="O592" s="9">
        <v>2</v>
      </c>
      <c r="P592" s="9">
        <v>59</v>
      </c>
      <c r="Q592" s="9">
        <v>61</v>
      </c>
      <c r="R592" s="9">
        <v>1.1000000000000001</v>
      </c>
      <c r="S592" s="9">
        <v>0.372388</v>
      </c>
      <c r="T592" s="9">
        <v>124.025493</v>
      </c>
      <c r="U592" s="9"/>
      <c r="V592" s="11" t="e">
        <f>VLOOKUP(L592,'[1]singkron data'!D:E,2,FALSE)</f>
        <v>#N/A</v>
      </c>
      <c r="W592" s="13">
        <v>5599181000</v>
      </c>
      <c r="X592" s="11" t="s">
        <v>55</v>
      </c>
      <c r="Y592" s="11" t="e">
        <f>VLOOKUP(L592,'[1]singkron data'!D:H,5,FALSE)</f>
        <v>#N/A</v>
      </c>
      <c r="Z592" s="11" t="e">
        <f>VLOOKUP(L592,'[1]singkron data'!D:I,6,FALSE)</f>
        <v>#N/A</v>
      </c>
      <c r="AA592" s="11" t="e">
        <f>VLOOKUP(L592,'[1]singkron data'!D:L,9,FALSE)</f>
        <v>#N/A</v>
      </c>
      <c r="AB592" s="11" t="s">
        <v>694</v>
      </c>
      <c r="AC592" s="11" t="e">
        <f>VLOOKUP(L592,'[1]singkron data'!D:M,10,FALSE)</f>
        <v>#N/A</v>
      </c>
      <c r="AD592" s="11"/>
      <c r="AE592" s="11" t="e">
        <f>VLOOKUP(L592,'[1]singkron data'!D:P,13,FALSE)</f>
        <v>#N/A</v>
      </c>
      <c r="AF592" s="11" t="s">
        <v>55</v>
      </c>
      <c r="AG592" s="11" t="e">
        <f>VLOOKUP(L592,'[1]update kontrak'!E:K,6,FALSE)</f>
        <v>#N/A</v>
      </c>
      <c r="AH592" s="11" t="e">
        <f>VLOOKUP(L592,'[1]update kontrak'!E:K,7,FALSE)</f>
        <v>#N/A</v>
      </c>
      <c r="AI592" s="11"/>
      <c r="AJ592" s="11" t="str">
        <f>VLOOKUP(L592,[1]rekap!D:M,1,FALSE)</f>
        <v>Tabilaa</v>
      </c>
      <c r="AK592" s="11" t="e">
        <f>VLOOKUP(L592,'[1]singkron data'!D:E,2,FALSE)</f>
        <v>#N/A</v>
      </c>
      <c r="AL592" s="11" t="str">
        <f>VLOOKUP(L592,'[1]update 521'!D:D,1,FALSE)</f>
        <v>Tabilaa</v>
      </c>
      <c r="AM592" s="11" t="s">
        <v>57</v>
      </c>
      <c r="AN592" s="11" t="e">
        <f>VLOOKUP(L592,[1]Sheet19!E:L,8,FALSE)</f>
        <v>#N/A</v>
      </c>
      <c r="AO592" s="11" t="s">
        <v>1129</v>
      </c>
      <c r="AP592" s="12"/>
    </row>
    <row r="593" spans="1:42" ht="15" x14ac:dyDescent="0.2">
      <c r="A593" s="8" t="s">
        <v>42</v>
      </c>
      <c r="B593" s="9" t="s">
        <v>43</v>
      </c>
      <c r="C593" s="9">
        <v>617</v>
      </c>
      <c r="D593" s="9" t="s">
        <v>1112</v>
      </c>
      <c r="E593" s="9">
        <v>148</v>
      </c>
      <c r="F593" s="9" t="s">
        <v>1438</v>
      </c>
      <c r="G593" s="9" t="s">
        <v>1125</v>
      </c>
      <c r="H593" s="9" t="s">
        <v>287</v>
      </c>
      <c r="I593" s="9" t="s">
        <v>1371</v>
      </c>
      <c r="J593" s="9" t="s">
        <v>1442</v>
      </c>
      <c r="K593" s="9" t="s">
        <v>1444</v>
      </c>
      <c r="L593" s="9" t="s">
        <v>1444</v>
      </c>
      <c r="M593" s="9" t="s">
        <v>51</v>
      </c>
      <c r="N593" s="9">
        <v>165</v>
      </c>
      <c r="O593" s="9" t="s">
        <v>72</v>
      </c>
      <c r="P593" s="9">
        <v>68</v>
      </c>
      <c r="Q593" s="9">
        <v>68</v>
      </c>
      <c r="R593" s="9">
        <v>1.1100000000000001</v>
      </c>
      <c r="S593" s="9">
        <v>0.36380099999999999</v>
      </c>
      <c r="T593" s="9">
        <v>123.946236</v>
      </c>
      <c r="U593" s="9"/>
      <c r="V593" s="11" t="e">
        <f>VLOOKUP(L593,'[1]singkron data'!D:E,2,FALSE)</f>
        <v>#N/A</v>
      </c>
      <c r="W593" s="13">
        <v>4732640000</v>
      </c>
      <c r="X593" s="11" t="s">
        <v>55</v>
      </c>
      <c r="Y593" s="11" t="e">
        <f>VLOOKUP(L593,'[1]singkron data'!D:H,5,FALSE)</f>
        <v>#N/A</v>
      </c>
      <c r="Z593" s="11" t="e">
        <f>VLOOKUP(L593,'[1]singkron data'!D:I,6,FALSE)</f>
        <v>#N/A</v>
      </c>
      <c r="AA593" s="11" t="e">
        <f>VLOOKUP(L593,'[1]singkron data'!D:L,9,FALSE)</f>
        <v>#N/A</v>
      </c>
      <c r="AB593" s="11" t="s">
        <v>694</v>
      </c>
      <c r="AC593" s="11" t="e">
        <f>VLOOKUP(L593,'[1]singkron data'!D:M,10,FALSE)</f>
        <v>#N/A</v>
      </c>
      <c r="AD593" s="11"/>
      <c r="AE593" s="11" t="e">
        <f>VLOOKUP(L593,'[1]singkron data'!D:P,13,FALSE)</f>
        <v>#N/A</v>
      </c>
      <c r="AF593" s="11" t="s">
        <v>55</v>
      </c>
      <c r="AG593" s="11" t="e">
        <f>VLOOKUP(L593,'[1]update kontrak'!E:K,6,FALSE)</f>
        <v>#N/A</v>
      </c>
      <c r="AH593" s="11" t="e">
        <f>VLOOKUP(L593,'[1]update kontrak'!E:K,7,FALSE)</f>
        <v>#N/A</v>
      </c>
      <c r="AI593" s="11"/>
      <c r="AJ593" s="11" t="str">
        <f>VLOOKUP(L593,[1]rekap!D:M,1,FALSE)</f>
        <v>Pinolantungan</v>
      </c>
      <c r="AK593" s="11" t="e">
        <f>VLOOKUP(L593,'[1]singkron data'!D:E,2,FALSE)</f>
        <v>#N/A</v>
      </c>
      <c r="AL593" s="11" t="str">
        <f>VLOOKUP(L593,'[1]update 521'!D:D,1,FALSE)</f>
        <v>Pinolantungan</v>
      </c>
      <c r="AM593" s="11" t="s">
        <v>57</v>
      </c>
      <c r="AN593" s="11" t="e">
        <f>VLOOKUP(L593,[1]Sheet19!E:L,8,FALSE)</f>
        <v>#N/A</v>
      </c>
      <c r="AO593" s="11" t="s">
        <v>1129</v>
      </c>
      <c r="AP593" s="12"/>
    </row>
    <row r="594" spans="1:42" ht="15" x14ac:dyDescent="0.2">
      <c r="A594" s="8" t="s">
        <v>42</v>
      </c>
      <c r="B594" s="9" t="s">
        <v>43</v>
      </c>
      <c r="C594" s="9">
        <v>618</v>
      </c>
      <c r="D594" s="9" t="s">
        <v>1112</v>
      </c>
      <c r="E594" s="9">
        <v>149</v>
      </c>
      <c r="F594" s="9" t="s">
        <v>1438</v>
      </c>
      <c r="G594" s="9" t="s">
        <v>1125</v>
      </c>
      <c r="H594" s="9" t="s">
        <v>287</v>
      </c>
      <c r="I594" s="9" t="s">
        <v>1371</v>
      </c>
      <c r="J594" s="9" t="s">
        <v>1445</v>
      </c>
      <c r="K594" s="9" t="s">
        <v>1446</v>
      </c>
      <c r="L594" s="9" t="s">
        <v>1446</v>
      </c>
      <c r="M594" s="9" t="s">
        <v>51</v>
      </c>
      <c r="N594" s="9">
        <v>310</v>
      </c>
      <c r="O594" s="9">
        <v>4</v>
      </c>
      <c r="P594" s="9">
        <v>25</v>
      </c>
      <c r="Q594" s="9">
        <v>29</v>
      </c>
      <c r="R594" s="9">
        <v>1.06</v>
      </c>
      <c r="S594" s="9">
        <v>0.31707099999999999</v>
      </c>
      <c r="T594" s="9">
        <v>123.75949799999999</v>
      </c>
      <c r="U594" s="9"/>
      <c r="V594" s="11" t="e">
        <f>VLOOKUP(L594,'[1]singkron data'!D:E,2,FALSE)</f>
        <v>#N/A</v>
      </c>
      <c r="W594" s="13">
        <f>VLOOKUP(L594,[1]Sheet18!A:B,2,FALSE)</f>
        <v>7264792000</v>
      </c>
      <c r="X594" s="11" t="s">
        <v>55</v>
      </c>
      <c r="Y594" s="11" t="e">
        <f>VLOOKUP(L594,'[1]singkron data'!D:H,5,FALSE)</f>
        <v>#N/A</v>
      </c>
      <c r="Z594" s="11" t="e">
        <f>VLOOKUP(L594,'[1]singkron data'!D:I,6,FALSE)</f>
        <v>#N/A</v>
      </c>
      <c r="AA594" s="11" t="e">
        <f>VLOOKUP(L594,'[1]singkron data'!D:L,9,FALSE)</f>
        <v>#N/A</v>
      </c>
      <c r="AB594" s="11" t="s">
        <v>694</v>
      </c>
      <c r="AC594" s="11" t="e">
        <f>VLOOKUP(L594,'[1]singkron data'!D:M,10,FALSE)</f>
        <v>#N/A</v>
      </c>
      <c r="AD594" s="11"/>
      <c r="AE594" s="11" t="e">
        <f>VLOOKUP(L594,'[1]singkron data'!D:P,13,FALSE)</f>
        <v>#N/A</v>
      </c>
      <c r="AF594" s="11" t="s">
        <v>55</v>
      </c>
      <c r="AG594" s="11" t="e">
        <f>VLOOKUP(L594,'[1]update kontrak'!E:K,6,FALSE)</f>
        <v>#N/A</v>
      </c>
      <c r="AH594" s="11" t="e">
        <f>VLOOKUP(L594,'[1]update kontrak'!E:K,7,FALSE)</f>
        <v>#N/A</v>
      </c>
      <c r="AI594" s="11"/>
      <c r="AJ594" s="11" t="str">
        <f>VLOOKUP(L594,[1]rekap!D:M,1,FALSE)</f>
        <v>Botuliodu</v>
      </c>
      <c r="AK594" s="11" t="e">
        <f>VLOOKUP(L594,'[1]singkron data'!D:E,2,FALSE)</f>
        <v>#N/A</v>
      </c>
      <c r="AL594" s="11" t="str">
        <f>VLOOKUP(L594,'[1]update 521'!D:D,1,FALSE)</f>
        <v>Botuliodu</v>
      </c>
      <c r="AM594" s="11" t="s">
        <v>57</v>
      </c>
      <c r="AN594" s="11" t="e">
        <f>VLOOKUP(L594,[1]Sheet19!E:L,8,FALSE)</f>
        <v>#N/A</v>
      </c>
      <c r="AO594" s="11" t="s">
        <v>1129</v>
      </c>
      <c r="AP594" s="12"/>
    </row>
    <row r="595" spans="1:42" ht="15" x14ac:dyDescent="0.2">
      <c r="A595" s="8" t="s">
        <v>42</v>
      </c>
      <c r="B595" s="9" t="s">
        <v>43</v>
      </c>
      <c r="C595" s="9">
        <v>619</v>
      </c>
      <c r="D595" s="9" t="s">
        <v>1112</v>
      </c>
      <c r="E595" s="9">
        <v>150</v>
      </c>
      <c r="F595" s="9" t="s">
        <v>1447</v>
      </c>
      <c r="G595" s="9" t="s">
        <v>1114</v>
      </c>
      <c r="H595" s="9" t="s">
        <v>287</v>
      </c>
      <c r="I595" s="9" t="s">
        <v>1448</v>
      </c>
      <c r="J595" s="9" t="s">
        <v>1449</v>
      </c>
      <c r="K595" s="9" t="s">
        <v>1450</v>
      </c>
      <c r="L595" s="10" t="s">
        <v>1450</v>
      </c>
      <c r="M595" s="9" t="s">
        <v>51</v>
      </c>
      <c r="N595" s="9">
        <v>325</v>
      </c>
      <c r="O595" s="9" t="s">
        <v>72</v>
      </c>
      <c r="P595" s="9">
        <v>325</v>
      </c>
      <c r="Q595" s="9">
        <v>325</v>
      </c>
      <c r="R595" s="9">
        <v>0.34</v>
      </c>
      <c r="S595" s="9">
        <v>-2.6189588000000001</v>
      </c>
      <c r="T595" s="9">
        <v>120.7925065</v>
      </c>
      <c r="U595" s="9" t="s">
        <v>52</v>
      </c>
      <c r="V595" s="11" t="str">
        <f>VLOOKUP(L595,'[1]singkron data'!D:E,2,FALSE)</f>
        <v>PT. Relis Sapindo Utama</v>
      </c>
      <c r="W595" s="13">
        <f>VLOOKUP(L595,'[1]data 1129'!F:H,3,FALSE)</f>
        <v>3316108000</v>
      </c>
      <c r="X595" s="11" t="s">
        <v>55</v>
      </c>
      <c r="Y595" s="11">
        <f>VLOOKUP(L595,'[1]singkron data'!D:H,5,FALSE)</f>
        <v>0</v>
      </c>
      <c r="Z595" s="11">
        <f>VLOOKUP(L595,'[1]singkron data'!D:I,6,FALSE)</f>
        <v>0</v>
      </c>
      <c r="AA595" s="11">
        <f>VLOOKUP(L595,'[1]singkron data'!D:L,9,FALSE)</f>
        <v>81341207077</v>
      </c>
      <c r="AB595" s="11" t="s">
        <v>54</v>
      </c>
      <c r="AC595" s="11" t="str">
        <f>VLOOKUP(L595,'[1]singkron data'!D:M,10,FALSE)</f>
        <v>Hyl</v>
      </c>
      <c r="AD595" s="11" t="str">
        <f>VLOOKUP(L595,'[1]data 1129'!F:O,10,FALSE)</f>
        <v>Tahap I 208</v>
      </c>
      <c r="AE595" s="11" t="str">
        <f>VLOOKUP(L595,'[1]singkron data'!D:P,13,FALSE)</f>
        <v>sudah</v>
      </c>
      <c r="AF595" s="11" t="s">
        <v>55</v>
      </c>
      <c r="AG595" s="17">
        <f>VLOOKUP(L595,'[1]update kontrak'!E:K,6,FALSE)</f>
        <v>2681128410</v>
      </c>
      <c r="AH595" s="11" t="str">
        <f>VLOOKUP(L595,'[1]update kontrak'!E:K,7,FALSE)</f>
        <v>KONTRAK</v>
      </c>
      <c r="AI595" s="11" t="s">
        <v>41</v>
      </c>
      <c r="AJ595" s="11" t="str">
        <f>VLOOKUP(L595,[1]rekap!D:M,1,FALSE)</f>
        <v>Bawalipu</v>
      </c>
      <c r="AK595" s="11" t="str">
        <f>VLOOKUP(L595,'[1]singkron data'!D:E,2,FALSE)</f>
        <v>PT. Relis Sapindo Utama</v>
      </c>
      <c r="AL595" s="11" t="str">
        <f>VLOOKUP(L595,'[1]update 521'!D:D,1,FALSE)</f>
        <v>Bawalipu</v>
      </c>
      <c r="AM595" s="11" t="s">
        <v>57</v>
      </c>
      <c r="AN595" s="17">
        <f>VLOOKUP(L595,[1]Sheet19!E:L,8,FALSE)</f>
        <v>2681128410</v>
      </c>
      <c r="AO595" s="11" t="str">
        <f>VLOOKUP(L595,[1]Sheet19!E:K,7,FALSE)</f>
        <v>KONTRAK</v>
      </c>
      <c r="AP595" s="12" t="s">
        <v>41</v>
      </c>
    </row>
    <row r="596" spans="1:42" ht="15" x14ac:dyDescent="0.2">
      <c r="A596" s="8" t="s">
        <v>42</v>
      </c>
      <c r="B596" s="9" t="s">
        <v>43</v>
      </c>
      <c r="C596" s="9">
        <v>620</v>
      </c>
      <c r="D596" s="9" t="s">
        <v>1112</v>
      </c>
      <c r="E596" s="9">
        <v>151</v>
      </c>
      <c r="F596" s="9" t="s">
        <v>1447</v>
      </c>
      <c r="G596" s="9" t="s">
        <v>1114</v>
      </c>
      <c r="H596" s="9" t="s">
        <v>287</v>
      </c>
      <c r="I596" s="9" t="s">
        <v>1448</v>
      </c>
      <c r="J596" s="9" t="s">
        <v>1451</v>
      </c>
      <c r="K596" s="9" t="s">
        <v>1452</v>
      </c>
      <c r="L596" s="10" t="s">
        <v>1452</v>
      </c>
      <c r="M596" s="9" t="s">
        <v>51</v>
      </c>
      <c r="N596" s="9">
        <v>150</v>
      </c>
      <c r="O596" s="9" t="s">
        <v>72</v>
      </c>
      <c r="P596" s="9">
        <v>100</v>
      </c>
      <c r="Q596" s="9">
        <v>100</v>
      </c>
      <c r="R596" s="9">
        <v>1.0900000000000001</v>
      </c>
      <c r="S596" s="9">
        <v>-2.6367699999999998</v>
      </c>
      <c r="T596" s="9">
        <v>120.72130900000001</v>
      </c>
      <c r="U596" s="9" t="s">
        <v>52</v>
      </c>
      <c r="V596" s="11" t="str">
        <f>VLOOKUP(L596,'[1]singkron data'!D:E,2,FALSE)</f>
        <v>PT. Relis Sapindo Utama</v>
      </c>
      <c r="W596" s="13">
        <f>VLOOKUP(L596,'[1]data 1129'!F:H,3,FALSE)</f>
        <v>11294902000</v>
      </c>
      <c r="X596" s="11" t="s">
        <v>55</v>
      </c>
      <c r="Y596" s="11" t="str">
        <f>VLOOKUP(L596,'[1]singkron data'!D:H,5,FALSE)</f>
        <v>Makassar</v>
      </c>
      <c r="Z596" s="11" t="str">
        <f>VLOOKUP(L596,'[1]singkron data'!D:I,6,FALSE)</f>
        <v>Online</v>
      </c>
      <c r="AA596" s="11">
        <f>VLOOKUP(L596,'[1]singkron data'!D:L,9,FALSE)</f>
        <v>81341207077</v>
      </c>
      <c r="AB596" s="11" t="s">
        <v>54</v>
      </c>
      <c r="AC596" s="11" t="str">
        <f>VLOOKUP(L596,'[1]singkron data'!D:M,10,FALSE)</f>
        <v>Hyl</v>
      </c>
      <c r="AD596" s="11" t="str">
        <f>VLOOKUP(L596,'[1]data 1129'!F:O,10,FALSE)</f>
        <v>Tahap I 208</v>
      </c>
      <c r="AE596" s="11" t="str">
        <f>VLOOKUP(L596,'[1]singkron data'!D:P,13,FALSE)</f>
        <v>sudah</v>
      </c>
      <c r="AF596" s="11" t="s">
        <v>55</v>
      </c>
      <c r="AG596" s="17">
        <f>VLOOKUP(L596,'[1]update kontrak'!E:K,6,FALSE)</f>
        <v>3927293220</v>
      </c>
      <c r="AH596" s="11" t="str">
        <f>VLOOKUP(L596,'[1]update kontrak'!E:K,7,FALSE)</f>
        <v>KONTRAK</v>
      </c>
      <c r="AI596" s="11" t="s">
        <v>41</v>
      </c>
      <c r="AJ596" s="11" t="str">
        <f>VLOOKUP(L596,[1]rekap!D:M,1,FALSE)</f>
        <v>Mabonta</v>
      </c>
      <c r="AK596" s="11" t="str">
        <f>VLOOKUP(L596,'[1]singkron data'!D:E,2,FALSE)</f>
        <v>PT. Relis Sapindo Utama</v>
      </c>
      <c r="AL596" s="11" t="str">
        <f>VLOOKUP(L596,'[1]update 521'!D:D,1,FALSE)</f>
        <v>Mabonta</v>
      </c>
      <c r="AM596" s="11" t="s">
        <v>57</v>
      </c>
      <c r="AN596" s="17">
        <f>VLOOKUP(L596,[1]Sheet19!E:L,8,FALSE)</f>
        <v>3927293220</v>
      </c>
      <c r="AO596" s="11" t="str">
        <f>VLOOKUP(L596,[1]Sheet19!E:K,7,FALSE)</f>
        <v>KONTRAK</v>
      </c>
      <c r="AP596" s="12" t="s">
        <v>41</v>
      </c>
    </row>
    <row r="597" spans="1:42" ht="15" x14ac:dyDescent="0.2">
      <c r="A597" s="8" t="s">
        <v>42</v>
      </c>
      <c r="B597" s="9" t="s">
        <v>43</v>
      </c>
      <c r="C597" s="9">
        <v>621</v>
      </c>
      <c r="D597" s="9" t="s">
        <v>1112</v>
      </c>
      <c r="E597" s="9">
        <v>152</v>
      </c>
      <c r="F597" s="9" t="s">
        <v>1447</v>
      </c>
      <c r="G597" s="9" t="s">
        <v>1114</v>
      </c>
      <c r="H597" s="9" t="s">
        <v>287</v>
      </c>
      <c r="I597" s="9" t="s">
        <v>1448</v>
      </c>
      <c r="J597" s="9" t="s">
        <v>1451</v>
      </c>
      <c r="K597" s="9" t="s">
        <v>1453</v>
      </c>
      <c r="L597" s="10" t="s">
        <v>1453</v>
      </c>
      <c r="M597" s="9" t="s">
        <v>51</v>
      </c>
      <c r="N597" s="9">
        <v>330</v>
      </c>
      <c r="O597" s="9" t="s">
        <v>72</v>
      </c>
      <c r="P597" s="9">
        <v>150</v>
      </c>
      <c r="Q597" s="9">
        <v>150</v>
      </c>
      <c r="R597" s="9">
        <v>0.13</v>
      </c>
      <c r="S597" s="9">
        <v>-2.6433889000000002</v>
      </c>
      <c r="T597" s="9">
        <v>120.6870595</v>
      </c>
      <c r="U597" s="9" t="s">
        <v>52</v>
      </c>
      <c r="V597" s="11" t="str">
        <f>VLOOKUP(L597,'[1]singkron data'!D:E,2,FALSE)</f>
        <v>PT. Relis Sapindo Utama</v>
      </c>
      <c r="W597" s="13">
        <f>VLOOKUP(L597,'[1]data 1129'!F:H,3,FALSE)</f>
        <v>6860687000</v>
      </c>
      <c r="X597" s="11" t="s">
        <v>55</v>
      </c>
      <c r="Y597" s="11" t="str">
        <f>VLOOKUP(L597,'[1]singkron data'!D:H,5,FALSE)</f>
        <v>Makassar</v>
      </c>
      <c r="Z597" s="11" t="str">
        <f>VLOOKUP(L597,'[1]singkron data'!D:I,6,FALSE)</f>
        <v>Online</v>
      </c>
      <c r="AA597" s="11">
        <f>VLOOKUP(L597,'[1]singkron data'!D:L,9,FALSE)</f>
        <v>81341207077</v>
      </c>
      <c r="AB597" s="11" t="s">
        <v>54</v>
      </c>
      <c r="AC597" s="11" t="str">
        <f>VLOOKUP(L597,'[1]singkron data'!D:M,10,FALSE)</f>
        <v>Hyl</v>
      </c>
      <c r="AD597" s="11" t="str">
        <f>VLOOKUP(L597,'[1]data 1129'!F:O,10,FALSE)</f>
        <v>Tahap I 208</v>
      </c>
      <c r="AE597" s="11" t="str">
        <f>VLOOKUP(L597,'[1]singkron data'!D:P,13,FALSE)</f>
        <v>sudah</v>
      </c>
      <c r="AF597" s="11" t="s">
        <v>55</v>
      </c>
      <c r="AG597" s="17">
        <f>VLOOKUP(L597,'[1]update kontrak'!E:K,6,FALSE)</f>
        <v>2572628130</v>
      </c>
      <c r="AH597" s="11" t="str">
        <f>VLOOKUP(L597,'[1]update kontrak'!E:K,7,FALSE)</f>
        <v>KONTRAK</v>
      </c>
      <c r="AI597" s="11" t="s">
        <v>41</v>
      </c>
      <c r="AJ597" s="11" t="str">
        <f>VLOOKUP(L597,[1]rekap!D:M,1,FALSE)</f>
        <v>Burau Pantai</v>
      </c>
      <c r="AK597" s="11" t="str">
        <f>VLOOKUP(L597,'[1]singkron data'!D:E,2,FALSE)</f>
        <v>PT. Relis Sapindo Utama</v>
      </c>
      <c r="AL597" s="11" t="str">
        <f>VLOOKUP(L597,'[1]update 521'!D:D,1,FALSE)</f>
        <v>Burau Pantai</v>
      </c>
      <c r="AM597" s="11" t="s">
        <v>57</v>
      </c>
      <c r="AN597" s="17">
        <f>VLOOKUP(L597,[1]Sheet19!E:L,8,FALSE)</f>
        <v>2572628130</v>
      </c>
      <c r="AO597" s="11" t="str">
        <f>VLOOKUP(L597,[1]Sheet19!E:K,7,FALSE)</f>
        <v>KONTRAK</v>
      </c>
      <c r="AP597" s="12" t="s">
        <v>41</v>
      </c>
    </row>
    <row r="598" spans="1:42" ht="15" x14ac:dyDescent="0.2">
      <c r="A598" s="8" t="s">
        <v>42</v>
      </c>
      <c r="B598" s="9" t="s">
        <v>43</v>
      </c>
      <c r="C598" s="9">
        <v>622</v>
      </c>
      <c r="D598" s="9" t="s">
        <v>1112</v>
      </c>
      <c r="E598" s="9">
        <v>153</v>
      </c>
      <c r="F598" s="9" t="s">
        <v>1447</v>
      </c>
      <c r="G598" s="9" t="s">
        <v>1114</v>
      </c>
      <c r="H598" s="9" t="s">
        <v>287</v>
      </c>
      <c r="I598" s="9" t="s">
        <v>1448</v>
      </c>
      <c r="J598" s="9" t="s">
        <v>1449</v>
      </c>
      <c r="K598" s="9" t="s">
        <v>1454</v>
      </c>
      <c r="L598" s="10" t="s">
        <v>1454</v>
      </c>
      <c r="M598" s="9" t="s">
        <v>51</v>
      </c>
      <c r="N598" s="9">
        <v>373</v>
      </c>
      <c r="O598" s="9">
        <v>1</v>
      </c>
      <c r="P598" s="9">
        <v>373</v>
      </c>
      <c r="Q598" s="9">
        <v>374</v>
      </c>
      <c r="R598" s="9">
        <v>7.0000000000000007E-2</v>
      </c>
      <c r="S598" s="9">
        <v>-2.5962904</v>
      </c>
      <c r="T598" s="9">
        <v>120.8071788</v>
      </c>
      <c r="U598" s="9" t="s">
        <v>52</v>
      </c>
      <c r="V598" s="11" t="str">
        <f>VLOOKUP(L598,'[1]singkron data'!D:E,2,FALSE)</f>
        <v>PT. Relis Sapindo Utama</v>
      </c>
      <c r="W598" s="13">
        <f>VLOOKUP(L598,'[1]data 1129'!F:H,3,FALSE)</f>
        <v>3853601000</v>
      </c>
      <c r="X598" s="11" t="s">
        <v>55</v>
      </c>
      <c r="Y598" s="11" t="str">
        <f>VLOOKUP(L598,'[1]singkron data'!D:H,5,FALSE)</f>
        <v>Makassar</v>
      </c>
      <c r="Z598" s="11" t="str">
        <f>VLOOKUP(L598,'[1]singkron data'!D:I,6,FALSE)</f>
        <v>Online</v>
      </c>
      <c r="AA598" s="11">
        <f>VLOOKUP(L598,'[1]singkron data'!D:L,9,FALSE)</f>
        <v>81341207077</v>
      </c>
      <c r="AB598" s="11" t="s">
        <v>54</v>
      </c>
      <c r="AC598" s="11" t="str">
        <f>VLOOKUP(L598,'[1]singkron data'!D:M,10,FALSE)</f>
        <v>Hyl</v>
      </c>
      <c r="AD598" s="11" t="str">
        <f>VLOOKUP(L598,'[1]data 1129'!F:O,10,FALSE)</f>
        <v>Tahap I 208</v>
      </c>
      <c r="AE598" s="11" t="str">
        <f>VLOOKUP(L598,'[1]singkron data'!D:P,13,FALSE)</f>
        <v>sudah</v>
      </c>
      <c r="AF598" s="11" t="s">
        <v>55</v>
      </c>
      <c r="AG598" s="17">
        <f>VLOOKUP(L598,'[1]update kontrak'!E:K,6,FALSE)</f>
        <v>3236450310</v>
      </c>
      <c r="AH598" s="11" t="str">
        <f>VLOOKUP(L598,'[1]update kontrak'!E:K,7,FALSE)</f>
        <v>KONTRAK</v>
      </c>
      <c r="AI598" s="11" t="s">
        <v>41</v>
      </c>
      <c r="AJ598" s="11" t="str">
        <f>VLOOKUP(L598,[1]rekap!D:M,1,FALSE)</f>
        <v>Lampenai</v>
      </c>
      <c r="AK598" s="11" t="str">
        <f>VLOOKUP(L598,'[1]singkron data'!D:E,2,FALSE)</f>
        <v>PT. Relis Sapindo Utama</v>
      </c>
      <c r="AL598" s="11" t="str">
        <f>VLOOKUP(L598,'[1]update 521'!D:D,1,FALSE)</f>
        <v>Lampenai</v>
      </c>
      <c r="AM598" s="11" t="s">
        <v>57</v>
      </c>
      <c r="AN598" s="17">
        <f>VLOOKUP(L598,[1]Sheet19!E:L,8,FALSE)</f>
        <v>3236450310</v>
      </c>
      <c r="AO598" s="11" t="str">
        <f>VLOOKUP(L598,[1]Sheet19!E:K,7,FALSE)</f>
        <v>KONTRAK</v>
      </c>
      <c r="AP598" s="12" t="s">
        <v>41</v>
      </c>
    </row>
    <row r="599" spans="1:42" ht="15" x14ac:dyDescent="0.2">
      <c r="A599" s="8" t="s">
        <v>42</v>
      </c>
      <c r="B599" s="9" t="s">
        <v>43</v>
      </c>
      <c r="C599" s="9">
        <v>623</v>
      </c>
      <c r="D599" s="9" t="s">
        <v>1112</v>
      </c>
      <c r="E599" s="9">
        <v>154</v>
      </c>
      <c r="F599" s="9" t="s">
        <v>1447</v>
      </c>
      <c r="G599" s="9" t="s">
        <v>1114</v>
      </c>
      <c r="H599" s="9" t="s">
        <v>287</v>
      </c>
      <c r="I599" s="9" t="s">
        <v>1448</v>
      </c>
      <c r="J599" s="9" t="s">
        <v>1449</v>
      </c>
      <c r="K599" s="9" t="s">
        <v>1455</v>
      </c>
      <c r="L599" s="10" t="s">
        <v>1455</v>
      </c>
      <c r="M599" s="9" t="s">
        <v>51</v>
      </c>
      <c r="N599" s="9">
        <v>130</v>
      </c>
      <c r="O599" s="9" t="s">
        <v>72</v>
      </c>
      <c r="P599" s="9">
        <v>130</v>
      </c>
      <c r="Q599" s="9">
        <v>130</v>
      </c>
      <c r="R599" s="9">
        <v>0.32</v>
      </c>
      <c r="S599" s="9">
        <v>-2.6196529000000002</v>
      </c>
      <c r="T599" s="9">
        <v>120.77340359999999</v>
      </c>
      <c r="U599" s="9" t="s">
        <v>52</v>
      </c>
      <c r="V599" s="11" t="str">
        <f>VLOOKUP(L599,'[1]singkron data'!D:E,2,FALSE)</f>
        <v>PT. Relis Sapindo Utama</v>
      </c>
      <c r="W599" s="13">
        <f>VLOOKUP(L599,'[1]data 1129'!F:H,3,FALSE)</f>
        <v>4396219000</v>
      </c>
      <c r="X599" s="11" t="s">
        <v>55</v>
      </c>
      <c r="Y599" s="11">
        <f>VLOOKUP(L599,'[1]singkron data'!D:H,5,FALSE)</f>
        <v>0</v>
      </c>
      <c r="Z599" s="11">
        <f>VLOOKUP(L599,'[1]singkron data'!D:I,6,FALSE)</f>
        <v>0</v>
      </c>
      <c r="AA599" s="11">
        <f>VLOOKUP(L599,'[1]singkron data'!D:L,9,FALSE)</f>
        <v>81341207077</v>
      </c>
      <c r="AB599" s="11" t="s">
        <v>54</v>
      </c>
      <c r="AC599" s="11" t="str">
        <f>VLOOKUP(L599,'[1]singkron data'!D:M,10,FALSE)</f>
        <v>Hyl</v>
      </c>
      <c r="AD599" s="11" t="str">
        <f>VLOOKUP(L599,'[1]data 1129'!F:O,10,FALSE)</f>
        <v>Tahap I 208</v>
      </c>
      <c r="AE599" s="11" t="str">
        <f>VLOOKUP(L599,'[1]singkron data'!D:P,13,FALSE)</f>
        <v>sudah</v>
      </c>
      <c r="AF599" s="11" t="s">
        <v>55</v>
      </c>
      <c r="AG599" s="17">
        <f>VLOOKUP(L599,'[1]update kontrak'!E:K,6,FALSE)</f>
        <v>3666286710</v>
      </c>
      <c r="AH599" s="11" t="str">
        <f>VLOOKUP(L599,'[1]update kontrak'!E:K,7,FALSE)</f>
        <v>KONTRAK</v>
      </c>
      <c r="AI599" s="11" t="s">
        <v>41</v>
      </c>
      <c r="AJ599" s="11" t="str">
        <f>VLOOKUP(L599,[1]rekap!D:M,1,FALSE)</f>
        <v>Balo-Balo</v>
      </c>
      <c r="AK599" s="11" t="str">
        <f>VLOOKUP(L599,'[1]singkron data'!D:E,2,FALSE)</f>
        <v>PT. Relis Sapindo Utama</v>
      </c>
      <c r="AL599" s="11" t="str">
        <f>VLOOKUP(L599,'[1]update 521'!D:D,1,FALSE)</f>
        <v>Balo-Balo</v>
      </c>
      <c r="AM599" s="11" t="s">
        <v>57</v>
      </c>
      <c r="AN599" s="17">
        <f>VLOOKUP(L599,[1]Sheet19!E:L,8,FALSE)</f>
        <v>3666286710</v>
      </c>
      <c r="AO599" s="11" t="str">
        <f>VLOOKUP(L599,[1]Sheet19!E:K,7,FALSE)</f>
        <v>KONTRAK</v>
      </c>
      <c r="AP599" s="12" t="s">
        <v>41</v>
      </c>
    </row>
    <row r="600" spans="1:42" ht="15" x14ac:dyDescent="0.2">
      <c r="A600" s="27" t="s">
        <v>42</v>
      </c>
      <c r="B600" s="28" t="s">
        <v>43</v>
      </c>
      <c r="C600" s="28">
        <v>624</v>
      </c>
      <c r="D600" s="28" t="s">
        <v>1112</v>
      </c>
      <c r="E600" s="28">
        <v>155</v>
      </c>
      <c r="F600" s="28" t="s">
        <v>1447</v>
      </c>
      <c r="G600" s="28" t="s">
        <v>1114</v>
      </c>
      <c r="H600" s="28" t="s">
        <v>287</v>
      </c>
      <c r="I600" s="28" t="s">
        <v>1456</v>
      </c>
      <c r="J600" s="28" t="s">
        <v>1457</v>
      </c>
      <c r="K600" s="28" t="s">
        <v>1458</v>
      </c>
      <c r="L600" s="35" t="s">
        <v>1458</v>
      </c>
      <c r="M600" s="28" t="s">
        <v>51</v>
      </c>
      <c r="N600" s="28">
        <v>85</v>
      </c>
      <c r="O600" s="28">
        <v>50</v>
      </c>
      <c r="P600" s="28">
        <v>88</v>
      </c>
      <c r="Q600" s="28">
        <v>138</v>
      </c>
      <c r="R600" s="28">
        <v>0.21</v>
      </c>
      <c r="S600" s="28">
        <v>-2.6578617000000002</v>
      </c>
      <c r="T600" s="28">
        <v>120.5460231</v>
      </c>
      <c r="U600" s="28" t="s">
        <v>52</v>
      </c>
      <c r="V600" s="29" t="s">
        <v>1459</v>
      </c>
      <c r="W600" s="36">
        <f>VLOOKUP(L600,'[1]data 1129'!F:H,3,FALSE)</f>
        <v>4036365000</v>
      </c>
      <c r="X600" s="29"/>
      <c r="Y600" s="29" t="s">
        <v>1285</v>
      </c>
      <c r="Z600" s="29" t="str">
        <f>VLOOKUP(L600,'[1]singkron data'!D:I,6,FALSE)</f>
        <v>Online</v>
      </c>
      <c r="AA600" s="29" t="s">
        <v>1460</v>
      </c>
      <c r="AB600" s="29" t="s">
        <v>54</v>
      </c>
      <c r="AC600" s="29" t="s">
        <v>1461</v>
      </c>
      <c r="AD600" s="29" t="str">
        <f>VLOOKUP(L600,'[1]data 1129'!F:O,10,FALSE)</f>
        <v>Tahap I 208</v>
      </c>
      <c r="AE600" s="29">
        <f>VLOOKUP(L600,'[1]singkron data'!D:P,13,FALSE)</f>
        <v>0</v>
      </c>
      <c r="AF600" s="29"/>
      <c r="AG600" s="29" t="e">
        <f>VLOOKUP(L600,'[1]update kontrak'!E:K,6,FALSE)</f>
        <v>#N/A</v>
      </c>
      <c r="AH600" s="29" t="e">
        <f>VLOOKUP(L600,'[1]update kontrak'!E:K,7,FALSE)</f>
        <v>#N/A</v>
      </c>
      <c r="AI600" s="29"/>
      <c r="AJ600" s="29" t="str">
        <f>VLOOKUP(L600,[1]rekap!D:M,1,FALSE)</f>
        <v>Tamuku</v>
      </c>
      <c r="AK600" s="29" t="str">
        <f>VLOOKUP(L600,'[1]singkron data'!D:E,2,FALSE)</f>
        <v>PT. Putra Jaya</v>
      </c>
      <c r="AL600" s="29" t="str">
        <f>VLOOKUP(L600,'[1]update 521'!D:D,1,FALSE)</f>
        <v>Tamuku</v>
      </c>
      <c r="AM600" s="11" t="s">
        <v>57</v>
      </c>
      <c r="AN600" s="11" t="e">
        <f>VLOOKUP(L600,[1]Sheet19!E:L,8,FALSE)</f>
        <v>#N/A</v>
      </c>
      <c r="AO600" s="11" t="s">
        <v>58</v>
      </c>
      <c r="AP600" s="12"/>
    </row>
    <row r="601" spans="1:42" ht="15" x14ac:dyDescent="0.2">
      <c r="A601" s="8" t="s">
        <v>42</v>
      </c>
      <c r="B601" s="9" t="s">
        <v>43</v>
      </c>
      <c r="C601" s="9">
        <v>625</v>
      </c>
      <c r="D601" s="9" t="s">
        <v>1112</v>
      </c>
      <c r="E601" s="9">
        <v>156</v>
      </c>
      <c r="F601" s="9" t="s">
        <v>1447</v>
      </c>
      <c r="G601" s="9" t="s">
        <v>1114</v>
      </c>
      <c r="H601" s="9" t="s">
        <v>287</v>
      </c>
      <c r="I601" s="9" t="s">
        <v>1456</v>
      </c>
      <c r="J601" s="9" t="s">
        <v>1462</v>
      </c>
      <c r="K601" s="9" t="s">
        <v>1447</v>
      </c>
      <c r="L601" s="10" t="s">
        <v>1447</v>
      </c>
      <c r="M601" s="9" t="s">
        <v>65</v>
      </c>
      <c r="N601" s="9">
        <v>209</v>
      </c>
      <c r="O601" s="9" t="s">
        <v>72</v>
      </c>
      <c r="P601" s="9">
        <v>382</v>
      </c>
      <c r="Q601" s="9">
        <v>382</v>
      </c>
      <c r="R601" s="9">
        <v>0.8</v>
      </c>
      <c r="S601" s="9">
        <v>-2.6815190000000002</v>
      </c>
      <c r="T601" s="9">
        <v>120.595167</v>
      </c>
      <c r="U601" s="9" t="s">
        <v>52</v>
      </c>
      <c r="V601" s="11" t="str">
        <f>VLOOKUP(L601,'[1]singkron data'!D:E,2,FALSE)</f>
        <v>PT. Relis Sapindo Utama</v>
      </c>
      <c r="W601" s="13">
        <f>VLOOKUP(L601,'[1]data 1129'!F:H,3,FALSE)</f>
        <v>7243251000</v>
      </c>
      <c r="X601" s="11" t="s">
        <v>55</v>
      </c>
      <c r="Y601" s="11" t="str">
        <f>VLOOKUP(L601,'[1]singkron data'!D:H,5,FALSE)</f>
        <v>Makassar</v>
      </c>
      <c r="Z601" s="11" t="str">
        <f>VLOOKUP(L601,'[1]singkron data'!D:I,6,FALSE)</f>
        <v>Online</v>
      </c>
      <c r="AA601" s="11">
        <f>VLOOKUP(L601,'[1]singkron data'!D:L,9,FALSE)</f>
        <v>81341207077</v>
      </c>
      <c r="AB601" s="11" t="s">
        <v>54</v>
      </c>
      <c r="AC601" s="11" t="str">
        <f>VLOOKUP(L601,'[1]singkron data'!D:M,10,FALSE)</f>
        <v>Hyl</v>
      </c>
      <c r="AD601" s="11" t="str">
        <f>VLOOKUP(L601,'[1]data 1129'!F:O,10,FALSE)</f>
        <v>Tahap I 208</v>
      </c>
      <c r="AE601" s="11" t="str">
        <f>VLOOKUP(L601,'[1]singkron data'!D:P,13,FALSE)</f>
        <v>sudah</v>
      </c>
      <c r="AF601" s="11" t="s">
        <v>55</v>
      </c>
      <c r="AG601" s="17">
        <f>VLOOKUP(L601,'[1]update kontrak'!E:K,6,FALSE)</f>
        <v>8073147660</v>
      </c>
      <c r="AH601" s="11" t="str">
        <f>VLOOKUP(L601,'[1]update kontrak'!E:K,7,FALSE)</f>
        <v>KONTRAK</v>
      </c>
      <c r="AI601" s="11" t="s">
        <v>41</v>
      </c>
      <c r="AJ601" s="11" t="str">
        <f>VLOOKUP(L601,[1]rekap!D:M,1,FALSE)</f>
        <v>Munte</v>
      </c>
      <c r="AK601" s="11" t="str">
        <f>VLOOKUP(L601,'[1]singkron data'!D:E,2,FALSE)</f>
        <v>PT. Relis Sapindo Utama</v>
      </c>
      <c r="AL601" s="11" t="str">
        <f>VLOOKUP(L601,'[1]update 521'!D:D,1,FALSE)</f>
        <v>Munte</v>
      </c>
      <c r="AM601" s="11" t="s">
        <v>57</v>
      </c>
      <c r="AN601" s="17">
        <f>VLOOKUP(L601,[1]Sheet19!E:L,8,FALSE)</f>
        <v>8073147660</v>
      </c>
      <c r="AO601" s="11" t="str">
        <f>VLOOKUP(L601,[1]Sheet19!E:K,7,FALSE)</f>
        <v>KONTRAK</v>
      </c>
      <c r="AP601" s="12" t="s">
        <v>41</v>
      </c>
    </row>
    <row r="602" spans="1:42" ht="15" x14ac:dyDescent="0.2">
      <c r="A602" s="8" t="s">
        <v>42</v>
      </c>
      <c r="B602" s="9" t="s">
        <v>43</v>
      </c>
      <c r="C602" s="9">
        <v>626</v>
      </c>
      <c r="D602" s="9" t="s">
        <v>1112</v>
      </c>
      <c r="E602" s="9">
        <v>157</v>
      </c>
      <c r="F602" s="9" t="s">
        <v>1463</v>
      </c>
      <c r="G602" s="9" t="s">
        <v>1114</v>
      </c>
      <c r="H602" s="9" t="s">
        <v>287</v>
      </c>
      <c r="I602" s="9" t="s">
        <v>1464</v>
      </c>
      <c r="J602" s="9" t="s">
        <v>1465</v>
      </c>
      <c r="K602" s="9" t="s">
        <v>1466</v>
      </c>
      <c r="L602" s="9" t="s">
        <v>1466</v>
      </c>
      <c r="M602" s="9" t="s">
        <v>51</v>
      </c>
      <c r="N602" s="9">
        <v>100</v>
      </c>
      <c r="O602" s="9">
        <v>7</v>
      </c>
      <c r="P602" s="9">
        <v>95</v>
      </c>
      <c r="Q602" s="9">
        <v>102</v>
      </c>
      <c r="R602" s="9">
        <v>0.3</v>
      </c>
      <c r="S602" s="9">
        <v>-4.8117558999999996</v>
      </c>
      <c r="T602" s="9">
        <v>119.49847750000001</v>
      </c>
      <c r="U602" s="9" t="s">
        <v>52</v>
      </c>
      <c r="V602" s="11" t="str">
        <f>VLOOKUP(L602,'[1]singkron data'!D:E,2,FALSE)</f>
        <v>PT. Bunaken Inti Nusantara</v>
      </c>
      <c r="W602" s="13">
        <f>VLOOKUP(L602,'[1]data 1129'!F:H,3,FALSE)</f>
        <v>4780636000</v>
      </c>
      <c r="X602" s="11" t="s">
        <v>55</v>
      </c>
      <c r="Y602" s="11" t="str">
        <f>VLOOKUP(L602,'[1]singkron data'!D:H,5,FALSE)</f>
        <v>Bekasi</v>
      </c>
      <c r="Z602" s="11" t="str">
        <f>VLOOKUP(L602,'[1]singkron data'!D:I,6,FALSE)</f>
        <v>Online</v>
      </c>
      <c r="AA602" s="11">
        <f>VLOOKUP(L602,'[1]singkron data'!D:L,9,FALSE)</f>
        <v>8121023737</v>
      </c>
      <c r="AB602" s="11" t="s">
        <v>54</v>
      </c>
      <c r="AC602" s="11" t="str">
        <f>VLOOKUP(L602,'[1]singkron data'!D:M,10,FALSE)</f>
        <v>Hyl</v>
      </c>
      <c r="AD602" s="11" t="str">
        <f>VLOOKUP(L602,'[1]data 1129'!F:O,10,FALSE)</f>
        <v>Tahap IV 200</v>
      </c>
      <c r="AE602" s="11" t="str">
        <f>VLOOKUP(L602,'[1]singkron data'!D:P,13,FALSE)</f>
        <v>lokasi ditolak masyarakat</v>
      </c>
      <c r="AF602" s="11" t="s">
        <v>55</v>
      </c>
      <c r="AG602" s="11" t="e">
        <f>VLOOKUP(L602,'[1]update kontrak'!E:K,6,FALSE)</f>
        <v>#N/A</v>
      </c>
      <c r="AH602" s="11" t="e">
        <f>VLOOKUP(L602,'[1]update kontrak'!E:K,7,FALSE)</f>
        <v>#N/A</v>
      </c>
      <c r="AI602" s="11"/>
      <c r="AJ602" s="11" t="str">
        <f>VLOOKUP(L602,[1]rekap!D:M,1,FALSE)</f>
        <v>Bulu Cindea</v>
      </c>
      <c r="AK602" s="11" t="str">
        <f>VLOOKUP(L602,'[1]singkron data'!D:E,2,FALSE)</f>
        <v>PT. Bunaken Inti Nusantara</v>
      </c>
      <c r="AL602" s="11" t="str">
        <f>VLOOKUP(L602,'[1]update 521'!D:D,1,FALSE)</f>
        <v>Bulu Cindea</v>
      </c>
      <c r="AM602" s="11" t="s">
        <v>337</v>
      </c>
      <c r="AN602" s="11" t="e">
        <f>VLOOKUP(L602,[1]Sheet19!E:L,8,FALSE)</f>
        <v>#N/A</v>
      </c>
      <c r="AO602" s="11" t="s">
        <v>58</v>
      </c>
      <c r="AP602" s="12"/>
    </row>
    <row r="603" spans="1:42" ht="15" x14ac:dyDescent="0.2">
      <c r="A603" s="8" t="s">
        <v>42</v>
      </c>
      <c r="B603" s="9" t="s">
        <v>43</v>
      </c>
      <c r="C603" s="9">
        <v>627</v>
      </c>
      <c r="D603" s="9" t="s">
        <v>1112</v>
      </c>
      <c r="E603" s="9">
        <v>158</v>
      </c>
      <c r="F603" s="9" t="s">
        <v>1463</v>
      </c>
      <c r="G603" s="9" t="s">
        <v>1114</v>
      </c>
      <c r="H603" s="9" t="s">
        <v>287</v>
      </c>
      <c r="I603" s="9" t="s">
        <v>1467</v>
      </c>
      <c r="J603" s="9" t="s">
        <v>1468</v>
      </c>
      <c r="K603" s="9" t="s">
        <v>1469</v>
      </c>
      <c r="L603" s="10" t="s">
        <v>1469</v>
      </c>
      <c r="M603" s="9" t="s">
        <v>51</v>
      </c>
      <c r="N603" s="9">
        <v>896</v>
      </c>
      <c r="O603" s="9" t="s">
        <v>72</v>
      </c>
      <c r="P603" s="9">
        <v>130</v>
      </c>
      <c r="Q603" s="9">
        <v>130</v>
      </c>
      <c r="R603" s="9">
        <v>0.13</v>
      </c>
      <c r="S603" s="9">
        <v>-4.9229690000000002</v>
      </c>
      <c r="T603" s="9">
        <v>119.52799</v>
      </c>
      <c r="U603" s="9" t="s">
        <v>52</v>
      </c>
      <c r="V603" s="11" t="str">
        <f>VLOOKUP(L603,'[1]singkron data'!D:E,2,FALSE)</f>
        <v>PT. PASELE KARYA PRATAMA</v>
      </c>
      <c r="W603" s="13">
        <f>VLOOKUP(L603,'[1]data 1129'!F:H,3,FALSE)</f>
        <v>4500000000</v>
      </c>
      <c r="X603" s="11" t="s">
        <v>55</v>
      </c>
      <c r="Y603" s="11">
        <f>VLOOKUP(L603,'[1]singkron data'!D:H,5,FALSE)</f>
        <v>0</v>
      </c>
      <c r="Z603" s="11">
        <f>VLOOKUP(L603,'[1]singkron data'!D:I,6,FALSE)</f>
        <v>0</v>
      </c>
      <c r="AA603" s="11" t="str">
        <f>VLOOKUP(L603,'[1]singkron data'!D:L,9,FALSE)</f>
        <v>081228107108/Victor</v>
      </c>
      <c r="AB603" s="11" t="s">
        <v>54</v>
      </c>
      <c r="AC603" s="11" t="s">
        <v>1199</v>
      </c>
      <c r="AD603" s="11" t="str">
        <f>VLOOKUP(L603,'[1]data 1129'!F:O,10,FALSE)</f>
        <v>Tahap I 208</v>
      </c>
      <c r="AE603" s="11" t="str">
        <f>VLOOKUP(L603,'[1]singkron data'!D:P,13,FALSE)</f>
        <v>sudah</v>
      </c>
      <c r="AF603" s="11" t="s">
        <v>55</v>
      </c>
      <c r="AG603" s="11" t="e">
        <f>VLOOKUP(L603,'[1]update kontrak'!E:K,6,FALSE)</f>
        <v>#N/A</v>
      </c>
      <c r="AH603" s="11" t="e">
        <f>VLOOKUP(L603,'[1]update kontrak'!E:K,7,FALSE)</f>
        <v>#N/A</v>
      </c>
      <c r="AI603" s="11" t="s">
        <v>58</v>
      </c>
      <c r="AJ603" s="11" t="str">
        <f>VLOOKUP(L603,[1]rekap!D:M,1,FALSE)</f>
        <v>Pajjukukang</v>
      </c>
      <c r="AK603" s="11" t="str">
        <f t="shared" ref="AK603:AK604" si="4">AJ603</f>
        <v>Pajjukukang</v>
      </c>
      <c r="AL603" s="11" t="str">
        <f>VLOOKUP(L603,'[1]update 521'!D:D,1,FALSE)</f>
        <v>Pajjukukang</v>
      </c>
      <c r="AM603" s="11" t="s">
        <v>57</v>
      </c>
      <c r="AN603" s="17">
        <f>VLOOKUP(L603,[1]Sheet19!E:L,8,FALSE)</f>
        <v>1978687000</v>
      </c>
      <c r="AO603" s="11" t="str">
        <f>VLOOKUP(L603,[1]Sheet19!E:K,7,FALSE)</f>
        <v>KONTRAK</v>
      </c>
      <c r="AP603" s="12" t="s">
        <v>41</v>
      </c>
    </row>
    <row r="604" spans="1:42" ht="15" x14ac:dyDescent="0.2">
      <c r="A604" s="8" t="s">
        <v>42</v>
      </c>
      <c r="B604" s="9" t="s">
        <v>43</v>
      </c>
      <c r="C604" s="9">
        <v>628</v>
      </c>
      <c r="D604" s="9" t="s">
        <v>1112</v>
      </c>
      <c r="E604" s="9">
        <v>159</v>
      </c>
      <c r="F604" s="9" t="s">
        <v>1463</v>
      </c>
      <c r="G604" s="9" t="s">
        <v>1114</v>
      </c>
      <c r="H604" s="9" t="s">
        <v>287</v>
      </c>
      <c r="I604" s="9" t="s">
        <v>1467</v>
      </c>
      <c r="J604" s="9" t="s">
        <v>1470</v>
      </c>
      <c r="K604" s="9" t="s">
        <v>1471</v>
      </c>
      <c r="L604" s="10" t="s">
        <v>1471</v>
      </c>
      <c r="M604" s="9" t="s">
        <v>51</v>
      </c>
      <c r="N604" s="9">
        <v>150</v>
      </c>
      <c r="O604" s="9" t="s">
        <v>72</v>
      </c>
      <c r="P604" s="9">
        <v>90</v>
      </c>
      <c r="Q604" s="9">
        <v>90</v>
      </c>
      <c r="R604" s="9">
        <v>0.26</v>
      </c>
      <c r="S604" s="9">
        <v>-5.0049809999999999</v>
      </c>
      <c r="T604" s="9">
        <v>119.51110799999999</v>
      </c>
      <c r="U604" s="9" t="s">
        <v>52</v>
      </c>
      <c r="V604" s="11" t="str">
        <f>VLOOKUP(L604,'[1]singkron data'!D:E,2,FALSE)</f>
        <v>PT. PASELE KARYA PRATAMA</v>
      </c>
      <c r="W604" s="13">
        <f>VLOOKUP(L604,'[1]data 1129'!F:H,3,FALSE)</f>
        <v>4847136000</v>
      </c>
      <c r="X604" s="11" t="s">
        <v>55</v>
      </c>
      <c r="Y604" s="11">
        <f>VLOOKUP(L604,'[1]singkron data'!D:H,5,FALSE)</f>
        <v>0</v>
      </c>
      <c r="Z604" s="11">
        <f>VLOOKUP(L604,'[1]singkron data'!D:I,6,FALSE)</f>
        <v>0</v>
      </c>
      <c r="AA604" s="11" t="str">
        <f>VLOOKUP(L604,'[1]singkron data'!D:L,9,FALSE)</f>
        <v>081228107108/Victor</v>
      </c>
      <c r="AB604" s="11" t="s">
        <v>54</v>
      </c>
      <c r="AC604" s="11" t="s">
        <v>1199</v>
      </c>
      <c r="AD604" s="11" t="str">
        <f>VLOOKUP(L604,'[1]data 1129'!F:O,10,FALSE)</f>
        <v>Tahap I 208</v>
      </c>
      <c r="AE604" s="11" t="str">
        <f>VLOOKUP(L604,'[1]singkron data'!D:P,13,FALSE)</f>
        <v>sudah</v>
      </c>
      <c r="AF604" s="11" t="s">
        <v>55</v>
      </c>
      <c r="AG604" s="11" t="e">
        <f>VLOOKUP(L604,'[1]update kontrak'!E:K,6,FALSE)</f>
        <v>#N/A</v>
      </c>
      <c r="AH604" s="11" t="e">
        <f>VLOOKUP(L604,'[1]update kontrak'!E:K,7,FALSE)</f>
        <v>#N/A</v>
      </c>
      <c r="AI604" s="11" t="s">
        <v>58</v>
      </c>
      <c r="AJ604" s="11" t="str">
        <f>VLOOKUP(L604,[1]rekap!D:M,1,FALSE)</f>
        <v>Borimasunggu</v>
      </c>
      <c r="AK604" s="11" t="str">
        <f t="shared" si="4"/>
        <v>Borimasunggu</v>
      </c>
      <c r="AL604" s="11" t="str">
        <f>VLOOKUP(L604,'[1]update 521'!D:D,1,FALSE)</f>
        <v>Borimasunggu</v>
      </c>
      <c r="AM604" s="11" t="s">
        <v>57</v>
      </c>
      <c r="AN604" s="17">
        <f>VLOOKUP(L604,[1]Sheet19!E:L,8,FALSE)</f>
        <v>3113702000</v>
      </c>
      <c r="AO604" s="11" t="str">
        <f>VLOOKUP(L604,[1]Sheet19!E:K,7,FALSE)</f>
        <v>KONTRAK</v>
      </c>
      <c r="AP604" s="12" t="s">
        <v>41</v>
      </c>
    </row>
    <row r="605" spans="1:42" ht="15" x14ac:dyDescent="0.2">
      <c r="A605" s="8" t="s">
        <v>42</v>
      </c>
      <c r="B605" s="9" t="s">
        <v>43</v>
      </c>
      <c r="C605" s="9">
        <v>629</v>
      </c>
      <c r="D605" s="9" t="s">
        <v>1112</v>
      </c>
      <c r="E605" s="9">
        <v>160</v>
      </c>
      <c r="F605" s="9" t="s">
        <v>1472</v>
      </c>
      <c r="G605" s="9" t="s">
        <v>1114</v>
      </c>
      <c r="H605" s="9" t="s">
        <v>287</v>
      </c>
      <c r="I605" s="9" t="s">
        <v>1166</v>
      </c>
      <c r="J605" s="9" t="s">
        <v>1473</v>
      </c>
      <c r="K605" s="9" t="s">
        <v>1472</v>
      </c>
      <c r="L605" s="10" t="s">
        <v>1472</v>
      </c>
      <c r="M605" s="9" t="s">
        <v>65</v>
      </c>
      <c r="N605" s="9">
        <v>460</v>
      </c>
      <c r="O605" s="9">
        <v>2</v>
      </c>
      <c r="P605" s="9">
        <v>477</v>
      </c>
      <c r="Q605" s="9">
        <v>479</v>
      </c>
      <c r="R605" s="9">
        <v>0.7</v>
      </c>
      <c r="S605" s="9">
        <v>-5.7009759999999998</v>
      </c>
      <c r="T605" s="9">
        <v>119.723465</v>
      </c>
      <c r="U605" s="9" t="s">
        <v>52</v>
      </c>
      <c r="V605" s="11" t="str">
        <f>VLOOKUP(L605,'[1]singkron data'!D:E,2,FALSE)</f>
        <v>PT. Piranti Jagad Raya</v>
      </c>
      <c r="W605" s="13">
        <f>VLOOKUP(L605,'[1]data 1129'!F:H,3,FALSE)</f>
        <v>7939720061</v>
      </c>
      <c r="X605" s="11" t="s">
        <v>55</v>
      </c>
      <c r="Y605" s="11" t="str">
        <f>VLOOKUP(L605,'[1]singkron data'!D:H,5,FALSE)</f>
        <v>Makassar</v>
      </c>
      <c r="Z605" s="11" t="str">
        <f>VLOOKUP(L605,'[1]singkron data'!D:I,6,FALSE)</f>
        <v>Online</v>
      </c>
      <c r="AA605" s="11" t="str">
        <f>VLOOKUP(L605,'[1]singkron data'!D:L,9,FALSE)</f>
        <v>Suyanto/2397888857</v>
      </c>
      <c r="AB605" s="11" t="s">
        <v>54</v>
      </c>
      <c r="AC605" s="11" t="str">
        <f>VLOOKUP(L605,'[1]singkron data'!D:M,10,FALSE)</f>
        <v>Hyl</v>
      </c>
      <c r="AD605" s="11" t="str">
        <f>VLOOKUP(L605,'[1]data 1129'!F:O,10,FALSE)</f>
        <v>Tahap I 208</v>
      </c>
      <c r="AE605" s="11" t="str">
        <f>VLOOKUP(L605,'[1]singkron data'!D:P,13,FALSE)</f>
        <v>sudah</v>
      </c>
      <c r="AF605" s="11" t="s">
        <v>55</v>
      </c>
      <c r="AG605" s="17">
        <f>VLOOKUP(L605,'[1]update kontrak'!E:K,6,FALSE)</f>
        <v>7702268000</v>
      </c>
      <c r="AH605" s="11" t="str">
        <f>VLOOKUP(L605,'[1]update kontrak'!E:K,7,FALSE)</f>
        <v>SPPBJ</v>
      </c>
      <c r="AI605" s="11" t="s">
        <v>58</v>
      </c>
      <c r="AJ605" s="11" t="str">
        <f>VLOOKUP(L605,[1]rekap!D:M,1,FALSE)</f>
        <v>Pabiringa</v>
      </c>
      <c r="AK605" s="11" t="str">
        <f>VLOOKUP(L605,'[1]singkron data'!D:E,2,FALSE)</f>
        <v>PT. Piranti Jagad Raya</v>
      </c>
      <c r="AL605" s="11" t="str">
        <f>VLOOKUP(L605,'[1]update 521'!D:D,1,FALSE)</f>
        <v>Pabiringa</v>
      </c>
      <c r="AM605" s="11" t="s">
        <v>57</v>
      </c>
      <c r="AN605" s="17">
        <f>VLOOKUP(L605,[1]Sheet19!E:L,8,FALSE)</f>
        <v>7702268000</v>
      </c>
      <c r="AO605" s="11" t="str">
        <f>VLOOKUP(L605,[1]Sheet19!E:K,7,FALSE)</f>
        <v>KONTRAK</v>
      </c>
      <c r="AP605" s="12" t="s">
        <v>41</v>
      </c>
    </row>
    <row r="606" spans="1:42" ht="15" x14ac:dyDescent="0.2">
      <c r="A606" s="8" t="s">
        <v>42</v>
      </c>
      <c r="B606" s="9" t="s">
        <v>43</v>
      </c>
      <c r="C606" s="9">
        <v>630</v>
      </c>
      <c r="D606" s="9" t="s">
        <v>1112</v>
      </c>
      <c r="E606" s="9">
        <v>161</v>
      </c>
      <c r="F606" s="9" t="s">
        <v>1472</v>
      </c>
      <c r="G606" s="9" t="s">
        <v>1114</v>
      </c>
      <c r="H606" s="9" t="s">
        <v>287</v>
      </c>
      <c r="I606" s="9" t="s">
        <v>1166</v>
      </c>
      <c r="J606" s="9" t="s">
        <v>1474</v>
      </c>
      <c r="K606" s="9" t="s">
        <v>1475</v>
      </c>
      <c r="L606" s="10" t="s">
        <v>1475</v>
      </c>
      <c r="M606" s="9" t="s">
        <v>51</v>
      </c>
      <c r="N606" s="9">
        <v>152</v>
      </c>
      <c r="O606" s="9" t="s">
        <v>72</v>
      </c>
      <c r="P606" s="9">
        <v>152</v>
      </c>
      <c r="Q606" s="9">
        <v>152</v>
      </c>
      <c r="R606" s="9">
        <v>0.2</v>
      </c>
      <c r="S606" s="9">
        <v>-5.6289709999999999</v>
      </c>
      <c r="T606" s="9">
        <v>119.587127</v>
      </c>
      <c r="U606" s="9" t="s">
        <v>52</v>
      </c>
      <c r="V606" s="11" t="str">
        <f>VLOOKUP(L606,'[1]singkron data'!D:E,2,FALSE)</f>
        <v>PT. Piranti Jagad Raya</v>
      </c>
      <c r="W606" s="13">
        <f>VLOOKUP(L606,'[1]data 1129'!F:H,3,FALSE)</f>
        <v>5077776045</v>
      </c>
      <c r="X606" s="11" t="s">
        <v>55</v>
      </c>
      <c r="Y606" s="11" t="str">
        <f>VLOOKUP(L606,'[1]singkron data'!D:H,5,FALSE)</f>
        <v>Makassar</v>
      </c>
      <c r="Z606" s="11" t="str">
        <f>VLOOKUP(L606,'[1]singkron data'!D:I,6,FALSE)</f>
        <v>Online</v>
      </c>
      <c r="AA606" s="11" t="str">
        <f>VLOOKUP(L606,'[1]singkron data'!D:L,9,FALSE)</f>
        <v>Suyanto/2397888857</v>
      </c>
      <c r="AB606" s="11" t="s">
        <v>54</v>
      </c>
      <c r="AC606" s="11" t="str">
        <f>VLOOKUP(L606,'[1]singkron data'!D:M,10,FALSE)</f>
        <v>Hyl</v>
      </c>
      <c r="AD606" s="11" t="str">
        <f>VLOOKUP(L606,'[1]data 1129'!F:O,10,FALSE)</f>
        <v>Tahap I 208</v>
      </c>
      <c r="AE606" s="11" t="str">
        <f>VLOOKUP(L606,'[1]singkron data'!D:P,13,FALSE)</f>
        <v>sudah</v>
      </c>
      <c r="AF606" s="11" t="s">
        <v>55</v>
      </c>
      <c r="AG606" s="17">
        <f>VLOOKUP(L606,'[1]update kontrak'!E:K,6,FALSE)</f>
        <v>4913718000</v>
      </c>
      <c r="AH606" s="11" t="str">
        <f>VLOOKUP(L606,'[1]update kontrak'!E:K,7,FALSE)</f>
        <v>SPPBJ</v>
      </c>
      <c r="AI606" s="11" t="s">
        <v>58</v>
      </c>
      <c r="AJ606" s="11" t="str">
        <f>VLOOKUP(L606,[1]rekap!D:M,1,FALSE)</f>
        <v>Bontorannu</v>
      </c>
      <c r="AK606" s="11" t="str">
        <f>VLOOKUP(L606,'[1]singkron data'!D:E,2,FALSE)</f>
        <v>PT. Piranti Jagad Raya</v>
      </c>
      <c r="AL606" s="11" t="str">
        <f>VLOOKUP(L606,'[1]update 521'!D:D,1,FALSE)</f>
        <v>Bontorannu</v>
      </c>
      <c r="AM606" s="11" t="s">
        <v>57</v>
      </c>
      <c r="AN606" s="17">
        <f>VLOOKUP(L606,[1]Sheet19!E:L,8,FALSE)</f>
        <v>4913718000</v>
      </c>
      <c r="AO606" s="11" t="str">
        <f>VLOOKUP(L606,[1]Sheet19!E:K,7,FALSE)</f>
        <v>KONTRAK</v>
      </c>
      <c r="AP606" s="12" t="s">
        <v>41</v>
      </c>
    </row>
    <row r="607" spans="1:42" ht="15" x14ac:dyDescent="0.2">
      <c r="A607" s="8" t="s">
        <v>42</v>
      </c>
      <c r="B607" s="9" t="s">
        <v>43</v>
      </c>
      <c r="C607" s="9">
        <v>631</v>
      </c>
      <c r="D607" s="9" t="s">
        <v>1112</v>
      </c>
      <c r="E607" s="9">
        <v>162</v>
      </c>
      <c r="F607" s="9" t="s">
        <v>1472</v>
      </c>
      <c r="G607" s="9" t="s">
        <v>1114</v>
      </c>
      <c r="H607" s="9" t="s">
        <v>287</v>
      </c>
      <c r="I607" s="9" t="s">
        <v>1166</v>
      </c>
      <c r="J607" s="9" t="s">
        <v>1474</v>
      </c>
      <c r="K607" s="9" t="s">
        <v>1476</v>
      </c>
      <c r="L607" s="10" t="s">
        <v>1476</v>
      </c>
      <c r="M607" s="9" t="s">
        <v>51</v>
      </c>
      <c r="N607" s="9">
        <v>330</v>
      </c>
      <c r="O607" s="9">
        <v>3</v>
      </c>
      <c r="P607" s="9">
        <v>330</v>
      </c>
      <c r="Q607" s="9">
        <v>333</v>
      </c>
      <c r="R607" s="9">
        <v>0.23</v>
      </c>
      <c r="S607" s="9">
        <v>-5.6385170000000002</v>
      </c>
      <c r="T607" s="9">
        <v>119.586499</v>
      </c>
      <c r="U607" s="9" t="s">
        <v>52</v>
      </c>
      <c r="V607" s="11" t="str">
        <f>VLOOKUP(L607,'[1]singkron data'!D:E,2,FALSE)</f>
        <v>PT. Piranti Jagad Raya</v>
      </c>
      <c r="W607" s="13">
        <f>VLOOKUP(L607,'[1]data 1129'!F:H,3,FALSE)</f>
        <v>3857486780</v>
      </c>
      <c r="X607" s="11" t="s">
        <v>55</v>
      </c>
      <c r="Y607" s="11" t="str">
        <f>VLOOKUP(L607,'[1]singkron data'!D:H,5,FALSE)</f>
        <v>Makassar</v>
      </c>
      <c r="Z607" s="11" t="str">
        <f>VLOOKUP(L607,'[1]singkron data'!D:I,6,FALSE)</f>
        <v>Online</v>
      </c>
      <c r="AA607" s="11" t="str">
        <f>VLOOKUP(L607,'[1]singkron data'!D:L,9,FALSE)</f>
        <v>Suyanto/2397888857</v>
      </c>
      <c r="AB607" s="11" t="s">
        <v>54</v>
      </c>
      <c r="AC607" s="11" t="str">
        <f>VLOOKUP(L607,'[1]singkron data'!D:M,10,FALSE)</f>
        <v>Hyl</v>
      </c>
      <c r="AD607" s="11" t="str">
        <f>VLOOKUP(L607,'[1]data 1129'!F:O,10,FALSE)</f>
        <v>Tahap I 208</v>
      </c>
      <c r="AE607" s="11" t="str">
        <f>VLOOKUP(L607,'[1]singkron data'!D:P,13,FALSE)</f>
        <v>sudah</v>
      </c>
      <c r="AF607" s="11" t="s">
        <v>55</v>
      </c>
      <c r="AG607" s="17">
        <f>VLOOKUP(L607,'[1]update kontrak'!E:K,6,FALSE)</f>
        <v>3570169000</v>
      </c>
      <c r="AH607" s="11" t="str">
        <f>VLOOKUP(L607,'[1]update kontrak'!E:K,7,FALSE)</f>
        <v>SPPBJ</v>
      </c>
      <c r="AI607" s="11" t="s">
        <v>58</v>
      </c>
      <c r="AJ607" s="11" t="str">
        <f>VLOOKUP(L607,[1]rekap!D:M,1,FALSE)</f>
        <v>Punagaya</v>
      </c>
      <c r="AK607" s="11" t="str">
        <f>VLOOKUP(L607,'[1]singkron data'!D:E,2,FALSE)</f>
        <v>PT. Piranti Jagad Raya</v>
      </c>
      <c r="AL607" s="11" t="str">
        <f>VLOOKUP(L607,'[1]update 521'!D:D,1,FALSE)</f>
        <v>Punagaya</v>
      </c>
      <c r="AM607" s="11" t="s">
        <v>57</v>
      </c>
      <c r="AN607" s="17">
        <f>VLOOKUP(L607,[1]Sheet19!E:L,8,FALSE)</f>
        <v>3570169000</v>
      </c>
      <c r="AO607" s="11" t="str">
        <f>VLOOKUP(L607,[1]Sheet19!E:K,7,FALSE)</f>
        <v>KONTRAK</v>
      </c>
      <c r="AP607" s="12" t="s">
        <v>41</v>
      </c>
    </row>
    <row r="608" spans="1:42" ht="15" x14ac:dyDescent="0.2">
      <c r="A608" s="8" t="s">
        <v>42</v>
      </c>
      <c r="B608" s="9" t="s">
        <v>43</v>
      </c>
      <c r="C608" s="9">
        <v>638</v>
      </c>
      <c r="D608" s="9" t="s">
        <v>1112</v>
      </c>
      <c r="E608" s="9">
        <v>169</v>
      </c>
      <c r="F608" s="9" t="s">
        <v>1477</v>
      </c>
      <c r="G608" s="9" t="s">
        <v>1243</v>
      </c>
      <c r="H608" s="9" t="s">
        <v>287</v>
      </c>
      <c r="I608" s="9" t="s">
        <v>1243</v>
      </c>
      <c r="J608" s="9" t="s">
        <v>1478</v>
      </c>
      <c r="K608" s="9" t="s">
        <v>1478</v>
      </c>
      <c r="L608" s="10" t="s">
        <v>1478</v>
      </c>
      <c r="M608" s="9" t="s">
        <v>51</v>
      </c>
      <c r="N608" s="9">
        <v>115</v>
      </c>
      <c r="O608" s="9">
        <v>68</v>
      </c>
      <c r="P608" s="9">
        <v>47</v>
      </c>
      <c r="Q608" s="9">
        <v>115</v>
      </c>
      <c r="R608" s="9">
        <v>0.38</v>
      </c>
      <c r="S608" s="9">
        <v>0.51973499999999995</v>
      </c>
      <c r="T608" s="9">
        <v>122.65021900000001</v>
      </c>
      <c r="U608" s="9" t="s">
        <v>52</v>
      </c>
      <c r="V608" s="11" t="str">
        <f>VLOOKUP(L608,'[1]singkron data'!D:E,2,FALSE)</f>
        <v>PT. Kelman Infra Perkasa</v>
      </c>
      <c r="W608" s="13">
        <f>VLOOKUP(L608,'[1]data 1129'!F:H,3,FALSE)</f>
        <v>4500000000</v>
      </c>
      <c r="X608" s="11" t="s">
        <v>55</v>
      </c>
      <c r="Y608" s="11">
        <f>VLOOKUP(L608,'[1]singkron data'!D:H,5,FALSE)</f>
        <v>0</v>
      </c>
      <c r="Z608" s="11" t="str">
        <f>VLOOKUP(L608,'[1]singkron data'!D:I,6,FALSE)</f>
        <v>Online</v>
      </c>
      <c r="AA608" s="11" t="str">
        <f>VLOOKUP(L608,'[1]singkron data'!D:L,9,FALSE)</f>
        <v>081914588646/ridwan</v>
      </c>
      <c r="AB608" s="11" t="s">
        <v>54</v>
      </c>
      <c r="AC608" s="11" t="str">
        <f>VLOOKUP(L608,'[1]singkron data'!D:M,10,FALSE)</f>
        <v>Arif Rah</v>
      </c>
      <c r="AD608" s="11" t="str">
        <f>VLOOKUP(L608,'[1]data 1129'!F:O,10,FALSE)</f>
        <v>Tahap I 208</v>
      </c>
      <c r="AE608" s="11" t="str">
        <f>VLOOKUP(L608,'[1]singkron data'!D:P,13,FALSE)</f>
        <v>sudah</v>
      </c>
      <c r="AF608" s="11" t="s">
        <v>55</v>
      </c>
      <c r="AG608" s="11" t="e">
        <f>VLOOKUP(L608,'[1]update kontrak'!E:K,6,FALSE)</f>
        <v>#N/A</v>
      </c>
      <c r="AH608" s="11" t="e">
        <f>VLOOKUP(L608,'[1]update kontrak'!E:K,7,FALSE)</f>
        <v>#N/A</v>
      </c>
      <c r="AI608" s="11" t="s">
        <v>58</v>
      </c>
      <c r="AJ608" s="11" t="str">
        <f>VLOOKUP(L608,[1]rekap!D:M,1,FALSE)</f>
        <v>Bilato</v>
      </c>
      <c r="AK608" s="11" t="str">
        <f>VLOOKUP(L608,'[1]singkron data'!D:E,2,FALSE)</f>
        <v>PT. Kelman Infra Perkasa</v>
      </c>
      <c r="AL608" s="11" t="str">
        <f>VLOOKUP(L608,'[1]update 521'!D:D,1,FALSE)</f>
        <v>Bilato</v>
      </c>
      <c r="AM608" s="11" t="s">
        <v>57</v>
      </c>
      <c r="AN608" s="17">
        <f>VLOOKUP(L608,[1]Sheet19!E:L,8,FALSE)</f>
        <v>3631025680</v>
      </c>
      <c r="AO608" s="11" t="str">
        <f>VLOOKUP(L608,[1]Sheet19!E:K,7,FALSE)</f>
        <v>SPPBJ</v>
      </c>
      <c r="AP608" s="12"/>
    </row>
    <row r="609" spans="1:42" ht="15" x14ac:dyDescent="0.2">
      <c r="A609" s="8" t="s">
        <v>42</v>
      </c>
      <c r="B609" s="9" t="s">
        <v>43</v>
      </c>
      <c r="C609" s="9">
        <v>639</v>
      </c>
      <c r="D609" s="9" t="s">
        <v>1112</v>
      </c>
      <c r="E609" s="9">
        <v>170</v>
      </c>
      <c r="F609" s="9" t="s">
        <v>1477</v>
      </c>
      <c r="G609" s="9" t="s">
        <v>1243</v>
      </c>
      <c r="H609" s="9" t="s">
        <v>287</v>
      </c>
      <c r="I609" s="9" t="s">
        <v>1479</v>
      </c>
      <c r="J609" s="9" t="s">
        <v>1480</v>
      </c>
      <c r="K609" s="9" t="s">
        <v>1481</v>
      </c>
      <c r="L609" s="10" t="s">
        <v>1481</v>
      </c>
      <c r="M609" s="9" t="s">
        <v>51</v>
      </c>
      <c r="N609" s="9">
        <v>75</v>
      </c>
      <c r="O609" s="9">
        <v>10</v>
      </c>
      <c r="P609" s="9">
        <v>40</v>
      </c>
      <c r="Q609" s="9">
        <v>50</v>
      </c>
      <c r="R609" s="9">
        <v>0.47</v>
      </c>
      <c r="S609" s="9">
        <v>0.51447500000000002</v>
      </c>
      <c r="T609" s="9">
        <v>122.554259</v>
      </c>
      <c r="U609" s="9" t="s">
        <v>52</v>
      </c>
      <c r="V609" s="11" t="str">
        <f>VLOOKUP(L609,'[1]singkron data'!D:E,2,FALSE)</f>
        <v>PT. Inovasi Multi Kreasindo (Kecil)</v>
      </c>
      <c r="W609" s="13">
        <f>VLOOKUP(L609,'[1]data 1129'!F:H,3,FALSE)</f>
        <v>4500000000</v>
      </c>
      <c r="X609" s="11" t="s">
        <v>55</v>
      </c>
      <c r="Y609" s="11" t="str">
        <f>VLOOKUP(L609,'[1]singkron data'!D:H,5,FALSE)</f>
        <v>Manado</v>
      </c>
      <c r="Z609" s="11" t="str">
        <f>VLOOKUP(L609,'[1]singkron data'!D:I,6,FALSE)</f>
        <v>Online</v>
      </c>
      <c r="AA609" s="11" t="str">
        <f>VLOOKUP(L609,'[1]singkron data'!D:L,9,FALSE)</f>
        <v>085197324265/maikel</v>
      </c>
      <c r="AB609" s="11" t="s">
        <v>54</v>
      </c>
      <c r="AC609" s="11" t="str">
        <f>VLOOKUP(L609,'[1]singkron data'!D:M,10,FALSE)</f>
        <v>TK</v>
      </c>
      <c r="AD609" s="11" t="str">
        <f>VLOOKUP(L609,'[1]data 1129'!F:O,10,FALSE)</f>
        <v>Tahap I 208</v>
      </c>
      <c r="AE609" s="11" t="str">
        <f>VLOOKUP(L609,'[1]singkron data'!D:P,13,FALSE)</f>
        <v>sudah</v>
      </c>
      <c r="AF609" s="11" t="s">
        <v>55</v>
      </c>
      <c r="AG609" s="11" t="e">
        <f>VLOOKUP(L609,'[1]update kontrak'!E:K,6,FALSE)</f>
        <v>#N/A</v>
      </c>
      <c r="AH609" s="11" t="e">
        <f>VLOOKUP(L609,'[1]update kontrak'!E:K,7,FALSE)</f>
        <v>#N/A</v>
      </c>
      <c r="AI609" s="11" t="s">
        <v>58</v>
      </c>
      <c r="AJ609" s="11" t="str">
        <f>VLOOKUP(L609,[1]rekap!D:M,1,FALSE)</f>
        <v>Bubaa</v>
      </c>
      <c r="AK609" s="11" t="str">
        <f>VLOOKUP(L609,'[1]singkron data'!D:E,2,FALSE)</f>
        <v>PT. Inovasi Multi Kreasindo (Kecil)</v>
      </c>
      <c r="AL609" s="11" t="str">
        <f>VLOOKUP(L609,'[1]update 521'!D:D,1,FALSE)</f>
        <v>Bubaa</v>
      </c>
      <c r="AM609" s="11" t="s">
        <v>57</v>
      </c>
      <c r="AN609" s="17">
        <f>VLOOKUP(L609,[1]Sheet19!E:L,8,FALSE)</f>
        <v>3600485186.2800002</v>
      </c>
      <c r="AO609" s="11" t="str">
        <f>VLOOKUP(L609,[1]Sheet19!E:K,7,FALSE)</f>
        <v>KONTRAK</v>
      </c>
      <c r="AP609" s="12" t="s">
        <v>41</v>
      </c>
    </row>
    <row r="610" spans="1:42" ht="15" x14ac:dyDescent="0.2">
      <c r="A610" s="8" t="s">
        <v>42</v>
      </c>
      <c r="B610" s="9" t="s">
        <v>43</v>
      </c>
      <c r="C610" s="9">
        <v>640</v>
      </c>
      <c r="D610" s="9" t="s">
        <v>1112</v>
      </c>
      <c r="E610" s="9">
        <v>171</v>
      </c>
      <c r="F610" s="9" t="s">
        <v>1477</v>
      </c>
      <c r="G610" s="9" t="s">
        <v>1243</v>
      </c>
      <c r="H610" s="9" t="s">
        <v>287</v>
      </c>
      <c r="I610" s="9" t="s">
        <v>1479</v>
      </c>
      <c r="J610" s="9" t="s">
        <v>1480</v>
      </c>
      <c r="K610" s="9" t="s">
        <v>1482</v>
      </c>
      <c r="L610" s="10" t="s">
        <v>1482</v>
      </c>
      <c r="M610" s="9" t="s">
        <v>51</v>
      </c>
      <c r="N610" s="9">
        <v>43</v>
      </c>
      <c r="O610" s="9" t="s">
        <v>72</v>
      </c>
      <c r="P610" s="9">
        <v>27</v>
      </c>
      <c r="Q610" s="9">
        <v>27</v>
      </c>
      <c r="R610" s="9">
        <v>0.92</v>
      </c>
      <c r="S610" s="9">
        <v>0.49932300000000002</v>
      </c>
      <c r="T610" s="9">
        <v>122.62003799999999</v>
      </c>
      <c r="U610" s="9" t="s">
        <v>52</v>
      </c>
      <c r="V610" s="11" t="str">
        <f>VLOOKUP(L610,'[1]singkron data'!D:E,2,FALSE)</f>
        <v>PT. Inovasi Multi Kreasindo (Kecil)</v>
      </c>
      <c r="W610" s="13">
        <f>VLOOKUP(L610,'[1]data 1129'!F:H,3,FALSE)</f>
        <v>4500000000</v>
      </c>
      <c r="X610" s="11" t="s">
        <v>55</v>
      </c>
      <c r="Y610" s="11" t="str">
        <f>VLOOKUP(L610,'[1]singkron data'!D:H,5,FALSE)</f>
        <v>Manado</v>
      </c>
      <c r="Z610" s="11" t="str">
        <f>VLOOKUP(L610,'[1]singkron data'!D:I,6,FALSE)</f>
        <v>Online</v>
      </c>
      <c r="AA610" s="11" t="str">
        <f>VLOOKUP(L610,'[1]singkron data'!D:L,9,FALSE)</f>
        <v>085197324265/maikel</v>
      </c>
      <c r="AB610" s="11" t="s">
        <v>54</v>
      </c>
      <c r="AC610" s="11" t="str">
        <f>VLOOKUP(L610,'[1]singkron data'!D:M,10,FALSE)</f>
        <v>TK</v>
      </c>
      <c r="AD610" s="11" t="str">
        <f>VLOOKUP(L610,'[1]data 1129'!F:O,10,FALSE)</f>
        <v>Tahap I 208</v>
      </c>
      <c r="AE610" s="11" t="str">
        <f>VLOOKUP(L610,'[1]singkron data'!D:P,13,FALSE)</f>
        <v>sudah</v>
      </c>
      <c r="AF610" s="11" t="s">
        <v>55</v>
      </c>
      <c r="AG610" s="11" t="e">
        <f>VLOOKUP(L610,'[1]update kontrak'!E:K,6,FALSE)</f>
        <v>#N/A</v>
      </c>
      <c r="AH610" s="11" t="e">
        <f>VLOOKUP(L610,'[1]update kontrak'!E:K,7,FALSE)</f>
        <v>#N/A</v>
      </c>
      <c r="AI610" s="11" t="s">
        <v>58</v>
      </c>
      <c r="AJ610" s="11" t="str">
        <f>VLOOKUP(L610,[1]rekap!D:M,1,FALSE)</f>
        <v>Olibu</v>
      </c>
      <c r="AK610" s="11" t="str">
        <f>VLOOKUP(L610,'[1]singkron data'!D:E,2,FALSE)</f>
        <v>PT. Inovasi Multi Kreasindo (Kecil)</v>
      </c>
      <c r="AL610" s="11" t="str">
        <f>VLOOKUP(L610,'[1]update 521'!D:D,1,FALSE)</f>
        <v>Olibu</v>
      </c>
      <c r="AM610" s="11" t="s">
        <v>57</v>
      </c>
      <c r="AN610" s="17">
        <f>VLOOKUP(L610,[1]Sheet19!E:L,8,FALSE)</f>
        <v>2601716768.9099998</v>
      </c>
      <c r="AO610" s="11" t="str">
        <f>VLOOKUP(L610,[1]Sheet19!E:K,7,FALSE)</f>
        <v>KONTRAK</v>
      </c>
      <c r="AP610" s="12" t="s">
        <v>41</v>
      </c>
    </row>
    <row r="611" spans="1:42" ht="15" x14ac:dyDescent="0.2">
      <c r="A611" s="8" t="s">
        <v>42</v>
      </c>
      <c r="B611" s="9" t="s">
        <v>43</v>
      </c>
      <c r="C611" s="9">
        <v>641</v>
      </c>
      <c r="D611" s="9" t="s">
        <v>1112</v>
      </c>
      <c r="E611" s="9">
        <v>172</v>
      </c>
      <c r="F611" s="9" t="s">
        <v>1477</v>
      </c>
      <c r="G611" s="9" t="s">
        <v>1243</v>
      </c>
      <c r="H611" s="9" t="s">
        <v>287</v>
      </c>
      <c r="I611" s="9" t="s">
        <v>1479</v>
      </c>
      <c r="J611" s="9" t="s">
        <v>1483</v>
      </c>
      <c r="K611" s="9" t="s">
        <v>1484</v>
      </c>
      <c r="L611" s="10" t="s">
        <v>1484</v>
      </c>
      <c r="M611" s="9" t="s">
        <v>51</v>
      </c>
      <c r="N611" s="9">
        <v>148</v>
      </c>
      <c r="O611" s="9" t="s">
        <v>72</v>
      </c>
      <c r="P611" s="9">
        <v>78</v>
      </c>
      <c r="Q611" s="9">
        <v>78</v>
      </c>
      <c r="R611" s="9">
        <v>1.07</v>
      </c>
      <c r="S611" s="9">
        <v>0.48665700000000001</v>
      </c>
      <c r="T611" s="9">
        <v>122.29979</v>
      </c>
      <c r="U611" s="9" t="s">
        <v>52</v>
      </c>
      <c r="V611" s="11" t="str">
        <f>VLOOKUP(L611,'[1]singkron data'!D:E,2,FALSE)</f>
        <v>PT. Kelman Infra Perkasa</v>
      </c>
      <c r="W611" s="13">
        <f>VLOOKUP(L611,'[1]data 1129'!F:H,3,FALSE)</f>
        <v>8066830000</v>
      </c>
      <c r="X611" s="11" t="s">
        <v>55</v>
      </c>
      <c r="Y611" s="11">
        <f>VLOOKUP(L611,'[1]singkron data'!D:H,5,FALSE)</f>
        <v>0</v>
      </c>
      <c r="Z611" s="11" t="str">
        <f>VLOOKUP(L611,'[1]singkron data'!D:I,6,FALSE)</f>
        <v>Online</v>
      </c>
      <c r="AA611" s="11" t="str">
        <f>VLOOKUP(L611,'[1]singkron data'!D:L,9,FALSE)</f>
        <v>081914588646/ridwan</v>
      </c>
      <c r="AB611" s="11" t="s">
        <v>54</v>
      </c>
      <c r="AC611" s="11" t="str">
        <f>VLOOKUP(L611,'[1]singkron data'!D:M,10,FALSE)</f>
        <v>Arif Rah</v>
      </c>
      <c r="AD611" s="11" t="str">
        <f>VLOOKUP(L611,'[1]data 1129'!F:O,10,FALSE)</f>
        <v>Tahap I 208</v>
      </c>
      <c r="AE611" s="11" t="str">
        <f>VLOOKUP(L611,'[1]singkron data'!D:P,13,FALSE)</f>
        <v>sudah</v>
      </c>
      <c r="AF611" s="11" t="s">
        <v>55</v>
      </c>
      <c r="AG611" s="11" t="e">
        <f>VLOOKUP(L611,'[1]update kontrak'!E:K,6,FALSE)</f>
        <v>#N/A</v>
      </c>
      <c r="AH611" s="11" t="e">
        <f>VLOOKUP(L611,'[1]update kontrak'!E:K,7,FALSE)</f>
        <v>#N/A</v>
      </c>
      <c r="AI611" s="11" t="s">
        <v>58</v>
      </c>
      <c r="AJ611" s="11" t="str">
        <f>VLOOKUP(L611,[1]rekap!D:M,1,FALSE)</f>
        <v>Patoameme</v>
      </c>
      <c r="AK611" s="11" t="str">
        <f>VLOOKUP(L611,'[1]singkron data'!D:E,2,FALSE)</f>
        <v>PT. Kelman Infra Perkasa</v>
      </c>
      <c r="AL611" s="11" t="str">
        <f>VLOOKUP(L611,'[1]update 521'!D:D,1,FALSE)</f>
        <v>Patoameme</v>
      </c>
      <c r="AM611" s="11" t="s">
        <v>57</v>
      </c>
      <c r="AN611" s="17">
        <f>VLOOKUP(L611,[1]Sheet19!E:L,8,FALSE)</f>
        <v>3631780063.4099998</v>
      </c>
      <c r="AO611" s="11" t="str">
        <f>VLOOKUP(L611,[1]Sheet19!E:K,7,FALSE)</f>
        <v>SPPBJ</v>
      </c>
      <c r="AP611" s="12"/>
    </row>
    <row r="612" spans="1:42" ht="15" x14ac:dyDescent="0.2">
      <c r="A612" s="8" t="s">
        <v>42</v>
      </c>
      <c r="B612" s="9" t="s">
        <v>43</v>
      </c>
      <c r="C612" s="9">
        <v>642</v>
      </c>
      <c r="D612" s="9" t="s">
        <v>1112</v>
      </c>
      <c r="E612" s="9">
        <v>173</v>
      </c>
      <c r="F612" s="9" t="s">
        <v>1477</v>
      </c>
      <c r="G612" s="9" t="s">
        <v>1243</v>
      </c>
      <c r="H612" s="9" t="s">
        <v>287</v>
      </c>
      <c r="I612" s="9" t="s">
        <v>1479</v>
      </c>
      <c r="J612" s="9" t="s">
        <v>1485</v>
      </c>
      <c r="K612" s="9" t="s">
        <v>1486</v>
      </c>
      <c r="L612" s="10" t="s">
        <v>1486</v>
      </c>
      <c r="M612" s="9" t="s">
        <v>51</v>
      </c>
      <c r="N612" s="9">
        <v>98</v>
      </c>
      <c r="O612" s="9">
        <v>10</v>
      </c>
      <c r="P612" s="9">
        <v>80</v>
      </c>
      <c r="Q612" s="9">
        <v>90</v>
      </c>
      <c r="R612" s="9">
        <v>0.4</v>
      </c>
      <c r="S612" s="9">
        <v>0.50649699999999998</v>
      </c>
      <c r="T612" s="9">
        <v>122.461828</v>
      </c>
      <c r="U612" s="9" t="s">
        <v>52</v>
      </c>
      <c r="V612" s="11" t="str">
        <f>VLOOKUP(L612,'[1]singkron data'!D:E,2,FALSE)</f>
        <v>PT. Kelman Infra Perkasa</v>
      </c>
      <c r="W612" s="13">
        <f>VLOOKUP(L612,'[1]data 1129'!F:H,3,FALSE)</f>
        <v>4071361000</v>
      </c>
      <c r="X612" s="11" t="s">
        <v>55</v>
      </c>
      <c r="Y612" s="11">
        <f>VLOOKUP(L612,'[1]singkron data'!D:H,5,FALSE)</f>
        <v>0</v>
      </c>
      <c r="Z612" s="11" t="str">
        <f>VLOOKUP(L612,'[1]singkron data'!D:I,6,FALSE)</f>
        <v>Online</v>
      </c>
      <c r="AA612" s="11" t="str">
        <f>VLOOKUP(L612,'[1]singkron data'!D:L,9,FALSE)</f>
        <v>081914588646/ridwan</v>
      </c>
      <c r="AB612" s="11" t="s">
        <v>54</v>
      </c>
      <c r="AC612" s="11" t="str">
        <f>VLOOKUP(L612,'[1]singkron data'!D:M,10,FALSE)</f>
        <v>Arif Rah</v>
      </c>
      <c r="AD612" s="11" t="str">
        <f>VLOOKUP(L612,'[1]data 1129'!F:O,10,FALSE)</f>
        <v>Tahap I 208</v>
      </c>
      <c r="AE612" s="11" t="str">
        <f>VLOOKUP(L612,'[1]singkron data'!D:P,13,FALSE)</f>
        <v>sudah</v>
      </c>
      <c r="AF612" s="11" t="s">
        <v>55</v>
      </c>
      <c r="AG612" s="11" t="e">
        <f>VLOOKUP(L612,'[1]update kontrak'!E:K,6,FALSE)</f>
        <v>#N/A</v>
      </c>
      <c r="AH612" s="11" t="e">
        <f>VLOOKUP(L612,'[1]update kontrak'!E:K,7,FALSE)</f>
        <v>#N/A</v>
      </c>
      <c r="AI612" s="11" t="s">
        <v>58</v>
      </c>
      <c r="AJ612" s="11" t="str">
        <f>VLOOKUP(L612,[1]rekap!D:M,1,FALSE)</f>
        <v>Tabongo</v>
      </c>
      <c r="AK612" s="11" t="str">
        <f>VLOOKUP(L612,'[1]singkron data'!D:E,2,FALSE)</f>
        <v>PT. Kelman Infra Perkasa</v>
      </c>
      <c r="AL612" s="11" t="str">
        <f>VLOOKUP(L612,'[1]update 521'!D:D,1,FALSE)</f>
        <v>Tabongo</v>
      </c>
      <c r="AM612" s="11" t="s">
        <v>57</v>
      </c>
      <c r="AN612" s="17">
        <f>VLOOKUP(L612,[1]Sheet19!E:L,8,FALSE)</f>
        <v>3758683649.46</v>
      </c>
      <c r="AO612" s="11" t="str">
        <f>VLOOKUP(L612,[1]Sheet19!E:K,7,FALSE)</f>
        <v>SPPBJ</v>
      </c>
      <c r="AP612" s="12"/>
    </row>
    <row r="613" spans="1:42" ht="15" x14ac:dyDescent="0.2">
      <c r="A613" s="8" t="s">
        <v>42</v>
      </c>
      <c r="B613" s="9" t="s">
        <v>43</v>
      </c>
      <c r="C613" s="9">
        <v>643</v>
      </c>
      <c r="D613" s="9" t="s">
        <v>1112</v>
      </c>
      <c r="E613" s="9">
        <v>174</v>
      </c>
      <c r="F613" s="9" t="s">
        <v>1487</v>
      </c>
      <c r="G613" s="9" t="s">
        <v>1243</v>
      </c>
      <c r="H613" s="9" t="s">
        <v>287</v>
      </c>
      <c r="I613" s="9" t="s">
        <v>1479</v>
      </c>
      <c r="J613" s="9" t="s">
        <v>1488</v>
      </c>
      <c r="K613" s="9" t="s">
        <v>1489</v>
      </c>
      <c r="L613" s="10" t="s">
        <v>1489</v>
      </c>
      <c r="M613" s="9" t="s">
        <v>51</v>
      </c>
      <c r="N613" s="9">
        <v>200</v>
      </c>
      <c r="O613" s="9" t="s">
        <v>72</v>
      </c>
      <c r="P613" s="9">
        <v>100</v>
      </c>
      <c r="Q613" s="9">
        <v>100</v>
      </c>
      <c r="R613" s="9">
        <v>0.59</v>
      </c>
      <c r="S613" s="9">
        <v>0.48491069999999997</v>
      </c>
      <c r="T613" s="9">
        <v>122.141707</v>
      </c>
      <c r="U613" s="9" t="s">
        <v>52</v>
      </c>
      <c r="V613" s="11" t="str">
        <f>VLOOKUP(L613,'[1]singkron data'!D:E,2,FALSE)</f>
        <v>CV. Almaliku</v>
      </c>
      <c r="W613" s="13">
        <f>VLOOKUP(L613,'[1]data 1129'!F:H,3,FALSE)</f>
        <v>8433419000</v>
      </c>
      <c r="X613" s="11" t="s">
        <v>55</v>
      </c>
      <c r="Y613" s="11">
        <f>VLOOKUP(L613,'[1]singkron data'!D:H,5,FALSE)</f>
        <v>0</v>
      </c>
      <c r="Z613" s="11">
        <f>VLOOKUP(L613,'[1]singkron data'!D:I,6,FALSE)</f>
        <v>0</v>
      </c>
      <c r="AA613" s="11" t="str">
        <f>VLOOKUP(L613,'[1]singkron data'!D:L,9,FALSE)</f>
        <v>Firman/081385949713</v>
      </c>
      <c r="AB613" s="11" t="s">
        <v>54</v>
      </c>
      <c r="AC613" s="11" t="str">
        <f>VLOOKUP(L613,'[1]singkron data'!D:M,10,FALSE)</f>
        <v>Pandu (Baru)</v>
      </c>
      <c r="AD613" s="11" t="str">
        <f>VLOOKUP(L613,'[1]data 1129'!F:O,10,FALSE)</f>
        <v>Tahap I 208</v>
      </c>
      <c r="AE613" s="11" t="str">
        <f>VLOOKUP(L613,'[1]singkron data'!D:P,13,FALSE)</f>
        <v>sudah</v>
      </c>
      <c r="AF613" s="11" t="s">
        <v>55</v>
      </c>
      <c r="AG613" s="11" t="e">
        <f>VLOOKUP(L613,'[1]update kontrak'!E:K,6,FALSE)</f>
        <v>#N/A</v>
      </c>
      <c r="AH613" s="11" t="e">
        <f>VLOOKUP(L613,'[1]update kontrak'!E:K,7,FALSE)</f>
        <v>#N/A</v>
      </c>
      <c r="AI613" s="11" t="s">
        <v>58</v>
      </c>
      <c r="AJ613" s="11" t="str">
        <f>VLOOKUP(L613,[1]rekap!D:M,1,FALSE)</f>
        <v>Tabulo Selatan</v>
      </c>
      <c r="AK613" s="11" t="str">
        <f>VLOOKUP(L613,'[1]singkron data'!D:E,2,FALSE)</f>
        <v>CV. Almaliku</v>
      </c>
      <c r="AL613" s="11" t="str">
        <f>VLOOKUP(L613,'[1]update 521'!D:D,1,FALSE)</f>
        <v>Tabulo Selatan</v>
      </c>
      <c r="AM613" s="11" t="s">
        <v>57</v>
      </c>
      <c r="AN613" s="17">
        <f>VLOOKUP(L613,[1]Sheet19!E:L,8,FALSE)</f>
        <v>3863767523.73</v>
      </c>
      <c r="AO613" s="11" t="str">
        <f>VLOOKUP(L613,[1]Sheet19!E:K,7,FALSE)</f>
        <v>KONTRAK</v>
      </c>
      <c r="AP613" s="12" t="s">
        <v>41</v>
      </c>
    </row>
    <row r="614" spans="1:42" ht="15" x14ac:dyDescent="0.2">
      <c r="A614" s="8" t="s">
        <v>42</v>
      </c>
      <c r="B614" s="9" t="s">
        <v>43</v>
      </c>
      <c r="C614" s="9">
        <v>644</v>
      </c>
      <c r="D614" s="9" t="s">
        <v>1112</v>
      </c>
      <c r="E614" s="9">
        <v>175</v>
      </c>
      <c r="F614" s="9" t="s">
        <v>1477</v>
      </c>
      <c r="G614" s="9" t="s">
        <v>1243</v>
      </c>
      <c r="H614" s="9" t="s">
        <v>287</v>
      </c>
      <c r="I614" s="9" t="s">
        <v>1479</v>
      </c>
      <c r="J614" s="9" t="s">
        <v>1490</v>
      </c>
      <c r="K614" s="9" t="s">
        <v>1491</v>
      </c>
      <c r="L614" s="10" t="s">
        <v>1491</v>
      </c>
      <c r="M614" s="9" t="s">
        <v>81</v>
      </c>
      <c r="N614" s="9">
        <v>115</v>
      </c>
      <c r="O614" s="9" t="s">
        <v>72</v>
      </c>
      <c r="P614" s="9">
        <v>99</v>
      </c>
      <c r="Q614" s="9">
        <v>99</v>
      </c>
      <c r="R614" s="9">
        <v>0.08</v>
      </c>
      <c r="S614" s="9">
        <v>0.51890899999999995</v>
      </c>
      <c r="T614" s="9">
        <v>122.647173</v>
      </c>
      <c r="U614" s="9" t="s">
        <v>52</v>
      </c>
      <c r="V614" s="11" t="str">
        <f>VLOOKUP(L614,'[1]singkron data'!D:E,2,FALSE)</f>
        <v>PT. Kelman Infra Perkasa</v>
      </c>
      <c r="W614" s="13">
        <f>VLOOKUP(L614,'[1]data 1129'!F:H,3,FALSE)</f>
        <v>4567200000</v>
      </c>
      <c r="X614" s="11" t="s">
        <v>55</v>
      </c>
      <c r="Y614" s="11">
        <f>VLOOKUP(L614,'[1]singkron data'!D:H,5,FALSE)</f>
        <v>0</v>
      </c>
      <c r="Z614" s="11" t="str">
        <f>VLOOKUP(L614,'[1]singkron data'!D:I,6,FALSE)</f>
        <v>Online</v>
      </c>
      <c r="AA614" s="11" t="str">
        <f>VLOOKUP(L614,'[1]singkron data'!D:L,9,FALSE)</f>
        <v>081914588646/ridwan</v>
      </c>
      <c r="AB614" s="11" t="s">
        <v>54</v>
      </c>
      <c r="AC614" s="11" t="str">
        <f>VLOOKUP(L614,'[1]singkron data'!D:M,10,FALSE)</f>
        <v>Arif Rah</v>
      </c>
      <c r="AD614" s="11" t="str">
        <f>VLOOKUP(L614,'[1]data 1129'!F:O,10,FALSE)</f>
        <v>Tahap I 208</v>
      </c>
      <c r="AE614" s="11" t="str">
        <f>VLOOKUP(L614,'[1]singkron data'!D:P,13,FALSE)</f>
        <v>sudah</v>
      </c>
      <c r="AF614" s="11" t="s">
        <v>55</v>
      </c>
      <c r="AG614" s="11" t="e">
        <f>VLOOKUP(L614,'[1]update kontrak'!E:K,6,FALSE)</f>
        <v>#N/A</v>
      </c>
      <c r="AH614" s="11" t="e">
        <f>VLOOKUP(L614,'[1]update kontrak'!E:K,7,FALSE)</f>
        <v>#N/A</v>
      </c>
      <c r="AI614" s="11" t="s">
        <v>58</v>
      </c>
      <c r="AJ614" s="11" t="str">
        <f>VLOOKUP(L614,[1]rekap!D:M,1,FALSE)</f>
        <v>Girisa</v>
      </c>
      <c r="AK614" s="11" t="str">
        <f>VLOOKUP(L614,'[1]singkron data'!D:E,2,FALSE)</f>
        <v>PT. Kelman Infra Perkasa</v>
      </c>
      <c r="AL614" s="11" t="str">
        <f>VLOOKUP(L614,'[1]update 521'!D:D,1,FALSE)</f>
        <v>Girisa</v>
      </c>
      <c r="AM614" s="11" t="s">
        <v>57</v>
      </c>
      <c r="AN614" s="17">
        <f>VLOOKUP(L614,[1]Sheet19!E:L,8,FALSE)</f>
        <v>3426511000</v>
      </c>
      <c r="AO614" s="11" t="str">
        <f>VLOOKUP(L614,[1]Sheet19!E:K,7,FALSE)</f>
        <v>SPPBJ</v>
      </c>
      <c r="AP614" s="12"/>
    </row>
    <row r="615" spans="1:42" ht="15" x14ac:dyDescent="0.2">
      <c r="A615" s="8" t="s">
        <v>42</v>
      </c>
      <c r="B615" s="9" t="s">
        <v>43</v>
      </c>
      <c r="C615" s="9">
        <v>645</v>
      </c>
      <c r="D615" s="9" t="s">
        <v>1112</v>
      </c>
      <c r="E615" s="9">
        <v>176</v>
      </c>
      <c r="F615" s="9" t="s">
        <v>1487</v>
      </c>
      <c r="G615" s="9" t="s">
        <v>1243</v>
      </c>
      <c r="H615" s="9" t="s">
        <v>287</v>
      </c>
      <c r="I615" s="9" t="s">
        <v>1492</v>
      </c>
      <c r="J615" s="9" t="s">
        <v>1493</v>
      </c>
      <c r="K615" s="9" t="s">
        <v>1487</v>
      </c>
      <c r="L615" s="10" t="s">
        <v>1487</v>
      </c>
      <c r="M615" s="9" t="s">
        <v>81</v>
      </c>
      <c r="N615" s="9">
        <v>289</v>
      </c>
      <c r="O615" s="9">
        <v>8</v>
      </c>
      <c r="P615" s="9">
        <v>289</v>
      </c>
      <c r="Q615" s="9">
        <v>297</v>
      </c>
      <c r="R615" s="9">
        <v>2.54</v>
      </c>
      <c r="S615" s="9">
        <v>0.48492099999999999</v>
      </c>
      <c r="T615" s="9">
        <v>122.09056</v>
      </c>
      <c r="U615" s="9" t="s">
        <v>52</v>
      </c>
      <c r="V615" s="11" t="str">
        <f>VLOOKUP(L615,'[1]singkron data'!D:E,2,FALSE)</f>
        <v>CV. Almaliku</v>
      </c>
      <c r="W615" s="13">
        <f>VLOOKUP(L615,'[1]data 1129'!F:H,3,FALSE)</f>
        <v>4567200000</v>
      </c>
      <c r="X615" s="11" t="s">
        <v>55</v>
      </c>
      <c r="Y615" s="11">
        <f>VLOOKUP(L615,'[1]singkron data'!D:H,5,FALSE)</f>
        <v>0</v>
      </c>
      <c r="Z615" s="11">
        <f>VLOOKUP(L615,'[1]singkron data'!D:I,6,FALSE)</f>
        <v>0</v>
      </c>
      <c r="AA615" s="11" t="str">
        <f>VLOOKUP(L615,'[1]singkron data'!D:L,9,FALSE)</f>
        <v>Firman/081385949713</v>
      </c>
      <c r="AB615" s="11" t="s">
        <v>54</v>
      </c>
      <c r="AC615" s="11" t="str">
        <f>VLOOKUP(L615,'[1]singkron data'!D:M,10,FALSE)</f>
        <v>Pandu (Baru)</v>
      </c>
      <c r="AD615" s="11" t="str">
        <f>VLOOKUP(L615,'[1]data 1129'!F:O,10,FALSE)</f>
        <v>Tahap I 208</v>
      </c>
      <c r="AE615" s="11" t="str">
        <f>VLOOKUP(L615,'[1]singkron data'!D:P,13,FALSE)</f>
        <v>sudah</v>
      </c>
      <c r="AF615" s="11" t="s">
        <v>55</v>
      </c>
      <c r="AG615" s="11" t="e">
        <f>VLOOKUP(L615,'[1]update kontrak'!E:K,6,FALSE)</f>
        <v>#N/A</v>
      </c>
      <c r="AH615" s="11" t="e">
        <f>VLOOKUP(L615,'[1]update kontrak'!E:K,7,FALSE)</f>
        <v>#N/A</v>
      </c>
      <c r="AI615" s="11" t="s">
        <v>58</v>
      </c>
      <c r="AJ615" s="11" t="str">
        <f>VLOOKUP(L615,[1]rekap!D:M,1,FALSE)</f>
        <v>Bumbulan</v>
      </c>
      <c r="AK615" s="11" t="str">
        <f>VLOOKUP(L615,'[1]singkron data'!D:E,2,FALSE)</f>
        <v>CV. Almaliku</v>
      </c>
      <c r="AL615" s="11" t="str">
        <f>VLOOKUP(L615,'[1]update 521'!D:D,1,FALSE)</f>
        <v>Bumbulan</v>
      </c>
      <c r="AM615" s="11" t="s">
        <v>57</v>
      </c>
      <c r="AN615" s="17">
        <f>VLOOKUP(L615,[1]Sheet19!E:L,8,FALSE)</f>
        <v>4356363492.4499998</v>
      </c>
      <c r="AO615" s="11" t="str">
        <f>VLOOKUP(L615,[1]Sheet19!E:K,7,FALSE)</f>
        <v>KONTRAK</v>
      </c>
      <c r="AP615" s="12" t="s">
        <v>41</v>
      </c>
    </row>
    <row r="616" spans="1:42" ht="15" x14ac:dyDescent="0.2">
      <c r="A616" s="8" t="s">
        <v>42</v>
      </c>
      <c r="B616" s="9" t="s">
        <v>43</v>
      </c>
      <c r="C616" s="9">
        <v>646</v>
      </c>
      <c r="D616" s="9" t="s">
        <v>1112</v>
      </c>
      <c r="E616" s="9">
        <v>177</v>
      </c>
      <c r="F616" s="9" t="s">
        <v>1494</v>
      </c>
      <c r="G616" s="9" t="s">
        <v>1243</v>
      </c>
      <c r="H616" s="9" t="s">
        <v>287</v>
      </c>
      <c r="I616" s="9" t="s">
        <v>1244</v>
      </c>
      <c r="J616" s="9" t="s">
        <v>1495</v>
      </c>
      <c r="K616" s="9" t="s">
        <v>1494</v>
      </c>
      <c r="L616" s="10" t="s">
        <v>1494</v>
      </c>
      <c r="M616" s="9" t="s">
        <v>65</v>
      </c>
      <c r="N616" s="9">
        <v>283</v>
      </c>
      <c r="O616" s="9">
        <v>2</v>
      </c>
      <c r="P616" s="9">
        <v>132</v>
      </c>
      <c r="Q616" s="9">
        <v>134</v>
      </c>
      <c r="R616" s="9">
        <v>1</v>
      </c>
      <c r="S616" s="9">
        <v>0.89013900000000001</v>
      </c>
      <c r="T616" s="9">
        <v>122.886944</v>
      </c>
      <c r="U616" s="9" t="s">
        <v>52</v>
      </c>
      <c r="V616" s="11" t="s">
        <v>1496</v>
      </c>
      <c r="W616" s="13">
        <f>VLOOKUP(L616,'[1]data 1129'!F:H,3,FALSE)</f>
        <v>8104319000</v>
      </c>
      <c r="X616" s="11"/>
      <c r="Y616" s="11">
        <f>VLOOKUP(L616,'[1]singkron data'!D:H,5,FALSE)</f>
        <v>0</v>
      </c>
      <c r="Z616" s="11">
        <f>VLOOKUP(L616,'[1]singkron data'!D:I,6,FALSE)</f>
        <v>0</v>
      </c>
      <c r="AA616" s="11" t="str">
        <f>VLOOKUP(L616,'[1]singkron data'!D:L,9,FALSE)</f>
        <v>081344929775/rukmana</v>
      </c>
      <c r="AB616" s="11" t="s">
        <v>54</v>
      </c>
      <c r="AC616" s="11" t="str">
        <f>VLOOKUP(L616,'[1]singkron data'!D:M,10,FALSE)</f>
        <v>Hyl</v>
      </c>
      <c r="AD616" s="11" t="str">
        <f>VLOOKUP(L616,'[1]data 1129'!F:O,10,FALSE)</f>
        <v>Tahap IV 200</v>
      </c>
      <c r="AE616" s="11" t="str">
        <f>VLOOKUP(L616,'[1]singkron data'!D:P,13,FALSE)</f>
        <v>sudah</v>
      </c>
      <c r="AF616" s="11" t="s">
        <v>55</v>
      </c>
      <c r="AG616" s="11" t="e">
        <f>VLOOKUP(L616,'[1]update kontrak'!E:K,6,FALSE)</f>
        <v>#N/A</v>
      </c>
      <c r="AH616" s="11" t="e">
        <f>VLOOKUP(L616,'[1]update kontrak'!E:K,7,FALSE)</f>
        <v>#N/A</v>
      </c>
      <c r="AI616" s="11"/>
      <c r="AJ616" s="11" t="str">
        <f>VLOOKUP(L616,[1]rekap!D:M,1,FALSE)</f>
        <v>Ponelo</v>
      </c>
      <c r="AK616" s="11" t="str">
        <f t="shared" ref="AK616:AK619" si="5">AJ616</f>
        <v>Ponelo</v>
      </c>
      <c r="AL616" s="11" t="str">
        <f>VLOOKUP(L616,'[1]update 521'!D:D,1,FALSE)</f>
        <v>Ponelo</v>
      </c>
      <c r="AM616" s="11" t="s">
        <v>1253</v>
      </c>
      <c r="AN616" s="11" t="e">
        <f>VLOOKUP(L616,[1]Sheet19!E:L,8,FALSE)</f>
        <v>#N/A</v>
      </c>
      <c r="AO616" s="11" t="s">
        <v>58</v>
      </c>
      <c r="AP616" s="12"/>
    </row>
    <row r="617" spans="1:42" ht="15" x14ac:dyDescent="0.2">
      <c r="A617" s="8" t="s">
        <v>42</v>
      </c>
      <c r="B617" s="9" t="s">
        <v>43</v>
      </c>
      <c r="C617" s="9">
        <v>647</v>
      </c>
      <c r="D617" s="9" t="s">
        <v>1112</v>
      </c>
      <c r="E617" s="9">
        <v>178</v>
      </c>
      <c r="F617" s="9" t="s">
        <v>1494</v>
      </c>
      <c r="G617" s="9" t="s">
        <v>1243</v>
      </c>
      <c r="H617" s="9" t="s">
        <v>287</v>
      </c>
      <c r="I617" s="9" t="s">
        <v>1244</v>
      </c>
      <c r="J617" s="9" t="s">
        <v>1497</v>
      </c>
      <c r="K617" s="9" t="s">
        <v>1498</v>
      </c>
      <c r="L617" s="10" t="s">
        <v>1498</v>
      </c>
      <c r="M617" s="9" t="s">
        <v>51</v>
      </c>
      <c r="N617" s="9">
        <v>134</v>
      </c>
      <c r="O617" s="9">
        <v>1</v>
      </c>
      <c r="P617" s="9">
        <v>132</v>
      </c>
      <c r="Q617" s="9">
        <v>133</v>
      </c>
      <c r="R617" s="9">
        <v>1</v>
      </c>
      <c r="S617" s="9">
        <v>0.89127800000000001</v>
      </c>
      <c r="T617" s="9">
        <v>122.801722</v>
      </c>
      <c r="U617" s="9" t="s">
        <v>52</v>
      </c>
      <c r="V617" s="11" t="str">
        <f>VLOOKUP(L617,'[1]singkron data'!D:E,2,FALSE)</f>
        <v>CV. Syeren Indah</v>
      </c>
      <c r="W617" s="13">
        <f>VLOOKUP(L617,'[1]data 1129'!F:H,3,FALSE)</f>
        <v>4780636000</v>
      </c>
      <c r="X617" s="11"/>
      <c r="Y617" s="11">
        <f>VLOOKUP(L617,'[1]singkron data'!D:H,5,FALSE)</f>
        <v>0</v>
      </c>
      <c r="Z617" s="11">
        <f>VLOOKUP(L617,'[1]singkron data'!D:I,6,FALSE)</f>
        <v>0</v>
      </c>
      <c r="AA617" s="11" t="str">
        <f>VLOOKUP(L617,'[1]singkron data'!D:L,9,FALSE)</f>
        <v>081344929775/rukmana</v>
      </c>
      <c r="AB617" s="11" t="s">
        <v>54</v>
      </c>
      <c r="AC617" s="11" t="str">
        <f>VLOOKUP(L617,'[1]singkron data'!D:M,10,FALSE)</f>
        <v>Hyl</v>
      </c>
      <c r="AD617" s="11" t="str">
        <f>VLOOKUP(L617,'[1]data 1129'!F:O,10,FALSE)</f>
        <v>Tahap IV 200</v>
      </c>
      <c r="AE617" s="11" t="str">
        <f>VLOOKUP(L617,'[1]singkron data'!D:P,13,FALSE)</f>
        <v>sudah</v>
      </c>
      <c r="AF617" s="11" t="s">
        <v>55</v>
      </c>
      <c r="AG617" s="11" t="e">
        <f>VLOOKUP(L617,'[1]update kontrak'!E:K,6,FALSE)</f>
        <v>#N/A</v>
      </c>
      <c r="AH617" s="11" t="e">
        <f>VLOOKUP(L617,'[1]update kontrak'!E:K,7,FALSE)</f>
        <v>#N/A</v>
      </c>
      <c r="AI617" s="11"/>
      <c r="AJ617" s="11" t="str">
        <f>VLOOKUP(L617,[1]rekap!D:M,1,FALSE)</f>
        <v>Dudepo</v>
      </c>
      <c r="AK617" s="11" t="str">
        <f t="shared" si="5"/>
        <v>Dudepo</v>
      </c>
      <c r="AL617" s="11" t="str">
        <f>VLOOKUP(L617,'[1]update 521'!D:D,1,FALSE)</f>
        <v>Dudepo</v>
      </c>
      <c r="AM617" s="11" t="s">
        <v>1253</v>
      </c>
      <c r="AN617" s="11" t="e">
        <f>VLOOKUP(L617,[1]Sheet19!E:L,8,FALSE)</f>
        <v>#N/A</v>
      </c>
      <c r="AO617" s="11" t="s">
        <v>58</v>
      </c>
      <c r="AP617" s="12"/>
    </row>
    <row r="618" spans="1:42" ht="15" x14ac:dyDescent="0.2">
      <c r="A618" s="8" t="s">
        <v>42</v>
      </c>
      <c r="B618" s="9" t="s">
        <v>43</v>
      </c>
      <c r="C618" s="9">
        <v>648</v>
      </c>
      <c r="D618" s="9" t="s">
        <v>1112</v>
      </c>
      <c r="E618" s="9">
        <v>179</v>
      </c>
      <c r="F618" s="9" t="s">
        <v>1494</v>
      </c>
      <c r="G618" s="9" t="s">
        <v>1243</v>
      </c>
      <c r="H618" s="9" t="s">
        <v>287</v>
      </c>
      <c r="I618" s="9" t="s">
        <v>1244</v>
      </c>
      <c r="J618" s="9" t="s">
        <v>1497</v>
      </c>
      <c r="K618" s="9" t="s">
        <v>1499</v>
      </c>
      <c r="L618" s="10" t="s">
        <v>1499</v>
      </c>
      <c r="M618" s="9" t="s">
        <v>51</v>
      </c>
      <c r="N618" s="9">
        <v>31</v>
      </c>
      <c r="O618" s="9" t="s">
        <v>72</v>
      </c>
      <c r="P618" s="9">
        <v>28</v>
      </c>
      <c r="Q618" s="9">
        <v>28</v>
      </c>
      <c r="R618" s="9">
        <v>0.67</v>
      </c>
      <c r="S618" s="9">
        <v>0.80886999999999998</v>
      </c>
      <c r="T618" s="9">
        <v>122.84065</v>
      </c>
      <c r="U618" s="9" t="s">
        <v>52</v>
      </c>
      <c r="V618" s="11" t="str">
        <f>VLOOKUP(L618,'[1]singkron data'!D:E,2,FALSE)</f>
        <v>PT. Tata Sejatera Indonesia (Menengah)</v>
      </c>
      <c r="W618" s="13">
        <f>VLOOKUP(L618,'[1]data 1129'!F:H,3,FALSE)</f>
        <v>4500000000</v>
      </c>
      <c r="X618" s="11" t="s">
        <v>55</v>
      </c>
      <c r="Y618" s="11">
        <f>VLOOKUP(L618,'[1]singkron data'!D:H,5,FALSE)</f>
        <v>0</v>
      </c>
      <c r="Z618" s="11">
        <f>VLOOKUP(L618,'[1]singkron data'!D:I,6,FALSE)</f>
        <v>0</v>
      </c>
      <c r="AA618" s="11" t="str">
        <f>VLOOKUP(L618,'[1]singkron data'!D:L,9,FALSE)</f>
        <v>089624211934/ricky</v>
      </c>
      <c r="AB618" s="11" t="s">
        <v>54</v>
      </c>
      <c r="AC618" s="11" t="str">
        <f>VLOOKUP(L618,'[1]singkron data'!D:M,10,FALSE)</f>
        <v>Hyl</v>
      </c>
      <c r="AD618" s="11" t="str">
        <f>VLOOKUP(L618,'[1]data 1129'!F:O,10,FALSE)</f>
        <v>Tahap I 208</v>
      </c>
      <c r="AE618" s="11" t="str">
        <f>VLOOKUP(L618,'[1]singkron data'!D:P,13,FALSE)</f>
        <v>sudah</v>
      </c>
      <c r="AF618" s="11" t="s">
        <v>55</v>
      </c>
      <c r="AG618" s="11" t="e">
        <f>VLOOKUP(L618,'[1]update kontrak'!E:K,6,FALSE)</f>
        <v>#N/A</v>
      </c>
      <c r="AH618" s="11" t="e">
        <f>VLOOKUP(L618,'[1]update kontrak'!E:K,7,FALSE)</f>
        <v>#N/A</v>
      </c>
      <c r="AI618" s="11" t="s">
        <v>58</v>
      </c>
      <c r="AJ618" s="11" t="str">
        <f>VLOOKUP(L618,[1]rekap!D:M,1,FALSE)</f>
        <v>Langge</v>
      </c>
      <c r="AK618" s="11" t="str">
        <f t="shared" si="5"/>
        <v>Langge</v>
      </c>
      <c r="AL618" s="11" t="str">
        <f>VLOOKUP(L618,'[1]update 521'!D:D,1,FALSE)</f>
        <v>Langge</v>
      </c>
      <c r="AM618" s="11" t="s">
        <v>57</v>
      </c>
      <c r="AN618" s="17">
        <f>VLOOKUP(L618,[1]Sheet19!E:L,8,FALSE)</f>
        <v>3798909514.4400001</v>
      </c>
      <c r="AO618" s="11" t="str">
        <f>VLOOKUP(L618,[1]Sheet19!E:K,7,FALSE)</f>
        <v>KONTRAK</v>
      </c>
      <c r="AP618" s="12" t="s">
        <v>41</v>
      </c>
    </row>
    <row r="619" spans="1:42" ht="15" x14ac:dyDescent="0.2">
      <c r="A619" s="8" t="s">
        <v>42</v>
      </c>
      <c r="B619" s="9" t="s">
        <v>43</v>
      </c>
      <c r="C619" s="9">
        <v>649</v>
      </c>
      <c r="D619" s="9" t="s">
        <v>1112</v>
      </c>
      <c r="E619" s="9">
        <v>180</v>
      </c>
      <c r="F619" s="9" t="s">
        <v>1494</v>
      </c>
      <c r="G619" s="9" t="s">
        <v>1243</v>
      </c>
      <c r="H619" s="9" t="s">
        <v>287</v>
      </c>
      <c r="I619" s="9" t="s">
        <v>1244</v>
      </c>
      <c r="J619" s="9" t="s">
        <v>1500</v>
      </c>
      <c r="K619" s="9" t="s">
        <v>1501</v>
      </c>
      <c r="L619" s="10" t="s">
        <v>1501</v>
      </c>
      <c r="M619" s="9" t="s">
        <v>51</v>
      </c>
      <c r="N619" s="9">
        <v>300</v>
      </c>
      <c r="O619" s="9">
        <v>10</v>
      </c>
      <c r="P619" s="9">
        <v>44</v>
      </c>
      <c r="Q619" s="9">
        <v>54</v>
      </c>
      <c r="R619" s="9">
        <v>0.37</v>
      </c>
      <c r="S619" s="9">
        <v>0.86501099999999997</v>
      </c>
      <c r="T619" s="9">
        <v>122.71886000000001</v>
      </c>
      <c r="U619" s="9" t="s">
        <v>52</v>
      </c>
      <c r="V619" s="11" t="str">
        <f>VLOOKUP(L619,'[1]singkron data'!D:E,2,FALSE)</f>
        <v>CV. Syeren Indah</v>
      </c>
      <c r="W619" s="13">
        <f>VLOOKUP(L619,'[1]data 1129'!F:H,3,FALSE)</f>
        <v>4780636000</v>
      </c>
      <c r="X619" s="11"/>
      <c r="Y619" s="11">
        <f>VLOOKUP(L619,'[1]singkron data'!D:H,5,FALSE)</f>
        <v>0</v>
      </c>
      <c r="Z619" s="11">
        <f>VLOOKUP(L619,'[1]singkron data'!D:I,6,FALSE)</f>
        <v>0</v>
      </c>
      <c r="AA619" s="11" t="str">
        <f>VLOOKUP(L619,'[1]singkron data'!D:L,9,FALSE)</f>
        <v>081344929775/rukmana</v>
      </c>
      <c r="AB619" s="11" t="s">
        <v>54</v>
      </c>
      <c r="AC619" s="11" t="str">
        <f>VLOOKUP(L619,'[1]singkron data'!D:M,10,FALSE)</f>
        <v>Hyl</v>
      </c>
      <c r="AD619" s="11" t="str">
        <f>VLOOKUP(L619,'[1]data 1129'!F:O,10,FALSE)</f>
        <v>Tahap IV 200</v>
      </c>
      <c r="AE619" s="11" t="str">
        <f>VLOOKUP(L619,'[1]singkron data'!D:P,13,FALSE)</f>
        <v>sudah</v>
      </c>
      <c r="AF619" s="11" t="s">
        <v>55</v>
      </c>
      <c r="AG619" s="11" t="e">
        <f>VLOOKUP(L619,'[1]update kontrak'!E:K,6,FALSE)</f>
        <v>#N/A</v>
      </c>
      <c r="AH619" s="11" t="e">
        <f>VLOOKUP(L619,'[1]update kontrak'!E:K,7,FALSE)</f>
        <v>#N/A</v>
      </c>
      <c r="AI619" s="11"/>
      <c r="AJ619" s="11" t="str">
        <f>VLOOKUP(L619,[1]rekap!D:M,1,FALSE)</f>
        <v>Garapia</v>
      </c>
      <c r="AK619" s="11" t="str">
        <f t="shared" si="5"/>
        <v>Garapia</v>
      </c>
      <c r="AL619" s="11" t="str">
        <f>VLOOKUP(L619,'[1]update 521'!D:D,1,FALSE)</f>
        <v>Garapia</v>
      </c>
      <c r="AM619" s="11" t="s">
        <v>1253</v>
      </c>
      <c r="AN619" s="11" t="e">
        <f>VLOOKUP(L619,[1]Sheet19!E:L,8,FALSE)</f>
        <v>#N/A</v>
      </c>
      <c r="AO619" s="11" t="s">
        <v>58</v>
      </c>
      <c r="AP619" s="12"/>
    </row>
    <row r="620" spans="1:42" ht="15" x14ac:dyDescent="0.2">
      <c r="A620" s="8" t="s">
        <v>42</v>
      </c>
      <c r="B620" s="9" t="s">
        <v>43</v>
      </c>
      <c r="C620" s="9">
        <v>650</v>
      </c>
      <c r="D620" s="9" t="s">
        <v>1112</v>
      </c>
      <c r="E620" s="9">
        <v>181</v>
      </c>
      <c r="F620" s="9" t="s">
        <v>1502</v>
      </c>
      <c r="G620" s="9" t="s">
        <v>1184</v>
      </c>
      <c r="H620" s="9" t="s">
        <v>287</v>
      </c>
      <c r="I620" s="9" t="s">
        <v>1335</v>
      </c>
      <c r="J620" s="9" t="s">
        <v>1503</v>
      </c>
      <c r="K620" s="9" t="s">
        <v>1502</v>
      </c>
      <c r="L620" s="10" t="s">
        <v>1502</v>
      </c>
      <c r="M620" s="9" t="s">
        <v>65</v>
      </c>
      <c r="N620" s="9">
        <v>291</v>
      </c>
      <c r="O620" s="9">
        <v>21</v>
      </c>
      <c r="P620" s="9">
        <v>209</v>
      </c>
      <c r="Q620" s="9">
        <v>230</v>
      </c>
      <c r="R620" s="9">
        <v>0.43</v>
      </c>
      <c r="S620" s="9">
        <v>-1.6085818000000001</v>
      </c>
      <c r="T620" s="9">
        <v>122.12845110000001</v>
      </c>
      <c r="U620" s="9" t="s">
        <v>52</v>
      </c>
      <c r="V620" s="11" t="str">
        <f>VLOOKUP(L620,'[1]singkron data'!D:E,2,FALSE)</f>
        <v>PT. Wahana Cipta Barakallaah</v>
      </c>
      <c r="W620" s="13">
        <f>VLOOKUP(L620,'[1]data 1129'!F:H,3,FALSE)</f>
        <v>8104319000</v>
      </c>
      <c r="X620" s="11" t="s">
        <v>55</v>
      </c>
      <c r="Y620" s="11" t="str">
        <f>VLOOKUP(L620,'[1]singkron data'!D:H,5,FALSE)</f>
        <v>Surabaya</v>
      </c>
      <c r="Z620" s="11" t="str">
        <f>VLOOKUP(L620,'[1]singkron data'!D:I,6,FALSE)</f>
        <v>Online</v>
      </c>
      <c r="AA620" s="11" t="str">
        <f>VLOOKUP(L620,'[1]singkron data'!D:L,9,FALSE)</f>
        <v>087806000006/Chandra</v>
      </c>
      <c r="AB620" s="11" t="s">
        <v>54</v>
      </c>
      <c r="AC620" s="11" t="str">
        <f>VLOOKUP(L620,'[1]singkron data'!D:M,10,FALSE)</f>
        <v>Hyl</v>
      </c>
      <c r="AD620" s="11" t="str">
        <f>VLOOKUP(L620,'[1]data 1129'!F:O,10,FALSE)</f>
        <v>Tahap I 208</v>
      </c>
      <c r="AE620" s="11" t="str">
        <f>VLOOKUP(L620,'[1]singkron data'!D:P,13,FALSE)</f>
        <v>sudah</v>
      </c>
      <c r="AF620" s="11" t="s">
        <v>55</v>
      </c>
      <c r="AG620" s="17">
        <f>VLOOKUP(L620,'[1]update kontrak'!E:K,6,FALSE)</f>
        <v>6739867000</v>
      </c>
      <c r="AH620" s="11" t="str">
        <f>VLOOKUP(L620,'[1]update kontrak'!E:K,7,FALSE)</f>
        <v>SPPBJ</v>
      </c>
      <c r="AI620" s="11" t="s">
        <v>58</v>
      </c>
      <c r="AJ620" s="11" t="str">
        <f>VLOOKUP(L620,[1]rekap!D:M,1,FALSE)</f>
        <v>Rata</v>
      </c>
      <c r="AK620" s="11" t="str">
        <f>VLOOKUP(L620,'[1]singkron data'!D:E,2,FALSE)</f>
        <v>PT. Wahana Cipta Barakallaah</v>
      </c>
      <c r="AL620" s="11" t="str">
        <f>VLOOKUP(L620,'[1]update 521'!D:D,1,FALSE)</f>
        <v>Rata</v>
      </c>
      <c r="AM620" s="11" t="s">
        <v>57</v>
      </c>
      <c r="AN620" s="17">
        <f>VLOOKUP(L620,[1]Sheet19!E:L,8,FALSE)</f>
        <v>6739867000</v>
      </c>
      <c r="AO620" s="11" t="str">
        <f>VLOOKUP(L620,[1]Sheet19!E:K,7,FALSE)</f>
        <v>KONTRAK</v>
      </c>
      <c r="AP620" s="12" t="s">
        <v>41</v>
      </c>
    </row>
    <row r="621" spans="1:42" ht="15" x14ac:dyDescent="0.2">
      <c r="A621" s="8" t="s">
        <v>42</v>
      </c>
      <c r="B621" s="9" t="s">
        <v>43</v>
      </c>
      <c r="C621" s="9">
        <v>651</v>
      </c>
      <c r="D621" s="9" t="s">
        <v>1112</v>
      </c>
      <c r="E621" s="9">
        <v>182</v>
      </c>
      <c r="F621" s="9" t="s">
        <v>1502</v>
      </c>
      <c r="G621" s="9" t="s">
        <v>1184</v>
      </c>
      <c r="H621" s="9" t="s">
        <v>287</v>
      </c>
      <c r="I621" s="9" t="s">
        <v>1335</v>
      </c>
      <c r="J621" s="9" t="s">
        <v>1504</v>
      </c>
      <c r="K621" s="9" t="s">
        <v>1504</v>
      </c>
      <c r="L621" s="10" t="s">
        <v>1504</v>
      </c>
      <c r="M621" s="9" t="s">
        <v>51</v>
      </c>
      <c r="N621" s="9">
        <v>389</v>
      </c>
      <c r="O621" s="9">
        <v>100</v>
      </c>
      <c r="P621" s="9">
        <v>72</v>
      </c>
      <c r="Q621" s="9">
        <v>172</v>
      </c>
      <c r="R621" s="9">
        <v>0.16</v>
      </c>
      <c r="S621" s="9">
        <v>-1.4547262999999999</v>
      </c>
      <c r="T621" s="9">
        <v>122.4087067</v>
      </c>
      <c r="U621" s="9" t="s">
        <v>52</v>
      </c>
      <c r="V621" s="11" t="str">
        <f>VLOOKUP(L621,'[1]singkron data'!D:E,2,FALSE)</f>
        <v>PT. Wahana Cipta Barakallaah</v>
      </c>
      <c r="W621" s="13">
        <f>VLOOKUP(L621,'[1]data 1129'!F:H,3,FALSE)</f>
        <v>4082859000</v>
      </c>
      <c r="X621" s="11" t="s">
        <v>55</v>
      </c>
      <c r="Y621" s="11" t="str">
        <f>VLOOKUP(L621,'[1]singkron data'!D:H,5,FALSE)</f>
        <v>Surabaya</v>
      </c>
      <c r="Z621" s="11" t="str">
        <f>VLOOKUP(L621,'[1]singkron data'!D:I,6,FALSE)</f>
        <v>Online</v>
      </c>
      <c r="AA621" s="11" t="str">
        <f>VLOOKUP(L621,'[1]singkron data'!D:L,9,FALSE)</f>
        <v>087806000006/Chandra</v>
      </c>
      <c r="AB621" s="11" t="s">
        <v>54</v>
      </c>
      <c r="AC621" s="11" t="str">
        <f>VLOOKUP(L621,'[1]singkron data'!D:M,10,FALSE)</f>
        <v>Hyl</v>
      </c>
      <c r="AD621" s="11" t="str">
        <f>VLOOKUP(L621,'[1]data 1129'!F:O,10,FALSE)</f>
        <v>Tahap I 208</v>
      </c>
      <c r="AE621" s="11" t="str">
        <f>VLOOKUP(L621,'[1]singkron data'!D:P,13,FALSE)</f>
        <v>sudah</v>
      </c>
      <c r="AF621" s="11" t="s">
        <v>55</v>
      </c>
      <c r="AG621" s="17">
        <f>VLOOKUP(L621,'[1]update kontrak'!E:K,6,FALSE)</f>
        <v>3198120000</v>
      </c>
      <c r="AH621" s="11" t="str">
        <f>VLOOKUP(L621,'[1]update kontrak'!E:K,7,FALSE)</f>
        <v>SPPBJ</v>
      </c>
      <c r="AI621" s="11" t="s">
        <v>58</v>
      </c>
      <c r="AJ621" s="11" t="str">
        <f>VLOOKUP(L621,[1]rekap!D:M,1,FALSE)</f>
        <v>Moilong</v>
      </c>
      <c r="AK621" s="11" t="str">
        <f>VLOOKUP(L621,'[1]singkron data'!D:E,2,FALSE)</f>
        <v>PT. Wahana Cipta Barakallaah</v>
      </c>
      <c r="AL621" s="11" t="str">
        <f>VLOOKUP(L621,'[1]update 521'!D:D,1,FALSE)</f>
        <v>Moilong</v>
      </c>
      <c r="AM621" s="11" t="s">
        <v>57</v>
      </c>
      <c r="AN621" s="17">
        <f>VLOOKUP(L621,[1]Sheet19!E:L,8,FALSE)</f>
        <v>3198120000</v>
      </c>
      <c r="AO621" s="11" t="str">
        <f>VLOOKUP(L621,[1]Sheet19!E:K,7,FALSE)</f>
        <v>KONTRAK</v>
      </c>
      <c r="AP621" s="12" t="s">
        <v>41</v>
      </c>
    </row>
    <row r="622" spans="1:42" ht="15" x14ac:dyDescent="0.2">
      <c r="A622" s="8" t="s">
        <v>42</v>
      </c>
      <c r="B622" s="9" t="s">
        <v>43</v>
      </c>
      <c r="C622" s="9">
        <v>632</v>
      </c>
      <c r="D622" s="9" t="s">
        <v>1112</v>
      </c>
      <c r="E622" s="9">
        <v>163</v>
      </c>
      <c r="F622" s="9" t="s">
        <v>1505</v>
      </c>
      <c r="G622" s="9" t="s">
        <v>1141</v>
      </c>
      <c r="H622" s="9" t="s">
        <v>287</v>
      </c>
      <c r="I622" s="9" t="s">
        <v>1506</v>
      </c>
      <c r="J622" s="9" t="s">
        <v>1507</v>
      </c>
      <c r="K622" s="9" t="s">
        <v>1508</v>
      </c>
      <c r="L622" s="10" t="s">
        <v>1508</v>
      </c>
      <c r="M622" s="9" t="s">
        <v>51</v>
      </c>
      <c r="N622" s="9">
        <v>100</v>
      </c>
      <c r="O622" s="9" t="s">
        <v>72</v>
      </c>
      <c r="P622" s="9">
        <v>95</v>
      </c>
      <c r="Q622" s="9">
        <v>95</v>
      </c>
      <c r="R622" s="9">
        <v>0.93</v>
      </c>
      <c r="S622" s="9">
        <v>-4.0409040000000003</v>
      </c>
      <c r="T622" s="9">
        <v>122.977554</v>
      </c>
      <c r="U622" s="9" t="s">
        <v>52</v>
      </c>
      <c r="V622" s="11" t="str">
        <f>VLOOKUP(L622,'[1]singkron data'!D:E,2,FALSE)</f>
        <v>Independent Fighter</v>
      </c>
      <c r="W622" s="13">
        <f>VLOOKUP(L622,'[1]data 1129'!F:H,3,FALSE)</f>
        <v>4035223444</v>
      </c>
      <c r="X622" s="11" t="s">
        <v>55</v>
      </c>
      <c r="Y622" s="11">
        <f>VLOOKUP(L622,'[1]singkron data'!D:H,5,FALSE)</f>
        <v>0</v>
      </c>
      <c r="Z622" s="11">
        <f>VLOOKUP(L622,'[1]singkron data'!D:I,6,FALSE)</f>
        <v>0</v>
      </c>
      <c r="AA622" s="11" t="str">
        <f>VLOOKUP(L622,'[1]singkron data'!D:L,9,FALSE)</f>
        <v>082393532279/supriyanto</v>
      </c>
      <c r="AB622" s="11" t="s">
        <v>54</v>
      </c>
      <c r="AC622" s="11" t="str">
        <f>VLOOKUP(L622,'[1]singkron data'!D:M,10,FALSE)</f>
        <v>Galu BIN-independent fighter</v>
      </c>
      <c r="AD622" s="11" t="str">
        <f>VLOOKUP(L622,'[1]data 1129'!F:O,10,FALSE)</f>
        <v>Tahap I 208</v>
      </c>
      <c r="AE622" s="11" t="str">
        <f>VLOOKUP(L622,'[1]singkron data'!D:P,13,FALSE)</f>
        <v>sudah</v>
      </c>
      <c r="AF622" s="11" t="s">
        <v>55</v>
      </c>
      <c r="AG622" s="11" t="e">
        <f>VLOOKUP(L622,'[1]update kontrak'!E:K,6,FALSE)</f>
        <v>#N/A</v>
      </c>
      <c r="AH622" s="11" t="e">
        <f>VLOOKUP(L622,'[1]update kontrak'!E:K,7,FALSE)</f>
        <v>#N/A</v>
      </c>
      <c r="AI622" s="11" t="s">
        <v>58</v>
      </c>
      <c r="AJ622" s="11" t="str">
        <f>VLOOKUP(L622,[1]rekap!D:M,1,FALSE)</f>
        <v>Pasir Putih</v>
      </c>
      <c r="AK622" s="11" t="str">
        <f>VLOOKUP(L622,'[1]singkron data'!D:E,2,FALSE)</f>
        <v>Independent Fighter</v>
      </c>
      <c r="AL622" s="11" t="str">
        <f>VLOOKUP(L622,'[1]update 521'!D:D,1,FALSE)</f>
        <v>Pasir Putih</v>
      </c>
      <c r="AM622" s="11" t="s">
        <v>57</v>
      </c>
      <c r="AN622" s="17">
        <f>VLOOKUP(L622,[1]Sheet19!E:L,8,FALSE)</f>
        <v>4511507000</v>
      </c>
      <c r="AO622" s="11" t="str">
        <f>VLOOKUP(L622,[1]Sheet19!E:K,7,FALSE)</f>
        <v>KONTRAK</v>
      </c>
      <c r="AP622" s="12" t="s">
        <v>41</v>
      </c>
    </row>
    <row r="623" spans="1:42" ht="15" x14ac:dyDescent="0.2">
      <c r="A623" s="8" t="s">
        <v>42</v>
      </c>
      <c r="B623" s="9" t="s">
        <v>43</v>
      </c>
      <c r="C623" s="9">
        <v>652</v>
      </c>
      <c r="D623" s="9" t="s">
        <v>1112</v>
      </c>
      <c r="E623" s="9">
        <v>183</v>
      </c>
      <c r="F623" s="9" t="s">
        <v>1505</v>
      </c>
      <c r="G623" s="9" t="s">
        <v>1141</v>
      </c>
      <c r="H623" s="9" t="s">
        <v>287</v>
      </c>
      <c r="I623" s="9" t="s">
        <v>1506</v>
      </c>
      <c r="J623" s="9" t="s">
        <v>1509</v>
      </c>
      <c r="K623" s="9" t="s">
        <v>1505</v>
      </c>
      <c r="L623" s="10" t="s">
        <v>1505</v>
      </c>
      <c r="M623" s="9" t="s">
        <v>65</v>
      </c>
      <c r="N623" s="9">
        <v>123</v>
      </c>
      <c r="O623" s="9">
        <v>27</v>
      </c>
      <c r="P623" s="9">
        <v>96</v>
      </c>
      <c r="Q623" s="9">
        <v>123</v>
      </c>
      <c r="R623" s="9">
        <v>0.69</v>
      </c>
      <c r="S623" s="9">
        <v>-4.1425830000000001</v>
      </c>
      <c r="T623" s="9">
        <v>123.232972</v>
      </c>
      <c r="U623" s="9" t="s">
        <v>52</v>
      </c>
      <c r="V623" s="11" t="s">
        <v>1510</v>
      </c>
      <c r="W623" s="13">
        <f>VLOOKUP(L623,'[1]data 1129'!F:H,3,FALSE)</f>
        <v>4889637000</v>
      </c>
      <c r="X623" s="11" t="s">
        <v>55</v>
      </c>
      <c r="Y623" s="11">
        <f>VLOOKUP(L623,'[1]singkron data'!D:H,5,FALSE)</f>
        <v>0</v>
      </c>
      <c r="Z623" s="11">
        <f>VLOOKUP(L623,'[1]singkron data'!D:I,6,FALSE)</f>
        <v>0</v>
      </c>
      <c r="AA623" s="31" t="str">
        <f>VLOOKUP(L623,'[1]singkron data'!D:L,9,FALSE)</f>
        <v>85241812495/+62 852-4181-2495</v>
      </c>
      <c r="AB623" s="11" t="s">
        <v>54</v>
      </c>
      <c r="AC623" s="11" t="s">
        <v>1511</v>
      </c>
      <c r="AD623" s="11" t="str">
        <f>VLOOKUP(L623,'[1]data 1129'!F:O,10,FALSE)</f>
        <v>Tahap I 208</v>
      </c>
      <c r="AE623" s="11" t="str">
        <f>VLOOKUP(L623,'[1]singkron data'!D:P,13,FALSE)</f>
        <v>sudah</v>
      </c>
      <c r="AF623" s="11" t="s">
        <v>55</v>
      </c>
      <c r="AG623" s="11" t="e">
        <f>VLOOKUP(L623,'[1]update kontrak'!E:K,6,FALSE)</f>
        <v>#N/A</v>
      </c>
      <c r="AH623" s="11" t="e">
        <f>VLOOKUP(L623,'[1]update kontrak'!E:K,7,FALSE)</f>
        <v>#N/A</v>
      </c>
      <c r="AI623" s="11" t="s">
        <v>58</v>
      </c>
      <c r="AJ623" s="11" t="str">
        <f>VLOOKUP(L623,[1]rekap!D:M,1,FALSE)</f>
        <v>Saburano</v>
      </c>
      <c r="AK623" s="11" t="str">
        <f>VLOOKUP(L623,'[1]singkron data'!D:E,2,FALSE)</f>
        <v>CV. Sedarah Sejahtera</v>
      </c>
      <c r="AL623" s="11" t="str">
        <f>VLOOKUP(L623,'[1]update 521'!D:D,1,FALSE)</f>
        <v>Saburano</v>
      </c>
      <c r="AM623" s="11" t="s">
        <v>57</v>
      </c>
      <c r="AN623" s="11" t="e">
        <f>VLOOKUP(L623,[1]Sheet19!E:L,8,FALSE)</f>
        <v>#N/A</v>
      </c>
      <c r="AO623" s="11" t="s">
        <v>58</v>
      </c>
      <c r="AP623" s="12"/>
    </row>
    <row r="624" spans="1:42" ht="15" x14ac:dyDescent="0.2">
      <c r="A624" s="8" t="s">
        <v>42</v>
      </c>
      <c r="B624" s="9" t="s">
        <v>43</v>
      </c>
      <c r="C624" s="9">
        <v>653</v>
      </c>
      <c r="D624" s="9" t="s">
        <v>1112</v>
      </c>
      <c r="E624" s="9">
        <v>184</v>
      </c>
      <c r="F624" s="9" t="s">
        <v>1505</v>
      </c>
      <c r="G624" s="9" t="s">
        <v>1141</v>
      </c>
      <c r="H624" s="9" t="s">
        <v>287</v>
      </c>
      <c r="I624" s="9" t="s">
        <v>1506</v>
      </c>
      <c r="J624" s="9" t="s">
        <v>1512</v>
      </c>
      <c r="K624" s="9" t="s">
        <v>1513</v>
      </c>
      <c r="L624" s="10" t="s">
        <v>1513</v>
      </c>
      <c r="M624" s="9" t="s">
        <v>51</v>
      </c>
      <c r="N624" s="9">
        <v>138</v>
      </c>
      <c r="O624" s="9">
        <v>18</v>
      </c>
      <c r="P624" s="9">
        <v>92</v>
      </c>
      <c r="Q624" s="9">
        <v>110</v>
      </c>
      <c r="R624" s="9">
        <v>0.52</v>
      </c>
      <c r="S624" s="9">
        <v>-4.2476669999999999</v>
      </c>
      <c r="T624" s="9">
        <v>123.14280599999999</v>
      </c>
      <c r="U624" s="9" t="s">
        <v>52</v>
      </c>
      <c r="V624" s="11" t="str">
        <f>VLOOKUP(L624,'[1]singkron data'!D:E,2,FALSE)</f>
        <v>Independent Fighter</v>
      </c>
      <c r="W624" s="13">
        <f>VLOOKUP(L624,'[1]data 1129'!F:H,3,FALSE)</f>
        <v>3567381000</v>
      </c>
      <c r="X624" s="11" t="s">
        <v>55</v>
      </c>
      <c r="Y624" s="11">
        <f>VLOOKUP(L624,'[1]singkron data'!D:H,5,FALSE)</f>
        <v>0</v>
      </c>
      <c r="Z624" s="11">
        <f>VLOOKUP(L624,'[1]singkron data'!D:I,6,FALSE)</f>
        <v>0</v>
      </c>
      <c r="AA624" s="11" t="str">
        <f>VLOOKUP(L624,'[1]singkron data'!D:L,9,FALSE)</f>
        <v>082393532279/supriyanto</v>
      </c>
      <c r="AB624" s="11" t="s">
        <v>54</v>
      </c>
      <c r="AC624" s="11" t="str">
        <f>VLOOKUP(L624,'[1]singkron data'!D:M,10,FALSE)</f>
        <v>Galu BIN-independent fighter</v>
      </c>
      <c r="AD624" s="11" t="str">
        <f>VLOOKUP(L624,'[1]data 1129'!F:O,10,FALSE)</f>
        <v>Tahap I 208</v>
      </c>
      <c r="AE624" s="11" t="str">
        <f>VLOOKUP(L624,'[1]singkron data'!D:P,13,FALSE)</f>
        <v>sudah</v>
      </c>
      <c r="AF624" s="11" t="s">
        <v>55</v>
      </c>
      <c r="AG624" s="11" t="e">
        <f>VLOOKUP(L624,'[1]update kontrak'!E:K,6,FALSE)</f>
        <v>#N/A</v>
      </c>
      <c r="AH624" s="11" t="e">
        <f>VLOOKUP(L624,'[1]update kontrak'!E:K,7,FALSE)</f>
        <v>#N/A</v>
      </c>
      <c r="AI624" s="11" t="s">
        <v>58</v>
      </c>
      <c r="AJ624" s="11" t="str">
        <f>VLOOKUP(L624,[1]rekap!D:M,1,FALSE)</f>
        <v>Sainoa Indah</v>
      </c>
      <c r="AK624" s="11" t="str">
        <f>VLOOKUP(L624,'[1]singkron data'!D:E,2,FALSE)</f>
        <v>Independent Fighter</v>
      </c>
      <c r="AL624" s="11" t="str">
        <f>VLOOKUP(L624,'[1]update 521'!D:D,1,FALSE)</f>
        <v>Sainoa Indah</v>
      </c>
      <c r="AM624" s="11" t="s">
        <v>57</v>
      </c>
      <c r="AN624" s="17">
        <f>VLOOKUP(L624,[1]Sheet19!E:L,8,FALSE)</f>
        <v>3825590404.6199999</v>
      </c>
      <c r="AO624" s="11" t="str">
        <f>VLOOKUP(L624,[1]Sheet19!E:K,7,FALSE)</f>
        <v>KONTRAK</v>
      </c>
      <c r="AP624" s="12" t="s">
        <v>41</v>
      </c>
    </row>
    <row r="625" spans="1:42" ht="15" x14ac:dyDescent="0.2">
      <c r="A625" s="8" t="s">
        <v>42</v>
      </c>
      <c r="B625" s="9" t="s">
        <v>43</v>
      </c>
      <c r="C625" s="9">
        <v>655</v>
      </c>
      <c r="D625" s="9" t="s">
        <v>1112</v>
      </c>
      <c r="E625" s="9">
        <v>186</v>
      </c>
      <c r="F625" s="9" t="s">
        <v>1514</v>
      </c>
      <c r="G625" s="9" t="s">
        <v>1125</v>
      </c>
      <c r="H625" s="9" t="s">
        <v>287</v>
      </c>
      <c r="I625" s="9" t="s">
        <v>1515</v>
      </c>
      <c r="J625" s="9" t="s">
        <v>1516</v>
      </c>
      <c r="K625" s="9" t="s">
        <v>1514</v>
      </c>
      <c r="L625" s="9" t="s">
        <v>1514</v>
      </c>
      <c r="M625" s="9" t="s">
        <v>65</v>
      </c>
      <c r="N625" s="14">
        <v>2249</v>
      </c>
      <c r="O625" s="9">
        <v>25</v>
      </c>
      <c r="P625" s="9">
        <v>225</v>
      </c>
      <c r="Q625" s="9">
        <v>250</v>
      </c>
      <c r="R625" s="9">
        <v>0.63</v>
      </c>
      <c r="S625" s="9">
        <v>3.6159509999999999</v>
      </c>
      <c r="T625" s="9">
        <v>125.45909899999999</v>
      </c>
      <c r="U625" s="9"/>
      <c r="V625" s="11" t="e">
        <f>VLOOKUP(L625,'[1]singkron data'!D:E,2,FALSE)</f>
        <v>#N/A</v>
      </c>
      <c r="W625" s="13">
        <f>VLOOKUP(L625,[1]Sheet18!A:B,2,FALSE)</f>
        <v>6908915000</v>
      </c>
      <c r="X625" s="11" t="s">
        <v>55</v>
      </c>
      <c r="Y625" s="11" t="e">
        <f>VLOOKUP(L625,'[1]singkron data'!D:H,5,FALSE)</f>
        <v>#N/A</v>
      </c>
      <c r="Z625" s="11" t="e">
        <f>VLOOKUP(L625,'[1]singkron data'!D:I,6,FALSE)</f>
        <v>#N/A</v>
      </c>
      <c r="AA625" s="11" t="e">
        <f>VLOOKUP(L625,'[1]singkron data'!D:L,9,FALSE)</f>
        <v>#N/A</v>
      </c>
      <c r="AB625" s="11" t="s">
        <v>694</v>
      </c>
      <c r="AC625" s="11" t="e">
        <f>VLOOKUP(L625,'[1]singkron data'!D:M,10,FALSE)</f>
        <v>#N/A</v>
      </c>
      <c r="AD625" s="11"/>
      <c r="AE625" s="11" t="e">
        <f>VLOOKUP(L625,'[1]singkron data'!D:P,13,FALSE)</f>
        <v>#N/A</v>
      </c>
      <c r="AF625" s="11" t="s">
        <v>55</v>
      </c>
      <c r="AG625" s="11" t="e">
        <f>VLOOKUP(L625,'[1]update kontrak'!E:K,6,FALSE)</f>
        <v>#N/A</v>
      </c>
      <c r="AH625" s="11" t="e">
        <f>VLOOKUP(L625,'[1]update kontrak'!E:K,7,FALSE)</f>
        <v>#N/A</v>
      </c>
      <c r="AI625" s="11"/>
      <c r="AJ625" s="11" t="str">
        <f>VLOOKUP(L625,[1]rekap!D:M,1,FALSE)</f>
        <v>Santiago</v>
      </c>
      <c r="AK625" s="11" t="e">
        <f>VLOOKUP(L625,'[1]singkron data'!D:E,2,FALSE)</f>
        <v>#N/A</v>
      </c>
      <c r="AL625" s="11" t="str">
        <f>VLOOKUP(L625,'[1]update 521'!D:D,1,FALSE)</f>
        <v>Santiago</v>
      </c>
      <c r="AM625" s="11" t="s">
        <v>57</v>
      </c>
      <c r="AN625" s="11" t="e">
        <f>VLOOKUP(L625,[1]Sheet19!E:L,8,FALSE)</f>
        <v>#N/A</v>
      </c>
      <c r="AO625" s="11" t="s">
        <v>1129</v>
      </c>
      <c r="AP625" s="12"/>
    </row>
    <row r="626" spans="1:42" ht="15" x14ac:dyDescent="0.2">
      <c r="A626" s="8" t="s">
        <v>42</v>
      </c>
      <c r="B626" s="9" t="s">
        <v>43</v>
      </c>
      <c r="C626" s="9">
        <v>656</v>
      </c>
      <c r="D626" s="9" t="s">
        <v>1112</v>
      </c>
      <c r="E626" s="9">
        <v>187</v>
      </c>
      <c r="F626" s="9" t="s">
        <v>1514</v>
      </c>
      <c r="G626" s="9" t="s">
        <v>1125</v>
      </c>
      <c r="H626" s="9" t="s">
        <v>287</v>
      </c>
      <c r="I626" s="9" t="s">
        <v>1515</v>
      </c>
      <c r="J626" s="9" t="s">
        <v>1517</v>
      </c>
      <c r="K626" s="9" t="s">
        <v>1518</v>
      </c>
      <c r="L626" s="9" t="s">
        <v>1518</v>
      </c>
      <c r="M626" s="9" t="s">
        <v>51</v>
      </c>
      <c r="N626" s="9">
        <v>85</v>
      </c>
      <c r="O626" s="9">
        <v>10</v>
      </c>
      <c r="P626" s="9">
        <v>61</v>
      </c>
      <c r="Q626" s="9">
        <v>71</v>
      </c>
      <c r="R626" s="9">
        <v>0.05</v>
      </c>
      <c r="S626" s="9">
        <v>3.5927929999999999</v>
      </c>
      <c r="T626" s="9">
        <v>125.574005</v>
      </c>
      <c r="U626" s="9"/>
      <c r="V626" s="11" t="e">
        <f>VLOOKUP(L626,'[1]singkron data'!D:E,2,FALSE)</f>
        <v>#N/A</v>
      </c>
      <c r="W626" s="13">
        <f>VLOOKUP(L626,[1]Sheet18!A:B,2,FALSE)</f>
        <v>3597800000</v>
      </c>
      <c r="X626" s="11" t="s">
        <v>55</v>
      </c>
      <c r="Y626" s="11" t="e">
        <f>VLOOKUP(L626,'[1]singkron data'!D:H,5,FALSE)</f>
        <v>#N/A</v>
      </c>
      <c r="Z626" s="11" t="e">
        <f>VLOOKUP(L626,'[1]singkron data'!D:I,6,FALSE)</f>
        <v>#N/A</v>
      </c>
      <c r="AA626" s="11" t="e">
        <f>VLOOKUP(L626,'[1]singkron data'!D:L,9,FALSE)</f>
        <v>#N/A</v>
      </c>
      <c r="AB626" s="11" t="s">
        <v>694</v>
      </c>
      <c r="AC626" s="11" t="e">
        <f>VLOOKUP(L626,'[1]singkron data'!D:M,10,FALSE)</f>
        <v>#N/A</v>
      </c>
      <c r="AD626" s="11"/>
      <c r="AE626" s="11" t="e">
        <f>VLOOKUP(L626,'[1]singkron data'!D:P,13,FALSE)</f>
        <v>#N/A</v>
      </c>
      <c r="AF626" s="11" t="s">
        <v>55</v>
      </c>
      <c r="AG626" s="11" t="e">
        <f>VLOOKUP(L626,'[1]update kontrak'!E:K,6,FALSE)</f>
        <v>#N/A</v>
      </c>
      <c r="AH626" s="11" t="e">
        <f>VLOOKUP(L626,'[1]update kontrak'!E:K,7,FALSE)</f>
        <v>#N/A</v>
      </c>
      <c r="AI626" s="11"/>
      <c r="AJ626" s="11" t="str">
        <f>VLOOKUP(L626,[1]rekap!D:M,1,FALSE)</f>
        <v>Palahanaeng</v>
      </c>
      <c r="AK626" s="11" t="e">
        <f>VLOOKUP(L626,'[1]singkron data'!D:E,2,FALSE)</f>
        <v>#N/A</v>
      </c>
      <c r="AL626" s="11" t="str">
        <f>VLOOKUP(L626,'[1]update 521'!D:D,1,FALSE)</f>
        <v>Palahanaeng</v>
      </c>
      <c r="AM626" s="11" t="s">
        <v>57</v>
      </c>
      <c r="AN626" s="11" t="e">
        <f>VLOOKUP(L626,[1]Sheet19!E:L,8,FALSE)</f>
        <v>#N/A</v>
      </c>
      <c r="AO626" s="11" t="s">
        <v>1129</v>
      </c>
      <c r="AP626" s="12"/>
    </row>
    <row r="627" spans="1:42" ht="15" x14ac:dyDescent="0.2">
      <c r="A627" s="8" t="s">
        <v>42</v>
      </c>
      <c r="B627" s="9" t="s">
        <v>43</v>
      </c>
      <c r="C627" s="9">
        <v>657</v>
      </c>
      <c r="D627" s="9" t="s">
        <v>1112</v>
      </c>
      <c r="E627" s="9">
        <v>188</v>
      </c>
      <c r="F627" s="9" t="s">
        <v>1514</v>
      </c>
      <c r="G627" s="9" t="s">
        <v>1125</v>
      </c>
      <c r="H627" s="9" t="s">
        <v>287</v>
      </c>
      <c r="I627" s="9" t="s">
        <v>1515</v>
      </c>
      <c r="J627" s="9" t="s">
        <v>1519</v>
      </c>
      <c r="K627" s="9" t="s">
        <v>1520</v>
      </c>
      <c r="L627" s="9" t="s">
        <v>1520</v>
      </c>
      <c r="M627" s="9" t="s">
        <v>51</v>
      </c>
      <c r="N627" s="9">
        <v>50</v>
      </c>
      <c r="O627" s="9">
        <v>18</v>
      </c>
      <c r="P627" s="9">
        <v>32</v>
      </c>
      <c r="Q627" s="9">
        <v>50</v>
      </c>
      <c r="R627" s="9">
        <v>7.0000000000000007E-2</v>
      </c>
      <c r="S627" s="9">
        <v>3.6926380000000001</v>
      </c>
      <c r="T627" s="9">
        <v>125.533591</v>
      </c>
      <c r="U627" s="9"/>
      <c r="V627" s="11" t="e">
        <f>VLOOKUP(L627,'[1]singkron data'!D:E,2,FALSE)</f>
        <v>#N/A</v>
      </c>
      <c r="W627" s="13">
        <f>VLOOKUP(L627,[1]Sheet18!A:B,2,FALSE)</f>
        <v>4113611000</v>
      </c>
      <c r="X627" s="11" t="s">
        <v>55</v>
      </c>
      <c r="Y627" s="11" t="e">
        <f>VLOOKUP(L627,'[1]singkron data'!D:H,5,FALSE)</f>
        <v>#N/A</v>
      </c>
      <c r="Z627" s="11" t="e">
        <f>VLOOKUP(L627,'[1]singkron data'!D:I,6,FALSE)</f>
        <v>#N/A</v>
      </c>
      <c r="AA627" s="11" t="e">
        <f>VLOOKUP(L627,'[1]singkron data'!D:L,9,FALSE)</f>
        <v>#N/A</v>
      </c>
      <c r="AB627" s="11" t="s">
        <v>694</v>
      </c>
      <c r="AC627" s="11" t="e">
        <f>VLOOKUP(L627,'[1]singkron data'!D:M,10,FALSE)</f>
        <v>#N/A</v>
      </c>
      <c r="AD627" s="11"/>
      <c r="AE627" s="11" t="e">
        <f>VLOOKUP(L627,'[1]singkron data'!D:P,13,FALSE)</f>
        <v>#N/A</v>
      </c>
      <c r="AF627" s="11" t="s">
        <v>55</v>
      </c>
      <c r="AG627" s="11" t="e">
        <f>VLOOKUP(L627,'[1]update kontrak'!E:K,6,FALSE)</f>
        <v>#N/A</v>
      </c>
      <c r="AH627" s="11" t="e">
        <f>VLOOKUP(L627,'[1]update kontrak'!E:K,7,FALSE)</f>
        <v>#N/A</v>
      </c>
      <c r="AI627" s="11"/>
      <c r="AJ627" s="11" t="str">
        <f>VLOOKUP(L627,[1]rekap!D:M,1,FALSE)</f>
        <v>Naha I</v>
      </c>
      <c r="AK627" s="11" t="e">
        <f>VLOOKUP(L627,'[1]singkron data'!D:E,2,FALSE)</f>
        <v>#N/A</v>
      </c>
      <c r="AL627" s="11" t="str">
        <f>VLOOKUP(L627,'[1]update 521'!D:D,1,FALSE)</f>
        <v>Naha I</v>
      </c>
      <c r="AM627" s="11" t="s">
        <v>57</v>
      </c>
      <c r="AN627" s="11" t="e">
        <f>VLOOKUP(L627,[1]Sheet19!E:L,8,FALSE)</f>
        <v>#N/A</v>
      </c>
      <c r="AO627" s="11" t="s">
        <v>1129</v>
      </c>
      <c r="AP627" s="12"/>
    </row>
    <row r="628" spans="1:42" ht="15" x14ac:dyDescent="0.2">
      <c r="A628" s="8" t="s">
        <v>42</v>
      </c>
      <c r="B628" s="9" t="s">
        <v>43</v>
      </c>
      <c r="C628" s="9">
        <v>658</v>
      </c>
      <c r="D628" s="9" t="s">
        <v>1112</v>
      </c>
      <c r="E628" s="9">
        <v>189</v>
      </c>
      <c r="F628" s="9" t="s">
        <v>1521</v>
      </c>
      <c r="G628" s="9" t="s">
        <v>1141</v>
      </c>
      <c r="H628" s="9" t="s">
        <v>287</v>
      </c>
      <c r="I628" s="9" t="s">
        <v>1522</v>
      </c>
      <c r="J628" s="9" t="s">
        <v>1523</v>
      </c>
      <c r="K628" s="9" t="s">
        <v>1524</v>
      </c>
      <c r="L628" s="10" t="s">
        <v>1524</v>
      </c>
      <c r="M628" s="9" t="s">
        <v>51</v>
      </c>
      <c r="N628" s="9">
        <v>260</v>
      </c>
      <c r="O628" s="9" t="s">
        <v>72</v>
      </c>
      <c r="P628" s="9">
        <v>161</v>
      </c>
      <c r="Q628" s="9">
        <v>161</v>
      </c>
      <c r="R628" s="9">
        <v>1.2</v>
      </c>
      <c r="S628" s="9">
        <v>-4.0040230000000001</v>
      </c>
      <c r="T628" s="9">
        <v>122.638351</v>
      </c>
      <c r="U628" s="9" t="s">
        <v>52</v>
      </c>
      <c r="V628" s="11" t="str">
        <f>VLOOKUP(L628,'[1]singkron data'!D:E,2,FALSE)</f>
        <v>CV. Utama Jaya Perkasa</v>
      </c>
      <c r="W628" s="13">
        <f>VLOOKUP(L628,'[1]data 1129'!F:H,3,FALSE)</f>
        <v>4883358000</v>
      </c>
      <c r="X628" s="11" t="s">
        <v>55</v>
      </c>
      <c r="Y628" s="11" t="str">
        <f>VLOOKUP(L628,'[1]singkron data'!D:H,5,FALSE)</f>
        <v>Kendari</v>
      </c>
      <c r="Z628" s="11" t="str">
        <f>VLOOKUP(L628,'[1]singkron data'!D:I,6,FALSE)</f>
        <v>Online</v>
      </c>
      <c r="AA628" s="11" t="str">
        <f>VLOOKUP(L628,'[1]singkron data'!D:L,9,FALSE)</f>
        <v>81242016234/sumaryono</v>
      </c>
      <c r="AB628" s="11" t="s">
        <v>54</v>
      </c>
      <c r="AC628" s="11" t="str">
        <f>VLOOKUP(L628,'[1]singkron data'!D:M,10,FALSE)</f>
        <v>Put</v>
      </c>
      <c r="AD628" s="11" t="str">
        <f>VLOOKUP(L628,'[1]data 1129'!F:O,10,FALSE)</f>
        <v>Tahap I 208</v>
      </c>
      <c r="AE628" s="11" t="str">
        <f>VLOOKUP(L628,'[1]singkron data'!D:P,13,FALSE)</f>
        <v>sudah</v>
      </c>
      <c r="AF628" s="11" t="s">
        <v>55</v>
      </c>
      <c r="AG628" s="17">
        <f>VLOOKUP(L628,'[1]update kontrak'!E:K,6,FALSE)</f>
        <v>4032158146.77</v>
      </c>
      <c r="AH628" s="11" t="str">
        <f>VLOOKUP(L628,'[1]update kontrak'!E:K,7,FALSE)</f>
        <v>KONTRAK</v>
      </c>
      <c r="AI628" s="11" t="s">
        <v>41</v>
      </c>
      <c r="AJ628" s="11" t="str">
        <f>VLOOKUP(L628,[1]rekap!D:M,1,FALSE)</f>
        <v>Tondonggeu</v>
      </c>
      <c r="AK628" s="11" t="str">
        <f>VLOOKUP(L628,'[1]singkron data'!D:E,2,FALSE)</f>
        <v>CV. Utama Jaya Perkasa</v>
      </c>
      <c r="AL628" s="11" t="str">
        <f>VLOOKUP(L628,'[1]update 521'!D:D,1,FALSE)</f>
        <v>Tondonggeu</v>
      </c>
      <c r="AM628" s="11" t="s">
        <v>57</v>
      </c>
      <c r="AN628" s="17">
        <f>VLOOKUP(L628,[1]Sheet19!E:L,8,FALSE)</f>
        <v>4032158146.77</v>
      </c>
      <c r="AO628" s="11" t="str">
        <f>VLOOKUP(L628,[1]Sheet19!E:K,7,FALSE)</f>
        <v>KONTRAK</v>
      </c>
      <c r="AP628" s="12" t="s">
        <v>41</v>
      </c>
    </row>
    <row r="629" spans="1:42" ht="15" x14ac:dyDescent="0.2">
      <c r="A629" s="8" t="s">
        <v>42</v>
      </c>
      <c r="B629" s="9" t="s">
        <v>43</v>
      </c>
      <c r="C629" s="9">
        <v>659</v>
      </c>
      <c r="D629" s="9" t="s">
        <v>1112</v>
      </c>
      <c r="E629" s="9">
        <v>190</v>
      </c>
      <c r="F629" s="9" t="s">
        <v>1521</v>
      </c>
      <c r="G629" s="9" t="s">
        <v>1141</v>
      </c>
      <c r="H629" s="9" t="s">
        <v>287</v>
      </c>
      <c r="I629" s="9" t="s">
        <v>1522</v>
      </c>
      <c r="J629" s="9" t="s">
        <v>1523</v>
      </c>
      <c r="K629" s="9" t="s">
        <v>1525</v>
      </c>
      <c r="L629" s="10" t="s">
        <v>1525</v>
      </c>
      <c r="M629" s="9" t="s">
        <v>51</v>
      </c>
      <c r="N629" s="9">
        <v>380</v>
      </c>
      <c r="O629" s="9" t="s">
        <v>72</v>
      </c>
      <c r="P629" s="9">
        <v>252</v>
      </c>
      <c r="Q629" s="9">
        <v>252</v>
      </c>
      <c r="R629" s="9">
        <v>1.9</v>
      </c>
      <c r="S629" s="9">
        <v>-4.0048859999999999</v>
      </c>
      <c r="T629" s="9">
        <v>122.63027</v>
      </c>
      <c r="U629" s="9" t="s">
        <v>52</v>
      </c>
      <c r="V629" s="11" t="str">
        <f>VLOOKUP(L629,'[1]singkron data'!D:E,2,FALSE)</f>
        <v>CV. Utama Jaya Perkasa</v>
      </c>
      <c r="W629" s="13">
        <f>VLOOKUP(L629,'[1]data 1129'!F:H,3,FALSE)</f>
        <v>4753959000</v>
      </c>
      <c r="X629" s="11" t="s">
        <v>55</v>
      </c>
      <c r="Y629" s="11" t="str">
        <f>VLOOKUP(L629,'[1]singkron data'!D:H,5,FALSE)</f>
        <v>Kendari</v>
      </c>
      <c r="Z629" s="11" t="str">
        <f>VLOOKUP(L629,'[1]singkron data'!D:I,6,FALSE)</f>
        <v>Online</v>
      </c>
      <c r="AA629" s="11" t="str">
        <f>VLOOKUP(L629,'[1]singkron data'!D:L,9,FALSE)</f>
        <v>81242016234/sumaryono</v>
      </c>
      <c r="AB629" s="11" t="s">
        <v>54</v>
      </c>
      <c r="AC629" s="11" t="str">
        <f>VLOOKUP(L629,'[1]singkron data'!D:M,10,FALSE)</f>
        <v>Put</v>
      </c>
      <c r="AD629" s="11" t="str">
        <f>VLOOKUP(L629,'[1]data 1129'!F:O,10,FALSE)</f>
        <v>Tahap I 208</v>
      </c>
      <c r="AE629" s="11" t="str">
        <f>VLOOKUP(L629,'[1]singkron data'!D:P,13,FALSE)</f>
        <v>sudah</v>
      </c>
      <c r="AF629" s="11" t="s">
        <v>55</v>
      </c>
      <c r="AG629" s="17">
        <f>VLOOKUP(L629,'[1]update kontrak'!E:K,6,FALSE)</f>
        <v>4184127596.3099999</v>
      </c>
      <c r="AH629" s="11" t="str">
        <f>VLOOKUP(L629,'[1]update kontrak'!E:K,7,FALSE)</f>
        <v>KONTRAK</v>
      </c>
      <c r="AI629" s="11" t="s">
        <v>41</v>
      </c>
      <c r="AJ629" s="11" t="str">
        <f>VLOOKUP(L629,[1]rekap!D:M,1,FALSE)</f>
        <v>Sambuli</v>
      </c>
      <c r="AK629" s="11" t="str">
        <f>VLOOKUP(L629,'[1]singkron data'!D:E,2,FALSE)</f>
        <v>CV. Utama Jaya Perkasa</v>
      </c>
      <c r="AL629" s="11" t="str">
        <f>VLOOKUP(L629,'[1]update 521'!D:D,1,FALSE)</f>
        <v>Sambuli</v>
      </c>
      <c r="AM629" s="11" t="s">
        <v>57</v>
      </c>
      <c r="AN629" s="17">
        <f>VLOOKUP(L629,[1]Sheet19!E:L,8,FALSE)</f>
        <v>4184127596.3099999</v>
      </c>
      <c r="AO629" s="11" t="str">
        <f>VLOOKUP(L629,[1]Sheet19!E:K,7,FALSE)</f>
        <v>KONTRAK</v>
      </c>
      <c r="AP629" s="12" t="s">
        <v>41</v>
      </c>
    </row>
    <row r="630" spans="1:42" ht="15" x14ac:dyDescent="0.2">
      <c r="A630" s="8" t="s">
        <v>42</v>
      </c>
      <c r="B630" s="9" t="s">
        <v>43</v>
      </c>
      <c r="C630" s="9">
        <v>660</v>
      </c>
      <c r="D630" s="9" t="s">
        <v>1112</v>
      </c>
      <c r="E630" s="9">
        <v>191</v>
      </c>
      <c r="F630" s="9" t="s">
        <v>1521</v>
      </c>
      <c r="G630" s="9" t="s">
        <v>1141</v>
      </c>
      <c r="H630" s="9" t="s">
        <v>287</v>
      </c>
      <c r="I630" s="9" t="s">
        <v>1522</v>
      </c>
      <c r="J630" s="9" t="s">
        <v>1526</v>
      </c>
      <c r="K630" s="9" t="s">
        <v>1527</v>
      </c>
      <c r="L630" s="10" t="s">
        <v>1527</v>
      </c>
      <c r="M630" s="9" t="s">
        <v>51</v>
      </c>
      <c r="N630" s="9">
        <v>676</v>
      </c>
      <c r="O630" s="9">
        <v>2</v>
      </c>
      <c r="P630" s="9">
        <v>500</v>
      </c>
      <c r="Q630" s="9">
        <v>502</v>
      </c>
      <c r="R630" s="9">
        <v>0.75</v>
      </c>
      <c r="S630" s="9">
        <v>-3.9839069999999999</v>
      </c>
      <c r="T630" s="9">
        <v>122.578102</v>
      </c>
      <c r="U630" s="9" t="s">
        <v>52</v>
      </c>
      <c r="V630" s="11" t="str">
        <f>VLOOKUP(L630,'[1]singkron data'!D:E,2,FALSE)</f>
        <v>CV. Utama Jaya Perkasa</v>
      </c>
      <c r="W630" s="13">
        <f>VLOOKUP(L630,'[1]data 1129'!F:H,3,FALSE)</f>
        <v>4040952000</v>
      </c>
      <c r="X630" s="11" t="s">
        <v>55</v>
      </c>
      <c r="Y630" s="11" t="str">
        <f>VLOOKUP(L630,'[1]singkron data'!D:H,5,FALSE)</f>
        <v>Kendari</v>
      </c>
      <c r="Z630" s="11" t="str">
        <f>VLOOKUP(L630,'[1]singkron data'!D:I,6,FALSE)</f>
        <v>Online</v>
      </c>
      <c r="AA630" s="11" t="str">
        <f>VLOOKUP(L630,'[1]singkron data'!D:L,9,FALSE)</f>
        <v>81242016234/sumaryono</v>
      </c>
      <c r="AB630" s="11" t="s">
        <v>54</v>
      </c>
      <c r="AC630" s="11" t="str">
        <f>VLOOKUP(L630,'[1]singkron data'!D:M,10,FALSE)</f>
        <v>Put</v>
      </c>
      <c r="AD630" s="11" t="str">
        <f>VLOOKUP(L630,'[1]data 1129'!F:O,10,FALSE)</f>
        <v>Tahap I 208</v>
      </c>
      <c r="AE630" s="11" t="str">
        <f>VLOOKUP(L630,'[1]singkron data'!D:P,13,FALSE)</f>
        <v>sudah</v>
      </c>
      <c r="AF630" s="11" t="s">
        <v>55</v>
      </c>
      <c r="AG630" s="17">
        <f>VLOOKUP(L630,'[1]update kontrak'!E:K,6,FALSE)</f>
        <v>3594702259.4400001</v>
      </c>
      <c r="AH630" s="11" t="str">
        <f>VLOOKUP(L630,'[1]update kontrak'!E:K,7,FALSE)</f>
        <v>KONTRAK</v>
      </c>
      <c r="AI630" s="11" t="s">
        <v>41</v>
      </c>
      <c r="AJ630" s="11" t="str">
        <f>VLOOKUP(L630,[1]rekap!D:M,1,FALSE)</f>
        <v>Puday</v>
      </c>
      <c r="AK630" s="11" t="str">
        <f>VLOOKUP(L630,'[1]singkron data'!D:E,2,FALSE)</f>
        <v>CV. Utama Jaya Perkasa</v>
      </c>
      <c r="AL630" s="11" t="str">
        <f>VLOOKUP(L630,'[1]update 521'!D:D,1,FALSE)</f>
        <v>Puday</v>
      </c>
      <c r="AM630" s="11" t="s">
        <v>57</v>
      </c>
      <c r="AN630" s="17">
        <f>VLOOKUP(L630,[1]Sheet19!E:L,8,FALSE)</f>
        <v>3594702259.4400001</v>
      </c>
      <c r="AO630" s="11" t="str">
        <f>VLOOKUP(L630,[1]Sheet19!E:K,7,FALSE)</f>
        <v>KONTRAK</v>
      </c>
      <c r="AP630" s="12" t="s">
        <v>41</v>
      </c>
    </row>
    <row r="631" spans="1:42" ht="15" x14ac:dyDescent="0.2">
      <c r="A631" s="8" t="s">
        <v>42</v>
      </c>
      <c r="B631" s="9" t="s">
        <v>43</v>
      </c>
      <c r="C631" s="9">
        <v>661</v>
      </c>
      <c r="D631" s="9" t="s">
        <v>1112</v>
      </c>
      <c r="E631" s="9">
        <v>192</v>
      </c>
      <c r="F631" s="9" t="s">
        <v>1528</v>
      </c>
      <c r="G631" s="9" t="s">
        <v>1149</v>
      </c>
      <c r="H631" s="9" t="s">
        <v>287</v>
      </c>
      <c r="I631" s="9" t="s">
        <v>1204</v>
      </c>
      <c r="J631" s="9" t="s">
        <v>1529</v>
      </c>
      <c r="K631" s="9" t="s">
        <v>1530</v>
      </c>
      <c r="L631" s="10" t="s">
        <v>1530</v>
      </c>
      <c r="M631" s="9" t="s">
        <v>51</v>
      </c>
      <c r="N631" s="9">
        <v>100</v>
      </c>
      <c r="O631" s="9">
        <v>20</v>
      </c>
      <c r="P631" s="9">
        <v>80</v>
      </c>
      <c r="Q631" s="9">
        <v>100</v>
      </c>
      <c r="R631" s="9">
        <v>1.01</v>
      </c>
      <c r="S631" s="9">
        <v>-2.9622600000000001</v>
      </c>
      <c r="T631" s="9">
        <v>118.866799</v>
      </c>
      <c r="U631" s="9" t="s">
        <v>52</v>
      </c>
      <c r="V631" s="11" t="str">
        <f>VLOOKUP(L631,'[1]singkron data'!D:E,2,FALSE)</f>
        <v>CV. Lion Jaya Mandiri</v>
      </c>
      <c r="W631" s="13">
        <f>VLOOKUP(L631,'[1]data 1129'!F:H,3,FALSE)</f>
        <v>4910372489</v>
      </c>
      <c r="X631" s="11" t="s">
        <v>55</v>
      </c>
      <c r="Y631" s="11" t="str">
        <f>VLOOKUP(L631,'[1]singkron data'!D:H,5,FALSE)</f>
        <v>Toraja</v>
      </c>
      <c r="Z631" s="11" t="str">
        <f>VLOOKUP(L631,'[1]singkron data'!D:I,6,FALSE)</f>
        <v>Offline</v>
      </c>
      <c r="AA631" s="11">
        <f>VLOOKUP(L631,'[1]singkron data'!D:L,9,FALSE)</f>
        <v>82192324719</v>
      </c>
      <c r="AB631" s="11" t="s">
        <v>54</v>
      </c>
      <c r="AC631" s="11" t="str">
        <f>VLOOKUP(L631,'[1]singkron data'!D:M,10,FALSE)</f>
        <v>Hyl</v>
      </c>
      <c r="AD631" s="11" t="str">
        <f>VLOOKUP(L631,'[1]data 1129'!F:O,10,FALSE)</f>
        <v>Tahap I 208</v>
      </c>
      <c r="AE631" s="11" t="str">
        <f>VLOOKUP(L631,'[1]singkron data'!D:P,13,FALSE)</f>
        <v>sudah</v>
      </c>
      <c r="AF631" s="11" t="s">
        <v>55</v>
      </c>
      <c r="AG631" s="17">
        <f>VLOOKUP(L631,'[1]update kontrak'!E:K,6,FALSE)</f>
        <v>4836126746.7299995</v>
      </c>
      <c r="AH631" s="11" t="str">
        <f>VLOOKUP(L631,'[1]update kontrak'!E:K,7,FALSE)</f>
        <v>KONTRAK</v>
      </c>
      <c r="AI631" s="11" t="s">
        <v>41</v>
      </c>
      <c r="AJ631" s="11" t="str">
        <f>VLOOKUP(L631,[1]rekap!D:M,1,FALSE)</f>
        <v>Mekkatta Selatan</v>
      </c>
      <c r="AK631" s="11" t="str">
        <f>VLOOKUP(L631,'[1]singkron data'!D:E,2,FALSE)</f>
        <v>CV. Lion Jaya Mandiri</v>
      </c>
      <c r="AL631" s="11" t="str">
        <f>VLOOKUP(L631,'[1]update 521'!D:D,1,FALSE)</f>
        <v>Mekkatta Selatan</v>
      </c>
      <c r="AM631" s="11" t="s">
        <v>57</v>
      </c>
      <c r="AN631" s="17">
        <f>VLOOKUP(L631,[1]Sheet19!E:L,8,FALSE)</f>
        <v>4836126746.7299995</v>
      </c>
      <c r="AO631" s="11" t="str">
        <f>VLOOKUP(L631,[1]Sheet19!E:K,7,FALSE)</f>
        <v>KONTRAK</v>
      </c>
      <c r="AP631" s="12" t="s">
        <v>41</v>
      </c>
    </row>
    <row r="632" spans="1:42" ht="15" x14ac:dyDescent="0.2">
      <c r="A632" s="8" t="s">
        <v>42</v>
      </c>
      <c r="B632" s="9" t="s">
        <v>43</v>
      </c>
      <c r="C632" s="9">
        <v>662</v>
      </c>
      <c r="D632" s="9" t="s">
        <v>1112</v>
      </c>
      <c r="E632" s="9">
        <v>193</v>
      </c>
      <c r="F632" s="9" t="s">
        <v>1528</v>
      </c>
      <c r="G632" s="9" t="s">
        <v>1149</v>
      </c>
      <c r="H632" s="9" t="s">
        <v>287</v>
      </c>
      <c r="I632" s="9" t="s">
        <v>1204</v>
      </c>
      <c r="J632" s="9" t="s">
        <v>1531</v>
      </c>
      <c r="K632" s="9" t="s">
        <v>1532</v>
      </c>
      <c r="L632" s="10" t="s">
        <v>1532</v>
      </c>
      <c r="M632" s="9" t="s">
        <v>51</v>
      </c>
      <c r="N632" s="9">
        <v>123</v>
      </c>
      <c r="O632" s="9">
        <v>70</v>
      </c>
      <c r="P632" s="9">
        <v>38</v>
      </c>
      <c r="Q632" s="9">
        <v>108</v>
      </c>
      <c r="R632" s="9">
        <v>0.98</v>
      </c>
      <c r="S632" s="9">
        <v>-3.088886</v>
      </c>
      <c r="T632" s="9">
        <v>118.826429</v>
      </c>
      <c r="U632" s="9" t="s">
        <v>52</v>
      </c>
      <c r="V632" s="11" t="str">
        <f>VLOOKUP(L632,'[1]singkron data'!D:E,2,FALSE)</f>
        <v>CV. Lion Jaya Mandiri</v>
      </c>
      <c r="W632" s="13">
        <f>VLOOKUP(L632,'[1]data 1129'!F:H,3,FALSE)</f>
        <v>4185095000</v>
      </c>
      <c r="X632" s="11" t="s">
        <v>55</v>
      </c>
      <c r="Y632" s="11" t="str">
        <f>VLOOKUP(L632,'[1]singkron data'!D:H,5,FALSE)</f>
        <v>Toraja</v>
      </c>
      <c r="Z632" s="11" t="str">
        <f>VLOOKUP(L632,'[1]singkron data'!D:I,6,FALSE)</f>
        <v>Offline</v>
      </c>
      <c r="AA632" s="11">
        <f>VLOOKUP(L632,'[1]singkron data'!D:L,9,FALSE)</f>
        <v>82192324719</v>
      </c>
      <c r="AB632" s="11" t="s">
        <v>54</v>
      </c>
      <c r="AC632" s="11" t="str">
        <f>VLOOKUP(L632,'[1]singkron data'!D:M,10,FALSE)</f>
        <v>Hyl</v>
      </c>
      <c r="AD632" s="11" t="str">
        <f>VLOOKUP(L632,'[1]data 1129'!F:O,10,FALSE)</f>
        <v>Tahap I 208</v>
      </c>
      <c r="AE632" s="11" t="str">
        <f>VLOOKUP(L632,'[1]singkron data'!D:P,13,FALSE)</f>
        <v>sudah</v>
      </c>
      <c r="AF632" s="11" t="s">
        <v>55</v>
      </c>
      <c r="AG632" s="17">
        <f>VLOOKUP(L632,'[1]update kontrak'!E:K,6,FALSE)</f>
        <v>5180479653.5699997</v>
      </c>
      <c r="AH632" s="11" t="str">
        <f>VLOOKUP(L632,'[1]update kontrak'!E:K,7,FALSE)</f>
        <v>KONTRAK</v>
      </c>
      <c r="AI632" s="11" t="s">
        <v>41</v>
      </c>
      <c r="AJ632" s="11" t="str">
        <f>VLOOKUP(L632,[1]rekap!D:M,1,FALSE)</f>
        <v>Tubo Poang</v>
      </c>
      <c r="AK632" s="11" t="str">
        <f>VLOOKUP(L632,'[1]singkron data'!D:E,2,FALSE)</f>
        <v>CV. Lion Jaya Mandiri</v>
      </c>
      <c r="AL632" s="11" t="str">
        <f>VLOOKUP(L632,'[1]update 521'!D:D,1,FALSE)</f>
        <v>Tubo Poang</v>
      </c>
      <c r="AM632" s="11" t="s">
        <v>57</v>
      </c>
      <c r="AN632" s="17">
        <f>VLOOKUP(L632,[1]Sheet19!E:L,8,FALSE)</f>
        <v>5180479653.5699997</v>
      </c>
      <c r="AO632" s="11" t="str">
        <f>VLOOKUP(L632,[1]Sheet19!E:K,7,FALSE)</f>
        <v>KONTRAK</v>
      </c>
      <c r="AP632" s="12" t="s">
        <v>41</v>
      </c>
    </row>
    <row r="633" spans="1:42" ht="15" x14ac:dyDescent="0.2">
      <c r="A633" s="8" t="s">
        <v>42</v>
      </c>
      <c r="B633" s="9" t="s">
        <v>43</v>
      </c>
      <c r="C633" s="9">
        <v>663</v>
      </c>
      <c r="D633" s="9" t="s">
        <v>1112</v>
      </c>
      <c r="E633" s="9">
        <v>194</v>
      </c>
      <c r="F633" s="9" t="s">
        <v>1528</v>
      </c>
      <c r="G633" s="9" t="s">
        <v>1149</v>
      </c>
      <c r="H633" s="9" t="s">
        <v>287</v>
      </c>
      <c r="I633" s="9" t="s">
        <v>1204</v>
      </c>
      <c r="J633" s="9" t="s">
        <v>1531</v>
      </c>
      <c r="K633" s="9" t="s">
        <v>1533</v>
      </c>
      <c r="L633" s="10" t="s">
        <v>1533</v>
      </c>
      <c r="M633" s="9" t="s">
        <v>51</v>
      </c>
      <c r="N633" s="9">
        <v>125</v>
      </c>
      <c r="O633" s="9">
        <v>1</v>
      </c>
      <c r="P633" s="9">
        <v>100</v>
      </c>
      <c r="Q633" s="9">
        <v>101</v>
      </c>
      <c r="R633" s="9">
        <v>0.13</v>
      </c>
      <c r="S633" s="9">
        <v>-3.0946305999999999</v>
      </c>
      <c r="T633" s="9">
        <v>118.7765583</v>
      </c>
      <c r="U633" s="9" t="s">
        <v>52</v>
      </c>
      <c r="V633" s="11" t="str">
        <f>VLOOKUP(L633,'[1]singkron data'!D:E,2,FALSE)</f>
        <v>CV. Lion Jaya Mandiri</v>
      </c>
      <c r="W633" s="13">
        <f>VLOOKUP(L633,'[1]data 1129'!F:H,3,FALSE)</f>
        <v>4345426000</v>
      </c>
      <c r="X633" s="11" t="s">
        <v>55</v>
      </c>
      <c r="Y633" s="11" t="str">
        <f>VLOOKUP(L633,'[1]singkron data'!D:H,5,FALSE)</f>
        <v>Toraja</v>
      </c>
      <c r="Z633" s="11" t="str">
        <f>VLOOKUP(L633,'[1]singkron data'!D:I,6,FALSE)</f>
        <v>Offline</v>
      </c>
      <c r="AA633" s="11">
        <f>VLOOKUP(L633,'[1]singkron data'!D:L,9,FALSE)</f>
        <v>82192324719</v>
      </c>
      <c r="AB633" s="11" t="s">
        <v>54</v>
      </c>
      <c r="AC633" s="11" t="str">
        <f>VLOOKUP(L633,'[1]singkron data'!D:M,10,FALSE)</f>
        <v>Hyl</v>
      </c>
      <c r="AD633" s="11" t="str">
        <f>VLOOKUP(L633,'[1]data 1129'!F:O,10,FALSE)</f>
        <v>Tahap III 166</v>
      </c>
      <c r="AE633" s="11" t="str">
        <f>VLOOKUP(L633,'[1]singkron data'!D:P,13,FALSE)</f>
        <v>sudah</v>
      </c>
      <c r="AF633" s="11" t="s">
        <v>55</v>
      </c>
      <c r="AG633" s="17">
        <f>VLOOKUP(L633,'[1]update kontrak'!E:K,6,FALSE)</f>
        <v>3680869000</v>
      </c>
      <c r="AH633" s="11" t="str">
        <f>VLOOKUP(L633,'[1]update kontrak'!E:K,7,FALSE)</f>
        <v>KONTRAK</v>
      </c>
      <c r="AI633" s="11" t="s">
        <v>41</v>
      </c>
      <c r="AJ633" s="11" t="str">
        <f>VLOOKUP(L633,[1]rekap!D:M,1,FALSE)</f>
        <v>Tubo Selatan</v>
      </c>
      <c r="AK633" s="11" t="str">
        <f>VLOOKUP(L633,'[1]singkron data'!D:E,2,FALSE)</f>
        <v>CV. Lion Jaya Mandiri</v>
      </c>
      <c r="AL633" s="11" t="str">
        <f>VLOOKUP(L633,'[1]update 521'!D:D,1,FALSE)</f>
        <v>Tubo Selatan</v>
      </c>
      <c r="AM633" s="11" t="s">
        <v>57</v>
      </c>
      <c r="AN633" s="17">
        <f>VLOOKUP(L633,[1]Sheet19!E:L,8,FALSE)</f>
        <v>3680869000</v>
      </c>
      <c r="AO633" s="11" t="str">
        <f>VLOOKUP(L633,[1]Sheet19!E:K,7,FALSE)</f>
        <v>KONTRAK</v>
      </c>
      <c r="AP633" s="12" t="s">
        <v>41</v>
      </c>
    </row>
    <row r="634" spans="1:42" ht="15" x14ac:dyDescent="0.2">
      <c r="A634" s="8" t="s">
        <v>42</v>
      </c>
      <c r="B634" s="9" t="s">
        <v>43</v>
      </c>
      <c r="C634" s="9">
        <v>664</v>
      </c>
      <c r="D634" s="9" t="s">
        <v>1112</v>
      </c>
      <c r="E634" s="9">
        <v>195</v>
      </c>
      <c r="F634" s="9" t="s">
        <v>1534</v>
      </c>
      <c r="G634" s="9" t="s">
        <v>1184</v>
      </c>
      <c r="H634" s="9" t="s">
        <v>287</v>
      </c>
      <c r="I634" s="9" t="s">
        <v>1535</v>
      </c>
      <c r="J634" s="9" t="s">
        <v>1536</v>
      </c>
      <c r="K634" s="9" t="s">
        <v>1534</v>
      </c>
      <c r="L634" s="10" t="s">
        <v>1534</v>
      </c>
      <c r="M634" s="9" t="s">
        <v>65</v>
      </c>
      <c r="N634" s="9">
        <v>170</v>
      </c>
      <c r="O634" s="9">
        <v>100</v>
      </c>
      <c r="P634" s="9">
        <v>70</v>
      </c>
      <c r="Q634" s="9">
        <v>170</v>
      </c>
      <c r="R634" s="9">
        <v>2</v>
      </c>
      <c r="S634" s="9">
        <v>1.0605709999999999</v>
      </c>
      <c r="T634" s="9">
        <v>121.57661299999999</v>
      </c>
      <c r="U634" s="9" t="s">
        <v>52</v>
      </c>
      <c r="V634" s="11" t="str">
        <f>VLOOKUP(L634,'[1]singkron data'!D:E,2,FALSE)</f>
        <v>PT. Macini Raya Pratama</v>
      </c>
      <c r="W634" s="13">
        <f>VLOOKUP(L634,'[1]data 1129'!F:H,3,FALSE)</f>
        <v>8231000000</v>
      </c>
      <c r="X634" s="11" t="s">
        <v>55</v>
      </c>
      <c r="Y634" s="11">
        <f>VLOOKUP(L634,'[1]singkron data'!D:H,5,FALSE)</f>
        <v>0</v>
      </c>
      <c r="Z634" s="11">
        <f>VLOOKUP(L634,'[1]singkron data'!D:I,6,FALSE)</f>
        <v>0</v>
      </c>
      <c r="AA634" s="11">
        <f>VLOOKUP(L634,'[1]singkron data'!D:L,9,FALSE)</f>
        <v>0</v>
      </c>
      <c r="AB634" s="11" t="s">
        <v>54</v>
      </c>
      <c r="AC634" s="11">
        <f>VLOOKUP(L634,'[1]singkron data'!D:M,10,FALSE)</f>
        <v>0</v>
      </c>
      <c r="AD634" s="11" t="str">
        <f>VLOOKUP(L634,'[1]data 1129'!F:O,10,FALSE)</f>
        <v>Tahap I 208</v>
      </c>
      <c r="AE634" s="11" t="str">
        <f>VLOOKUP(L634,'[1]singkron data'!D:P,13,FALSE)</f>
        <v>sudah</v>
      </c>
      <c r="AF634" s="11" t="s">
        <v>55</v>
      </c>
      <c r="AG634" s="17">
        <f>VLOOKUP(L634,'[1]update kontrak'!E:K,6,FALSE)</f>
        <v>6260202420</v>
      </c>
      <c r="AH634" s="11" t="str">
        <f>VLOOKUP(L634,'[1]update kontrak'!E:K,7,FALSE)</f>
        <v>SPPBJ</v>
      </c>
      <c r="AI634" s="11" t="s">
        <v>58</v>
      </c>
      <c r="AJ634" s="11" t="str">
        <f>VLOOKUP(L634,[1]rekap!D:M,1,FALSE)</f>
        <v>Tamit</v>
      </c>
      <c r="AK634" s="11" t="str">
        <f>VLOOKUP(L634,'[1]singkron data'!D:E,2,FALSE)</f>
        <v>PT. Macini Raya Pratama</v>
      </c>
      <c r="AL634" s="11" t="str">
        <f>VLOOKUP(L634,'[1]update 521'!D:D,1,FALSE)</f>
        <v>Tamit</v>
      </c>
      <c r="AM634" s="11" t="s">
        <v>57</v>
      </c>
      <c r="AN634" s="17">
        <f>VLOOKUP(L634,[1]Sheet19!E:L,8,FALSE)</f>
        <v>5639822000</v>
      </c>
      <c r="AO634" s="11" t="str">
        <f>VLOOKUP(L634,[1]Sheet19!E:K,7,FALSE)</f>
        <v>KONTRAK</v>
      </c>
      <c r="AP634" s="12" t="s">
        <v>41</v>
      </c>
    </row>
    <row r="635" spans="1:42" ht="15" x14ac:dyDescent="0.2">
      <c r="A635" s="8" t="s">
        <v>42</v>
      </c>
      <c r="B635" s="9" t="s">
        <v>43</v>
      </c>
      <c r="C635" s="9">
        <v>665</v>
      </c>
      <c r="D635" s="9" t="s">
        <v>1112</v>
      </c>
      <c r="E635" s="9">
        <v>196</v>
      </c>
      <c r="F635" s="9" t="s">
        <v>1534</v>
      </c>
      <c r="G635" s="9" t="s">
        <v>1184</v>
      </c>
      <c r="H635" s="9" t="s">
        <v>287</v>
      </c>
      <c r="I635" s="9" t="s">
        <v>1535</v>
      </c>
      <c r="J635" s="9" t="s">
        <v>1537</v>
      </c>
      <c r="K635" s="9" t="s">
        <v>1538</v>
      </c>
      <c r="L635" s="10" t="s">
        <v>1538</v>
      </c>
      <c r="M635" s="9" t="s">
        <v>51</v>
      </c>
      <c r="N635" s="9">
        <v>257</v>
      </c>
      <c r="O635" s="9">
        <v>27</v>
      </c>
      <c r="P635" s="9">
        <v>15</v>
      </c>
      <c r="Q635" s="9">
        <v>42</v>
      </c>
      <c r="R635" s="9">
        <v>1</v>
      </c>
      <c r="S635" s="9">
        <v>1.053544</v>
      </c>
      <c r="T635" s="9">
        <v>121.69280000000001</v>
      </c>
      <c r="U635" s="9" t="s">
        <v>52</v>
      </c>
      <c r="V635" s="11" t="str">
        <f>VLOOKUP(L635,'[1]singkron data'!D:E,2,FALSE)</f>
        <v>PT. Macini Raya Pratama</v>
      </c>
      <c r="W635" s="13">
        <f>VLOOKUP(L635,'[1]data 1129'!F:H,3,FALSE)</f>
        <v>4500000000</v>
      </c>
      <c r="X635" s="11" t="s">
        <v>55</v>
      </c>
      <c r="Y635" s="11">
        <f>VLOOKUP(L635,'[1]singkron data'!D:H,5,FALSE)</f>
        <v>0</v>
      </c>
      <c r="Z635" s="11">
        <f>VLOOKUP(L635,'[1]singkron data'!D:I,6,FALSE)</f>
        <v>0</v>
      </c>
      <c r="AA635" s="11">
        <f>VLOOKUP(L635,'[1]singkron data'!D:L,9,FALSE)</f>
        <v>0</v>
      </c>
      <c r="AB635" s="11" t="s">
        <v>54</v>
      </c>
      <c r="AC635" s="11">
        <f>VLOOKUP(L635,'[1]singkron data'!D:M,10,FALSE)</f>
        <v>0</v>
      </c>
      <c r="AD635" s="11" t="str">
        <f>VLOOKUP(L635,'[1]data 1129'!F:O,10,FALSE)</f>
        <v>Tahap I 208</v>
      </c>
      <c r="AE635" s="11" t="str">
        <f>VLOOKUP(L635,'[1]singkron data'!D:P,13,FALSE)</f>
        <v>sudah</v>
      </c>
      <c r="AF635" s="11" t="s">
        <v>55</v>
      </c>
      <c r="AG635" s="17">
        <f>VLOOKUP(L635,'[1]update kontrak'!E:K,6,FALSE)</f>
        <v>4520885700</v>
      </c>
      <c r="AH635" s="11" t="str">
        <f>VLOOKUP(L635,'[1]update kontrak'!E:K,7,FALSE)</f>
        <v>SPPBJ</v>
      </c>
      <c r="AI635" s="11" t="s">
        <v>58</v>
      </c>
      <c r="AJ635" s="11" t="str">
        <f>VLOOKUP(L635,[1]rekap!D:M,1,FALSE)</f>
        <v>Taat</v>
      </c>
      <c r="AK635" s="11" t="str">
        <f>VLOOKUP(L635,'[1]singkron data'!D:E,2,FALSE)</f>
        <v>PT. Macini Raya Pratama</v>
      </c>
      <c r="AL635" s="11" t="str">
        <f>VLOOKUP(L635,'[1]update 521'!D:D,1,FALSE)</f>
        <v>Taat</v>
      </c>
      <c r="AM635" s="11" t="s">
        <v>57</v>
      </c>
      <c r="AN635" s="17">
        <f>VLOOKUP(L635,[1]Sheet19!E:L,8,FALSE)</f>
        <v>4072870000</v>
      </c>
      <c r="AO635" s="11" t="str">
        <f>VLOOKUP(L635,[1]Sheet19!E:K,7,FALSE)</f>
        <v>KONTRAK</v>
      </c>
      <c r="AP635" s="12" t="s">
        <v>41</v>
      </c>
    </row>
    <row r="636" spans="1:42" ht="15" x14ac:dyDescent="0.2">
      <c r="A636" s="8" t="s">
        <v>42</v>
      </c>
      <c r="B636" s="9" t="s">
        <v>43</v>
      </c>
      <c r="C636" s="9">
        <v>666</v>
      </c>
      <c r="D636" s="9" t="s">
        <v>1112</v>
      </c>
      <c r="E636" s="9">
        <v>197</v>
      </c>
      <c r="F636" s="9" t="s">
        <v>1534</v>
      </c>
      <c r="G636" s="9" t="s">
        <v>1184</v>
      </c>
      <c r="H636" s="9" t="s">
        <v>287</v>
      </c>
      <c r="I636" s="9" t="s">
        <v>1535</v>
      </c>
      <c r="J636" s="9" t="s">
        <v>1539</v>
      </c>
      <c r="K636" s="9" t="s">
        <v>1540</v>
      </c>
      <c r="L636" s="10" t="s">
        <v>1540</v>
      </c>
      <c r="M636" s="9" t="s">
        <v>51</v>
      </c>
      <c r="N636" s="9">
        <v>150</v>
      </c>
      <c r="O636" s="9">
        <v>10</v>
      </c>
      <c r="P636" s="9">
        <v>53</v>
      </c>
      <c r="Q636" s="9">
        <v>63</v>
      </c>
      <c r="R636" s="9">
        <v>1</v>
      </c>
      <c r="S636" s="9">
        <v>1.0361929999999999</v>
      </c>
      <c r="T636" s="9">
        <v>121.95639199999999</v>
      </c>
      <c r="U636" s="9" t="s">
        <v>52</v>
      </c>
      <c r="V636" s="11" t="str">
        <f>VLOOKUP(L636,'[1]singkron data'!D:E,2,FALSE)</f>
        <v>PT. Macini Raya Pratama</v>
      </c>
      <c r="W636" s="13">
        <f>VLOOKUP(L636,'[1]data 1129'!F:H,3,FALSE)</f>
        <v>4500000000</v>
      </c>
      <c r="X636" s="11" t="s">
        <v>55</v>
      </c>
      <c r="Y636" s="11">
        <f>VLOOKUP(L636,'[1]singkron data'!D:H,5,FALSE)</f>
        <v>0</v>
      </c>
      <c r="Z636" s="11">
        <f>VLOOKUP(L636,'[1]singkron data'!D:I,6,FALSE)</f>
        <v>0</v>
      </c>
      <c r="AA636" s="11">
        <f>VLOOKUP(L636,'[1]singkron data'!D:L,9,FALSE)</f>
        <v>0</v>
      </c>
      <c r="AB636" s="11" t="s">
        <v>54</v>
      </c>
      <c r="AC636" s="11">
        <f>VLOOKUP(L636,'[1]singkron data'!D:M,10,FALSE)</f>
        <v>0</v>
      </c>
      <c r="AD636" s="11" t="str">
        <f>VLOOKUP(L636,'[1]data 1129'!F:O,10,FALSE)</f>
        <v>Tahap I 208</v>
      </c>
      <c r="AE636" s="11" t="str">
        <f>VLOOKUP(L636,'[1]singkron data'!D:P,13,FALSE)</f>
        <v>sudah</v>
      </c>
      <c r="AF636" s="11" t="s">
        <v>55</v>
      </c>
      <c r="AG636" s="17">
        <f>VLOOKUP(L636,'[1]update kontrak'!E:K,6,FALSE)</f>
        <v>4796598600</v>
      </c>
      <c r="AH636" s="11" t="str">
        <f>VLOOKUP(L636,'[1]update kontrak'!E:K,7,FALSE)</f>
        <v>SPPBJ</v>
      </c>
      <c r="AI636" s="11" t="s">
        <v>58</v>
      </c>
      <c r="AJ636" s="11" t="str">
        <f>VLOOKUP(L636,[1]rekap!D:M,1,FALSE)</f>
        <v>Kwalabesar</v>
      </c>
      <c r="AK636" s="11" t="str">
        <f>VLOOKUP(L636,'[1]singkron data'!D:E,2,FALSE)</f>
        <v>PT. Macini Raya Pratama</v>
      </c>
      <c r="AL636" s="11" t="str">
        <f>VLOOKUP(L636,'[1]update 521'!D:D,1,FALSE)</f>
        <v>Kwalabesar</v>
      </c>
      <c r="AM636" s="11" t="s">
        <v>57</v>
      </c>
      <c r="AN636" s="17">
        <f>VLOOKUP(L636,[1]Sheet19!E:L,8,FALSE)</f>
        <v>4321260000</v>
      </c>
      <c r="AO636" s="11" t="str">
        <f>VLOOKUP(L636,[1]Sheet19!E:K,7,FALSE)</f>
        <v>KONTRAK</v>
      </c>
      <c r="AP636" s="12" t="s">
        <v>41</v>
      </c>
    </row>
    <row r="637" spans="1:42" ht="15" x14ac:dyDescent="0.2">
      <c r="A637" s="8" t="s">
        <v>42</v>
      </c>
      <c r="B637" s="9" t="s">
        <v>43</v>
      </c>
      <c r="C637" s="9">
        <v>667</v>
      </c>
      <c r="D637" s="9" t="s">
        <v>1112</v>
      </c>
      <c r="E637" s="9">
        <v>198</v>
      </c>
      <c r="F637" s="9" t="s">
        <v>1541</v>
      </c>
      <c r="G637" s="9" t="s">
        <v>1114</v>
      </c>
      <c r="H637" s="9" t="s">
        <v>287</v>
      </c>
      <c r="I637" s="9" t="s">
        <v>1464</v>
      </c>
      <c r="J637" s="9" t="s">
        <v>1542</v>
      </c>
      <c r="K637" s="9" t="s">
        <v>1543</v>
      </c>
      <c r="L637" s="10" t="s">
        <v>1543</v>
      </c>
      <c r="M637" s="9" t="s">
        <v>51</v>
      </c>
      <c r="N637" s="9">
        <v>396</v>
      </c>
      <c r="O637" s="9">
        <v>2</v>
      </c>
      <c r="P637" s="9">
        <v>119</v>
      </c>
      <c r="Q637" s="9">
        <v>121</v>
      </c>
      <c r="R637" s="9">
        <v>0.09</v>
      </c>
      <c r="S637" s="9">
        <v>-4.6901989999999998</v>
      </c>
      <c r="T637" s="9">
        <v>119.467855</v>
      </c>
      <c r="U637" s="9" t="s">
        <v>52</v>
      </c>
      <c r="V637" s="11" t="str">
        <f>VLOOKUP(L637,'[1]singkron data'!D:E,2,FALSE)</f>
        <v>PT. Bunaken Inti Nusantara</v>
      </c>
      <c r="W637" s="13">
        <f>VLOOKUP(L637,'[1]data 1129'!F:H,3,FALSE)</f>
        <v>8495707000</v>
      </c>
      <c r="X637" s="11" t="s">
        <v>55</v>
      </c>
      <c r="Y637" s="11" t="str">
        <f>VLOOKUP(L637,'[1]singkron data'!D:H,5,FALSE)</f>
        <v>Bekasi</v>
      </c>
      <c r="Z637" s="11" t="str">
        <f>VLOOKUP(L637,'[1]singkron data'!D:I,6,FALSE)</f>
        <v>Online</v>
      </c>
      <c r="AA637" s="11">
        <f>VLOOKUP(L637,'[1]singkron data'!D:L,9,FALSE)</f>
        <v>0</v>
      </c>
      <c r="AB637" s="11" t="s">
        <v>54</v>
      </c>
      <c r="AC637" s="11" t="str">
        <f>VLOOKUP(L637,'[1]singkron data'!D:M,10,FALSE)</f>
        <v>Hyl</v>
      </c>
      <c r="AD637" s="11" t="str">
        <f>VLOOKUP(L637,'[1]data 1129'!F:O,10,FALSE)</f>
        <v>Tahap I 208</v>
      </c>
      <c r="AE637" s="11" t="str">
        <f>VLOOKUP(L637,'[1]singkron data'!D:P,13,FALSE)</f>
        <v>sudah</v>
      </c>
      <c r="AF637" s="11" t="s">
        <v>55</v>
      </c>
      <c r="AG637" s="17">
        <f>VLOOKUP(L637,'[1]update kontrak'!E:K,6,FALSE)</f>
        <v>5456590000</v>
      </c>
      <c r="AH637" s="11" t="str">
        <f>VLOOKUP(L637,'[1]update kontrak'!E:K,7,FALSE)</f>
        <v>KONTRAK</v>
      </c>
      <c r="AI637" s="11" t="s">
        <v>41</v>
      </c>
      <c r="AJ637" s="11" t="str">
        <f>VLOOKUP(L637,[1]rekap!D:M,1,FALSE)</f>
        <v>Mattiro Bombang</v>
      </c>
      <c r="AK637" s="11" t="str">
        <f>VLOOKUP(L637,'[1]singkron data'!D:E,2,FALSE)</f>
        <v>PT. Bunaken Inti Nusantara</v>
      </c>
      <c r="AL637" s="11" t="str">
        <f>VLOOKUP(L637,'[1]update 521'!D:D,1,FALSE)</f>
        <v>Mattiro Bombang</v>
      </c>
      <c r="AM637" s="11" t="s">
        <v>57</v>
      </c>
      <c r="AN637" s="17">
        <f>VLOOKUP(L637,[1]Sheet19!E:L,8,FALSE)</f>
        <v>5456590000</v>
      </c>
      <c r="AO637" s="11" t="str">
        <f>VLOOKUP(L637,[1]Sheet19!E:K,7,FALSE)</f>
        <v>KONTRAK</v>
      </c>
      <c r="AP637" s="12" t="s">
        <v>41</v>
      </c>
    </row>
    <row r="638" spans="1:42" ht="15" x14ac:dyDescent="0.2">
      <c r="A638" s="8" t="s">
        <v>42</v>
      </c>
      <c r="B638" s="9" t="s">
        <v>43</v>
      </c>
      <c r="C638" s="9">
        <v>668</v>
      </c>
      <c r="D638" s="9" t="s">
        <v>1112</v>
      </c>
      <c r="E638" s="9">
        <v>199</v>
      </c>
      <c r="F638" s="9" t="s">
        <v>1541</v>
      </c>
      <c r="G638" s="9" t="s">
        <v>1114</v>
      </c>
      <c r="H638" s="9" t="s">
        <v>287</v>
      </c>
      <c r="I638" s="9" t="s">
        <v>1464</v>
      </c>
      <c r="J638" s="9" t="s">
        <v>1544</v>
      </c>
      <c r="K638" s="9" t="s">
        <v>1545</v>
      </c>
      <c r="L638" s="10" t="s">
        <v>1545</v>
      </c>
      <c r="M638" s="9" t="s">
        <v>51</v>
      </c>
      <c r="N638" s="9">
        <v>185</v>
      </c>
      <c r="O638" s="9">
        <v>2</v>
      </c>
      <c r="P638" s="9">
        <v>180</v>
      </c>
      <c r="Q638" s="9">
        <v>182</v>
      </c>
      <c r="R638" s="9">
        <v>0.31</v>
      </c>
      <c r="S638" s="9">
        <v>-4.5832240000000004</v>
      </c>
      <c r="T638" s="9">
        <v>119.589135</v>
      </c>
      <c r="U638" s="9" t="s">
        <v>52</v>
      </c>
      <c r="V638" s="11" t="str">
        <f>VLOOKUP(L638,'[1]singkron data'!D:E,2,FALSE)</f>
        <v>PT. Bunaken Inti Nusantara</v>
      </c>
      <c r="W638" s="13">
        <f>VLOOKUP(L638,'[1]data 1129'!F:H,3,FALSE)</f>
        <v>6732095390</v>
      </c>
      <c r="X638" s="11" t="s">
        <v>55</v>
      </c>
      <c r="Y638" s="11" t="str">
        <f>VLOOKUP(L638,'[1]singkron data'!D:H,5,FALSE)</f>
        <v>Bekasi</v>
      </c>
      <c r="Z638" s="11" t="str">
        <f>VLOOKUP(L638,'[1]singkron data'!D:I,6,FALSE)</f>
        <v>Online</v>
      </c>
      <c r="AA638" s="11">
        <f>VLOOKUP(L638,'[1]singkron data'!D:L,9,FALSE)</f>
        <v>0</v>
      </c>
      <c r="AB638" s="11" t="s">
        <v>54</v>
      </c>
      <c r="AC638" s="11" t="str">
        <f>VLOOKUP(L638,'[1]singkron data'!D:M,10,FALSE)</f>
        <v>Hyl</v>
      </c>
      <c r="AD638" s="11" t="str">
        <f>VLOOKUP(L638,'[1]data 1129'!F:O,10,FALSE)</f>
        <v>Tahap II 146</v>
      </c>
      <c r="AE638" s="11" t="str">
        <f>VLOOKUP(L638,'[1]singkron data'!D:P,13,FALSE)</f>
        <v>sudah</v>
      </c>
      <c r="AF638" s="11" t="s">
        <v>55</v>
      </c>
      <c r="AG638" s="17">
        <f>VLOOKUP(L638,'[1]update kontrak'!E:K,6,FALSE)</f>
        <v>6381102000</v>
      </c>
      <c r="AH638" s="11" t="str">
        <f>VLOOKUP(L638,'[1]update kontrak'!E:K,7,FALSE)</f>
        <v>KONTRAK</v>
      </c>
      <c r="AI638" s="11" t="s">
        <v>41</v>
      </c>
      <c r="AJ638" s="11" t="str">
        <f>VLOOKUP(L638,[1]rekap!D:M,1,FALSE)</f>
        <v>Tamarupa</v>
      </c>
      <c r="AK638" s="11" t="str">
        <f>VLOOKUP(L638,'[1]singkron data'!D:E,2,FALSE)</f>
        <v>PT. Bunaken Inti Nusantara</v>
      </c>
      <c r="AL638" s="11" t="str">
        <f>VLOOKUP(L638,'[1]update 521'!D:D,1,FALSE)</f>
        <v>Tamarupa</v>
      </c>
      <c r="AM638" s="11" t="s">
        <v>57</v>
      </c>
      <c r="AN638" s="17">
        <f>VLOOKUP(L638,[1]Sheet19!E:L,8,FALSE)</f>
        <v>6381102000</v>
      </c>
      <c r="AO638" s="11" t="str">
        <f>VLOOKUP(L638,[1]Sheet19!E:K,7,FALSE)</f>
        <v>KONTRAK</v>
      </c>
      <c r="AP638" s="12" t="s">
        <v>41</v>
      </c>
    </row>
    <row r="639" spans="1:42" ht="15" x14ac:dyDescent="0.2">
      <c r="A639" s="8" t="s">
        <v>42</v>
      </c>
      <c r="B639" s="9" t="s">
        <v>43</v>
      </c>
      <c r="C639" s="9">
        <v>633</v>
      </c>
      <c r="D639" s="9" t="s">
        <v>1112</v>
      </c>
      <c r="E639" s="9">
        <v>164</v>
      </c>
      <c r="F639" s="9" t="s">
        <v>1546</v>
      </c>
      <c r="G639" s="9" t="s">
        <v>1141</v>
      </c>
      <c r="H639" s="9" t="s">
        <v>287</v>
      </c>
      <c r="I639" s="9" t="s">
        <v>1547</v>
      </c>
      <c r="J639" s="9" t="s">
        <v>1548</v>
      </c>
      <c r="K639" s="9" t="s">
        <v>1549</v>
      </c>
      <c r="L639" s="10" t="s">
        <v>1549</v>
      </c>
      <c r="M639" s="9" t="s">
        <v>51</v>
      </c>
      <c r="N639" s="9">
        <v>109</v>
      </c>
      <c r="O639" s="9">
        <v>34</v>
      </c>
      <c r="P639" s="9">
        <v>65</v>
      </c>
      <c r="Q639" s="9">
        <v>99</v>
      </c>
      <c r="R639" s="9">
        <v>0.13</v>
      </c>
      <c r="S639" s="9">
        <v>-3.7250459999999999</v>
      </c>
      <c r="T639" s="9">
        <v>122.32429500000001</v>
      </c>
      <c r="U639" s="9" t="s">
        <v>52</v>
      </c>
      <c r="V639" s="11" t="str">
        <f>VLOOKUP(L639,'[1]singkron data'!D:E,2,FALSE)</f>
        <v>CV. Sakti Mandiri</v>
      </c>
      <c r="W639" s="13">
        <f>VLOOKUP(L639,'[1]data 1129'!F:H,3,FALSE)</f>
        <v>4500000000</v>
      </c>
      <c r="X639" s="11" t="s">
        <v>55</v>
      </c>
      <c r="Y639" s="11">
        <f>VLOOKUP(L639,'[1]singkron data'!D:H,5,FALSE)</f>
        <v>0</v>
      </c>
      <c r="Z639" s="11" t="str">
        <f>VLOOKUP(L639,'[1]singkron data'!D:I,6,FALSE)</f>
        <v>Offline</v>
      </c>
      <c r="AA639" s="11" t="str">
        <f>VLOOKUP(L639,'[1]singkron data'!D:L,9,FALSE)</f>
        <v>081243201532/rudi</v>
      </c>
      <c r="AB639" s="11" t="s">
        <v>54</v>
      </c>
      <c r="AC639" s="11" t="str">
        <f>VLOOKUP(L639,'[1]singkron data'!D:M,10,FALSE)</f>
        <v>Hyl</v>
      </c>
      <c r="AD639" s="11" t="str">
        <f>VLOOKUP(L639,'[1]data 1129'!F:O,10,FALSE)</f>
        <v>Tahap II 146</v>
      </c>
      <c r="AE639" s="11" t="str">
        <f>VLOOKUP(L639,'[1]singkron data'!D:P,13,FALSE)</f>
        <v>sudah</v>
      </c>
      <c r="AF639" s="11" t="s">
        <v>55</v>
      </c>
      <c r="AG639" s="11" t="e">
        <f>VLOOKUP(L639,'[1]update kontrak'!E:K,6,FALSE)</f>
        <v>#N/A</v>
      </c>
      <c r="AH639" s="11" t="e">
        <f>VLOOKUP(L639,'[1]update kontrak'!E:K,7,FALSE)</f>
        <v>#N/A</v>
      </c>
      <c r="AI639" s="11" t="s">
        <v>58</v>
      </c>
      <c r="AJ639" s="11" t="str">
        <f>VLOOKUP(L639,[1]rekap!D:M,1,FALSE)</f>
        <v>Tanjung Bunga</v>
      </c>
      <c r="AK639" s="11" t="str">
        <f>VLOOKUP(L639,'[1]singkron data'!D:E,2,FALSE)</f>
        <v>CV. Sakti Mandiri</v>
      </c>
      <c r="AL639" s="11" t="str">
        <f>VLOOKUP(L639,'[1]update 521'!D:D,1,FALSE)</f>
        <v>Tanjung Bunga</v>
      </c>
      <c r="AM639" s="11" t="s">
        <v>57</v>
      </c>
      <c r="AN639" s="17">
        <f>VLOOKUP(L639,[1]Sheet19!E:L,8,FALSE)</f>
        <v>3356859000</v>
      </c>
      <c r="AO639" s="11" t="str">
        <f>VLOOKUP(L639,[1]Sheet19!E:K,7,FALSE)</f>
        <v>KONTRAK</v>
      </c>
      <c r="AP639" s="12" t="s">
        <v>41</v>
      </c>
    </row>
    <row r="640" spans="1:42" ht="15" x14ac:dyDescent="0.2">
      <c r="A640" s="8" t="s">
        <v>42</v>
      </c>
      <c r="B640" s="9" t="s">
        <v>43</v>
      </c>
      <c r="C640" s="9">
        <v>634</v>
      </c>
      <c r="D640" s="9" t="s">
        <v>1112</v>
      </c>
      <c r="E640" s="9">
        <v>165</v>
      </c>
      <c r="F640" s="9" t="s">
        <v>1546</v>
      </c>
      <c r="G640" s="9" t="s">
        <v>1141</v>
      </c>
      <c r="H640" s="9" t="s">
        <v>287</v>
      </c>
      <c r="I640" s="9" t="s">
        <v>1547</v>
      </c>
      <c r="J640" s="9" t="s">
        <v>1550</v>
      </c>
      <c r="K640" s="9" t="s">
        <v>1551</v>
      </c>
      <c r="L640" s="10" t="s">
        <v>1551</v>
      </c>
      <c r="M640" s="9" t="s">
        <v>51</v>
      </c>
      <c r="N640" s="9">
        <v>118</v>
      </c>
      <c r="O640" s="9">
        <v>1</v>
      </c>
      <c r="P640" s="9">
        <v>57</v>
      </c>
      <c r="Q640" s="9">
        <v>58</v>
      </c>
      <c r="R640" s="9">
        <v>0.55000000000000004</v>
      </c>
      <c r="S640" s="9">
        <v>-3.6532019999999998</v>
      </c>
      <c r="T640" s="9">
        <v>122.239512</v>
      </c>
      <c r="U640" s="9" t="s">
        <v>52</v>
      </c>
      <c r="V640" s="11" t="str">
        <f>VLOOKUP(L640,'[1]singkron data'!D:E,2,FALSE)</f>
        <v>CV. Sakti Mandiri</v>
      </c>
      <c r="W640" s="13">
        <f>VLOOKUP(L640,'[1]data 1129'!F:H,3,FALSE)</f>
        <v>4500000000</v>
      </c>
      <c r="X640" s="11" t="s">
        <v>55</v>
      </c>
      <c r="Y640" s="11">
        <f>VLOOKUP(L640,'[1]singkron data'!D:H,5,FALSE)</f>
        <v>0</v>
      </c>
      <c r="Z640" s="11" t="str">
        <f>VLOOKUP(L640,'[1]singkron data'!D:I,6,FALSE)</f>
        <v>Offline</v>
      </c>
      <c r="AA640" s="11" t="str">
        <f>VLOOKUP(L640,'[1]singkron data'!D:L,9,FALSE)</f>
        <v>081243201532/rudi</v>
      </c>
      <c r="AB640" s="11" t="s">
        <v>54</v>
      </c>
      <c r="AC640" s="11" t="str">
        <f>VLOOKUP(L640,'[1]singkron data'!D:M,10,FALSE)</f>
        <v>Hyl</v>
      </c>
      <c r="AD640" s="11" t="str">
        <f>VLOOKUP(L640,'[1]data 1129'!F:O,10,FALSE)</f>
        <v>Tahap II 146</v>
      </c>
      <c r="AE640" s="11" t="str">
        <f>VLOOKUP(L640,'[1]singkron data'!D:P,13,FALSE)</f>
        <v>sudah</v>
      </c>
      <c r="AF640" s="11" t="s">
        <v>55</v>
      </c>
      <c r="AG640" s="11" t="e">
        <f>VLOOKUP(L640,'[1]update kontrak'!E:K,6,FALSE)</f>
        <v>#N/A</v>
      </c>
      <c r="AH640" s="11" t="e">
        <f>VLOOKUP(L640,'[1]update kontrak'!E:K,7,FALSE)</f>
        <v>#N/A</v>
      </c>
      <c r="AI640" s="11" t="s">
        <v>58</v>
      </c>
      <c r="AJ640" s="11" t="str">
        <f>VLOOKUP(L640,[1]rekap!D:M,1,FALSE)</f>
        <v>Muara Tinobu</v>
      </c>
      <c r="AK640" s="11" t="str">
        <f>VLOOKUP(L640,'[1]singkron data'!D:E,2,FALSE)</f>
        <v>CV. Sakti Mandiri</v>
      </c>
      <c r="AL640" s="11" t="str">
        <f>VLOOKUP(L640,'[1]update 521'!D:D,1,FALSE)</f>
        <v>Muara Tinobu</v>
      </c>
      <c r="AM640" s="11" t="s">
        <v>57</v>
      </c>
      <c r="AN640" s="17">
        <f>VLOOKUP(L640,[1]Sheet19!E:L,8,FALSE)</f>
        <v>4701596000</v>
      </c>
      <c r="AO640" s="11" t="str">
        <f>VLOOKUP(L640,[1]Sheet19!E:K,7,FALSE)</f>
        <v>KONTRAK</v>
      </c>
      <c r="AP640" s="12" t="s">
        <v>41</v>
      </c>
    </row>
    <row r="641" spans="1:42" ht="15" x14ac:dyDescent="0.2">
      <c r="A641" s="8" t="s">
        <v>42</v>
      </c>
      <c r="B641" s="9" t="s">
        <v>43</v>
      </c>
      <c r="C641" s="9">
        <v>635</v>
      </c>
      <c r="D641" s="9" t="s">
        <v>1112</v>
      </c>
      <c r="E641" s="9">
        <v>166</v>
      </c>
      <c r="F641" s="9" t="s">
        <v>1546</v>
      </c>
      <c r="G641" s="9" t="s">
        <v>1141</v>
      </c>
      <c r="H641" s="9" t="s">
        <v>287</v>
      </c>
      <c r="I641" s="9" t="s">
        <v>1547</v>
      </c>
      <c r="J641" s="9" t="s">
        <v>1552</v>
      </c>
      <c r="K641" s="9" t="s">
        <v>1553</v>
      </c>
      <c r="L641" s="10" t="s">
        <v>1553</v>
      </c>
      <c r="M641" s="9" t="s">
        <v>65</v>
      </c>
      <c r="N641" s="9">
        <v>103</v>
      </c>
      <c r="O641" s="9">
        <v>2</v>
      </c>
      <c r="P641" s="9">
        <v>80</v>
      </c>
      <c r="Q641" s="9">
        <v>82</v>
      </c>
      <c r="R641" s="9">
        <v>0.34</v>
      </c>
      <c r="S641" s="9">
        <v>-3.745987</v>
      </c>
      <c r="T641" s="9">
        <v>122.42867099999999</v>
      </c>
      <c r="U641" s="9" t="s">
        <v>52</v>
      </c>
      <c r="V641" s="11" t="str">
        <f>VLOOKUP(L641,'[1]singkron data'!D:E,2,FALSE)</f>
        <v>CV. Sakti Mandiri</v>
      </c>
      <c r="W641" s="13">
        <f>VLOOKUP(L641,'[1]data 1129'!F:H,3,FALSE)</f>
        <v>6758220000</v>
      </c>
      <c r="X641" s="11" t="s">
        <v>55</v>
      </c>
      <c r="Y641" s="11">
        <f>VLOOKUP(L641,'[1]singkron data'!D:H,5,FALSE)</f>
        <v>0</v>
      </c>
      <c r="Z641" s="11" t="str">
        <f>VLOOKUP(L641,'[1]singkron data'!D:I,6,FALSE)</f>
        <v>Offline</v>
      </c>
      <c r="AA641" s="11" t="str">
        <f>VLOOKUP(L641,'[1]singkron data'!D:L,9,FALSE)</f>
        <v>081243201532/rudi</v>
      </c>
      <c r="AB641" s="11" t="s">
        <v>54</v>
      </c>
      <c r="AC641" s="11" t="str">
        <f>VLOOKUP(L641,'[1]singkron data'!D:M,10,FALSE)</f>
        <v>Hyl</v>
      </c>
      <c r="AD641" s="11" t="str">
        <f>VLOOKUP(L641,'[1]data 1129'!F:O,10,FALSE)</f>
        <v>Tahap II 146</v>
      </c>
      <c r="AE641" s="11" t="str">
        <f>VLOOKUP(L641,'[1]singkron data'!D:P,13,FALSE)</f>
        <v>sudah</v>
      </c>
      <c r="AF641" s="11" t="s">
        <v>55</v>
      </c>
      <c r="AG641" s="17">
        <f>VLOOKUP(L641,'[1]update kontrak'!E:K,6,FALSE)</f>
        <v>5868905000</v>
      </c>
      <c r="AH641" s="11" t="str">
        <f>VLOOKUP(L641,'[1]update kontrak'!E:K,7,FALSE)</f>
        <v>KONTRAK</v>
      </c>
      <c r="AI641" s="11" t="s">
        <v>41</v>
      </c>
      <c r="AJ641" s="11" t="str">
        <f>VLOOKUP(L641,[1]rekap!D:M,1,FALSE)</f>
        <v>Tanjung Laimeo</v>
      </c>
      <c r="AK641" s="11" t="str">
        <f>VLOOKUP(L641,'[1]singkron data'!D:E,2,FALSE)</f>
        <v>CV. Sakti Mandiri</v>
      </c>
      <c r="AL641" s="11" t="str">
        <f>VLOOKUP(L641,'[1]update 521'!D:D,1,FALSE)</f>
        <v>Tanjung Laimeo</v>
      </c>
      <c r="AM641" s="11" t="s">
        <v>57</v>
      </c>
      <c r="AN641" s="17">
        <f>VLOOKUP(L641,[1]Sheet19!E:L,8,FALSE)</f>
        <v>5868905000</v>
      </c>
      <c r="AO641" s="11" t="str">
        <f>VLOOKUP(L641,[1]Sheet19!E:K,7,FALSE)</f>
        <v>KONTRAK</v>
      </c>
      <c r="AP641" s="12" t="s">
        <v>41</v>
      </c>
    </row>
    <row r="642" spans="1:42" ht="15" x14ac:dyDescent="0.2">
      <c r="A642" s="8" t="s">
        <v>42</v>
      </c>
      <c r="B642" s="9" t="s">
        <v>43</v>
      </c>
      <c r="C642" s="9">
        <v>636</v>
      </c>
      <c r="D642" s="9" t="s">
        <v>1112</v>
      </c>
      <c r="E642" s="9">
        <v>167</v>
      </c>
      <c r="F642" s="9" t="s">
        <v>1546</v>
      </c>
      <c r="G642" s="9" t="s">
        <v>1141</v>
      </c>
      <c r="H642" s="9" t="s">
        <v>287</v>
      </c>
      <c r="I642" s="9" t="s">
        <v>1547</v>
      </c>
      <c r="J642" s="9" t="s">
        <v>1552</v>
      </c>
      <c r="K642" s="9" t="s">
        <v>1554</v>
      </c>
      <c r="L642" s="10" t="s">
        <v>1554</v>
      </c>
      <c r="M642" s="9" t="s">
        <v>51</v>
      </c>
      <c r="N642" s="9">
        <v>65</v>
      </c>
      <c r="O642" s="9">
        <v>6</v>
      </c>
      <c r="P642" s="9">
        <v>32</v>
      </c>
      <c r="Q642" s="9">
        <v>38</v>
      </c>
      <c r="R642" s="9">
        <v>0.25</v>
      </c>
      <c r="S642" s="9">
        <v>-3.750642</v>
      </c>
      <c r="T642" s="9">
        <v>122.421851</v>
      </c>
      <c r="U642" s="9" t="s">
        <v>52</v>
      </c>
      <c r="V642" s="11" t="str">
        <f>VLOOKUP(L642,'[1]singkron data'!D:E,2,FALSE)</f>
        <v>CV. Sakti Mandiri</v>
      </c>
      <c r="W642" s="13">
        <f>VLOOKUP(L642,'[1]data 1129'!F:H,3,FALSE)</f>
        <v>4085556419</v>
      </c>
      <c r="X642" s="11" t="s">
        <v>55</v>
      </c>
      <c r="Y642" s="11">
        <f>VLOOKUP(L642,'[1]singkron data'!D:H,5,FALSE)</f>
        <v>0</v>
      </c>
      <c r="Z642" s="11" t="str">
        <f>VLOOKUP(L642,'[1]singkron data'!D:I,6,FALSE)</f>
        <v>Offline</v>
      </c>
      <c r="AA642" s="11" t="str">
        <f>VLOOKUP(L642,'[1]singkron data'!D:L,9,FALSE)</f>
        <v>081243201532/rudi</v>
      </c>
      <c r="AB642" s="11" t="s">
        <v>54</v>
      </c>
      <c r="AC642" s="11" t="str">
        <f>VLOOKUP(L642,'[1]singkron data'!D:M,10,FALSE)</f>
        <v>Hyl</v>
      </c>
      <c r="AD642" s="11" t="str">
        <f>VLOOKUP(L642,'[1]data 1129'!F:O,10,FALSE)</f>
        <v>Tahap II 146</v>
      </c>
      <c r="AE642" s="11" t="str">
        <f>VLOOKUP(L642,'[1]singkron data'!D:P,13,FALSE)</f>
        <v>sudah</v>
      </c>
      <c r="AF642" s="11" t="s">
        <v>55</v>
      </c>
      <c r="AG642" s="17">
        <f>VLOOKUP(L642,'[1]update kontrak'!E:K,6,FALSE)</f>
        <v>3841516000</v>
      </c>
      <c r="AH642" s="11" t="str">
        <f>VLOOKUP(L642,'[1]update kontrak'!E:K,7,FALSE)</f>
        <v>KONTRAK</v>
      </c>
      <c r="AI642" s="11" t="s">
        <v>41</v>
      </c>
      <c r="AJ642" s="11" t="str">
        <f>VLOOKUP(L642,[1]rekap!D:M,1,FALSE)</f>
        <v>Ulu Sawa</v>
      </c>
      <c r="AK642" s="11" t="str">
        <f>VLOOKUP(L642,'[1]singkron data'!D:E,2,FALSE)</f>
        <v>CV. Sakti Mandiri</v>
      </c>
      <c r="AL642" s="11" t="str">
        <f>VLOOKUP(L642,'[1]update 521'!D:D,1,FALSE)</f>
        <v>Ulu Sawa</v>
      </c>
      <c r="AM642" s="11" t="s">
        <v>57</v>
      </c>
      <c r="AN642" s="17">
        <f>VLOOKUP(L642,[1]Sheet19!E:L,8,FALSE)</f>
        <v>3841516000</v>
      </c>
      <c r="AO642" s="11" t="str">
        <f>VLOOKUP(L642,[1]Sheet19!E:K,7,FALSE)</f>
        <v>KONTRAK</v>
      </c>
      <c r="AP642" s="12" t="s">
        <v>41</v>
      </c>
    </row>
    <row r="643" spans="1:42" ht="15" x14ac:dyDescent="0.2">
      <c r="A643" s="8" t="s">
        <v>42</v>
      </c>
      <c r="B643" s="9" t="s">
        <v>43</v>
      </c>
      <c r="C643" s="9">
        <v>637</v>
      </c>
      <c r="D643" s="9" t="s">
        <v>1112</v>
      </c>
      <c r="E643" s="9">
        <v>168</v>
      </c>
      <c r="F643" s="9" t="s">
        <v>1546</v>
      </c>
      <c r="G643" s="9" t="s">
        <v>1141</v>
      </c>
      <c r="H643" s="9" t="s">
        <v>287</v>
      </c>
      <c r="I643" s="9" t="s">
        <v>1555</v>
      </c>
      <c r="J643" s="9" t="s">
        <v>1556</v>
      </c>
      <c r="K643" s="9" t="s">
        <v>1557</v>
      </c>
      <c r="L643" s="10" t="s">
        <v>1557</v>
      </c>
      <c r="M643" s="9" t="s">
        <v>51</v>
      </c>
      <c r="N643" s="9">
        <v>153</v>
      </c>
      <c r="O643" s="9" t="s">
        <v>72</v>
      </c>
      <c r="P643" s="9">
        <v>70</v>
      </c>
      <c r="Q643" s="9">
        <v>70</v>
      </c>
      <c r="R643" s="9">
        <v>1</v>
      </c>
      <c r="S643" s="9">
        <v>-3.8629380000000002</v>
      </c>
      <c r="T643" s="9">
        <v>122.5051</v>
      </c>
      <c r="U643" s="9" t="s">
        <v>52</v>
      </c>
      <c r="V643" s="11" t="str">
        <f>VLOOKUP(L643,'[1]singkron data'!D:E,2,FALSE)</f>
        <v>CV. Sakti Mandiri</v>
      </c>
      <c r="W643" s="13">
        <f>VLOOKUP(L643,'[1]data 1129'!F:H,3,FALSE)</f>
        <v>4500000000</v>
      </c>
      <c r="X643" s="11" t="s">
        <v>55</v>
      </c>
      <c r="Y643" s="11">
        <f>VLOOKUP(L643,'[1]singkron data'!D:H,5,FALSE)</f>
        <v>0</v>
      </c>
      <c r="Z643" s="11" t="str">
        <f>VLOOKUP(L643,'[1]singkron data'!D:I,6,FALSE)</f>
        <v>Offline</v>
      </c>
      <c r="AA643" s="11" t="str">
        <f>VLOOKUP(L643,'[1]singkron data'!D:L,9,FALSE)</f>
        <v>081243201532/rudi</v>
      </c>
      <c r="AB643" s="11" t="s">
        <v>54</v>
      </c>
      <c r="AC643" s="11" t="str">
        <f>VLOOKUP(L643,'[1]singkron data'!D:M,10,FALSE)</f>
        <v>Hyl</v>
      </c>
      <c r="AD643" s="11" t="str">
        <f>VLOOKUP(L643,'[1]data 1129'!F:O,10,FALSE)</f>
        <v>Tahap II 146</v>
      </c>
      <c r="AE643" s="11" t="str">
        <f>VLOOKUP(L643,'[1]singkron data'!D:P,13,FALSE)</f>
        <v>sudah</v>
      </c>
      <c r="AF643" s="11" t="s">
        <v>55</v>
      </c>
      <c r="AG643" s="11" t="e">
        <f>VLOOKUP(L643,'[1]update kontrak'!E:K,6,FALSE)</f>
        <v>#N/A</v>
      </c>
      <c r="AH643" s="11" t="e">
        <f>VLOOKUP(L643,'[1]update kontrak'!E:K,7,FALSE)</f>
        <v>#N/A</v>
      </c>
      <c r="AI643" s="11" t="s">
        <v>58</v>
      </c>
      <c r="AJ643" s="11" t="str">
        <f>VLOOKUP(L643,[1]rekap!D:M,1,FALSE)</f>
        <v>Muara Sampara</v>
      </c>
      <c r="AK643" s="11" t="str">
        <f>VLOOKUP(L643,'[1]singkron data'!D:E,2,FALSE)</f>
        <v>CV. Sakti Mandiri</v>
      </c>
      <c r="AL643" s="11" t="str">
        <f>VLOOKUP(L643,'[1]update 521'!D:D,1,FALSE)</f>
        <v>Muara Sampara</v>
      </c>
      <c r="AM643" s="11" t="s">
        <v>57</v>
      </c>
      <c r="AN643" s="17">
        <f>VLOOKUP(L643,[1]Sheet19!E:L,8,FALSE)</f>
        <v>4070172000</v>
      </c>
      <c r="AO643" s="11" t="str">
        <f>VLOOKUP(L643,[1]Sheet19!E:K,7,FALSE)</f>
        <v>KONTRAK</v>
      </c>
      <c r="AP643" s="12" t="s">
        <v>41</v>
      </c>
    </row>
    <row r="644" spans="1:42" ht="15" x14ac:dyDescent="0.2">
      <c r="A644" s="8" t="s">
        <v>42</v>
      </c>
      <c r="B644" s="9" t="s">
        <v>43</v>
      </c>
      <c r="C644" s="9">
        <v>654</v>
      </c>
      <c r="D644" s="9" t="s">
        <v>1112</v>
      </c>
      <c r="E644" s="9">
        <v>185</v>
      </c>
      <c r="F644" s="9" t="s">
        <v>1546</v>
      </c>
      <c r="G644" s="9" t="s">
        <v>1141</v>
      </c>
      <c r="H644" s="9" t="s">
        <v>287</v>
      </c>
      <c r="I644" s="9" t="s">
        <v>1547</v>
      </c>
      <c r="J644" s="9" t="s">
        <v>1558</v>
      </c>
      <c r="K644" s="9" t="s">
        <v>1508</v>
      </c>
      <c r="L644" s="10" t="s">
        <v>1508</v>
      </c>
      <c r="M644" s="9" t="s">
        <v>51</v>
      </c>
      <c r="N644" s="9">
        <v>54</v>
      </c>
      <c r="O644" s="9">
        <v>2</v>
      </c>
      <c r="P644" s="9">
        <v>54</v>
      </c>
      <c r="Q644" s="9">
        <v>56</v>
      </c>
      <c r="R644" s="9">
        <v>0.5</v>
      </c>
      <c r="S644" s="9">
        <v>-3.7442099999999998</v>
      </c>
      <c r="T644" s="9">
        <v>122.345777</v>
      </c>
      <c r="U644" s="9" t="s">
        <v>52</v>
      </c>
      <c r="V644" s="11" t="s">
        <v>1559</v>
      </c>
      <c r="W644" s="13">
        <f>VLOOKUP(L644,'[1]data 1129'!F:H,3,FALSE)</f>
        <v>4035223444</v>
      </c>
      <c r="X644" s="11" t="s">
        <v>55</v>
      </c>
      <c r="Y644" s="11">
        <f>VLOOKUP(L644,'[1]singkron data'!D:H,5,FALSE)</f>
        <v>0</v>
      </c>
      <c r="Z644" s="11">
        <f>VLOOKUP(L644,'[1]singkron data'!D:I,6,FALSE)</f>
        <v>0</v>
      </c>
      <c r="AA644" s="11" t="str">
        <f>VLOOKUP(L644,'[1]singkron data'!D:L,9,FALSE)</f>
        <v>082393532279/supriyanto</v>
      </c>
      <c r="AB644" s="11" t="s">
        <v>54</v>
      </c>
      <c r="AC644" s="11" t="s">
        <v>1560</v>
      </c>
      <c r="AD644" s="11" t="str">
        <f>VLOOKUP(L644,'[1]data 1129'!F:O,10,FALSE)</f>
        <v>Tahap I 208</v>
      </c>
      <c r="AE644" s="11" t="str">
        <f>VLOOKUP(L644,'[1]singkron data'!D:P,13,FALSE)</f>
        <v>sudah</v>
      </c>
      <c r="AF644" s="11" t="s">
        <v>55</v>
      </c>
      <c r="AG644" s="11" t="e">
        <f>VLOOKUP(L644,'[1]update kontrak'!E:K,6,FALSE)</f>
        <v>#N/A</v>
      </c>
      <c r="AH644" s="11" t="e">
        <f>VLOOKUP(L644,'[1]update kontrak'!E:K,7,FALSE)</f>
        <v>#N/A</v>
      </c>
      <c r="AI644" s="11" t="s">
        <v>58</v>
      </c>
      <c r="AJ644" s="11" t="str">
        <f>VLOOKUP(L644,[1]rekap!D:M,1,FALSE)</f>
        <v>Pasir Putih</v>
      </c>
      <c r="AK644" s="11" t="str">
        <f>VLOOKUP(L644,'[1]singkron data'!D:E,2,FALSE)</f>
        <v>Independent Fighter</v>
      </c>
      <c r="AL644" s="11" t="str">
        <f>VLOOKUP(L644,'[1]update 521'!D:D,1,FALSE)</f>
        <v>Pasir Putih</v>
      </c>
      <c r="AM644" s="11" t="s">
        <v>57</v>
      </c>
      <c r="AN644" s="17">
        <f>VLOOKUP(L644,[1]Sheet19!E:L,8,FALSE)</f>
        <v>4511507000</v>
      </c>
      <c r="AO644" s="11" t="str">
        <f>VLOOKUP(L644,[1]Sheet19!E:K,7,FALSE)</f>
        <v>KONTRAK</v>
      </c>
      <c r="AP644" s="12" t="s">
        <v>41</v>
      </c>
    </row>
    <row r="645" spans="1:42" ht="15" x14ac:dyDescent="0.2">
      <c r="A645" s="8" t="s">
        <v>42</v>
      </c>
      <c r="B645" s="9" t="s">
        <v>43</v>
      </c>
      <c r="C645" s="9">
        <v>669</v>
      </c>
      <c r="D645" s="9" t="s">
        <v>1112</v>
      </c>
      <c r="E645" s="9">
        <v>200</v>
      </c>
      <c r="F645" s="9" t="s">
        <v>1561</v>
      </c>
      <c r="G645" s="9" t="s">
        <v>1141</v>
      </c>
      <c r="H645" s="9" t="s">
        <v>287</v>
      </c>
      <c r="I645" s="9" t="s">
        <v>1562</v>
      </c>
      <c r="J645" s="9" t="s">
        <v>1563</v>
      </c>
      <c r="K645" s="9" t="s">
        <v>1564</v>
      </c>
      <c r="L645" s="10" t="s">
        <v>1564</v>
      </c>
      <c r="M645" s="9" t="s">
        <v>51</v>
      </c>
      <c r="N645" s="9">
        <v>231</v>
      </c>
      <c r="O645" s="9">
        <v>2</v>
      </c>
      <c r="P645" s="9">
        <v>215</v>
      </c>
      <c r="Q645" s="9">
        <v>217</v>
      </c>
      <c r="R645" s="9">
        <v>1</v>
      </c>
      <c r="S645" s="9">
        <v>-4.7909237999999998</v>
      </c>
      <c r="T645" s="9">
        <v>122.074406</v>
      </c>
      <c r="U645" s="9" t="s">
        <v>52</v>
      </c>
      <c r="V645" s="11" t="str">
        <f>VLOOKUP(L645,'[1]singkron data'!D:E,2,FALSE)</f>
        <v>CV. Radhika Pratama</v>
      </c>
      <c r="W645" s="13">
        <f>VLOOKUP(L645,'[1]data 1129'!F:H,3,FALSE)</f>
        <v>5040041000</v>
      </c>
      <c r="X645" s="11" t="s">
        <v>55</v>
      </c>
      <c r="Y645" s="11">
        <f>VLOOKUP(L645,'[1]singkron data'!D:H,5,FALSE)</f>
        <v>0</v>
      </c>
      <c r="Z645" s="11">
        <f>VLOOKUP(L645,'[1]singkron data'!D:I,6,FALSE)</f>
        <v>0</v>
      </c>
      <c r="AA645" s="31" t="str">
        <f>VLOOKUP(L645,'[1]singkron data'!D:L,9,FALSE)</f>
        <v>marhaeneka19@gmail.com/ 082271111277</v>
      </c>
      <c r="AB645" s="11" t="s">
        <v>54</v>
      </c>
      <c r="AC645" s="11" t="str">
        <f>VLOOKUP(L645,'[1]singkron data'!D:M,10,FALSE)</f>
        <v>Jaelani</v>
      </c>
      <c r="AD645" s="11" t="str">
        <f>VLOOKUP(L645,'[1]data 1129'!F:O,10,FALSE)</f>
        <v>Tahap II 146</v>
      </c>
      <c r="AE645" s="11" t="str">
        <f>VLOOKUP(L645,'[1]singkron data'!D:P,13,FALSE)</f>
        <v>sudah</v>
      </c>
      <c r="AF645" s="11" t="s">
        <v>55</v>
      </c>
      <c r="AG645" s="11" t="e">
        <f>VLOOKUP(L645,'[1]update kontrak'!E:K,6,FALSE)</f>
        <v>#N/A</v>
      </c>
      <c r="AH645" s="11" t="e">
        <f>VLOOKUP(L645,'[1]update kontrak'!E:K,7,FALSE)</f>
        <v>#N/A</v>
      </c>
      <c r="AI645" s="11" t="s">
        <v>58</v>
      </c>
      <c r="AJ645" s="11" t="str">
        <f>VLOOKUP(L645,[1]rekap!D:M,1,FALSE)</f>
        <v>Tapuhahi</v>
      </c>
      <c r="AK645" s="11" t="str">
        <f>VLOOKUP(L645,'[1]singkron data'!D:E,2,FALSE)</f>
        <v>CV. Radhika Pratama</v>
      </c>
      <c r="AL645" s="11" t="str">
        <f>VLOOKUP(L645,'[1]update 521'!D:D,1,FALSE)</f>
        <v>Tapuhahi</v>
      </c>
      <c r="AM645" s="11" t="s">
        <v>57</v>
      </c>
      <c r="AN645" s="17">
        <f>VLOOKUP(L645,[1]Sheet19!E:L,8,FALSE)</f>
        <v>3667311000</v>
      </c>
      <c r="AO645" s="11" t="str">
        <f>VLOOKUP(L645,[1]Sheet19!E:K,7,FALSE)</f>
        <v>KONTRAK</v>
      </c>
      <c r="AP645" s="12" t="s">
        <v>41</v>
      </c>
    </row>
    <row r="646" spans="1:42" ht="15" x14ac:dyDescent="0.2">
      <c r="A646" s="8" t="s">
        <v>42</v>
      </c>
      <c r="B646" s="9" t="s">
        <v>43</v>
      </c>
      <c r="C646" s="9">
        <v>670</v>
      </c>
      <c r="D646" s="9" t="s">
        <v>1112</v>
      </c>
      <c r="E646" s="9">
        <v>201</v>
      </c>
      <c r="F646" s="9" t="s">
        <v>1561</v>
      </c>
      <c r="G646" s="9" t="s">
        <v>1141</v>
      </c>
      <c r="H646" s="9" t="s">
        <v>287</v>
      </c>
      <c r="I646" s="9" t="s">
        <v>1565</v>
      </c>
      <c r="J646" s="9" t="s">
        <v>1566</v>
      </c>
      <c r="K646" s="9" t="s">
        <v>1567</v>
      </c>
      <c r="L646" s="10" t="s">
        <v>1567</v>
      </c>
      <c r="M646" s="9" t="s">
        <v>65</v>
      </c>
      <c r="N646" s="14">
        <v>1100</v>
      </c>
      <c r="O646" s="9">
        <v>21</v>
      </c>
      <c r="P646" s="9">
        <v>297</v>
      </c>
      <c r="Q646" s="9">
        <v>318</v>
      </c>
      <c r="R646" s="9">
        <v>1.08</v>
      </c>
      <c r="S646" s="9">
        <v>-5.188275</v>
      </c>
      <c r="T646" s="9">
        <v>122.31487799999999</v>
      </c>
      <c r="U646" s="9" t="s">
        <v>52</v>
      </c>
      <c r="V646" s="11" t="str">
        <f>VLOOKUP(L646,'[1]singkron data'!D:E,2,FALSE)</f>
        <v>CV. RIDZAH ANANDA</v>
      </c>
      <c r="W646" s="13">
        <f>VLOOKUP(L646,'[1]data 1129'!F:H,3,FALSE)</f>
        <v>8231000000</v>
      </c>
      <c r="X646" s="11" t="s">
        <v>55</v>
      </c>
      <c r="Y646" s="11">
        <f>VLOOKUP(L646,'[1]singkron data'!D:H,5,FALSE)</f>
        <v>0</v>
      </c>
      <c r="Z646" s="11">
        <f>VLOOKUP(L646,'[1]singkron data'!D:I,6,FALSE)</f>
        <v>0</v>
      </c>
      <c r="AA646" s="11" t="str">
        <f>VLOOKUP(L646,'[1]singkron data'!D:L,9,FALSE)</f>
        <v>082296314769/ridwan</v>
      </c>
      <c r="AB646" s="11" t="s">
        <v>54</v>
      </c>
      <c r="AC646" s="11" t="str">
        <f>VLOOKUP(L646,'[1]singkron data'!D:M,10,FALSE)</f>
        <v>Hyl</v>
      </c>
      <c r="AD646" s="11" t="str">
        <f>VLOOKUP(L646,'[1]data 1129'!F:O,10,FALSE)</f>
        <v>Tahap II 146</v>
      </c>
      <c r="AE646" s="11" t="str">
        <f>VLOOKUP(L646,'[1]singkron data'!D:P,13,FALSE)</f>
        <v>sudah</v>
      </c>
      <c r="AF646" s="11" t="s">
        <v>55</v>
      </c>
      <c r="AG646" s="11" t="e">
        <f>VLOOKUP(L646,'[1]update kontrak'!E:K,6,FALSE)</f>
        <v>#N/A</v>
      </c>
      <c r="AH646" s="11" t="e">
        <f>VLOOKUP(L646,'[1]update kontrak'!E:K,7,FALSE)</f>
        <v>#N/A</v>
      </c>
      <c r="AI646" s="11" t="s">
        <v>58</v>
      </c>
      <c r="AJ646" s="11" t="str">
        <f>VLOOKUP(L646,[1]rekap!D:M,1,FALSE)</f>
        <v>Terapung</v>
      </c>
      <c r="AK646" s="11" t="str">
        <f t="shared" ref="AK646:AK647" si="6">AJ646</f>
        <v>Terapung</v>
      </c>
      <c r="AL646" s="11" t="str">
        <f>VLOOKUP(L646,'[1]update 521'!D:D,1,FALSE)</f>
        <v>Terapung</v>
      </c>
      <c r="AM646" s="11" t="s">
        <v>57</v>
      </c>
      <c r="AN646" s="11" t="e">
        <f>VLOOKUP(L646,[1]Sheet19!E:L,8,FALSE)</f>
        <v>#N/A</v>
      </c>
      <c r="AO646" s="11" t="s">
        <v>58</v>
      </c>
      <c r="AP646" s="12"/>
    </row>
    <row r="647" spans="1:42" ht="15" x14ac:dyDescent="0.2">
      <c r="A647" s="8" t="s">
        <v>42</v>
      </c>
      <c r="B647" s="9" t="s">
        <v>43</v>
      </c>
      <c r="C647" s="9">
        <v>671</v>
      </c>
      <c r="D647" s="9" t="s">
        <v>1112</v>
      </c>
      <c r="E647" s="9">
        <v>202</v>
      </c>
      <c r="F647" s="9" t="s">
        <v>1561</v>
      </c>
      <c r="G647" s="9" t="s">
        <v>1141</v>
      </c>
      <c r="H647" s="9" t="s">
        <v>287</v>
      </c>
      <c r="I647" s="9" t="s">
        <v>1565</v>
      </c>
      <c r="J647" s="9" t="s">
        <v>1566</v>
      </c>
      <c r="K647" s="9" t="s">
        <v>1568</v>
      </c>
      <c r="L647" s="10" t="s">
        <v>1568</v>
      </c>
      <c r="M647" s="9" t="s">
        <v>51</v>
      </c>
      <c r="N647" s="9">
        <v>278</v>
      </c>
      <c r="O647" s="9">
        <v>6</v>
      </c>
      <c r="P647" s="9">
        <v>223</v>
      </c>
      <c r="Q647" s="9">
        <v>229</v>
      </c>
      <c r="R647" s="9">
        <v>1.06</v>
      </c>
      <c r="S647" s="9">
        <v>-5.2900749999999999</v>
      </c>
      <c r="T647" s="9">
        <v>122.281846</v>
      </c>
      <c r="U647" s="9" t="s">
        <v>52</v>
      </c>
      <c r="V647" s="11" t="str">
        <f>VLOOKUP(L647,'[1]singkron data'!D:E,2,FALSE)</f>
        <v>CV. RIDZAH ANANDA</v>
      </c>
      <c r="W647" s="13">
        <f>VLOOKUP(L647,'[1]data 1129'!F:H,3,FALSE)</f>
        <v>4500000000</v>
      </c>
      <c r="X647" s="11" t="s">
        <v>55</v>
      </c>
      <c r="Y647" s="11">
        <f>VLOOKUP(L647,'[1]singkron data'!D:H,5,FALSE)</f>
        <v>0</v>
      </c>
      <c r="Z647" s="11">
        <f>VLOOKUP(L647,'[1]singkron data'!D:I,6,FALSE)</f>
        <v>0</v>
      </c>
      <c r="AA647" s="11" t="str">
        <f>VLOOKUP(L647,'[1]singkron data'!D:L,9,FALSE)</f>
        <v>082296314769/ridwan</v>
      </c>
      <c r="AB647" s="11" t="s">
        <v>54</v>
      </c>
      <c r="AC647" s="11" t="str">
        <f>VLOOKUP(L647,'[1]singkron data'!D:M,10,FALSE)</f>
        <v>Hyl</v>
      </c>
      <c r="AD647" s="11" t="str">
        <f>VLOOKUP(L647,'[1]data 1129'!F:O,10,FALSE)</f>
        <v>Tahap II 146</v>
      </c>
      <c r="AE647" s="11" t="str">
        <f>VLOOKUP(L647,'[1]singkron data'!D:P,13,FALSE)</f>
        <v>sudah</v>
      </c>
      <c r="AF647" s="11" t="s">
        <v>55</v>
      </c>
      <c r="AG647" s="11" t="e">
        <f>VLOOKUP(L647,'[1]update kontrak'!E:K,6,FALSE)</f>
        <v>#N/A</v>
      </c>
      <c r="AH647" s="11" t="e">
        <f>VLOOKUP(L647,'[1]update kontrak'!E:K,7,FALSE)</f>
        <v>#N/A</v>
      </c>
      <c r="AI647" s="11" t="s">
        <v>58</v>
      </c>
      <c r="AJ647" s="11" t="str">
        <f>VLOOKUP(L647,[1]rekap!D:M,1,FALSE)</f>
        <v>Watolo</v>
      </c>
      <c r="AK647" s="11" t="str">
        <f t="shared" si="6"/>
        <v>Watolo</v>
      </c>
      <c r="AL647" s="11" t="str">
        <f>VLOOKUP(L647,'[1]update 521'!D:D,1,FALSE)</f>
        <v>Watolo</v>
      </c>
      <c r="AM647" s="11" t="s">
        <v>57</v>
      </c>
      <c r="AN647" s="11" t="e">
        <f>VLOOKUP(L647,[1]Sheet19!E:L,8,FALSE)</f>
        <v>#N/A</v>
      </c>
      <c r="AO647" s="11" t="s">
        <v>58</v>
      </c>
      <c r="AP647" s="12"/>
    </row>
    <row r="648" spans="1:42" ht="15" x14ac:dyDescent="0.2">
      <c r="A648" s="8" t="s">
        <v>42</v>
      </c>
      <c r="B648" s="9" t="s">
        <v>43</v>
      </c>
      <c r="C648" s="9">
        <v>672</v>
      </c>
      <c r="D648" s="9" t="s">
        <v>1112</v>
      </c>
      <c r="E648" s="9">
        <v>203</v>
      </c>
      <c r="F648" s="9" t="s">
        <v>1569</v>
      </c>
      <c r="G648" s="9" t="s">
        <v>1114</v>
      </c>
      <c r="H648" s="9" t="s">
        <v>287</v>
      </c>
      <c r="I648" s="9" t="s">
        <v>1285</v>
      </c>
      <c r="J648" s="9" t="s">
        <v>1570</v>
      </c>
      <c r="K648" s="9" t="s">
        <v>1569</v>
      </c>
      <c r="L648" s="10" t="s">
        <v>1569</v>
      </c>
      <c r="M648" s="9" t="s">
        <v>65</v>
      </c>
      <c r="N648" s="9">
        <v>197</v>
      </c>
      <c r="O648" s="9" t="s">
        <v>72</v>
      </c>
      <c r="P648" s="9">
        <v>201</v>
      </c>
      <c r="Q648" s="9">
        <v>201</v>
      </c>
      <c r="R648" s="9">
        <v>1</v>
      </c>
      <c r="S648" s="9">
        <v>-3.1964296999999999</v>
      </c>
      <c r="T648" s="9">
        <v>120.2732761</v>
      </c>
      <c r="U648" s="9" t="s">
        <v>52</v>
      </c>
      <c r="V648" s="11" t="str">
        <f>VLOOKUP(L648,'[1]singkron data'!D:E,2,FALSE)</f>
        <v>PT. Relis Sapindo Utama</v>
      </c>
      <c r="W648" s="13">
        <f>VLOOKUP(L648,'[1]data 1129'!F:H,3,FALSE)</f>
        <v>8350616000</v>
      </c>
      <c r="X648" s="11" t="s">
        <v>55</v>
      </c>
      <c r="Y648" s="11" t="str">
        <f>VLOOKUP(L648,'[1]singkron data'!D:H,5,FALSE)</f>
        <v>Makassar</v>
      </c>
      <c r="Z648" s="11" t="str">
        <f>VLOOKUP(L648,'[1]singkron data'!D:I,6,FALSE)</f>
        <v>Online</v>
      </c>
      <c r="AA648" s="11">
        <f>VLOOKUP(L648,'[1]singkron data'!D:L,9,FALSE)</f>
        <v>81341207077</v>
      </c>
      <c r="AB648" s="11" t="s">
        <v>54</v>
      </c>
      <c r="AC648" s="11" t="str">
        <f>VLOOKUP(L648,'[1]singkron data'!D:M,10,FALSE)</f>
        <v>Hyl</v>
      </c>
      <c r="AD648" s="11" t="str">
        <f>VLOOKUP(L648,'[1]data 1129'!F:O,10,FALSE)</f>
        <v>Tahap II 146</v>
      </c>
      <c r="AE648" s="11" t="str">
        <f>VLOOKUP(L648,'[1]singkron data'!D:P,13,FALSE)</f>
        <v>sudah</v>
      </c>
      <c r="AF648" s="11" t="s">
        <v>55</v>
      </c>
      <c r="AG648" s="17">
        <f>VLOOKUP(L648,'[1]update kontrak'!E:K,6,FALSE)</f>
        <v>6245315100</v>
      </c>
      <c r="AH648" s="11" t="str">
        <f>VLOOKUP(L648,'[1]update kontrak'!E:K,7,FALSE)</f>
        <v>KONTRAK</v>
      </c>
      <c r="AI648" s="11" t="s">
        <v>41</v>
      </c>
      <c r="AJ648" s="11" t="str">
        <f>VLOOKUP(L648,[1]rekap!D:M,1,FALSE)</f>
        <v>Tirowali</v>
      </c>
      <c r="AK648" s="11" t="str">
        <f>VLOOKUP(L648,'[1]singkron data'!D:E,2,FALSE)</f>
        <v>PT. Relis Sapindo Utama</v>
      </c>
      <c r="AL648" s="11" t="str">
        <f>VLOOKUP(L648,'[1]update 521'!D:D,1,FALSE)</f>
        <v>Tirowali</v>
      </c>
      <c r="AM648" s="11" t="s">
        <v>57</v>
      </c>
      <c r="AN648" s="17">
        <f>VLOOKUP(L648,[1]Sheet19!E:L,8,FALSE)</f>
        <v>6245315100</v>
      </c>
      <c r="AO648" s="11" t="str">
        <f>VLOOKUP(L648,[1]Sheet19!E:K,7,FALSE)</f>
        <v>KONTRAK</v>
      </c>
      <c r="AP648" s="12" t="s">
        <v>41</v>
      </c>
    </row>
    <row r="649" spans="1:42" ht="15" x14ac:dyDescent="0.2">
      <c r="A649" s="8" t="s">
        <v>42</v>
      </c>
      <c r="B649" s="9" t="s">
        <v>43</v>
      </c>
      <c r="C649" s="9">
        <v>673</v>
      </c>
      <c r="D649" s="9" t="s">
        <v>1112</v>
      </c>
      <c r="E649" s="9">
        <v>204</v>
      </c>
      <c r="F649" s="9" t="s">
        <v>1569</v>
      </c>
      <c r="G649" s="9" t="s">
        <v>1114</v>
      </c>
      <c r="H649" s="9" t="s">
        <v>287</v>
      </c>
      <c r="I649" s="9" t="s">
        <v>1571</v>
      </c>
      <c r="J649" s="9" t="s">
        <v>1572</v>
      </c>
      <c r="K649" s="9" t="s">
        <v>1573</v>
      </c>
      <c r="L649" s="10" t="s">
        <v>1573</v>
      </c>
      <c r="M649" s="9" t="s">
        <v>51</v>
      </c>
      <c r="N649" s="9">
        <v>477</v>
      </c>
      <c r="O649" s="9">
        <v>6</v>
      </c>
      <c r="P649" s="9">
        <v>141</v>
      </c>
      <c r="Q649" s="9">
        <v>147</v>
      </c>
      <c r="R649" s="9">
        <v>0.62</v>
      </c>
      <c r="S649" s="9">
        <v>-2.9916770000000001</v>
      </c>
      <c r="T649" s="9">
        <v>120.205314</v>
      </c>
      <c r="U649" s="9" t="s">
        <v>52</v>
      </c>
      <c r="V649" s="11" t="str">
        <f>VLOOKUP(L649,'[1]singkron data'!D:E,2,FALSE)</f>
        <v>PT. Relis Sapindo Utama</v>
      </c>
      <c r="W649" s="13">
        <f>VLOOKUP(L649,'[1]data 1129'!F:H,3,FALSE)</f>
        <v>5131076000</v>
      </c>
      <c r="X649" s="11" t="s">
        <v>55</v>
      </c>
      <c r="Y649" s="11">
        <f>VLOOKUP(L649,'[1]singkron data'!D:H,5,FALSE)</f>
        <v>0</v>
      </c>
      <c r="Z649" s="11">
        <f>VLOOKUP(L649,'[1]singkron data'!D:I,6,FALSE)</f>
        <v>0</v>
      </c>
      <c r="AA649" s="11">
        <f>VLOOKUP(L649,'[1]singkron data'!D:L,9,FALSE)</f>
        <v>81341207077</v>
      </c>
      <c r="AB649" s="11" t="s">
        <v>54</v>
      </c>
      <c r="AC649" s="11" t="str">
        <f>VLOOKUP(L649,'[1]singkron data'!D:M,10,FALSE)</f>
        <v>Hyl</v>
      </c>
      <c r="AD649" s="11" t="str">
        <f>VLOOKUP(L649,'[1]data 1129'!F:O,10,FALSE)</f>
        <v>Tahap II 146</v>
      </c>
      <c r="AE649" s="11" t="str">
        <f>VLOOKUP(L649,'[1]singkron data'!D:P,13,FALSE)</f>
        <v>sudah</v>
      </c>
      <c r="AF649" s="11" t="s">
        <v>55</v>
      </c>
      <c r="AG649" s="17">
        <f>VLOOKUP(L649,'[1]update kontrak'!E:K,6,FALSE)</f>
        <v>4381877070</v>
      </c>
      <c r="AH649" s="11" t="str">
        <f>VLOOKUP(L649,'[1]update kontrak'!E:K,7,FALSE)</f>
        <v>KONTRAK</v>
      </c>
      <c r="AI649" s="11" t="s">
        <v>41</v>
      </c>
      <c r="AJ649" s="11" t="str">
        <f>VLOOKUP(L649,[1]rekap!D:M,1,FALSE)</f>
        <v>Ponjalae</v>
      </c>
      <c r="AK649" s="11" t="str">
        <f>VLOOKUP(L649,'[1]singkron data'!D:E,2,FALSE)</f>
        <v>PT. Relis Sapindo Utama</v>
      </c>
      <c r="AL649" s="11" t="str">
        <f>VLOOKUP(L649,'[1]update 521'!D:D,1,FALSE)</f>
        <v>Ponjalae</v>
      </c>
      <c r="AM649" s="11" t="s">
        <v>57</v>
      </c>
      <c r="AN649" s="17">
        <f>VLOOKUP(L649,[1]Sheet19!E:L,8,FALSE)</f>
        <v>4381877070</v>
      </c>
      <c r="AO649" s="11" t="str">
        <f>VLOOKUP(L649,[1]Sheet19!E:K,7,FALSE)</f>
        <v>KONTRAK</v>
      </c>
      <c r="AP649" s="12" t="s">
        <v>41</v>
      </c>
    </row>
    <row r="650" spans="1:42" ht="15" x14ac:dyDescent="0.2">
      <c r="A650" s="8" t="s">
        <v>42</v>
      </c>
      <c r="B650" s="9" t="s">
        <v>43</v>
      </c>
      <c r="C650" s="9">
        <v>674</v>
      </c>
      <c r="D650" s="9" t="s">
        <v>1112</v>
      </c>
      <c r="E650" s="9">
        <v>205</v>
      </c>
      <c r="F650" s="9" t="s">
        <v>1569</v>
      </c>
      <c r="G650" s="9" t="s">
        <v>1114</v>
      </c>
      <c r="H650" s="9" t="s">
        <v>287</v>
      </c>
      <c r="I650" s="9" t="s">
        <v>1285</v>
      </c>
      <c r="J650" s="9" t="s">
        <v>1574</v>
      </c>
      <c r="K650" s="9" t="s">
        <v>1575</v>
      </c>
      <c r="L650" s="10" t="s">
        <v>1575</v>
      </c>
      <c r="M650" s="9" t="s">
        <v>51</v>
      </c>
      <c r="N650" s="9">
        <v>157</v>
      </c>
      <c r="O650" s="9">
        <v>1</v>
      </c>
      <c r="P650" s="9">
        <v>157</v>
      </c>
      <c r="Q650" s="9">
        <v>158</v>
      </c>
      <c r="R650" s="9">
        <v>1</v>
      </c>
      <c r="S650" s="9">
        <v>-3.1230560000000001</v>
      </c>
      <c r="T650" s="9">
        <v>120.2595</v>
      </c>
      <c r="U650" s="9" t="s">
        <v>52</v>
      </c>
      <c r="V650" s="11" t="str">
        <f>VLOOKUP(L650,'[1]singkron data'!D:E,2,FALSE)</f>
        <v>PT. Relis Sapindo Utama</v>
      </c>
      <c r="W650" s="13">
        <f>VLOOKUP(L650,'[1]data 1129'!F:H,3,FALSE)</f>
        <v>7428993000</v>
      </c>
      <c r="X650" s="11" t="s">
        <v>55</v>
      </c>
      <c r="Y650" s="11" t="str">
        <f>VLOOKUP(L650,'[1]singkron data'!D:H,5,FALSE)</f>
        <v>Makassar</v>
      </c>
      <c r="Z650" s="11" t="str">
        <f>VLOOKUP(L650,'[1]singkron data'!D:I,6,FALSE)</f>
        <v>Online</v>
      </c>
      <c r="AA650" s="11">
        <f>VLOOKUP(L650,'[1]singkron data'!D:L,9,FALSE)</f>
        <v>81341207077</v>
      </c>
      <c r="AB650" s="11" t="s">
        <v>54</v>
      </c>
      <c r="AC650" s="11" t="str">
        <f>VLOOKUP(L650,'[1]singkron data'!D:M,10,FALSE)</f>
        <v>Hyl</v>
      </c>
      <c r="AD650" s="11" t="str">
        <f>VLOOKUP(L650,'[1]data 1129'!F:O,10,FALSE)</f>
        <v>Tahap II 146</v>
      </c>
      <c r="AE650" s="11" t="str">
        <f>VLOOKUP(L650,'[1]singkron data'!D:P,13,FALSE)</f>
        <v>sudah</v>
      </c>
      <c r="AF650" s="11" t="s">
        <v>55</v>
      </c>
      <c r="AG650" s="17">
        <f>VLOOKUP(L650,'[1]update kontrak'!E:K,6,FALSE)</f>
        <v>5769027420</v>
      </c>
      <c r="AH650" s="11" t="str">
        <f>VLOOKUP(L650,'[1]update kontrak'!E:K,7,FALSE)</f>
        <v>KONTRAK</v>
      </c>
      <c r="AI650" s="11" t="s">
        <v>41</v>
      </c>
      <c r="AJ650" s="11" t="str">
        <f>VLOOKUP(L650,[1]rekap!D:M,1,FALSE)</f>
        <v>Karang-Karangan</v>
      </c>
      <c r="AK650" s="11" t="str">
        <f>VLOOKUP(L650,'[1]singkron data'!D:E,2,FALSE)</f>
        <v>PT. Relis Sapindo Utama</v>
      </c>
      <c r="AL650" s="11" t="str">
        <f>VLOOKUP(L650,'[1]update 521'!D:D,1,FALSE)</f>
        <v>Karang-Karangan</v>
      </c>
      <c r="AM650" s="11" t="s">
        <v>57</v>
      </c>
      <c r="AN650" s="17">
        <f>VLOOKUP(L650,[1]Sheet19!E:L,8,FALSE)</f>
        <v>5769027420</v>
      </c>
      <c r="AO650" s="11" t="str">
        <f>VLOOKUP(L650,[1]Sheet19!E:K,7,FALSE)</f>
        <v>KONTRAK</v>
      </c>
      <c r="AP650" s="12" t="s">
        <v>41</v>
      </c>
    </row>
    <row r="651" spans="1:42" ht="15" x14ac:dyDescent="0.2">
      <c r="A651" s="8" t="s">
        <v>42</v>
      </c>
      <c r="B651" s="9" t="s">
        <v>43</v>
      </c>
      <c r="C651" s="9">
        <v>675</v>
      </c>
      <c r="D651" s="9" t="s">
        <v>1112</v>
      </c>
      <c r="E651" s="9">
        <v>206</v>
      </c>
      <c r="F651" s="9" t="s">
        <v>1569</v>
      </c>
      <c r="G651" s="9" t="s">
        <v>1114</v>
      </c>
      <c r="H651" s="9" t="s">
        <v>287</v>
      </c>
      <c r="I651" s="9" t="s">
        <v>1285</v>
      </c>
      <c r="J651" s="9" t="s">
        <v>1574</v>
      </c>
      <c r="K651" s="9" t="s">
        <v>1576</v>
      </c>
      <c r="L651" s="10" t="s">
        <v>1576</v>
      </c>
      <c r="M651" s="9" t="s">
        <v>51</v>
      </c>
      <c r="N651" s="9">
        <v>90</v>
      </c>
      <c r="O651" s="9" t="s">
        <v>72</v>
      </c>
      <c r="P651" s="9">
        <v>108</v>
      </c>
      <c r="Q651" s="9">
        <v>108</v>
      </c>
      <c r="R651" s="9">
        <v>0.51</v>
      </c>
      <c r="S651" s="9">
        <v>-3.0484228</v>
      </c>
      <c r="T651" s="9">
        <v>120.2331506</v>
      </c>
      <c r="U651" s="9" t="s">
        <v>52</v>
      </c>
      <c r="V651" s="11" t="str">
        <f>VLOOKUP(L651,'[1]singkron data'!D:E,2,FALSE)</f>
        <v>PT. Relis Sapindo Utama</v>
      </c>
      <c r="W651" s="13">
        <f>VLOOKUP(L651,'[1]data 1129'!F:H,3,FALSE)</f>
        <v>9613483000</v>
      </c>
      <c r="X651" s="11" t="s">
        <v>55</v>
      </c>
      <c r="Y651" s="11" t="str">
        <f>VLOOKUP(L651,'[1]singkron data'!D:H,5,FALSE)</f>
        <v>Makassar</v>
      </c>
      <c r="Z651" s="11" t="str">
        <f>VLOOKUP(L651,'[1]singkron data'!D:I,6,FALSE)</f>
        <v>Online</v>
      </c>
      <c r="AA651" s="11">
        <f>VLOOKUP(L651,'[1]singkron data'!D:L,9,FALSE)</f>
        <v>81341207077</v>
      </c>
      <c r="AB651" s="11" t="s">
        <v>54</v>
      </c>
      <c r="AC651" s="11" t="str">
        <f>VLOOKUP(L651,'[1]singkron data'!D:M,10,FALSE)</f>
        <v>Hyl</v>
      </c>
      <c r="AD651" s="11" t="str">
        <f>VLOOKUP(L651,'[1]data 1129'!F:O,10,FALSE)</f>
        <v>Tahap II 146</v>
      </c>
      <c r="AE651" s="11" t="str">
        <f>VLOOKUP(L651,'[1]singkron data'!D:P,13,FALSE)</f>
        <v>sudah</v>
      </c>
      <c r="AF651" s="11" t="s">
        <v>55</v>
      </c>
      <c r="AG651" s="17">
        <f>VLOOKUP(L651,'[1]update kontrak'!E:K,6,FALSE)</f>
        <v>4663307580</v>
      </c>
      <c r="AH651" s="11" t="str">
        <f>VLOOKUP(L651,'[1]update kontrak'!E:K,7,FALSE)</f>
        <v>KONTRAK</v>
      </c>
      <c r="AI651" s="11" t="s">
        <v>41</v>
      </c>
      <c r="AJ651" s="11" t="str">
        <f>VLOOKUP(L651,[1]rekap!D:M,1,FALSE)</f>
        <v>Padang Kalua</v>
      </c>
      <c r="AK651" s="11" t="str">
        <f>VLOOKUP(L651,'[1]singkron data'!D:E,2,FALSE)</f>
        <v>PT. Relis Sapindo Utama</v>
      </c>
      <c r="AL651" s="11" t="str">
        <f>VLOOKUP(L651,'[1]update 521'!D:D,1,FALSE)</f>
        <v>Padang Kalua</v>
      </c>
      <c r="AM651" s="11" t="s">
        <v>57</v>
      </c>
      <c r="AN651" s="17">
        <f>VLOOKUP(L651,[1]Sheet19!E:L,8,FALSE)</f>
        <v>4663307580</v>
      </c>
      <c r="AO651" s="11" t="str">
        <f>VLOOKUP(L651,[1]Sheet19!E:K,7,FALSE)</f>
        <v>KONTRAK</v>
      </c>
      <c r="AP651" s="12" t="s">
        <v>41</v>
      </c>
    </row>
    <row r="652" spans="1:42" ht="15" x14ac:dyDescent="0.2">
      <c r="A652" s="8" t="s">
        <v>42</v>
      </c>
      <c r="B652" s="9" t="s">
        <v>43</v>
      </c>
      <c r="C652" s="9">
        <v>676</v>
      </c>
      <c r="D652" s="9" t="s">
        <v>1112</v>
      </c>
      <c r="E652" s="9">
        <v>207</v>
      </c>
      <c r="F652" s="9" t="s">
        <v>1569</v>
      </c>
      <c r="G652" s="9" t="s">
        <v>1114</v>
      </c>
      <c r="H652" s="9" t="s">
        <v>287</v>
      </c>
      <c r="I652" s="9" t="s">
        <v>1571</v>
      </c>
      <c r="J652" s="9" t="s">
        <v>1577</v>
      </c>
      <c r="K652" s="9" t="s">
        <v>1578</v>
      </c>
      <c r="L652" s="10" t="s">
        <v>1578</v>
      </c>
      <c r="M652" s="9" t="s">
        <v>51</v>
      </c>
      <c r="N652" s="9">
        <v>48</v>
      </c>
      <c r="O652" s="9" t="s">
        <v>72</v>
      </c>
      <c r="P652" s="9">
        <v>54</v>
      </c>
      <c r="Q652" s="9">
        <v>54</v>
      </c>
      <c r="R652" s="9">
        <v>0.95</v>
      </c>
      <c r="S652" s="9">
        <v>-3.0352610000000002</v>
      </c>
      <c r="T652" s="9">
        <v>120.226681</v>
      </c>
      <c r="U652" s="9" t="s">
        <v>52</v>
      </c>
      <c r="V652" s="11" t="str">
        <f>VLOOKUP(L652,'[1]singkron data'!D:E,2,FALSE)</f>
        <v>PT. Relis Sapindo Utama</v>
      </c>
      <c r="W652" s="13">
        <f>VLOOKUP(L652,'[1]data 1129'!F:H,3,FALSE)</f>
        <v>5312429000</v>
      </c>
      <c r="X652" s="11" t="s">
        <v>55</v>
      </c>
      <c r="Y652" s="11">
        <f>VLOOKUP(L652,'[1]singkron data'!D:H,5,FALSE)</f>
        <v>0</v>
      </c>
      <c r="Z652" s="11">
        <f>VLOOKUP(L652,'[1]singkron data'!D:I,6,FALSE)</f>
        <v>0</v>
      </c>
      <c r="AA652" s="11">
        <f>VLOOKUP(L652,'[1]singkron data'!D:L,9,FALSE)</f>
        <v>81341207077</v>
      </c>
      <c r="AB652" s="11" t="s">
        <v>54</v>
      </c>
      <c r="AC652" s="11" t="str">
        <f>VLOOKUP(L652,'[1]singkron data'!D:M,10,FALSE)</f>
        <v>Hyl</v>
      </c>
      <c r="AD652" s="11" t="str">
        <f>VLOOKUP(L652,'[1]data 1129'!F:O,10,FALSE)</f>
        <v>Tahap II 146</v>
      </c>
      <c r="AE652" s="11" t="str">
        <f>VLOOKUP(L652,'[1]singkron data'!D:P,13,FALSE)</f>
        <v>sudah</v>
      </c>
      <c r="AF652" s="11" t="s">
        <v>55</v>
      </c>
      <c r="AG652" s="17">
        <f>VLOOKUP(L652,'[1]update kontrak'!E:K,6,FALSE)</f>
        <v>4448367180</v>
      </c>
      <c r="AH652" s="11" t="str">
        <f>VLOOKUP(L652,'[1]update kontrak'!E:K,7,FALSE)</f>
        <v>KONTRAK</v>
      </c>
      <c r="AI652" s="11" t="s">
        <v>41</v>
      </c>
      <c r="AJ652" s="11" t="str">
        <f>VLOOKUP(L652,[1]rekap!D:M,1,FALSE)</f>
        <v>Songka</v>
      </c>
      <c r="AK652" s="11" t="str">
        <f>VLOOKUP(L652,'[1]singkron data'!D:E,2,FALSE)</f>
        <v>PT. Relis Sapindo Utama</v>
      </c>
      <c r="AL652" s="11" t="str">
        <f>VLOOKUP(L652,'[1]update 521'!D:D,1,FALSE)</f>
        <v>Songka</v>
      </c>
      <c r="AM652" s="11" t="s">
        <v>57</v>
      </c>
      <c r="AN652" s="17">
        <f>VLOOKUP(L652,[1]Sheet19!E:L,8,FALSE)</f>
        <v>4448367180</v>
      </c>
      <c r="AO652" s="11" t="str">
        <f>VLOOKUP(L652,[1]Sheet19!E:K,7,FALSE)</f>
        <v>KONTRAK</v>
      </c>
      <c r="AP652" s="12" t="s">
        <v>41</v>
      </c>
    </row>
    <row r="653" spans="1:42" ht="15" x14ac:dyDescent="0.2">
      <c r="A653" s="8" t="s">
        <v>42</v>
      </c>
      <c r="B653" s="9" t="s">
        <v>43</v>
      </c>
      <c r="C653" s="9">
        <v>677</v>
      </c>
      <c r="D653" s="9" t="s">
        <v>1112</v>
      </c>
      <c r="E653" s="9">
        <v>208</v>
      </c>
      <c r="F653" s="9" t="s">
        <v>1569</v>
      </c>
      <c r="G653" s="9" t="s">
        <v>1114</v>
      </c>
      <c r="H653" s="9" t="s">
        <v>287</v>
      </c>
      <c r="I653" s="9" t="s">
        <v>1571</v>
      </c>
      <c r="J653" s="9" t="s">
        <v>1577</v>
      </c>
      <c r="K653" s="9" t="s">
        <v>1579</v>
      </c>
      <c r="L653" s="10" t="s">
        <v>1579</v>
      </c>
      <c r="M653" s="9" t="s">
        <v>51</v>
      </c>
      <c r="N653" s="9">
        <v>122</v>
      </c>
      <c r="O653" s="9" t="s">
        <v>72</v>
      </c>
      <c r="P653" s="9">
        <v>114</v>
      </c>
      <c r="Q653" s="9">
        <v>114</v>
      </c>
      <c r="R653" s="9">
        <v>0.78</v>
      </c>
      <c r="S653" s="9">
        <v>-3.0287850000000001</v>
      </c>
      <c r="T653" s="9">
        <v>120.225264</v>
      </c>
      <c r="U653" s="9" t="s">
        <v>52</v>
      </c>
      <c r="V653" s="11" t="str">
        <f>VLOOKUP(L653,'[1]singkron data'!D:E,2,FALSE)</f>
        <v>PT. Relis Sapindo Utama</v>
      </c>
      <c r="W653" s="13">
        <f>VLOOKUP(L653,'[1]data 1129'!F:H,3,FALSE)</f>
        <v>8096278000</v>
      </c>
      <c r="X653" s="11" t="s">
        <v>55</v>
      </c>
      <c r="Y653" s="11" t="str">
        <f>VLOOKUP(L653,'[1]singkron data'!D:H,5,FALSE)</f>
        <v>Makassar</v>
      </c>
      <c r="Z653" s="11" t="str">
        <f>VLOOKUP(L653,'[1]singkron data'!D:I,6,FALSE)</f>
        <v>Online</v>
      </c>
      <c r="AA653" s="11">
        <f>VLOOKUP(L653,'[1]singkron data'!D:L,9,FALSE)</f>
        <v>81341207077</v>
      </c>
      <c r="AB653" s="11" t="s">
        <v>54</v>
      </c>
      <c r="AC653" s="11" t="str">
        <f>VLOOKUP(L653,'[1]singkron data'!D:M,10,FALSE)</f>
        <v>Hyl</v>
      </c>
      <c r="AD653" s="11" t="str">
        <f>VLOOKUP(L653,'[1]data 1129'!F:O,10,FALSE)</f>
        <v>Tahap II 146</v>
      </c>
      <c r="AE653" s="11" t="str">
        <f>VLOOKUP(L653,'[1]singkron data'!D:P,13,FALSE)</f>
        <v>sudah</v>
      </c>
      <c r="AF653" s="11" t="s">
        <v>55</v>
      </c>
      <c r="AG653" s="17">
        <f>VLOOKUP(L653,'[1]update kontrak'!E:K,6,FALSE)</f>
        <v>5627208270</v>
      </c>
      <c r="AH653" s="11" t="str">
        <f>VLOOKUP(L653,'[1]update kontrak'!E:K,7,FALSE)</f>
        <v>KONTRAK</v>
      </c>
      <c r="AI653" s="11" t="s">
        <v>41</v>
      </c>
      <c r="AJ653" s="11" t="str">
        <f>VLOOKUP(L653,[1]rekap!D:M,1,FALSE)</f>
        <v>Takkalala</v>
      </c>
      <c r="AK653" s="11" t="str">
        <f>VLOOKUP(L653,'[1]singkron data'!D:E,2,FALSE)</f>
        <v>PT. Relis Sapindo Utama</v>
      </c>
      <c r="AL653" s="11" t="str">
        <f>VLOOKUP(L653,'[1]update 521'!D:D,1,FALSE)</f>
        <v>Takkalala</v>
      </c>
      <c r="AM653" s="11" t="s">
        <v>57</v>
      </c>
      <c r="AN653" s="17">
        <f>VLOOKUP(L653,[1]Sheet19!E:L,8,FALSE)</f>
        <v>5627208270</v>
      </c>
      <c r="AO653" s="11" t="str">
        <f>VLOOKUP(L653,[1]Sheet19!E:K,7,FALSE)</f>
        <v>KONTRAK</v>
      </c>
      <c r="AP653" s="12" t="s">
        <v>41</v>
      </c>
    </row>
    <row r="654" spans="1:42" ht="15" x14ac:dyDescent="0.2">
      <c r="A654" s="8" t="s">
        <v>42</v>
      </c>
      <c r="B654" s="9" t="s">
        <v>43</v>
      </c>
      <c r="C654" s="9">
        <v>678</v>
      </c>
      <c r="D654" s="9" t="s">
        <v>1112</v>
      </c>
      <c r="E654" s="9">
        <v>209</v>
      </c>
      <c r="F654" s="9" t="s">
        <v>1569</v>
      </c>
      <c r="G654" s="9" t="s">
        <v>1114</v>
      </c>
      <c r="H654" s="9" t="s">
        <v>287</v>
      </c>
      <c r="I654" s="9" t="s">
        <v>1571</v>
      </c>
      <c r="J654" s="9" t="s">
        <v>1572</v>
      </c>
      <c r="K654" s="9" t="s">
        <v>1580</v>
      </c>
      <c r="L654" s="10" t="s">
        <v>1580</v>
      </c>
      <c r="M654" s="9" t="s">
        <v>51</v>
      </c>
      <c r="N654" s="9">
        <v>53</v>
      </c>
      <c r="O654" s="9">
        <v>1</v>
      </c>
      <c r="P654" s="9">
        <v>61</v>
      </c>
      <c r="Q654" s="9">
        <v>62</v>
      </c>
      <c r="R654" s="9">
        <v>0.56999999999999995</v>
      </c>
      <c r="S654" s="9">
        <v>-3.0120279999999999</v>
      </c>
      <c r="T654" s="9">
        <v>120.221492</v>
      </c>
      <c r="U654" s="9" t="s">
        <v>52</v>
      </c>
      <c r="V654" s="11" t="str">
        <f>VLOOKUP(L654,'[1]singkron data'!D:E,2,FALSE)</f>
        <v>PT. DARWIN KEMBAR JAYA</v>
      </c>
      <c r="W654" s="13">
        <f>VLOOKUP(L654,'[1]data 1129'!F:H,3,FALSE)</f>
        <v>4800573000</v>
      </c>
      <c r="X654" s="11" t="s">
        <v>55</v>
      </c>
      <c r="Y654" s="11">
        <f>VLOOKUP(L654,'[1]singkron data'!D:H,5,FALSE)</f>
        <v>0</v>
      </c>
      <c r="Z654" s="11">
        <f>VLOOKUP(L654,'[1]singkron data'!D:I,6,FALSE)</f>
        <v>0</v>
      </c>
      <c r="AA654" s="11" t="str">
        <f>VLOOKUP(L654,'[1]singkron data'!D:L,9,FALSE)</f>
        <v>082198005353/yacob</v>
      </c>
      <c r="AB654" s="11" t="s">
        <v>54</v>
      </c>
      <c r="AC654" s="11" t="str">
        <f>VLOOKUP(L654,'[1]singkron data'!D:M,10,FALSE)</f>
        <v>Hyl</v>
      </c>
      <c r="AD654" s="11" t="str">
        <f>VLOOKUP(L654,'[1]data 1129'!F:O,10,FALSE)</f>
        <v>Tahap III 166</v>
      </c>
      <c r="AE654" s="11" t="str">
        <f>VLOOKUP(L654,'[1]singkron data'!D:P,13,FALSE)</f>
        <v>sudah</v>
      </c>
      <c r="AF654" s="11" t="s">
        <v>55</v>
      </c>
      <c r="AG654" s="11" t="e">
        <f>VLOOKUP(L654,'[1]update kontrak'!E:K,6,FALSE)</f>
        <v>#N/A</v>
      </c>
      <c r="AH654" s="11" t="e">
        <f>VLOOKUP(L654,'[1]update kontrak'!E:K,7,FALSE)</f>
        <v>#N/A</v>
      </c>
      <c r="AI654" s="11" t="s">
        <v>58</v>
      </c>
      <c r="AJ654" s="11" t="str">
        <f>VLOOKUP(L654,[1]rekap!D:M,1,FALSE)</f>
        <v>Benteng</v>
      </c>
      <c r="AK654" s="11" t="str">
        <f>AJ654</f>
        <v>Benteng</v>
      </c>
      <c r="AL654" s="11" t="str">
        <f>VLOOKUP(L654,'[1]update 521'!D:D,1,FALSE)</f>
        <v>Benteng</v>
      </c>
      <c r="AM654" s="11" t="s">
        <v>57</v>
      </c>
      <c r="AN654" s="17">
        <f>VLOOKUP(L654,[1]Sheet19!E:L,8,FALSE)</f>
        <v>2895226964.5700002</v>
      </c>
      <c r="AO654" s="11" t="str">
        <f>VLOOKUP(L654,[1]Sheet19!E:K,7,FALSE)</f>
        <v>SPPBJ</v>
      </c>
      <c r="AP654" s="12"/>
    </row>
    <row r="655" spans="1:42" ht="15" x14ac:dyDescent="0.2">
      <c r="A655" s="8" t="s">
        <v>42</v>
      </c>
      <c r="B655" s="9" t="s">
        <v>43</v>
      </c>
      <c r="C655" s="9">
        <v>679</v>
      </c>
      <c r="D655" s="9" t="s">
        <v>1112</v>
      </c>
      <c r="E655" s="9">
        <v>210</v>
      </c>
      <c r="F655" s="9" t="s">
        <v>1569</v>
      </c>
      <c r="G655" s="9" t="s">
        <v>1114</v>
      </c>
      <c r="H655" s="9" t="s">
        <v>287</v>
      </c>
      <c r="I655" s="9" t="s">
        <v>1285</v>
      </c>
      <c r="J655" s="9" t="s">
        <v>1581</v>
      </c>
      <c r="K655" s="9" t="s">
        <v>1582</v>
      </c>
      <c r="L655" s="10" t="s">
        <v>1582</v>
      </c>
      <c r="M655" s="9" t="s">
        <v>51</v>
      </c>
      <c r="N655" s="9">
        <v>120</v>
      </c>
      <c r="O655" s="9">
        <v>12</v>
      </c>
      <c r="P655" s="9">
        <v>105</v>
      </c>
      <c r="Q655" s="9">
        <v>117</v>
      </c>
      <c r="R655" s="9">
        <v>0.85</v>
      </c>
      <c r="S655" s="9">
        <v>-3.2609340000000002</v>
      </c>
      <c r="T655" s="9">
        <v>120.401827</v>
      </c>
      <c r="U655" s="9" t="s">
        <v>52</v>
      </c>
      <c r="V655" s="11" t="str">
        <f>VLOOKUP(L655,'[1]singkron data'!D:E,2,FALSE)</f>
        <v>PT. Relis Sapindo Utama</v>
      </c>
      <c r="W655" s="13">
        <f>VLOOKUP(L655,'[1]data 1129'!F:H,3,FALSE)</f>
        <v>7488372000</v>
      </c>
      <c r="X655" s="11" t="s">
        <v>55</v>
      </c>
      <c r="Y655" s="11" t="str">
        <f>VLOOKUP(L655,'[1]singkron data'!D:H,5,FALSE)</f>
        <v>Makassar</v>
      </c>
      <c r="Z655" s="11" t="str">
        <f>VLOOKUP(L655,'[1]singkron data'!D:I,6,FALSE)</f>
        <v>Online</v>
      </c>
      <c r="AA655" s="11">
        <f>VLOOKUP(L655,'[1]singkron data'!D:L,9,FALSE)</f>
        <v>81341207077</v>
      </c>
      <c r="AB655" s="11" t="s">
        <v>54</v>
      </c>
      <c r="AC655" s="11" t="str">
        <f>VLOOKUP(L655,'[1]singkron data'!D:M,10,FALSE)</f>
        <v>Hyl</v>
      </c>
      <c r="AD655" s="11" t="str">
        <f>VLOOKUP(L655,'[1]data 1129'!F:O,10,FALSE)</f>
        <v>Tahap II 146</v>
      </c>
      <c r="AE655" s="11" t="str">
        <f>VLOOKUP(L655,'[1]singkron data'!D:P,13,FALSE)</f>
        <v>sudah</v>
      </c>
      <c r="AF655" s="11" t="s">
        <v>55</v>
      </c>
      <c r="AG655" s="17">
        <f>VLOOKUP(L655,'[1]update kontrak'!E:K,6,FALSE)</f>
        <v>4627444590</v>
      </c>
      <c r="AH655" s="11" t="str">
        <f>VLOOKUP(L655,'[1]update kontrak'!E:K,7,FALSE)</f>
        <v>KONTRAK</v>
      </c>
      <c r="AI655" s="11" t="s">
        <v>41</v>
      </c>
      <c r="AJ655" s="11" t="str">
        <f>VLOOKUP(L655,[1]rekap!D:M,1,FALSE)</f>
        <v>To'Bia</v>
      </c>
      <c r="AK655" s="11" t="str">
        <f>VLOOKUP(L655,'[1]singkron data'!D:E,2,FALSE)</f>
        <v>PT. Relis Sapindo Utama</v>
      </c>
      <c r="AL655" s="11" t="str">
        <f>VLOOKUP(L655,'[1]update 521'!D:D,1,FALSE)</f>
        <v>To'Bia</v>
      </c>
      <c r="AM655" s="11" t="s">
        <v>57</v>
      </c>
      <c r="AN655" s="17">
        <f>VLOOKUP(L655,[1]Sheet19!E:L,8,FALSE)</f>
        <v>4627444590</v>
      </c>
      <c r="AO655" s="11" t="str">
        <f>VLOOKUP(L655,[1]Sheet19!E:K,7,FALSE)</f>
        <v>KONTRAK</v>
      </c>
      <c r="AP655" s="12" t="s">
        <v>41</v>
      </c>
    </row>
    <row r="656" spans="1:42" ht="15" x14ac:dyDescent="0.2">
      <c r="A656" s="8" t="s">
        <v>42</v>
      </c>
      <c r="B656" s="9" t="s">
        <v>43</v>
      </c>
      <c r="C656" s="9">
        <v>680</v>
      </c>
      <c r="D656" s="9" t="s">
        <v>1112</v>
      </c>
      <c r="E656" s="9">
        <v>211</v>
      </c>
      <c r="F656" s="9" t="s">
        <v>1569</v>
      </c>
      <c r="G656" s="9" t="s">
        <v>1114</v>
      </c>
      <c r="H656" s="9" t="s">
        <v>287</v>
      </c>
      <c r="I656" s="9" t="s">
        <v>1285</v>
      </c>
      <c r="J656" s="9" t="s">
        <v>1581</v>
      </c>
      <c r="K656" s="9" t="s">
        <v>1583</v>
      </c>
      <c r="L656" s="10" t="s">
        <v>1583</v>
      </c>
      <c r="M656" s="9" t="s">
        <v>51</v>
      </c>
      <c r="N656" s="9">
        <v>198</v>
      </c>
      <c r="O656" s="9">
        <v>5</v>
      </c>
      <c r="P656" s="9">
        <v>238</v>
      </c>
      <c r="Q656" s="9">
        <v>243</v>
      </c>
      <c r="R656" s="9">
        <v>0.11</v>
      </c>
      <c r="S656" s="9">
        <v>-3.2237629999999999</v>
      </c>
      <c r="T656" s="9">
        <v>120.3595309</v>
      </c>
      <c r="U656" s="9" t="s">
        <v>52</v>
      </c>
      <c r="V656" s="11" t="str">
        <f>VLOOKUP(L656,'[1]singkron data'!D:E,2,FALSE)</f>
        <v>PT. Relis Sapindo Utama</v>
      </c>
      <c r="W656" s="13">
        <f>VLOOKUP(L656,'[1]data 1129'!F:H,3,FALSE)</f>
        <v>6414754000</v>
      </c>
      <c r="X656" s="11" t="s">
        <v>55</v>
      </c>
      <c r="Y656" s="11" t="str">
        <f>VLOOKUP(L656,'[1]singkron data'!D:H,5,FALSE)</f>
        <v>Makassar</v>
      </c>
      <c r="Z656" s="11" t="str">
        <f>VLOOKUP(L656,'[1]singkron data'!D:I,6,FALSE)</f>
        <v>Online</v>
      </c>
      <c r="AA656" s="11">
        <f>VLOOKUP(L656,'[1]singkron data'!D:L,9,FALSE)</f>
        <v>81341207077</v>
      </c>
      <c r="AB656" s="11" t="s">
        <v>54</v>
      </c>
      <c r="AC656" s="11" t="str">
        <f>VLOOKUP(L656,'[1]singkron data'!D:M,10,FALSE)</f>
        <v>Hyl</v>
      </c>
      <c r="AD656" s="11" t="str">
        <f>VLOOKUP(L656,'[1]data 1129'!F:O,10,FALSE)</f>
        <v>Tahap II 146</v>
      </c>
      <c r="AE656" s="11" t="str">
        <f>VLOOKUP(L656,'[1]singkron data'!D:P,13,FALSE)</f>
        <v>sudah</v>
      </c>
      <c r="AF656" s="11" t="s">
        <v>55</v>
      </c>
      <c r="AG656" s="17">
        <f>VLOOKUP(L656,'[1]update kontrak'!E:K,6,FALSE)</f>
        <v>4486560060</v>
      </c>
      <c r="AH656" s="11" t="str">
        <f>VLOOKUP(L656,'[1]update kontrak'!E:K,7,FALSE)</f>
        <v>KONTRAK</v>
      </c>
      <c r="AI656" s="11" t="s">
        <v>41</v>
      </c>
      <c r="AJ656" s="11" t="str">
        <f>VLOOKUP(L656,[1]rekap!D:M,1,FALSE)</f>
        <v>Bassiang Timur</v>
      </c>
      <c r="AK656" s="11" t="str">
        <f>VLOOKUP(L656,'[1]singkron data'!D:E,2,FALSE)</f>
        <v>PT. Relis Sapindo Utama</v>
      </c>
      <c r="AL656" s="11" t="str">
        <f>VLOOKUP(L656,'[1]update 521'!D:D,1,FALSE)</f>
        <v>Bassiang Timur</v>
      </c>
      <c r="AM656" s="11" t="s">
        <v>57</v>
      </c>
      <c r="AN656" s="17">
        <f>VLOOKUP(L656,[1]Sheet19!E:L,8,FALSE)</f>
        <v>4486560060</v>
      </c>
      <c r="AO656" s="11" t="str">
        <f>VLOOKUP(L656,[1]Sheet19!E:K,7,FALSE)</f>
        <v>KONTRAK</v>
      </c>
      <c r="AP656" s="12" t="s">
        <v>41</v>
      </c>
    </row>
    <row r="657" spans="1:42" ht="15" x14ac:dyDescent="0.2">
      <c r="A657" s="8" t="s">
        <v>42</v>
      </c>
      <c r="B657" s="9" t="s">
        <v>43</v>
      </c>
      <c r="C657" s="9">
        <v>681</v>
      </c>
      <c r="D657" s="9" t="s">
        <v>1112</v>
      </c>
      <c r="E657" s="9">
        <v>212</v>
      </c>
      <c r="F657" s="9" t="s">
        <v>1584</v>
      </c>
      <c r="G657" s="9" t="s">
        <v>1243</v>
      </c>
      <c r="H657" s="9" t="s">
        <v>287</v>
      </c>
      <c r="I657" s="9" t="s">
        <v>1244</v>
      </c>
      <c r="J657" s="9" t="s">
        <v>1585</v>
      </c>
      <c r="K657" s="9" t="s">
        <v>1586</v>
      </c>
      <c r="L657" s="10" t="s">
        <v>1586</v>
      </c>
      <c r="M657" s="9" t="s">
        <v>65</v>
      </c>
      <c r="N657" s="9">
        <v>267</v>
      </c>
      <c r="O657" s="9">
        <v>20</v>
      </c>
      <c r="P657" s="9">
        <v>236</v>
      </c>
      <c r="Q657" s="9">
        <v>256</v>
      </c>
      <c r="R657" s="9">
        <v>1.41</v>
      </c>
      <c r="S657" s="9">
        <v>1.029501</v>
      </c>
      <c r="T657" s="9">
        <v>122.195718</v>
      </c>
      <c r="U657" s="9" t="s">
        <v>52</v>
      </c>
      <c r="V657" s="11" t="str">
        <f>VLOOKUP(L657,'[1]singkron data'!D:E,2,FALSE)</f>
        <v>CV. THERESIA PUTRI PERMATA</v>
      </c>
      <c r="W657" s="13">
        <f>VLOOKUP(L657,'[1]data 1129'!F:H,3,FALSE)</f>
        <v>8104319000</v>
      </c>
      <c r="X657" s="11" t="s">
        <v>55</v>
      </c>
      <c r="Y657" s="11">
        <f>VLOOKUP(L657,'[1]singkron data'!D:H,5,FALSE)</f>
        <v>0</v>
      </c>
      <c r="Z657" s="11">
        <f>VLOOKUP(L657,'[1]singkron data'!D:I,6,FALSE)</f>
        <v>0</v>
      </c>
      <c r="AA657" s="11" t="s">
        <v>1587</v>
      </c>
      <c r="AB657" s="11" t="s">
        <v>54</v>
      </c>
      <c r="AC657" s="11" t="str">
        <f>VLOOKUP(L657,'[1]singkron data'!D:M,10,FALSE)</f>
        <v>Hyl</v>
      </c>
      <c r="AD657" s="11" t="str">
        <f>VLOOKUP(L657,'[1]data 1129'!F:O,10,FALSE)</f>
        <v>Tahap IV 200</v>
      </c>
      <c r="AE657" s="11" t="str">
        <f>VLOOKUP(L657,'[1]singkron data'!D:P,13,FALSE)</f>
        <v>sudah</v>
      </c>
      <c r="AF657" s="11" t="s">
        <v>55</v>
      </c>
      <c r="AG657" s="11" t="e">
        <f>VLOOKUP(L657,'[1]update kontrak'!E:K,6,FALSE)</f>
        <v>#N/A</v>
      </c>
      <c r="AH657" s="11" t="e">
        <f>VLOOKUP(L657,'[1]update kontrak'!E:K,7,FALSE)</f>
        <v>#N/A</v>
      </c>
      <c r="AI657" s="11" t="s">
        <v>58</v>
      </c>
      <c r="AJ657" s="11" t="str">
        <f>VLOOKUP(L657,[1]rekap!D:M,1,FALSE)</f>
        <v>Tolinggula Pantai</v>
      </c>
      <c r="AK657" s="11" t="str">
        <f>VLOOKUP(L657,'[1]singkron data'!D:E,2,FALSE)</f>
        <v>CV. THERESIA PUTRI PERMATA</v>
      </c>
      <c r="AL657" s="11" t="str">
        <f>VLOOKUP(L657,'[1]update 521'!D:D,1,FALSE)</f>
        <v>Tolinggula Pantai</v>
      </c>
      <c r="AM657" s="11" t="s">
        <v>57</v>
      </c>
      <c r="AN657" s="11" t="e">
        <f>VLOOKUP(L657,[1]Sheet19!E:L,8,FALSE)</f>
        <v>#N/A</v>
      </c>
      <c r="AO657" s="11" t="s">
        <v>58</v>
      </c>
      <c r="AP657" s="12"/>
    </row>
    <row r="658" spans="1:42" ht="15" x14ac:dyDescent="0.2">
      <c r="A658" s="8" t="s">
        <v>42</v>
      </c>
      <c r="B658" s="9" t="s">
        <v>43</v>
      </c>
      <c r="C658" s="9">
        <v>682</v>
      </c>
      <c r="D658" s="9" t="s">
        <v>1112</v>
      </c>
      <c r="E658" s="9">
        <v>213</v>
      </c>
      <c r="F658" s="9" t="s">
        <v>1584</v>
      </c>
      <c r="G658" s="9" t="s">
        <v>1243</v>
      </c>
      <c r="H658" s="9" t="s">
        <v>287</v>
      </c>
      <c r="I658" s="9" t="s">
        <v>1244</v>
      </c>
      <c r="J658" s="9" t="s">
        <v>1588</v>
      </c>
      <c r="K658" s="9" t="s">
        <v>1589</v>
      </c>
      <c r="L658" s="10" t="s">
        <v>1589</v>
      </c>
      <c r="M658" s="9" t="s">
        <v>51</v>
      </c>
      <c r="N658" s="9">
        <v>268</v>
      </c>
      <c r="O658" s="9">
        <v>10</v>
      </c>
      <c r="P658" s="9">
        <v>200</v>
      </c>
      <c r="Q658" s="9">
        <v>210</v>
      </c>
      <c r="R658" s="9">
        <v>1.21</v>
      </c>
      <c r="S658" s="9">
        <v>0.99101899999999998</v>
      </c>
      <c r="T658" s="9">
        <v>122.419916</v>
      </c>
      <c r="U658" s="9" t="s">
        <v>52</v>
      </c>
      <c r="V658" s="11" t="str">
        <f>VLOOKUP(L658,'[1]singkron data'!D:E,2,FALSE)</f>
        <v>CV. THERESIA PUTRI PERMATA</v>
      </c>
      <c r="W658" s="13">
        <f>VLOOKUP(L658,'[1]data 1129'!F:H,3,FALSE)</f>
        <v>4500000000</v>
      </c>
      <c r="X658" s="11" t="s">
        <v>55</v>
      </c>
      <c r="Y658" s="11">
        <f>VLOOKUP(L658,'[1]singkron data'!D:H,5,FALSE)</f>
        <v>0</v>
      </c>
      <c r="Z658" s="11">
        <f>VLOOKUP(L658,'[1]singkron data'!D:I,6,FALSE)</f>
        <v>0</v>
      </c>
      <c r="AA658" s="11" t="str">
        <f>VLOOKUP(L658,'[1]singkron data'!D:L,9,FALSE)</f>
        <v>085930953696/dani theresia</v>
      </c>
      <c r="AB658" s="11" t="s">
        <v>54</v>
      </c>
      <c r="AC658" s="11" t="str">
        <f>VLOOKUP(L658,'[1]singkron data'!D:M,10,FALSE)</f>
        <v>Hyl</v>
      </c>
      <c r="AD658" s="11" t="str">
        <f>VLOOKUP(L658,'[1]data 1129'!F:O,10,FALSE)</f>
        <v>Tahap II 146</v>
      </c>
      <c r="AE658" s="11" t="str">
        <f>VLOOKUP(L658,'[1]singkron data'!D:P,13,FALSE)</f>
        <v>sudah</v>
      </c>
      <c r="AF658" s="11" t="s">
        <v>55</v>
      </c>
      <c r="AG658" s="11" t="e">
        <f>VLOOKUP(L658,'[1]update kontrak'!E:K,6,FALSE)</f>
        <v>#N/A</v>
      </c>
      <c r="AH658" s="11" t="e">
        <f>VLOOKUP(L658,'[1]update kontrak'!E:K,7,FALSE)</f>
        <v>#N/A</v>
      </c>
      <c r="AI658" s="11" t="s">
        <v>58</v>
      </c>
      <c r="AJ658" s="11" t="str">
        <f>VLOOKUP(L658,[1]rekap!D:M,1,FALSE)</f>
        <v>Bulontiyo Barat</v>
      </c>
      <c r="AK658" s="11" t="str">
        <f>VLOOKUP(L658,'[1]singkron data'!D:E,2,FALSE)</f>
        <v>CV. THERESIA PUTRI PERMATA</v>
      </c>
      <c r="AL658" s="11" t="str">
        <f>VLOOKUP(L658,'[1]update 521'!D:D,1,FALSE)</f>
        <v>Bulontiyo Barat</v>
      </c>
      <c r="AM658" s="11" t="s">
        <v>57</v>
      </c>
      <c r="AN658" s="17">
        <f>VLOOKUP(L658,[1]Sheet19!E:L,8,FALSE)</f>
        <v>4410784617.96</v>
      </c>
      <c r="AO658" s="11" t="str">
        <f>VLOOKUP(L658,[1]Sheet19!E:K,7,FALSE)</f>
        <v>SPPBJ</v>
      </c>
      <c r="AP658" s="12"/>
    </row>
    <row r="659" spans="1:42" ht="15" x14ac:dyDescent="0.2">
      <c r="A659" s="8" t="s">
        <v>42</v>
      </c>
      <c r="B659" s="9" t="s">
        <v>43</v>
      </c>
      <c r="C659" s="9">
        <v>683</v>
      </c>
      <c r="D659" s="9" t="s">
        <v>1112</v>
      </c>
      <c r="E659" s="9">
        <v>214</v>
      </c>
      <c r="F659" s="9" t="s">
        <v>1584</v>
      </c>
      <c r="G659" s="9" t="s">
        <v>1243</v>
      </c>
      <c r="H659" s="9" t="s">
        <v>287</v>
      </c>
      <c r="I659" s="9" t="s">
        <v>1244</v>
      </c>
      <c r="J659" s="9" t="s">
        <v>1588</v>
      </c>
      <c r="K659" s="9" t="s">
        <v>1590</v>
      </c>
      <c r="L659" s="10" t="s">
        <v>1590</v>
      </c>
      <c r="M659" s="9" t="s">
        <v>51</v>
      </c>
      <c r="N659" s="9">
        <v>110</v>
      </c>
      <c r="O659" s="9">
        <v>53</v>
      </c>
      <c r="P659" s="9">
        <v>22</v>
      </c>
      <c r="Q659" s="9">
        <v>75</v>
      </c>
      <c r="R659" s="9">
        <v>0.91</v>
      </c>
      <c r="S659" s="9">
        <v>0.99301099999999998</v>
      </c>
      <c r="T659" s="9">
        <v>122.369187</v>
      </c>
      <c r="U659" s="9" t="s">
        <v>52</v>
      </c>
      <c r="V659" s="11" t="str">
        <f>VLOOKUP(L659,'[1]singkron data'!D:E,2,FALSE)</f>
        <v>CV. THERESIA PUTRI PERMATA</v>
      </c>
      <c r="W659" s="13">
        <f>VLOOKUP(L659,'[1]data 1129'!F:H,3,FALSE)</f>
        <v>6312774000</v>
      </c>
      <c r="X659" s="11" t="s">
        <v>55</v>
      </c>
      <c r="Y659" s="11">
        <f>VLOOKUP(L659,'[1]singkron data'!D:H,5,FALSE)</f>
        <v>0</v>
      </c>
      <c r="Z659" s="11">
        <f>VLOOKUP(L659,'[1]singkron data'!D:I,6,FALSE)</f>
        <v>0</v>
      </c>
      <c r="AA659" s="11" t="s">
        <v>1587</v>
      </c>
      <c r="AB659" s="11" t="s">
        <v>54</v>
      </c>
      <c r="AC659" s="11" t="str">
        <f>VLOOKUP(L659,'[1]singkron data'!D:M,10,FALSE)</f>
        <v>Hyl</v>
      </c>
      <c r="AD659" s="11" t="str">
        <f>VLOOKUP(L659,'[1]data 1129'!F:O,10,FALSE)</f>
        <v>Tahap II 146</v>
      </c>
      <c r="AE659" s="11" t="str">
        <f>VLOOKUP(L659,'[1]singkron data'!D:P,13,FALSE)</f>
        <v>sudah</v>
      </c>
      <c r="AF659" s="11" t="s">
        <v>55</v>
      </c>
      <c r="AG659" s="11" t="e">
        <f>VLOOKUP(L659,'[1]update kontrak'!E:K,6,FALSE)</f>
        <v>#N/A</v>
      </c>
      <c r="AH659" s="11" t="e">
        <f>VLOOKUP(L659,'[1]update kontrak'!E:K,7,FALSE)</f>
        <v>#N/A</v>
      </c>
      <c r="AI659" s="11" t="s">
        <v>58</v>
      </c>
      <c r="AJ659" s="11" t="str">
        <f>VLOOKUP(L659,[1]rekap!D:M,1,FALSE)</f>
        <v>Kasia</v>
      </c>
      <c r="AK659" s="11" t="str">
        <f>VLOOKUP(L659,'[1]singkron data'!D:E,2,FALSE)</f>
        <v>CV. THERESIA PUTRI PERMATA</v>
      </c>
      <c r="AL659" s="11" t="str">
        <f>VLOOKUP(L659,'[1]update 521'!D:D,1,FALSE)</f>
        <v>Kasia</v>
      </c>
      <c r="AM659" s="11" t="s">
        <v>57</v>
      </c>
      <c r="AN659" s="17">
        <f>VLOOKUP(L659,[1]Sheet19!E:L,8,FALSE)</f>
        <v>4072431852.75</v>
      </c>
      <c r="AO659" s="11" t="str">
        <f>VLOOKUP(L659,[1]Sheet19!E:K,7,FALSE)</f>
        <v>SPPBJ</v>
      </c>
      <c r="AP659" s="12"/>
    </row>
    <row r="660" spans="1:42" ht="15" x14ac:dyDescent="0.2">
      <c r="A660" s="8" t="s">
        <v>42</v>
      </c>
      <c r="B660" s="9" t="s">
        <v>43</v>
      </c>
      <c r="C660" s="9">
        <v>684</v>
      </c>
      <c r="D660" s="9" t="s">
        <v>1112</v>
      </c>
      <c r="E660" s="9">
        <v>215</v>
      </c>
      <c r="F660" s="9" t="s">
        <v>1584</v>
      </c>
      <c r="G660" s="9" t="s">
        <v>1243</v>
      </c>
      <c r="H660" s="9" t="s">
        <v>287</v>
      </c>
      <c r="I660" s="9" t="s">
        <v>1244</v>
      </c>
      <c r="J660" s="9" t="s">
        <v>1588</v>
      </c>
      <c r="K660" s="9" t="s">
        <v>1591</v>
      </c>
      <c r="L660" s="10" t="s">
        <v>1591</v>
      </c>
      <c r="M660" s="9" t="s">
        <v>51</v>
      </c>
      <c r="N660" s="9">
        <v>44</v>
      </c>
      <c r="O660" s="9">
        <v>13</v>
      </c>
      <c r="P660" s="9">
        <v>43</v>
      </c>
      <c r="Q660" s="9">
        <v>56</v>
      </c>
      <c r="R660" s="9">
        <v>0.68</v>
      </c>
      <c r="S660" s="9">
        <v>0.99347200000000002</v>
      </c>
      <c r="T660" s="9">
        <v>122.43075</v>
      </c>
      <c r="U660" s="9" t="s">
        <v>52</v>
      </c>
      <c r="V660" s="11" t="str">
        <f>VLOOKUP(L660,'[1]singkron data'!D:E,2,FALSE)</f>
        <v>CV. THERESIA PUTRI PERMATA</v>
      </c>
      <c r="W660" s="13">
        <f>VLOOKUP(L660,'[1]data 1129'!F:H,3,FALSE)</f>
        <v>6312774000</v>
      </c>
      <c r="X660" s="11" t="s">
        <v>55</v>
      </c>
      <c r="Y660" s="11">
        <f>VLOOKUP(L660,'[1]singkron data'!D:H,5,FALSE)</f>
        <v>0</v>
      </c>
      <c r="Z660" s="11">
        <f>VLOOKUP(L660,'[1]singkron data'!D:I,6,FALSE)</f>
        <v>0</v>
      </c>
      <c r="AA660" s="11" t="s">
        <v>1587</v>
      </c>
      <c r="AB660" s="11" t="s">
        <v>54</v>
      </c>
      <c r="AC660" s="11" t="str">
        <f>VLOOKUP(L660,'[1]singkron data'!D:M,10,FALSE)</f>
        <v>Hyl</v>
      </c>
      <c r="AD660" s="11" t="str">
        <f>VLOOKUP(L660,'[1]data 1129'!F:O,10,FALSE)</f>
        <v>Tahap IV 200</v>
      </c>
      <c r="AE660" s="11" t="str">
        <f>VLOOKUP(L660,'[1]singkron data'!D:P,13,FALSE)</f>
        <v>sudah</v>
      </c>
      <c r="AF660" s="11" t="s">
        <v>55</v>
      </c>
      <c r="AG660" s="11" t="e">
        <f>VLOOKUP(L660,'[1]update kontrak'!E:K,6,FALSE)</f>
        <v>#N/A</v>
      </c>
      <c r="AH660" s="11" t="e">
        <f>VLOOKUP(L660,'[1]update kontrak'!E:K,7,FALSE)</f>
        <v>#N/A</v>
      </c>
      <c r="AI660" s="11" t="s">
        <v>58</v>
      </c>
      <c r="AJ660" s="11" t="str">
        <f>VLOOKUP(L660,[1]rekap!D:M,1,FALSE)</f>
        <v>Hutakalo</v>
      </c>
      <c r="AK660" s="11" t="str">
        <f>VLOOKUP(L660,'[1]singkron data'!D:E,2,FALSE)</f>
        <v>CV. THERESIA PUTRI PERMATA</v>
      </c>
      <c r="AL660" s="11" t="str">
        <f>VLOOKUP(L660,'[1]update 521'!D:D,1,FALSE)</f>
        <v>Hutakalo</v>
      </c>
      <c r="AM660" s="11" t="s">
        <v>57</v>
      </c>
      <c r="AN660" s="17">
        <f>VLOOKUP(L660,[1]Sheet19!E:L,8,FALSE)</f>
        <v>4082799662.3400002</v>
      </c>
      <c r="AO660" s="11" t="str">
        <f>VLOOKUP(L660,[1]Sheet19!E:K,7,FALSE)</f>
        <v>SPPBJ</v>
      </c>
      <c r="AP660" s="12"/>
    </row>
    <row r="661" spans="1:42" ht="15" x14ac:dyDescent="0.2">
      <c r="A661" s="8" t="s">
        <v>42</v>
      </c>
      <c r="B661" s="9" t="s">
        <v>43</v>
      </c>
      <c r="C661" s="9">
        <v>685</v>
      </c>
      <c r="D661" s="9" t="s">
        <v>1112</v>
      </c>
      <c r="E661" s="9">
        <v>216</v>
      </c>
      <c r="F661" s="9" t="s">
        <v>1592</v>
      </c>
      <c r="G661" s="9" t="s">
        <v>1243</v>
      </c>
      <c r="H661" s="9" t="s">
        <v>287</v>
      </c>
      <c r="I661" s="9" t="s">
        <v>1439</v>
      </c>
      <c r="J661" s="9" t="s">
        <v>1593</v>
      </c>
      <c r="K661" s="9" t="s">
        <v>1594</v>
      </c>
      <c r="L661" s="10" t="s">
        <v>1594</v>
      </c>
      <c r="M661" s="9" t="s">
        <v>51</v>
      </c>
      <c r="N661" s="9">
        <v>46</v>
      </c>
      <c r="O661" s="9">
        <v>11</v>
      </c>
      <c r="P661" s="9">
        <v>15</v>
      </c>
      <c r="Q661" s="9">
        <v>26</v>
      </c>
      <c r="R661" s="9">
        <v>0.13</v>
      </c>
      <c r="S661" s="9">
        <v>0.32383400000000001</v>
      </c>
      <c r="T661" s="9">
        <v>123.277512</v>
      </c>
      <c r="U661" s="9" t="s">
        <v>52</v>
      </c>
      <c r="V661" s="11" t="str">
        <f>VLOOKUP(L661,'[1]singkron data'!D:E,2,FALSE)</f>
        <v>CV. Koperu Sejahtera</v>
      </c>
      <c r="W661" s="13">
        <f>VLOOKUP(L661,'[1]data 1129'!F:H,3,FALSE)</f>
        <v>6312946000</v>
      </c>
      <c r="X661" s="11" t="s">
        <v>55</v>
      </c>
      <c r="Y661" s="11">
        <f>VLOOKUP(L661,'[1]singkron data'!D:H,5,FALSE)</f>
        <v>0</v>
      </c>
      <c r="Z661" s="11">
        <f>VLOOKUP(L661,'[1]singkron data'!D:I,6,FALSE)</f>
        <v>0</v>
      </c>
      <c r="AA661" s="11">
        <f>VLOOKUP(L661,'[1]singkron data'!D:L,9,FALSE)</f>
        <v>82353388135</v>
      </c>
      <c r="AB661" s="11" t="s">
        <v>54</v>
      </c>
      <c r="AC661" s="11" t="str">
        <f>VLOOKUP(L661,'[1]singkron data'!D:M,10,FALSE)</f>
        <v>fraksi roem - new</v>
      </c>
      <c r="AD661" s="11" t="str">
        <f>VLOOKUP(L661,'[1]data 1129'!F:O,10,FALSE)</f>
        <v>Tahap II 146</v>
      </c>
      <c r="AE661" s="11" t="str">
        <f>VLOOKUP(L661,'[1]singkron data'!D:P,13,FALSE)</f>
        <v>sudah</v>
      </c>
      <c r="AF661" s="11" t="s">
        <v>55</v>
      </c>
      <c r="AG661" s="11" t="e">
        <f>VLOOKUP(L661,'[1]update kontrak'!E:K,6,FALSE)</f>
        <v>#N/A</v>
      </c>
      <c r="AH661" s="11" t="e">
        <f>VLOOKUP(L661,'[1]update kontrak'!E:K,7,FALSE)</f>
        <v>#N/A</v>
      </c>
      <c r="AI661" s="11" t="s">
        <v>58</v>
      </c>
      <c r="AJ661" s="11" t="str">
        <f>VLOOKUP(L661,[1]rekap!D:M,1,FALSE)</f>
        <v>Mopuya</v>
      </c>
      <c r="AK661" s="11" t="str">
        <f>VLOOKUP(L661,'[1]singkron data'!D:E,2,FALSE)</f>
        <v>CV. Koperu Sejahtera</v>
      </c>
      <c r="AL661" s="11" t="str">
        <f>VLOOKUP(L661,'[1]update 521'!D:D,1,FALSE)</f>
        <v>Mopuya</v>
      </c>
      <c r="AM661" s="11" t="s">
        <v>57</v>
      </c>
      <c r="AN661" s="11" t="e">
        <f>VLOOKUP(L661,[1]Sheet19!E:L,8,FALSE)</f>
        <v>#N/A</v>
      </c>
      <c r="AO661" s="11" t="s">
        <v>58</v>
      </c>
      <c r="AP661" s="12"/>
    </row>
    <row r="662" spans="1:42" ht="15" x14ac:dyDescent="0.2">
      <c r="A662" s="8" t="s">
        <v>42</v>
      </c>
      <c r="B662" s="9" t="s">
        <v>43</v>
      </c>
      <c r="C662" s="9">
        <v>686</v>
      </c>
      <c r="D662" s="9" t="s">
        <v>1112</v>
      </c>
      <c r="E662" s="9">
        <v>217</v>
      </c>
      <c r="F662" s="9" t="s">
        <v>1595</v>
      </c>
      <c r="G662" s="9" t="s">
        <v>1114</v>
      </c>
      <c r="H662" s="9" t="s">
        <v>287</v>
      </c>
      <c r="I662" s="9" t="s">
        <v>1440</v>
      </c>
      <c r="J662" s="9" t="s">
        <v>1596</v>
      </c>
      <c r="K662" s="9" t="s">
        <v>1597</v>
      </c>
      <c r="L662" s="10" t="s">
        <v>1597</v>
      </c>
      <c r="M662" s="9" t="s">
        <v>51</v>
      </c>
      <c r="N662" s="9">
        <v>136</v>
      </c>
      <c r="O662" s="9" t="s">
        <v>72</v>
      </c>
      <c r="P662" s="9">
        <v>143</v>
      </c>
      <c r="Q662" s="9">
        <v>143</v>
      </c>
      <c r="R662" s="9">
        <v>0.67</v>
      </c>
      <c r="S662" s="9">
        <v>-4.8320740000000004</v>
      </c>
      <c r="T662" s="9">
        <v>120.35132</v>
      </c>
      <c r="U662" s="9" t="s">
        <v>52</v>
      </c>
      <c r="V662" s="11" t="str">
        <f>VLOOKUP(L662,'[1]singkron data'!D:E,2,FALSE)</f>
        <v>PT. Kamefeda Wijaya Indonesia</v>
      </c>
      <c r="W662" s="13">
        <f>VLOOKUP(L662,'[1]data 1129'!F:H,3,FALSE)</f>
        <v>7290184000</v>
      </c>
      <c r="X662" s="11" t="s">
        <v>55</v>
      </c>
      <c r="Y662" s="11" t="str">
        <f>VLOOKUP(L662,'[1]singkron data'!D:H,5,FALSE)</f>
        <v>Makassar</v>
      </c>
      <c r="Z662" s="11" t="str">
        <f>VLOOKUP(L662,'[1]singkron data'!D:I,6,FALSE)</f>
        <v>Online</v>
      </c>
      <c r="AA662" s="11" t="str">
        <f>VLOOKUP(L662,'[1]singkron data'!D:L,9,FALSE)</f>
        <v>081241979999/ANDI</v>
      </c>
      <c r="AB662" s="11" t="s">
        <v>54</v>
      </c>
      <c r="AC662" s="11" t="str">
        <f>VLOOKUP(L662,'[1]singkron data'!D:M,10,FALSE)</f>
        <v>TK</v>
      </c>
      <c r="AD662" s="11" t="str">
        <f>VLOOKUP(L662,'[1]data 1129'!F:O,10,FALSE)</f>
        <v>Tahap II 146</v>
      </c>
      <c r="AE662" s="11" t="str">
        <f>VLOOKUP(L662,'[1]singkron data'!D:P,13,FALSE)</f>
        <v>sudah</v>
      </c>
      <c r="AF662" s="11" t="s">
        <v>55</v>
      </c>
      <c r="AG662" s="17">
        <f>VLOOKUP(L662,'[1]update kontrak'!E:K,6,FALSE)</f>
        <v>5846610000</v>
      </c>
      <c r="AH662" s="11" t="str">
        <f>VLOOKUP(L662,'[1]update kontrak'!E:K,7,FALSE)</f>
        <v>SPPBJ</v>
      </c>
      <c r="AI662" s="11" t="s">
        <v>58</v>
      </c>
      <c r="AJ662" s="11" t="str">
        <f>VLOOKUP(L662,[1]rekap!D:M,1,FALSE)</f>
        <v>Ujung Salangketo</v>
      </c>
      <c r="AK662" s="11" t="str">
        <f>VLOOKUP(L662,'[1]singkron data'!D:E,2,FALSE)</f>
        <v>PT. Kamefeda Wijaya Indonesia</v>
      </c>
      <c r="AL662" s="11" t="str">
        <f>VLOOKUP(L662,'[1]update 521'!D:D,1,FALSE)</f>
        <v>Ujung Salangketo</v>
      </c>
      <c r="AM662" s="11" t="s">
        <v>57</v>
      </c>
      <c r="AN662" s="17">
        <f>VLOOKUP(L662,[1]Sheet19!E:L,8,FALSE)</f>
        <v>5846610000</v>
      </c>
      <c r="AO662" s="11" t="str">
        <f>VLOOKUP(L662,[1]Sheet19!E:K,7,FALSE)</f>
        <v>KONTRAK</v>
      </c>
      <c r="AP662" s="12" t="s">
        <v>41</v>
      </c>
    </row>
    <row r="663" spans="1:42" ht="15" x14ac:dyDescent="0.2">
      <c r="A663" s="8" t="s">
        <v>42</v>
      </c>
      <c r="B663" s="9" t="s">
        <v>43</v>
      </c>
      <c r="C663" s="9">
        <v>687</v>
      </c>
      <c r="D663" s="9" t="s">
        <v>1112</v>
      </c>
      <c r="E663" s="9">
        <v>218</v>
      </c>
      <c r="F663" s="9" t="s">
        <v>1595</v>
      </c>
      <c r="G663" s="9" t="s">
        <v>1114</v>
      </c>
      <c r="H663" s="9" t="s">
        <v>287</v>
      </c>
      <c r="I663" s="9" t="s">
        <v>1440</v>
      </c>
      <c r="J663" s="9" t="s">
        <v>1598</v>
      </c>
      <c r="K663" s="9" t="s">
        <v>1599</v>
      </c>
      <c r="L663" s="10" t="s">
        <v>1599</v>
      </c>
      <c r="M663" s="9" t="s">
        <v>51</v>
      </c>
      <c r="N663" s="9">
        <v>200</v>
      </c>
      <c r="O663" s="9">
        <v>3</v>
      </c>
      <c r="P663" s="9">
        <v>150</v>
      </c>
      <c r="Q663" s="9">
        <v>153</v>
      </c>
      <c r="R663" s="9">
        <v>0.8</v>
      </c>
      <c r="S663" s="9">
        <v>-4.9839000000000002</v>
      </c>
      <c r="T663" s="9">
        <v>120.29770000000001</v>
      </c>
      <c r="U663" s="9" t="s">
        <v>52</v>
      </c>
      <c r="V663" s="11" t="str">
        <f>VLOOKUP(L663,'[1]singkron data'!D:E,2,FALSE)</f>
        <v>PT. Kamefeda Wijaya Indonesia</v>
      </c>
      <c r="W663" s="13">
        <f>VLOOKUP(L663,'[1]data 1129'!F:H,3,FALSE)</f>
        <v>5395645000</v>
      </c>
      <c r="X663" s="11" t="s">
        <v>55</v>
      </c>
      <c r="Y663" s="11" t="str">
        <f>VLOOKUP(L663,'[1]singkron data'!D:H,5,FALSE)</f>
        <v>Makassar</v>
      </c>
      <c r="Z663" s="11" t="str">
        <f>VLOOKUP(L663,'[1]singkron data'!D:I,6,FALSE)</f>
        <v>Online</v>
      </c>
      <c r="AA663" s="11" t="str">
        <f>VLOOKUP(L663,'[1]singkron data'!D:L,9,FALSE)</f>
        <v>081241979999/ANDI</v>
      </c>
      <c r="AB663" s="11" t="s">
        <v>54</v>
      </c>
      <c r="AC663" s="11" t="str">
        <f>VLOOKUP(L663,'[1]singkron data'!D:M,10,FALSE)</f>
        <v>TK</v>
      </c>
      <c r="AD663" s="11" t="str">
        <f>VLOOKUP(L663,'[1]data 1129'!F:O,10,FALSE)</f>
        <v>Tahap II 146</v>
      </c>
      <c r="AE663" s="11" t="str">
        <f>VLOOKUP(L663,'[1]singkron data'!D:P,13,FALSE)</f>
        <v>sudah</v>
      </c>
      <c r="AF663" s="11" t="s">
        <v>55</v>
      </c>
      <c r="AG663" s="17">
        <f>VLOOKUP(L663,'[1]update kontrak'!E:K,6,FALSE)</f>
        <v>4659492000</v>
      </c>
      <c r="AH663" s="11" t="str">
        <f>VLOOKUP(L663,'[1]update kontrak'!E:K,7,FALSE)</f>
        <v>SPPBJ</v>
      </c>
      <c r="AI663" s="11" t="s">
        <v>58</v>
      </c>
      <c r="AJ663" s="11" t="str">
        <f>VLOOKUP(L663,[1]rekap!D:M,1,FALSE)</f>
        <v>Bacu</v>
      </c>
      <c r="AK663" s="11" t="str">
        <f>VLOOKUP(L663,'[1]singkron data'!D:E,2,FALSE)</f>
        <v>PT. Kamefeda Wijaya Indonesia</v>
      </c>
      <c r="AL663" s="11" t="str">
        <f>VLOOKUP(L663,'[1]update 521'!D:D,1,FALSE)</f>
        <v>Bacu</v>
      </c>
      <c r="AM663" s="11" t="s">
        <v>57</v>
      </c>
      <c r="AN663" s="17">
        <f>VLOOKUP(L663,[1]Sheet19!E:L,8,FALSE)</f>
        <v>4659492000</v>
      </c>
      <c r="AO663" s="11" t="str">
        <f>VLOOKUP(L663,[1]Sheet19!E:K,7,FALSE)</f>
        <v>KONTRAK</v>
      </c>
      <c r="AP663" s="12" t="s">
        <v>41</v>
      </c>
    </row>
    <row r="664" spans="1:42" ht="15" x14ac:dyDescent="0.2">
      <c r="A664" s="8" t="s">
        <v>42</v>
      </c>
      <c r="B664" s="9" t="s">
        <v>43</v>
      </c>
      <c r="C664" s="9">
        <v>688</v>
      </c>
      <c r="D664" s="9" t="s">
        <v>1112</v>
      </c>
      <c r="E664" s="9">
        <v>219</v>
      </c>
      <c r="F664" s="9" t="s">
        <v>1595</v>
      </c>
      <c r="G664" s="9" t="s">
        <v>1114</v>
      </c>
      <c r="H664" s="9" t="s">
        <v>287</v>
      </c>
      <c r="I664" s="9" t="s">
        <v>1600</v>
      </c>
      <c r="J664" s="9" t="s">
        <v>1601</v>
      </c>
      <c r="K664" s="9" t="s">
        <v>1602</v>
      </c>
      <c r="L664" s="10" t="s">
        <v>1602</v>
      </c>
      <c r="M664" s="9" t="s">
        <v>51</v>
      </c>
      <c r="N664" s="9">
        <v>348</v>
      </c>
      <c r="O664" s="9">
        <v>50</v>
      </c>
      <c r="P664" s="9">
        <v>300</v>
      </c>
      <c r="Q664" s="9">
        <v>350</v>
      </c>
      <c r="R664" s="9">
        <v>1</v>
      </c>
      <c r="S664" s="9">
        <v>-5.2002360000000003</v>
      </c>
      <c r="T664" s="9">
        <v>120.294</v>
      </c>
      <c r="U664" s="9" t="s">
        <v>52</v>
      </c>
      <c r="V664" s="11" t="str">
        <f>VLOOKUP(L664,'[1]singkron data'!D:E,2,FALSE)</f>
        <v>PT. Kamefeda Wijaya Indonesia</v>
      </c>
      <c r="W664" s="13">
        <f>VLOOKUP(L664,'[1]data 1129'!F:H,3,FALSE)</f>
        <v>6359802000</v>
      </c>
      <c r="X664" s="11" t="s">
        <v>55</v>
      </c>
      <c r="Y664" s="11" t="str">
        <f>VLOOKUP(L664,'[1]singkron data'!D:H,5,FALSE)</f>
        <v>Makassar</v>
      </c>
      <c r="Z664" s="11" t="str">
        <f>VLOOKUP(L664,'[1]singkron data'!D:I,6,FALSE)</f>
        <v>Online</v>
      </c>
      <c r="AA664" s="11" t="str">
        <f>VLOOKUP(L664,'[1]singkron data'!D:L,9,FALSE)</f>
        <v>081241979999/ANDI</v>
      </c>
      <c r="AB664" s="11" t="s">
        <v>54</v>
      </c>
      <c r="AC664" s="11" t="str">
        <f>VLOOKUP(L664,'[1]singkron data'!D:M,10,FALSE)</f>
        <v>TK</v>
      </c>
      <c r="AD664" s="11" t="str">
        <f>VLOOKUP(L664,'[1]data 1129'!F:O,10,FALSE)</f>
        <v>Tahap II 146</v>
      </c>
      <c r="AE664" s="11" t="str">
        <f>VLOOKUP(L664,'[1]singkron data'!D:P,13,FALSE)</f>
        <v>sudah</v>
      </c>
      <c r="AF664" s="11" t="s">
        <v>55</v>
      </c>
      <c r="AG664" s="17">
        <f>VLOOKUP(L664,'[1]update kontrak'!E:K,6,FALSE)</f>
        <v>5864784000</v>
      </c>
      <c r="AH664" s="11" t="str">
        <f>VLOOKUP(L664,'[1]update kontrak'!E:K,7,FALSE)</f>
        <v>SPPBJ</v>
      </c>
      <c r="AI664" s="11" t="s">
        <v>58</v>
      </c>
      <c r="AJ664" s="11" t="str">
        <f>VLOOKUP(L664,[1]rekap!D:M,1,FALSE)</f>
        <v>Sanjai</v>
      </c>
      <c r="AK664" s="11" t="str">
        <f>VLOOKUP(L664,'[1]singkron data'!D:E,2,FALSE)</f>
        <v>PT. Kamefeda Wijaya Indonesia</v>
      </c>
      <c r="AL664" s="11" t="str">
        <f>VLOOKUP(L664,'[1]update 521'!D:D,1,FALSE)</f>
        <v>Sanjai</v>
      </c>
      <c r="AM664" s="11" t="s">
        <v>57</v>
      </c>
      <c r="AN664" s="17">
        <f>VLOOKUP(L664,[1]Sheet19!E:L,8,FALSE)</f>
        <v>5864784000</v>
      </c>
      <c r="AO664" s="11" t="str">
        <f>VLOOKUP(L664,[1]Sheet19!E:K,7,FALSE)</f>
        <v>KONTRAK</v>
      </c>
      <c r="AP664" s="12" t="s">
        <v>41</v>
      </c>
    </row>
    <row r="665" spans="1:42" ht="15" x14ac:dyDescent="0.2">
      <c r="A665" s="8" t="s">
        <v>42</v>
      </c>
      <c r="B665" s="9" t="s">
        <v>43</v>
      </c>
      <c r="C665" s="9">
        <v>689</v>
      </c>
      <c r="D665" s="9" t="s">
        <v>1112</v>
      </c>
      <c r="E665" s="9">
        <v>220</v>
      </c>
      <c r="F665" s="9" t="s">
        <v>1595</v>
      </c>
      <c r="G665" s="9" t="s">
        <v>1114</v>
      </c>
      <c r="H665" s="9" t="s">
        <v>287</v>
      </c>
      <c r="I665" s="9" t="s">
        <v>1440</v>
      </c>
      <c r="J665" s="9" t="s">
        <v>1598</v>
      </c>
      <c r="K665" s="9" t="s">
        <v>1603</v>
      </c>
      <c r="L665" s="10" t="s">
        <v>1603</v>
      </c>
      <c r="M665" s="9" t="s">
        <v>81</v>
      </c>
      <c r="N665" s="9">
        <v>415</v>
      </c>
      <c r="O665" s="9">
        <v>15</v>
      </c>
      <c r="P665" s="9">
        <v>300</v>
      </c>
      <c r="Q665" s="9">
        <v>315</v>
      </c>
      <c r="R665" s="9">
        <v>0.95</v>
      </c>
      <c r="S665" s="9">
        <v>-4.9143848999999999</v>
      </c>
      <c r="T665" s="9">
        <v>120.3018125</v>
      </c>
      <c r="U665" s="9" t="s">
        <v>52</v>
      </c>
      <c r="V665" s="11" t="str">
        <f>VLOOKUP(L665,'[1]singkron data'!D:E,2,FALSE)</f>
        <v>PT. Kamefeda Wijaya Indonesia</v>
      </c>
      <c r="W665" s="13">
        <f>VLOOKUP(L665,'[1]data 1129'!F:H,3,FALSE)</f>
        <v>5390312000</v>
      </c>
      <c r="X665" s="11" t="s">
        <v>55</v>
      </c>
      <c r="Y665" s="11" t="str">
        <f>VLOOKUP(L665,'[1]singkron data'!D:H,5,FALSE)</f>
        <v>Makassar</v>
      </c>
      <c r="Z665" s="11" t="str">
        <f>VLOOKUP(L665,'[1]singkron data'!D:I,6,FALSE)</f>
        <v>Online</v>
      </c>
      <c r="AA665" s="11" t="str">
        <f>VLOOKUP(L665,'[1]singkron data'!D:L,9,FALSE)</f>
        <v>081241979999/ANDI</v>
      </c>
      <c r="AB665" s="11" t="s">
        <v>54</v>
      </c>
      <c r="AC665" s="11" t="str">
        <f>VLOOKUP(L665,'[1]singkron data'!D:M,10,FALSE)</f>
        <v>TK</v>
      </c>
      <c r="AD665" s="11" t="str">
        <f>VLOOKUP(L665,'[1]data 1129'!F:O,10,FALSE)</f>
        <v>Tahap II 146</v>
      </c>
      <c r="AE665" s="11" t="str">
        <f>VLOOKUP(L665,'[1]singkron data'!D:P,13,FALSE)</f>
        <v>sudah</v>
      </c>
      <c r="AF665" s="11" t="s">
        <v>55</v>
      </c>
      <c r="AG665" s="11" t="e">
        <f>VLOOKUP(L665,'[1]update kontrak'!E:K,6,FALSE)</f>
        <v>#N/A</v>
      </c>
      <c r="AH665" s="11" t="e">
        <f>VLOOKUP(L665,'[1]update kontrak'!E:K,7,FALSE)</f>
        <v>#N/A</v>
      </c>
      <c r="AI665" s="11" t="s">
        <v>58</v>
      </c>
      <c r="AJ665" s="11" t="str">
        <f>VLOOKUP(L665,[1]rekap!D:M,1,FALSE)</f>
        <v>Bulu Bulu</v>
      </c>
      <c r="AK665" s="11" t="str">
        <f>VLOOKUP(L665,'[1]singkron data'!D:E,2,FALSE)</f>
        <v>PT. Kamefeda Wijaya Indonesia</v>
      </c>
      <c r="AL665" s="11" t="str">
        <f>VLOOKUP(L665,'[1]update 521'!D:D,1,FALSE)</f>
        <v>Bulu Bulu</v>
      </c>
      <c r="AM665" s="11" t="s">
        <v>57</v>
      </c>
      <c r="AN665" s="17">
        <f>VLOOKUP(L665,[1]Sheet19!E:L,8,FALSE)</f>
        <v>4700690000</v>
      </c>
      <c r="AO665" s="11" t="str">
        <f>VLOOKUP(L665,[1]Sheet19!E:K,7,FALSE)</f>
        <v>KONTRAK</v>
      </c>
      <c r="AP665" s="12" t="s">
        <v>41</v>
      </c>
    </row>
    <row r="666" spans="1:42" ht="15" x14ac:dyDescent="0.2">
      <c r="A666" s="8" t="s">
        <v>42</v>
      </c>
      <c r="B666" s="9" t="s">
        <v>43</v>
      </c>
      <c r="C666" s="9">
        <v>690</v>
      </c>
      <c r="D666" s="9" t="s">
        <v>1112</v>
      </c>
      <c r="E666" s="9">
        <v>221</v>
      </c>
      <c r="F666" s="9" t="s">
        <v>1604</v>
      </c>
      <c r="G666" s="9" t="s">
        <v>1243</v>
      </c>
      <c r="H666" s="9" t="s">
        <v>287</v>
      </c>
      <c r="I666" s="9" t="s">
        <v>1492</v>
      </c>
      <c r="J666" s="9" t="s">
        <v>1605</v>
      </c>
      <c r="K666" s="9" t="s">
        <v>1606</v>
      </c>
      <c r="L666" s="10" t="s">
        <v>1606</v>
      </c>
      <c r="M666" s="9" t="s">
        <v>65</v>
      </c>
      <c r="N666" s="9">
        <v>278</v>
      </c>
      <c r="O666" s="9">
        <v>29</v>
      </c>
      <c r="P666" s="9">
        <v>123</v>
      </c>
      <c r="Q666" s="9">
        <v>152</v>
      </c>
      <c r="R666" s="9">
        <v>1.2</v>
      </c>
      <c r="S666" s="9">
        <v>0.484904</v>
      </c>
      <c r="T666" s="9">
        <v>121.44051</v>
      </c>
      <c r="U666" s="9" t="s">
        <v>52</v>
      </c>
      <c r="V666" s="11" t="str">
        <f>VLOOKUP(L666,'[1]singkron data'!D:E,2,FALSE)</f>
        <v>CV. Khayra Berkah Konstruksindo</v>
      </c>
      <c r="W666" s="13">
        <f>VLOOKUP(L666,'[1]data 1129'!F:H,3,FALSE)</f>
        <v>8053817000</v>
      </c>
      <c r="X666" s="11" t="s">
        <v>55</v>
      </c>
      <c r="Y666" s="11" t="str">
        <f>VLOOKUP(L666,'[1]singkron data'!D:H,5,FALSE)</f>
        <v>Surabaya</v>
      </c>
      <c r="Z666" s="11" t="str">
        <f>VLOOKUP(L666,'[1]singkron data'!D:I,6,FALSE)</f>
        <v>Online</v>
      </c>
      <c r="AA666" s="11" t="s">
        <v>1607</v>
      </c>
      <c r="AB666" s="11" t="s">
        <v>54</v>
      </c>
      <c r="AC666" s="11" t="str">
        <f>VLOOKUP(L666,'[1]singkron data'!D:M,10,FALSE)</f>
        <v>Sekgol-Put</v>
      </c>
      <c r="AD666" s="11" t="str">
        <f>VLOOKUP(L666,'[1]data 1129'!F:O,10,FALSE)</f>
        <v>Tahap II 146</v>
      </c>
      <c r="AE666" s="11" t="str">
        <f>VLOOKUP(L666,'[1]singkron data'!D:P,13,FALSE)</f>
        <v>sudah</v>
      </c>
      <c r="AF666" s="11" t="s">
        <v>55</v>
      </c>
      <c r="AG666" s="11" t="e">
        <f>VLOOKUP(L666,'[1]update kontrak'!E:K,6,FALSE)</f>
        <v>#N/A</v>
      </c>
      <c r="AH666" s="11" t="e">
        <f>VLOOKUP(L666,'[1]update kontrak'!E:K,7,FALSE)</f>
        <v>#N/A</v>
      </c>
      <c r="AI666" s="11" t="s">
        <v>58</v>
      </c>
      <c r="AJ666" s="11" t="str">
        <f>VLOOKUP(L666,[1]rekap!D:M,1,FALSE)</f>
        <v>Torosiaje Jaya</v>
      </c>
      <c r="AK666" s="11" t="str">
        <f>VLOOKUP(L666,'[1]singkron data'!D:E,2,FALSE)</f>
        <v>CV. Khayra Berkah Konstruksindo</v>
      </c>
      <c r="AL666" s="11" t="str">
        <f>VLOOKUP(L666,'[1]update 521'!D:D,1,FALSE)</f>
        <v>Torosiaje Jaya</v>
      </c>
      <c r="AM666" s="11" t="s">
        <v>57</v>
      </c>
      <c r="AN666" s="17">
        <f>VLOOKUP(L666,[1]Sheet19!E:L,8,FALSE)</f>
        <v>6410301000</v>
      </c>
      <c r="AO666" s="11" t="str">
        <f>VLOOKUP(L666,[1]Sheet19!E:K,7,FALSE)</f>
        <v>KONTRAK</v>
      </c>
      <c r="AP666" s="12" t="s">
        <v>41</v>
      </c>
    </row>
    <row r="667" spans="1:42" ht="15" x14ac:dyDescent="0.2">
      <c r="A667" s="8" t="s">
        <v>42</v>
      </c>
      <c r="B667" s="9" t="s">
        <v>43</v>
      </c>
      <c r="C667" s="9">
        <v>691</v>
      </c>
      <c r="D667" s="9" t="s">
        <v>1112</v>
      </c>
      <c r="E667" s="9">
        <v>222</v>
      </c>
      <c r="F667" s="9" t="s">
        <v>1604</v>
      </c>
      <c r="G667" s="9" t="s">
        <v>1243</v>
      </c>
      <c r="H667" s="9" t="s">
        <v>287</v>
      </c>
      <c r="I667" s="9" t="s">
        <v>1492</v>
      </c>
      <c r="J667" s="9" t="s">
        <v>1608</v>
      </c>
      <c r="K667" s="9" t="s">
        <v>1609</v>
      </c>
      <c r="L667" s="10" t="s">
        <v>1609</v>
      </c>
      <c r="M667" s="9" t="s">
        <v>51</v>
      </c>
      <c r="N667" s="9">
        <v>201</v>
      </c>
      <c r="O667" s="9">
        <v>30</v>
      </c>
      <c r="P667" s="9">
        <v>20</v>
      </c>
      <c r="Q667" s="9">
        <v>50</v>
      </c>
      <c r="R667" s="9">
        <v>2</v>
      </c>
      <c r="S667" s="9">
        <v>0.51331700000000002</v>
      </c>
      <c r="T667" s="9">
        <v>121.685191</v>
      </c>
      <c r="U667" s="9" t="s">
        <v>52</v>
      </c>
      <c r="V667" s="11" t="str">
        <f>VLOOKUP(L667,'[1]singkron data'!D:E,2,FALSE)</f>
        <v>CV. Khayra Berkah Konstruksindo</v>
      </c>
      <c r="W667" s="13">
        <f>VLOOKUP(L667,'[1]data 1129'!F:H,3,FALSE)</f>
        <v>6312946000</v>
      </c>
      <c r="X667" s="11" t="s">
        <v>55</v>
      </c>
      <c r="Y667" s="11" t="str">
        <f>VLOOKUP(L667,'[1]singkron data'!D:H,5,FALSE)</f>
        <v>Surabaya</v>
      </c>
      <c r="Z667" s="11" t="str">
        <f>VLOOKUP(L667,'[1]singkron data'!D:I,6,FALSE)</f>
        <v>Online</v>
      </c>
      <c r="AA667" s="11" t="s">
        <v>1607</v>
      </c>
      <c r="AB667" s="11" t="s">
        <v>54</v>
      </c>
      <c r="AC667" s="11" t="str">
        <f>VLOOKUP(L667,'[1]singkron data'!D:M,10,FALSE)</f>
        <v>Sekgol-Put</v>
      </c>
      <c r="AD667" s="11" t="str">
        <f>VLOOKUP(L667,'[1]data 1129'!F:O,10,FALSE)</f>
        <v>Tahap II 146</v>
      </c>
      <c r="AE667" s="11" t="str">
        <f>VLOOKUP(L667,'[1]singkron data'!D:P,13,FALSE)</f>
        <v>sudah</v>
      </c>
      <c r="AF667" s="11" t="s">
        <v>55</v>
      </c>
      <c r="AG667" s="11" t="e">
        <f>VLOOKUP(L667,'[1]update kontrak'!E:K,6,FALSE)</f>
        <v>#N/A</v>
      </c>
      <c r="AH667" s="11" t="e">
        <f>VLOOKUP(L667,'[1]update kontrak'!E:K,7,FALSE)</f>
        <v>#N/A</v>
      </c>
      <c r="AI667" s="11" t="s">
        <v>58</v>
      </c>
      <c r="AJ667" s="11" t="str">
        <f>VLOOKUP(L667,[1]rekap!D:M,1,FALSE)</f>
        <v>Wonggarasi Timur</v>
      </c>
      <c r="AK667" s="11" t="str">
        <f>VLOOKUP(L667,'[1]singkron data'!D:E,2,FALSE)</f>
        <v>CV. Khayra Berkah Konstruksindo</v>
      </c>
      <c r="AL667" s="11" t="str">
        <f>VLOOKUP(L667,'[1]update 521'!D:D,1,FALSE)</f>
        <v>Wonggarasi Timur</v>
      </c>
      <c r="AM667" s="11" t="s">
        <v>57</v>
      </c>
      <c r="AN667" s="17">
        <f>VLOOKUP(L667,[1]Sheet19!E:L,8,FALSE)</f>
        <v>4320024779</v>
      </c>
      <c r="AO667" s="11" t="str">
        <f>VLOOKUP(L667,[1]Sheet19!E:K,7,FALSE)</f>
        <v>KONTRAK</v>
      </c>
      <c r="AP667" s="12" t="s">
        <v>41</v>
      </c>
    </row>
    <row r="668" spans="1:42" ht="15" x14ac:dyDescent="0.2">
      <c r="A668" s="8" t="s">
        <v>42</v>
      </c>
      <c r="B668" s="9" t="s">
        <v>43</v>
      </c>
      <c r="C668" s="9">
        <v>692</v>
      </c>
      <c r="D668" s="9" t="s">
        <v>1112</v>
      </c>
      <c r="E668" s="9">
        <v>223</v>
      </c>
      <c r="F668" s="9" t="s">
        <v>1604</v>
      </c>
      <c r="G668" s="9" t="s">
        <v>1243</v>
      </c>
      <c r="H668" s="9" t="s">
        <v>287</v>
      </c>
      <c r="I668" s="9" t="s">
        <v>1492</v>
      </c>
      <c r="J668" s="9" t="s">
        <v>1610</v>
      </c>
      <c r="K668" s="9" t="s">
        <v>1611</v>
      </c>
      <c r="L668" s="10" t="s">
        <v>1611</v>
      </c>
      <c r="M668" s="9" t="s">
        <v>51</v>
      </c>
      <c r="N668" s="9">
        <v>39</v>
      </c>
      <c r="O668" s="9">
        <v>12</v>
      </c>
      <c r="P668" s="9">
        <v>27</v>
      </c>
      <c r="Q668" s="9">
        <v>39</v>
      </c>
      <c r="R668" s="9">
        <v>1.37</v>
      </c>
      <c r="S668" s="9">
        <v>0.54083300000000001</v>
      </c>
      <c r="T668" s="9">
        <v>121.579083</v>
      </c>
      <c r="U668" s="9" t="s">
        <v>52</v>
      </c>
      <c r="V668" s="11" t="str">
        <f>VLOOKUP(L668,'[1]singkron data'!D:E,2,FALSE)</f>
        <v>PT. Professional Construction Indonesia (Kecil)</v>
      </c>
      <c r="W668" s="13">
        <f>VLOOKUP(L668,'[1]data 1129'!F:H,3,FALSE)</f>
        <v>3185492000</v>
      </c>
      <c r="X668" s="11" t="s">
        <v>55</v>
      </c>
      <c r="Y668" s="11">
        <f>VLOOKUP(L668,'[1]singkron data'!D:H,5,FALSE)</f>
        <v>0</v>
      </c>
      <c r="Z668" s="11" t="str">
        <f>VLOOKUP(L668,'[1]singkron data'!D:I,6,FALSE)</f>
        <v>Online</v>
      </c>
      <c r="AA668" s="11" t="str">
        <f>VLOOKUP(L668,'[1]singkron data'!D:L,9,FALSE)</f>
        <v>082190571252/daud</v>
      </c>
      <c r="AB668" s="11" t="s">
        <v>54</v>
      </c>
      <c r="AC668" s="11" t="str">
        <f>VLOOKUP(L668,'[1]singkron data'!D:M,10,FALSE)</f>
        <v>galuh</v>
      </c>
      <c r="AD668" s="11" t="str">
        <f>VLOOKUP(L668,'[1]data 1129'!F:O,10,FALSE)</f>
        <v>Tahap III 166</v>
      </c>
      <c r="AE668" s="11" t="str">
        <f>VLOOKUP(L668,'[1]singkron data'!D:P,13,FALSE)</f>
        <v>sudah</v>
      </c>
      <c r="AF668" s="11" t="s">
        <v>55</v>
      </c>
      <c r="AG668" s="11" t="e">
        <f>VLOOKUP(L668,'[1]update kontrak'!E:K,6,FALSE)</f>
        <v>#N/A</v>
      </c>
      <c r="AH668" s="11" t="e">
        <f>VLOOKUP(L668,'[1]update kontrak'!E:K,7,FALSE)</f>
        <v>#N/A</v>
      </c>
      <c r="AI668" s="11" t="s">
        <v>58</v>
      </c>
      <c r="AJ668" s="11" t="str">
        <f>VLOOKUP(L668,[1]rekap!D:M,1,FALSE)</f>
        <v>Wonggarasi Barat</v>
      </c>
      <c r="AK668" s="11" t="str">
        <f>VLOOKUP(L668,'[1]singkron data'!D:E,2,FALSE)</f>
        <v>PT. Professional Construction Indonesia (Kecil)</v>
      </c>
      <c r="AL668" s="11" t="str">
        <f>VLOOKUP(L668,'[1]update 521'!D:D,1,FALSE)</f>
        <v>Wonggarasi Barat</v>
      </c>
      <c r="AM668" s="11" t="s">
        <v>57</v>
      </c>
      <c r="AN668" s="17">
        <f>VLOOKUP(L668,[1]Sheet19!E:L,8,FALSE)</f>
        <v>4294992000</v>
      </c>
      <c r="AO668" s="11" t="str">
        <f>VLOOKUP(L668,[1]Sheet19!E:K,7,FALSE)</f>
        <v>SPPBJ</v>
      </c>
      <c r="AP668" s="12"/>
    </row>
    <row r="669" spans="1:42" ht="15" x14ac:dyDescent="0.2">
      <c r="A669" s="8" t="s">
        <v>42</v>
      </c>
      <c r="B669" s="9" t="s">
        <v>43</v>
      </c>
      <c r="C669" s="9">
        <v>693</v>
      </c>
      <c r="D669" s="9" t="s">
        <v>1112</v>
      </c>
      <c r="E669" s="9">
        <v>224</v>
      </c>
      <c r="F669" s="9" t="s">
        <v>1604</v>
      </c>
      <c r="G669" s="9" t="s">
        <v>1243</v>
      </c>
      <c r="H669" s="9" t="s">
        <v>287</v>
      </c>
      <c r="I669" s="9" t="s">
        <v>1492</v>
      </c>
      <c r="J669" s="9" t="s">
        <v>1612</v>
      </c>
      <c r="K669" s="9" t="s">
        <v>1613</v>
      </c>
      <c r="L669" s="10" t="s">
        <v>1613</v>
      </c>
      <c r="M669" s="9" t="s">
        <v>51</v>
      </c>
      <c r="N669" s="9">
        <v>55</v>
      </c>
      <c r="O669" s="9">
        <v>2</v>
      </c>
      <c r="P669" s="9">
        <v>52</v>
      </c>
      <c r="Q669" s="9">
        <v>54</v>
      </c>
      <c r="R669" s="9">
        <v>1.44</v>
      </c>
      <c r="S669" s="9">
        <v>0.48788900000000002</v>
      </c>
      <c r="T669" s="9">
        <v>121.41466699999999</v>
      </c>
      <c r="U669" s="9" t="s">
        <v>52</v>
      </c>
      <c r="V669" s="11" t="str">
        <f>VLOOKUP(L669,'[1]singkron data'!D:E,2,FALSE)</f>
        <v>CV. Khayra Berkah Konstruksindo</v>
      </c>
      <c r="W669" s="13">
        <f>VLOOKUP(L669,'[1]data 1129'!F:H,3,FALSE)</f>
        <v>6312774000</v>
      </c>
      <c r="X669" s="11" t="s">
        <v>55</v>
      </c>
      <c r="Y669" s="11" t="str">
        <f>VLOOKUP(L669,'[1]singkron data'!D:H,5,FALSE)</f>
        <v>Surabaya</v>
      </c>
      <c r="Z669" s="11" t="str">
        <f>VLOOKUP(L669,'[1]singkron data'!D:I,6,FALSE)</f>
        <v>Online</v>
      </c>
      <c r="AA669" s="11" t="s">
        <v>1607</v>
      </c>
      <c r="AB669" s="11" t="s">
        <v>54</v>
      </c>
      <c r="AC669" s="11" t="str">
        <f>VLOOKUP(L669,'[1]singkron data'!D:M,10,FALSE)</f>
        <v>Sekgol-Put</v>
      </c>
      <c r="AD669" s="11" t="str">
        <f>VLOOKUP(L669,'[1]data 1129'!F:O,10,FALSE)</f>
        <v>Tahap IV 200</v>
      </c>
      <c r="AE669" s="11" t="str">
        <f>VLOOKUP(L669,'[1]singkron data'!D:P,13,FALSE)</f>
        <v>sudah</v>
      </c>
      <c r="AF669" s="11" t="s">
        <v>55</v>
      </c>
      <c r="AG669" s="11" t="e">
        <f>VLOOKUP(L669,'[1]update kontrak'!E:K,6,FALSE)</f>
        <v>#N/A</v>
      </c>
      <c r="AH669" s="11" t="e">
        <f>VLOOKUP(L669,'[1]update kontrak'!E:K,7,FALSE)</f>
        <v>#N/A</v>
      </c>
      <c r="AI669" s="11" t="s">
        <v>58</v>
      </c>
      <c r="AJ669" s="11" t="str">
        <f>VLOOKUP(L669,[1]rekap!D:M,1,FALSE)</f>
        <v>Dudewulo</v>
      </c>
      <c r="AK669" s="11" t="str">
        <f>VLOOKUP(L669,'[1]singkron data'!D:E,2,FALSE)</f>
        <v>CV. Khayra Berkah Konstruksindo</v>
      </c>
      <c r="AL669" s="11" t="str">
        <f>VLOOKUP(L669,'[1]update 521'!D:D,1,FALSE)</f>
        <v>Dudewulo</v>
      </c>
      <c r="AM669" s="11" t="s">
        <v>57</v>
      </c>
      <c r="AN669" s="17">
        <f>VLOOKUP(L669,[1]Sheet19!E:L,8,FALSE)</f>
        <v>4208158512.8299999</v>
      </c>
      <c r="AO669" s="11" t="str">
        <f>VLOOKUP(L669,[1]Sheet19!E:K,7,FALSE)</f>
        <v>KONTRAK</v>
      </c>
      <c r="AP669" s="12" t="s">
        <v>41</v>
      </c>
    </row>
    <row r="670" spans="1:42" ht="15" x14ac:dyDescent="0.2">
      <c r="A670" s="8" t="s">
        <v>42</v>
      </c>
      <c r="B670" s="9" t="s">
        <v>43</v>
      </c>
      <c r="C670" s="9">
        <v>694</v>
      </c>
      <c r="D670" s="9" t="s">
        <v>1112</v>
      </c>
      <c r="E670" s="9">
        <v>225</v>
      </c>
      <c r="F670" s="9" t="s">
        <v>1604</v>
      </c>
      <c r="G670" s="9" t="s">
        <v>1243</v>
      </c>
      <c r="H670" s="9" t="s">
        <v>287</v>
      </c>
      <c r="I670" s="9" t="s">
        <v>1492</v>
      </c>
      <c r="J670" s="9" t="s">
        <v>1614</v>
      </c>
      <c r="K670" s="9" t="s">
        <v>1615</v>
      </c>
      <c r="L670" s="10" t="s">
        <v>1615</v>
      </c>
      <c r="M670" s="9" t="s">
        <v>51</v>
      </c>
      <c r="N670" s="9">
        <v>56</v>
      </c>
      <c r="O670" s="9" t="s">
        <v>72</v>
      </c>
      <c r="P670" s="9">
        <v>57</v>
      </c>
      <c r="Q670" s="9">
        <v>57</v>
      </c>
      <c r="R670" s="9">
        <v>0.45</v>
      </c>
      <c r="S670" s="9">
        <v>0.53141700000000003</v>
      </c>
      <c r="T670" s="9">
        <v>121.50788900000001</v>
      </c>
      <c r="U670" s="9" t="s">
        <v>52</v>
      </c>
      <c r="V670" s="11" t="str">
        <f>VLOOKUP(L670,'[1]singkron data'!D:E,2,FALSE)</f>
        <v>CV. Khayra Berkah Konstruksindo</v>
      </c>
      <c r="W670" s="13">
        <f>VLOOKUP(L670,'[1]data 1129'!F:H,3,FALSE)</f>
        <v>6312774000</v>
      </c>
      <c r="X670" s="11" t="s">
        <v>55</v>
      </c>
      <c r="Y670" s="11" t="str">
        <f>VLOOKUP(L670,'[1]singkron data'!D:H,5,FALSE)</f>
        <v>Surabaya</v>
      </c>
      <c r="Z670" s="11" t="str">
        <f>VLOOKUP(L670,'[1]singkron data'!D:I,6,FALSE)</f>
        <v>Online</v>
      </c>
      <c r="AA670" s="11" t="s">
        <v>1607</v>
      </c>
      <c r="AB670" s="11" t="s">
        <v>54</v>
      </c>
      <c r="AC670" s="11" t="str">
        <f>VLOOKUP(L670,'[1]singkron data'!D:M,10,FALSE)</f>
        <v>Sekgol-Put</v>
      </c>
      <c r="AD670" s="11" t="str">
        <f>VLOOKUP(L670,'[1]data 1129'!F:O,10,FALSE)</f>
        <v>Tahap IV 200</v>
      </c>
      <c r="AE670" s="11" t="str">
        <f>VLOOKUP(L670,'[1]singkron data'!D:P,13,FALSE)</f>
        <v>sudah</v>
      </c>
      <c r="AF670" s="11" t="s">
        <v>55</v>
      </c>
      <c r="AG670" s="11" t="e">
        <f>VLOOKUP(L670,'[1]update kontrak'!E:K,6,FALSE)</f>
        <v>#N/A</v>
      </c>
      <c r="AH670" s="11" t="e">
        <f>VLOOKUP(L670,'[1]update kontrak'!E:K,7,FALSE)</f>
        <v>#N/A</v>
      </c>
      <c r="AI670" s="11" t="s">
        <v>58</v>
      </c>
      <c r="AJ670" s="11" t="str">
        <f>VLOOKUP(L670,[1]rekap!D:M,1,FALSE)</f>
        <v>Milangodaa</v>
      </c>
      <c r="AK670" s="11" t="str">
        <f>VLOOKUP(L670,'[1]singkron data'!D:E,2,FALSE)</f>
        <v>CV. Khayra Berkah Konstruksindo</v>
      </c>
      <c r="AL670" s="11" t="str">
        <f>VLOOKUP(L670,'[1]update 521'!D:D,1,FALSE)</f>
        <v>Milangodaa</v>
      </c>
      <c r="AM670" s="11" t="s">
        <v>57</v>
      </c>
      <c r="AN670" s="17">
        <f>VLOOKUP(L670,[1]Sheet19!E:L,8,FALSE)</f>
        <v>2977701166.4200001</v>
      </c>
      <c r="AO670" s="11" t="str">
        <f>VLOOKUP(L670,[1]Sheet19!E:K,7,FALSE)</f>
        <v>KONTRAK</v>
      </c>
      <c r="AP670" s="12" t="s">
        <v>41</v>
      </c>
    </row>
    <row r="671" spans="1:42" ht="15" x14ac:dyDescent="0.2">
      <c r="A671" s="8" t="s">
        <v>42</v>
      </c>
      <c r="B671" s="9" t="s">
        <v>43</v>
      </c>
      <c r="C671" s="9">
        <v>695</v>
      </c>
      <c r="D671" s="9" t="s">
        <v>1112</v>
      </c>
      <c r="E671" s="9">
        <v>226</v>
      </c>
      <c r="F671" s="9" t="s">
        <v>1604</v>
      </c>
      <c r="G671" s="9" t="s">
        <v>1243</v>
      </c>
      <c r="H671" s="9" t="s">
        <v>287</v>
      </c>
      <c r="I671" s="9" t="s">
        <v>1492</v>
      </c>
      <c r="J671" s="9" t="s">
        <v>1610</v>
      </c>
      <c r="K671" s="9" t="s">
        <v>1610</v>
      </c>
      <c r="L671" s="10" t="s">
        <v>1610</v>
      </c>
      <c r="M671" s="9" t="s">
        <v>81</v>
      </c>
      <c r="N671" s="9">
        <v>234</v>
      </c>
      <c r="O671" s="9">
        <v>6</v>
      </c>
      <c r="P671" s="9">
        <v>200</v>
      </c>
      <c r="Q671" s="9">
        <v>206</v>
      </c>
      <c r="R671" s="9">
        <v>0.25</v>
      </c>
      <c r="S671" s="9">
        <v>0.53691699999999998</v>
      </c>
      <c r="T671" s="9">
        <v>121.571417</v>
      </c>
      <c r="U671" s="9" t="s">
        <v>52</v>
      </c>
      <c r="V671" s="11" t="str">
        <f>VLOOKUP(L671,'[1]singkron data'!D:E,2,FALSE)</f>
        <v>PT. Professional Construction Indonesia (Kecil)</v>
      </c>
      <c r="W671" s="13">
        <f>VLOOKUP(L671,'[1]data 1129'!F:H,3,FALSE)</f>
        <v>6312774000</v>
      </c>
      <c r="X671" s="11"/>
      <c r="Y671" s="11">
        <f>VLOOKUP(L671,'[1]singkron data'!D:H,5,FALSE)</f>
        <v>0</v>
      </c>
      <c r="Z671" s="11" t="str">
        <f>VLOOKUP(L671,'[1]singkron data'!D:I,6,FALSE)</f>
        <v>Online</v>
      </c>
      <c r="AA671" s="11" t="str">
        <f>VLOOKUP(L671,'[1]singkron data'!D:L,9,FALSE)</f>
        <v>082190571252/daud</v>
      </c>
      <c r="AB671" s="11" t="s">
        <v>54</v>
      </c>
      <c r="AC671" s="11" t="str">
        <f>VLOOKUP(L671,'[1]singkron data'!D:M,10,FALSE)</f>
        <v>galuh</v>
      </c>
      <c r="AD671" s="11" t="str">
        <f>VLOOKUP(L671,'[1]data 1129'!F:O,10,FALSE)</f>
        <v>Tahap IV 200</v>
      </c>
      <c r="AE671" s="11" t="str">
        <f>VLOOKUP(L671,'[1]singkron data'!D:P,13,FALSE)</f>
        <v>Tim baru</v>
      </c>
      <c r="AF671" s="11" t="s">
        <v>55</v>
      </c>
      <c r="AG671" s="11" t="e">
        <f>VLOOKUP(L671,'[1]update kontrak'!E:K,6,FALSE)</f>
        <v>#N/A</v>
      </c>
      <c r="AH671" s="11" t="e">
        <f>VLOOKUP(L671,'[1]update kontrak'!E:K,7,FALSE)</f>
        <v>#N/A</v>
      </c>
      <c r="AI671" s="11"/>
      <c r="AJ671" s="11" t="str">
        <f>VLOOKUP(L671,[1]rekap!D:M,1,FALSE)</f>
        <v>Lemito</v>
      </c>
      <c r="AK671" s="11" t="str">
        <f>VLOOKUP(L671,'[1]singkron data'!D:E,2,FALSE)</f>
        <v>PT. Professional Construction Indonesia (Kecil)</v>
      </c>
      <c r="AL671" s="11" t="str">
        <f>VLOOKUP(L671,'[1]update 521'!D:D,1,FALSE)</f>
        <v>Lemito</v>
      </c>
      <c r="AM671" s="11" t="s">
        <v>1253</v>
      </c>
      <c r="AN671" s="11" t="e">
        <f>VLOOKUP(L671,[1]Sheet19!E:L,8,FALSE)</f>
        <v>#N/A</v>
      </c>
      <c r="AO671" s="11" t="s">
        <v>58</v>
      </c>
      <c r="AP671" s="12"/>
    </row>
    <row r="672" spans="1:42" ht="15" x14ac:dyDescent="0.2">
      <c r="A672" s="8" t="s">
        <v>42</v>
      </c>
      <c r="B672" s="9" t="s">
        <v>43</v>
      </c>
      <c r="C672" s="9">
        <v>696</v>
      </c>
      <c r="D672" s="9" t="s">
        <v>1112</v>
      </c>
      <c r="E672" s="9">
        <v>227</v>
      </c>
      <c r="F672" s="9" t="s">
        <v>1616</v>
      </c>
      <c r="G672" s="9" t="s">
        <v>1141</v>
      </c>
      <c r="H672" s="9" t="s">
        <v>287</v>
      </c>
      <c r="I672" s="9" t="s">
        <v>1617</v>
      </c>
      <c r="J672" s="9" t="s">
        <v>1618</v>
      </c>
      <c r="K672" s="9" t="s">
        <v>1616</v>
      </c>
      <c r="L672" s="10" t="s">
        <v>1616</v>
      </c>
      <c r="M672" s="9" t="s">
        <v>65</v>
      </c>
      <c r="N672" s="9">
        <v>260</v>
      </c>
      <c r="O672" s="9" t="s">
        <v>72</v>
      </c>
      <c r="P672" s="9">
        <v>260</v>
      </c>
      <c r="Q672" s="9">
        <v>260</v>
      </c>
      <c r="R672" s="9">
        <v>0.5</v>
      </c>
      <c r="S672" s="9">
        <v>-4.4841879999999996</v>
      </c>
      <c r="T672" s="9">
        <v>122.25212500000001</v>
      </c>
      <c r="U672" s="9" t="s">
        <v>52</v>
      </c>
      <c r="V672" s="11" t="str">
        <f>VLOOKUP(L672,'[1]singkron data'!D:E,2,FALSE)</f>
        <v>CV. Sangkaropi Mandiri</v>
      </c>
      <c r="W672" s="13">
        <f>VLOOKUP(L672,'[1]data 1129'!F:H,3,FALSE)</f>
        <v>8231000000</v>
      </c>
      <c r="X672" s="11" t="s">
        <v>55</v>
      </c>
      <c r="Y672" s="11" t="str">
        <f>VLOOKUP(L672,'[1]singkron data'!D:H,5,FALSE)</f>
        <v>Kota Kendari</v>
      </c>
      <c r="Z672" s="11" t="str">
        <f>VLOOKUP(L672,'[1]singkron data'!D:I,6,FALSE)</f>
        <v>Offline</v>
      </c>
      <c r="AA672" s="11" t="str">
        <f>VLOOKUP(L672,'[1]singkron data'!D:L,9,FALSE)</f>
        <v>085340427609/ferry</v>
      </c>
      <c r="AB672" s="11" t="s">
        <v>54</v>
      </c>
      <c r="AC672" s="11" t="str">
        <f>VLOOKUP(L672,'[1]singkron data'!D:M,10,FALSE)</f>
        <v>Hyl</v>
      </c>
      <c r="AD672" s="11" t="str">
        <f>VLOOKUP(L672,'[1]data 1129'!F:O,10,FALSE)</f>
        <v>Tahap II 146</v>
      </c>
      <c r="AE672" s="11" t="str">
        <f>VLOOKUP(L672,'[1]singkron data'!D:P,13,FALSE)</f>
        <v>sudah</v>
      </c>
      <c r="AF672" s="11" t="s">
        <v>55</v>
      </c>
      <c r="AG672" s="17">
        <f>VLOOKUP(L672,'[1]update kontrak'!E:K,6,FALSE)</f>
        <v>7419963720</v>
      </c>
      <c r="AH672" s="11" t="str">
        <f>VLOOKUP(L672,'[1]update kontrak'!E:K,7,FALSE)</f>
        <v>SPPBJ</v>
      </c>
      <c r="AI672" s="11" t="s">
        <v>58</v>
      </c>
      <c r="AJ672" s="11" t="str">
        <f>VLOOKUP(L672,[1]rekap!D:M,1,FALSE)</f>
        <v>Torokeku</v>
      </c>
      <c r="AK672" s="11" t="str">
        <f>VLOOKUP(L672,'[1]singkron data'!D:E,2,FALSE)</f>
        <v>CV. Sangkaropi Mandiri</v>
      </c>
      <c r="AL672" s="11" t="str">
        <f>VLOOKUP(L672,'[1]update 521'!D:D,1,FALSE)</f>
        <v>Torokeku</v>
      </c>
      <c r="AM672" s="11" t="s">
        <v>57</v>
      </c>
      <c r="AN672" s="17">
        <f>VLOOKUP(L672,[1]Sheet19!E:L,8,FALSE)</f>
        <v>7419963720</v>
      </c>
      <c r="AO672" s="11" t="str">
        <f>VLOOKUP(L672,[1]Sheet19!E:K,7,FALSE)</f>
        <v>KONTRAK</v>
      </c>
      <c r="AP672" s="12" t="s">
        <v>41</v>
      </c>
    </row>
    <row r="673" spans="1:42" ht="15" x14ac:dyDescent="0.2">
      <c r="A673" s="8" t="s">
        <v>42</v>
      </c>
      <c r="B673" s="9" t="s">
        <v>43</v>
      </c>
      <c r="C673" s="9">
        <v>697</v>
      </c>
      <c r="D673" s="9" t="s">
        <v>1112</v>
      </c>
      <c r="E673" s="9">
        <v>228</v>
      </c>
      <c r="F673" s="9" t="s">
        <v>1616</v>
      </c>
      <c r="G673" s="9" t="s">
        <v>1141</v>
      </c>
      <c r="H673" s="9" t="s">
        <v>287</v>
      </c>
      <c r="I673" s="9" t="s">
        <v>1617</v>
      </c>
      <c r="J673" s="9" t="s">
        <v>1619</v>
      </c>
      <c r="K673" s="9" t="s">
        <v>1620</v>
      </c>
      <c r="L673" s="10" t="s">
        <v>1620</v>
      </c>
      <c r="M673" s="9" t="s">
        <v>51</v>
      </c>
      <c r="N673" s="9">
        <v>91</v>
      </c>
      <c r="O673" s="9">
        <v>2</v>
      </c>
      <c r="P673" s="9">
        <v>86</v>
      </c>
      <c r="Q673" s="9">
        <v>88</v>
      </c>
      <c r="R673" s="9">
        <v>1</v>
      </c>
      <c r="S673" s="9">
        <v>-4.4668910000000004</v>
      </c>
      <c r="T673" s="9">
        <v>122.34221100000001</v>
      </c>
      <c r="U673" s="9" t="s">
        <v>52</v>
      </c>
      <c r="V673" s="11" t="str">
        <f>VLOOKUP(L673,'[1]singkron data'!D:E,2,FALSE)</f>
        <v>CV. Sangkaropi Mandiri</v>
      </c>
      <c r="W673" s="13">
        <f>VLOOKUP(L673,'[1]data 1129'!F:H,3,FALSE)</f>
        <v>4500000000</v>
      </c>
      <c r="X673" s="11" t="s">
        <v>55</v>
      </c>
      <c r="Y673" s="11" t="str">
        <f>VLOOKUP(L673,'[1]singkron data'!D:H,5,FALSE)</f>
        <v>Kota Kendari</v>
      </c>
      <c r="Z673" s="11" t="str">
        <f>VLOOKUP(L673,'[1]singkron data'!D:I,6,FALSE)</f>
        <v>Offline</v>
      </c>
      <c r="AA673" s="11" t="str">
        <f>VLOOKUP(L673,'[1]singkron data'!D:L,9,FALSE)</f>
        <v>085340427609/ferry</v>
      </c>
      <c r="AB673" s="11" t="s">
        <v>54</v>
      </c>
      <c r="AC673" s="11" t="str">
        <f>VLOOKUP(L673,'[1]singkron data'!D:M,10,FALSE)</f>
        <v>Hyl</v>
      </c>
      <c r="AD673" s="11" t="str">
        <f>VLOOKUP(L673,'[1]data 1129'!F:O,10,FALSE)</f>
        <v>Tahap II 146</v>
      </c>
      <c r="AE673" s="11" t="str">
        <f>VLOOKUP(L673,'[1]singkron data'!D:P,13,FALSE)</f>
        <v>sudah</v>
      </c>
      <c r="AF673" s="11" t="s">
        <v>55</v>
      </c>
      <c r="AG673" s="17">
        <f>VLOOKUP(L673,'[1]update kontrak'!E:K,6,FALSE)</f>
        <v>5646881910</v>
      </c>
      <c r="AH673" s="11" t="str">
        <f>VLOOKUP(L673,'[1]update kontrak'!E:K,7,FALSE)</f>
        <v>SPPBJ</v>
      </c>
      <c r="AI673" s="11" t="s">
        <v>58</v>
      </c>
      <c r="AJ673" s="11" t="str">
        <f>VLOOKUP(L673,[1]rekap!D:M,1,FALSE)</f>
        <v>Lakara</v>
      </c>
      <c r="AK673" s="11" t="str">
        <f>VLOOKUP(L673,'[1]singkron data'!D:E,2,FALSE)</f>
        <v>CV. Sangkaropi Mandiri</v>
      </c>
      <c r="AL673" s="11" t="str">
        <f>VLOOKUP(L673,'[1]update 521'!D:D,1,FALSE)</f>
        <v>Lakara</v>
      </c>
      <c r="AM673" s="11" t="s">
        <v>57</v>
      </c>
      <c r="AN673" s="17">
        <f>VLOOKUP(L673,[1]Sheet19!E:L,8,FALSE)</f>
        <v>5646881910</v>
      </c>
      <c r="AO673" s="11" t="str">
        <f>VLOOKUP(L673,[1]Sheet19!E:K,7,FALSE)</f>
        <v>KONTRAK</v>
      </c>
      <c r="AP673" s="12" t="s">
        <v>41</v>
      </c>
    </row>
    <row r="674" spans="1:42" ht="15" x14ac:dyDescent="0.2">
      <c r="A674" s="8" t="s">
        <v>42</v>
      </c>
      <c r="B674" s="9" t="s">
        <v>43</v>
      </c>
      <c r="C674" s="9">
        <v>698</v>
      </c>
      <c r="D674" s="9" t="s">
        <v>1112</v>
      </c>
      <c r="E674" s="9">
        <v>229</v>
      </c>
      <c r="F674" s="9" t="s">
        <v>1621</v>
      </c>
      <c r="G674" s="9" t="s">
        <v>1114</v>
      </c>
      <c r="H674" s="9" t="s">
        <v>287</v>
      </c>
      <c r="I674" s="9" t="s">
        <v>1448</v>
      </c>
      <c r="J674" s="9" t="s">
        <v>1622</v>
      </c>
      <c r="K674" s="9" t="s">
        <v>1621</v>
      </c>
      <c r="L674" s="10" t="s">
        <v>1621</v>
      </c>
      <c r="M674" s="9" t="s">
        <v>65</v>
      </c>
      <c r="N674" s="9">
        <v>214</v>
      </c>
      <c r="O674" s="9" t="s">
        <v>72</v>
      </c>
      <c r="P674" s="9">
        <v>159</v>
      </c>
      <c r="Q674" s="9">
        <v>159</v>
      </c>
      <c r="R674" s="9">
        <v>4.0999999999999996</v>
      </c>
      <c r="S674" s="9">
        <v>-2.6387805000000002</v>
      </c>
      <c r="T674" s="9">
        <v>121.0872825</v>
      </c>
      <c r="U674" s="9" t="s">
        <v>52</v>
      </c>
      <c r="V674" s="11" t="str">
        <f>VLOOKUP(L674,'[1]singkron data'!D:E,2,FALSE)</f>
        <v>CV. Putra Losa Konstruksi</v>
      </c>
      <c r="W674" s="13">
        <f>VLOOKUP(L674,'[1]data 1129'!F:H,3,FALSE)</f>
        <v>8386434000</v>
      </c>
      <c r="X674" s="11" t="s">
        <v>55</v>
      </c>
      <c r="Y674" s="11" t="str">
        <f>VLOOKUP(L674,'[1]singkron data'!D:H,5,FALSE)</f>
        <v>Toraja</v>
      </c>
      <c r="Z674" s="11" t="str">
        <f>VLOOKUP(L674,'[1]singkron data'!D:I,6,FALSE)</f>
        <v>Offline</v>
      </c>
      <c r="AA674" s="11">
        <f>VLOOKUP(L674,'[1]singkron data'!D:L,9,FALSE)</f>
        <v>0</v>
      </c>
      <c r="AB674" s="11" t="s">
        <v>54</v>
      </c>
      <c r="AC674" s="11" t="str">
        <f>VLOOKUP(L674,'[1]singkron data'!D:M,10,FALSE)</f>
        <v>Hyl</v>
      </c>
      <c r="AD674" s="11" t="str">
        <f>VLOOKUP(L674,'[1]data 1129'!F:O,10,FALSE)</f>
        <v>Tahap II 146</v>
      </c>
      <c r="AE674" s="11" t="str">
        <f>VLOOKUP(L674,'[1]singkron data'!D:P,13,FALSE)</f>
        <v>sudah</v>
      </c>
      <c r="AF674" s="11" t="s">
        <v>55</v>
      </c>
      <c r="AG674" s="17">
        <f>VLOOKUP(L674,'[1]update kontrak'!E:K,6,FALSE)</f>
        <v>7697089625.5799999</v>
      </c>
      <c r="AH674" s="11" t="str">
        <f>VLOOKUP(L674,'[1]update kontrak'!E:K,7,FALSE)</f>
        <v>KONTRAK</v>
      </c>
      <c r="AI674" s="11" t="s">
        <v>41</v>
      </c>
      <c r="AJ674" s="11" t="str">
        <f>VLOOKUP(L674,[1]rekap!D:M,1,FALSE)</f>
        <v>Wewangriu</v>
      </c>
      <c r="AK674" s="11" t="str">
        <f>VLOOKUP(L674,'[1]singkron data'!D:E,2,FALSE)</f>
        <v>CV. Putra Losa Konstruksi</v>
      </c>
      <c r="AL674" s="11" t="str">
        <f>VLOOKUP(L674,'[1]update 521'!D:D,1,FALSE)</f>
        <v>Wewangriu</v>
      </c>
      <c r="AM674" s="11" t="s">
        <v>57</v>
      </c>
      <c r="AN674" s="17">
        <f>VLOOKUP(L674,[1]Sheet19!E:L,8,FALSE)</f>
        <v>7697089625.5799999</v>
      </c>
      <c r="AO674" s="11" t="str">
        <f>VLOOKUP(L674,[1]Sheet19!E:K,7,FALSE)</f>
        <v>KONTRAK</v>
      </c>
      <c r="AP674" s="12" t="s">
        <v>41</v>
      </c>
    </row>
    <row r="675" spans="1:42" ht="15" x14ac:dyDescent="0.2">
      <c r="A675" s="8" t="s">
        <v>42</v>
      </c>
      <c r="B675" s="9" t="s">
        <v>43</v>
      </c>
      <c r="C675" s="9">
        <v>699</v>
      </c>
      <c r="D675" s="9" t="s">
        <v>1112</v>
      </c>
      <c r="E675" s="9">
        <v>230</v>
      </c>
      <c r="F675" s="9" t="s">
        <v>1621</v>
      </c>
      <c r="G675" s="9" t="s">
        <v>1114</v>
      </c>
      <c r="H675" s="9" t="s">
        <v>287</v>
      </c>
      <c r="I675" s="9" t="s">
        <v>1448</v>
      </c>
      <c r="J675" s="9" t="s">
        <v>1622</v>
      </c>
      <c r="K675" s="9" t="s">
        <v>1623</v>
      </c>
      <c r="L675" s="10" t="s">
        <v>1623</v>
      </c>
      <c r="M675" s="9" t="s">
        <v>51</v>
      </c>
      <c r="N675" s="9">
        <v>156</v>
      </c>
      <c r="O675" s="9" t="s">
        <v>72</v>
      </c>
      <c r="P675" s="9">
        <v>156</v>
      </c>
      <c r="Q675" s="9">
        <v>156</v>
      </c>
      <c r="R675" s="9">
        <v>7.0000000000000007E-2</v>
      </c>
      <c r="S675" s="9">
        <v>-2.7195290999999999</v>
      </c>
      <c r="T675" s="9">
        <v>121.0955908</v>
      </c>
      <c r="U675" s="9" t="s">
        <v>52</v>
      </c>
      <c r="V675" s="11" t="str">
        <f>VLOOKUP(L675,'[1]singkron data'!D:E,2,FALSE)</f>
        <v>CV. Putra Losa Konstruksi</v>
      </c>
      <c r="W675" s="13">
        <f>VLOOKUP(L675,'[1]data 1129'!F:H,3,FALSE)</f>
        <v>4435225000</v>
      </c>
      <c r="X675" s="11" t="s">
        <v>55</v>
      </c>
      <c r="Y675" s="11" t="str">
        <f>VLOOKUP(L675,'[1]singkron data'!D:H,5,FALSE)</f>
        <v>Toraja</v>
      </c>
      <c r="Z675" s="11" t="str">
        <f>VLOOKUP(L675,'[1]singkron data'!D:I,6,FALSE)</f>
        <v>Offline</v>
      </c>
      <c r="AA675" s="11">
        <f>VLOOKUP(L675,'[1]singkron data'!D:L,9,FALSE)</f>
        <v>0</v>
      </c>
      <c r="AB675" s="11" t="s">
        <v>54</v>
      </c>
      <c r="AC675" s="11" t="str">
        <f>VLOOKUP(L675,'[1]singkron data'!D:M,10,FALSE)</f>
        <v>Hyl</v>
      </c>
      <c r="AD675" s="11" t="str">
        <f>VLOOKUP(L675,'[1]data 1129'!F:O,10,FALSE)</f>
        <v>Tahap II 146</v>
      </c>
      <c r="AE675" s="11" t="str">
        <f>VLOOKUP(L675,'[1]singkron data'!D:P,13,FALSE)</f>
        <v>sudah</v>
      </c>
      <c r="AF675" s="11" t="s">
        <v>55</v>
      </c>
      <c r="AG675" s="17">
        <f>VLOOKUP(L675,'[1]update kontrak'!E:K,6,FALSE)</f>
        <v>3982120662.1199999</v>
      </c>
      <c r="AH675" s="11" t="str">
        <f>VLOOKUP(L675,'[1]update kontrak'!E:K,7,FALSE)</f>
        <v>KONTRAK</v>
      </c>
      <c r="AI675" s="11" t="s">
        <v>41</v>
      </c>
      <c r="AJ675" s="11" t="str">
        <f>VLOOKUP(L675,[1]rekap!D:M,1,FALSE)</f>
        <v>Harapan</v>
      </c>
      <c r="AK675" s="11" t="str">
        <f>VLOOKUP(L675,'[1]singkron data'!D:E,2,FALSE)</f>
        <v>CV. Putra Losa Konstruksi</v>
      </c>
      <c r="AL675" s="11" t="str">
        <f>VLOOKUP(L675,'[1]update 521'!D:D,1,FALSE)</f>
        <v>Harapan</v>
      </c>
      <c r="AM675" s="11" t="s">
        <v>57</v>
      </c>
      <c r="AN675" s="17">
        <f>VLOOKUP(L675,[1]Sheet19!E:L,8,FALSE)</f>
        <v>3982120662.1199999</v>
      </c>
      <c r="AO675" s="11" t="str">
        <f>VLOOKUP(L675,[1]Sheet19!E:K,7,FALSE)</f>
        <v>KONTRAK</v>
      </c>
      <c r="AP675" s="12" t="s">
        <v>41</v>
      </c>
    </row>
    <row r="676" spans="1:42" ht="15" x14ac:dyDescent="0.2">
      <c r="A676" s="8" t="s">
        <v>42</v>
      </c>
      <c r="B676" s="9" t="s">
        <v>43</v>
      </c>
      <c r="C676" s="9">
        <v>700</v>
      </c>
      <c r="D676" s="9" t="s">
        <v>1112</v>
      </c>
      <c r="E676" s="9">
        <v>231</v>
      </c>
      <c r="F676" s="9" t="s">
        <v>1621</v>
      </c>
      <c r="G676" s="9" t="s">
        <v>1114</v>
      </c>
      <c r="H676" s="9" t="s">
        <v>287</v>
      </c>
      <c r="I676" s="9" t="s">
        <v>1448</v>
      </c>
      <c r="J676" s="9" t="s">
        <v>1622</v>
      </c>
      <c r="K676" s="9" t="s">
        <v>1624</v>
      </c>
      <c r="L676" s="10" t="s">
        <v>1624</v>
      </c>
      <c r="M676" s="9" t="s">
        <v>51</v>
      </c>
      <c r="N676" s="9">
        <v>73</v>
      </c>
      <c r="O676" s="9" t="s">
        <v>72</v>
      </c>
      <c r="P676" s="9">
        <v>73</v>
      </c>
      <c r="Q676" s="9">
        <v>73</v>
      </c>
      <c r="R676" s="9">
        <v>0.16</v>
      </c>
      <c r="S676" s="9">
        <v>-2.7084079999999999</v>
      </c>
      <c r="T676" s="9">
        <v>121.08744299999999</v>
      </c>
      <c r="U676" s="9" t="s">
        <v>52</v>
      </c>
      <c r="V676" s="11" t="str">
        <f>VLOOKUP(L676,'[1]singkron data'!D:E,2,FALSE)</f>
        <v>CV. Sendana Karya</v>
      </c>
      <c r="W676" s="13">
        <f>VLOOKUP(L676,'[1]data 1129'!F:H,3,FALSE)</f>
        <v>3817779000</v>
      </c>
      <c r="X676" s="11" t="s">
        <v>55</v>
      </c>
      <c r="Y676" s="11" t="str">
        <f>VLOOKUP(L676,'[1]singkron data'!D:H,5,FALSE)</f>
        <v>Makassar</v>
      </c>
      <c r="Z676" s="11" t="str">
        <f>VLOOKUP(L676,'[1]singkron data'!D:I,6,FALSE)</f>
        <v>Offline</v>
      </c>
      <c r="AA676" s="11">
        <f>VLOOKUP(L676,'[1]singkron data'!D:L,9,FALSE)</f>
        <v>0</v>
      </c>
      <c r="AB676" s="11" t="s">
        <v>54</v>
      </c>
      <c r="AC676" s="11" t="str">
        <f>VLOOKUP(L676,'[1]singkron data'!D:M,10,FALSE)</f>
        <v>Hyl</v>
      </c>
      <c r="AD676" s="11" t="str">
        <f>VLOOKUP(L676,'[1]data 1129'!F:O,10,FALSE)</f>
        <v>Tahap II 146</v>
      </c>
      <c r="AE676" s="11" t="str">
        <f>VLOOKUP(L676,'[1]singkron data'!D:P,13,FALSE)</f>
        <v>sudah</v>
      </c>
      <c r="AF676" s="11" t="s">
        <v>55</v>
      </c>
      <c r="AG676" s="17">
        <f>VLOOKUP(L676,'[1]update kontrak'!E:K,6,FALSE)</f>
        <v>3480317791.7399998</v>
      </c>
      <c r="AH676" s="11" t="str">
        <f>VLOOKUP(L676,'[1]update kontrak'!E:K,7,FALSE)</f>
        <v>KONTRAK</v>
      </c>
      <c r="AI676" s="11" t="s">
        <v>41</v>
      </c>
      <c r="AJ676" s="11" t="str">
        <f>VLOOKUP(L676,[1]rekap!D:M,1,FALSE)</f>
        <v>Pasi-Pasi</v>
      </c>
      <c r="AK676" s="11" t="str">
        <f>VLOOKUP(L676,'[1]singkron data'!D:E,2,FALSE)</f>
        <v>CV. Sendana Karya</v>
      </c>
      <c r="AL676" s="11" t="str">
        <f>VLOOKUP(L676,'[1]update 521'!D:D,1,FALSE)</f>
        <v>Pasi-Pasi</v>
      </c>
      <c r="AM676" s="11" t="s">
        <v>57</v>
      </c>
      <c r="AN676" s="17">
        <f>VLOOKUP(L676,[1]Sheet19!E:L,8,FALSE)</f>
        <v>3480317791.7399998</v>
      </c>
      <c r="AO676" s="11" t="str">
        <f>VLOOKUP(L676,[1]Sheet19!E:K,7,FALSE)</f>
        <v>KONTRAK</v>
      </c>
      <c r="AP676" s="12" t="s">
        <v>41</v>
      </c>
    </row>
    <row r="677" spans="1:42" ht="15" x14ac:dyDescent="0.2">
      <c r="A677" s="8" t="s">
        <v>42</v>
      </c>
      <c r="B677" s="9" t="s">
        <v>43</v>
      </c>
      <c r="C677" s="9">
        <v>701</v>
      </c>
      <c r="D677" s="9" t="s">
        <v>1112</v>
      </c>
      <c r="E677" s="9">
        <v>232</v>
      </c>
      <c r="F677" s="9" t="s">
        <v>1621</v>
      </c>
      <c r="G677" s="9" t="s">
        <v>1114</v>
      </c>
      <c r="H677" s="9" t="s">
        <v>287</v>
      </c>
      <c r="I677" s="9" t="s">
        <v>1448</v>
      </c>
      <c r="J677" s="9" t="s">
        <v>1622</v>
      </c>
      <c r="K677" s="9" t="s">
        <v>1625</v>
      </c>
      <c r="L677" s="10" t="s">
        <v>1625</v>
      </c>
      <c r="M677" s="9" t="s">
        <v>51</v>
      </c>
      <c r="N677" s="9">
        <v>148</v>
      </c>
      <c r="O677" s="9" t="s">
        <v>72</v>
      </c>
      <c r="P677" s="9">
        <v>44</v>
      </c>
      <c r="Q677" s="9">
        <v>44</v>
      </c>
      <c r="R677" s="9">
        <v>0.4</v>
      </c>
      <c r="S677" s="9">
        <v>-2.6197889999999999</v>
      </c>
      <c r="T677" s="9">
        <v>121.005433</v>
      </c>
      <c r="U677" s="9" t="s">
        <v>52</v>
      </c>
      <c r="V677" s="11" t="str">
        <f>VLOOKUP(L677,'[1]singkron data'!D:E,2,FALSE)</f>
        <v>CV. Sendana Karya</v>
      </c>
      <c r="W677" s="13">
        <f>VLOOKUP(L677,'[1]data 1129'!F:H,3,FALSE)</f>
        <v>6860687000</v>
      </c>
      <c r="X677" s="11" t="s">
        <v>55</v>
      </c>
      <c r="Y677" s="11" t="str">
        <f>VLOOKUP(L677,'[1]singkron data'!D:H,5,FALSE)</f>
        <v>Makassar</v>
      </c>
      <c r="Z677" s="11" t="str">
        <f>VLOOKUP(L677,'[1]singkron data'!D:I,6,FALSE)</f>
        <v>Offline</v>
      </c>
      <c r="AA677" s="11">
        <f>VLOOKUP(L677,'[1]singkron data'!D:L,9,FALSE)</f>
        <v>0</v>
      </c>
      <c r="AB677" s="11" t="s">
        <v>54</v>
      </c>
      <c r="AC677" s="11" t="str">
        <f>VLOOKUP(L677,'[1]singkron data'!D:M,10,FALSE)</f>
        <v>Hyl</v>
      </c>
      <c r="AD677" s="11" t="str">
        <f>VLOOKUP(L677,'[1]data 1129'!F:O,10,FALSE)</f>
        <v>Tahap II 146</v>
      </c>
      <c r="AE677" s="11" t="str">
        <f>VLOOKUP(L677,'[1]singkron data'!D:P,13,FALSE)</f>
        <v>sudah</v>
      </c>
      <c r="AF677" s="11" t="s">
        <v>55</v>
      </c>
      <c r="AG677" s="17">
        <f>VLOOKUP(L677,'[1]update kontrak'!E:K,6,FALSE)</f>
        <v>6578962611.8400002</v>
      </c>
      <c r="AH677" s="11" t="str">
        <f>VLOOKUP(L677,'[1]update kontrak'!E:K,7,FALSE)</f>
        <v>KONTRAK</v>
      </c>
      <c r="AI677" s="11" t="s">
        <v>41</v>
      </c>
      <c r="AJ677" s="11" t="str">
        <f>VLOOKUP(L677,[1]rekap!D:M,1,FALSE)</f>
        <v>Lakawali Pantai</v>
      </c>
      <c r="AK677" s="11" t="str">
        <f>VLOOKUP(L677,'[1]singkron data'!D:E,2,FALSE)</f>
        <v>CV. Sendana Karya</v>
      </c>
      <c r="AL677" s="11" t="str">
        <f>VLOOKUP(L677,'[1]update 521'!D:D,1,FALSE)</f>
        <v>Lakawali Pantai</v>
      </c>
      <c r="AM677" s="11" t="s">
        <v>57</v>
      </c>
      <c r="AN677" s="17">
        <f>VLOOKUP(L677,[1]Sheet19!E:L,8,FALSE)</f>
        <v>6578962611.8400002</v>
      </c>
      <c r="AO677" s="11" t="str">
        <f>VLOOKUP(L677,[1]Sheet19!E:K,7,FALSE)</f>
        <v>KONTRAK</v>
      </c>
      <c r="AP677" s="12" t="s">
        <v>41</v>
      </c>
    </row>
    <row r="678" spans="1:42" ht="15" x14ac:dyDescent="0.2">
      <c r="A678" s="8" t="s">
        <v>42</v>
      </c>
      <c r="B678" s="9" t="s">
        <v>43</v>
      </c>
      <c r="C678" s="9">
        <v>702</v>
      </c>
      <c r="D678" s="9" t="s">
        <v>1112</v>
      </c>
      <c r="E678" s="9">
        <v>233</v>
      </c>
      <c r="F678" s="9" t="s">
        <v>1621</v>
      </c>
      <c r="G678" s="9" t="s">
        <v>1141</v>
      </c>
      <c r="H678" s="9" t="s">
        <v>287</v>
      </c>
      <c r="I678" s="9" t="s">
        <v>1626</v>
      </c>
      <c r="J678" s="9" t="s">
        <v>1627</v>
      </c>
      <c r="K678" s="9" t="s">
        <v>1628</v>
      </c>
      <c r="L678" s="10" t="s">
        <v>1628</v>
      </c>
      <c r="M678" s="9" t="s">
        <v>51</v>
      </c>
      <c r="N678" s="9">
        <v>114</v>
      </c>
      <c r="O678" s="9">
        <v>13</v>
      </c>
      <c r="P678" s="9">
        <v>101</v>
      </c>
      <c r="Q678" s="9">
        <v>114</v>
      </c>
      <c r="R678" s="9">
        <v>0.8</v>
      </c>
      <c r="S678" s="9">
        <v>-3.1075523</v>
      </c>
      <c r="T678" s="9">
        <v>121.04610529999999</v>
      </c>
      <c r="U678" s="9" t="s">
        <v>52</v>
      </c>
      <c r="V678" s="11" t="str">
        <f>VLOOKUP(L678,'[1]singkron data'!D:E,2,FALSE)</f>
        <v>PT. Tavoo Barakah Nusantara</v>
      </c>
      <c r="W678" s="13">
        <f>VLOOKUP(L678,'[1]data 1129'!F:H,3,FALSE)</f>
        <v>4500000000</v>
      </c>
      <c r="X678" s="11" t="s">
        <v>55</v>
      </c>
      <c r="Y678" s="11" t="str">
        <f>VLOOKUP(L678,'[1]singkron data'!D:H,5,FALSE)</f>
        <v>Makassar</v>
      </c>
      <c r="Z678" s="11" t="str">
        <f>VLOOKUP(L678,'[1]singkron data'!D:I,6,FALSE)</f>
        <v>Offline</v>
      </c>
      <c r="AA678" s="11">
        <f>VLOOKUP(L678,'[1]singkron data'!D:L,9,FALSE)</f>
        <v>81341942627</v>
      </c>
      <c r="AB678" s="11" t="s">
        <v>54</v>
      </c>
      <c r="AC678" s="11" t="s">
        <v>167</v>
      </c>
      <c r="AD678" s="11" t="str">
        <f>VLOOKUP(L678,'[1]data 1129'!F:O,10,FALSE)</f>
        <v>Tahap II 146</v>
      </c>
      <c r="AE678" s="11" t="str">
        <f>VLOOKUP(L678,'[1]singkron data'!D:P,13,FALSE)</f>
        <v>sudah</v>
      </c>
      <c r="AF678" s="11" t="s">
        <v>55</v>
      </c>
      <c r="AG678" s="11" t="e">
        <f>VLOOKUP(L678,'[1]update kontrak'!E:K,6,FALSE)</f>
        <v>#N/A</v>
      </c>
      <c r="AH678" s="11" t="e">
        <f>VLOOKUP(L678,'[1]update kontrak'!E:K,7,FALSE)</f>
        <v>#N/A</v>
      </c>
      <c r="AI678" s="11" t="s">
        <v>58</v>
      </c>
      <c r="AJ678" s="11" t="str">
        <f>VLOOKUP(L678,[1]rekap!D:M,1,FALSE)</f>
        <v>Pakue</v>
      </c>
      <c r="AK678" s="11" t="str">
        <f>VLOOKUP(L678,'[1]singkron data'!D:E,2,FALSE)</f>
        <v>PT. Tavoo Barakah Nusantara</v>
      </c>
      <c r="AL678" s="11" t="str">
        <f>VLOOKUP(L678,'[1]update 521'!D:D,1,FALSE)</f>
        <v>Pakue</v>
      </c>
      <c r="AM678" s="11" t="s">
        <v>57</v>
      </c>
      <c r="AN678" s="11" t="e">
        <f>VLOOKUP(L678,[1]Sheet19!E:L,8,FALSE)</f>
        <v>#N/A</v>
      </c>
      <c r="AO678" s="11" t="s">
        <v>58</v>
      </c>
      <c r="AP678" s="12"/>
    </row>
    <row r="679" spans="1:42" ht="15" x14ac:dyDescent="0.2">
      <c r="A679" s="8" t="s">
        <v>42</v>
      </c>
      <c r="B679" s="9" t="s">
        <v>43</v>
      </c>
      <c r="C679" s="9">
        <v>703</v>
      </c>
      <c r="D679" s="9" t="s">
        <v>1112</v>
      </c>
      <c r="E679" s="9">
        <v>234</v>
      </c>
      <c r="F679" s="9" t="s">
        <v>1621</v>
      </c>
      <c r="G679" s="9" t="s">
        <v>1141</v>
      </c>
      <c r="H679" s="9" t="s">
        <v>287</v>
      </c>
      <c r="I679" s="9" t="s">
        <v>1626</v>
      </c>
      <c r="J679" s="9" t="s">
        <v>1629</v>
      </c>
      <c r="K679" s="9" t="s">
        <v>1630</v>
      </c>
      <c r="L679" s="10" t="s">
        <v>1630</v>
      </c>
      <c r="M679" s="9" t="s">
        <v>51</v>
      </c>
      <c r="N679" s="9">
        <v>78</v>
      </c>
      <c r="O679" s="9">
        <v>15</v>
      </c>
      <c r="P679" s="9">
        <v>29</v>
      </c>
      <c r="Q679" s="9">
        <v>44</v>
      </c>
      <c r="R679" s="9">
        <v>0.55000000000000004</v>
      </c>
      <c r="S679" s="9">
        <v>-3.3306431000000001</v>
      </c>
      <c r="T679" s="9">
        <v>120.9539865</v>
      </c>
      <c r="U679" s="9" t="s">
        <v>52</v>
      </c>
      <c r="V679" s="11" t="str">
        <f>VLOOKUP(L679,'[1]singkron data'!D:E,2,FALSE)</f>
        <v>PT. ARCHITA GRAHA INDAH LESTARI</v>
      </c>
      <c r="W679" s="13">
        <f>VLOOKUP(L679,'[1]data 1129'!F:H,3,FALSE)</f>
        <v>4500000000</v>
      </c>
      <c r="X679" s="11" t="s">
        <v>55</v>
      </c>
      <c r="Y679" s="11">
        <f>VLOOKUP(L679,'[1]singkron data'!D:H,5,FALSE)</f>
        <v>0</v>
      </c>
      <c r="Z679" s="11">
        <f>VLOOKUP(L679,'[1]singkron data'!D:I,6,FALSE)</f>
        <v>0</v>
      </c>
      <c r="AA679" s="31" t="str">
        <f>VLOOKUP(L679,'[1]singkron data'!D:L,9,FALSE)</f>
        <v>085211119791/1122yakusa@gmail.com</v>
      </c>
      <c r="AB679" s="11" t="s">
        <v>54</v>
      </c>
      <c r="AC679" s="11" t="str">
        <f>VLOOKUP(L679,'[1]singkron data'!D:M,10,FALSE)</f>
        <v>Jaelani</v>
      </c>
      <c r="AD679" s="11" t="str">
        <f>VLOOKUP(L679,'[1]data 1129'!F:O,10,FALSE)</f>
        <v>Tahap II 146</v>
      </c>
      <c r="AE679" s="11" t="str">
        <f>VLOOKUP(L679,'[1]singkron data'!D:P,13,FALSE)</f>
        <v>sudah</v>
      </c>
      <c r="AF679" s="11" t="s">
        <v>55</v>
      </c>
      <c r="AG679" s="11" t="e">
        <f>VLOOKUP(L679,'[1]update kontrak'!E:K,6,FALSE)</f>
        <v>#N/A</v>
      </c>
      <c r="AH679" s="11" t="e">
        <f>VLOOKUP(L679,'[1]update kontrak'!E:K,7,FALSE)</f>
        <v>#N/A</v>
      </c>
      <c r="AI679" s="11" t="s">
        <v>58</v>
      </c>
      <c r="AJ679" s="11" t="str">
        <f>VLOOKUP(L679,[1]rekap!D:M,1,FALSE)</f>
        <v>Lawadia</v>
      </c>
      <c r="AK679" s="11" t="str">
        <f>VLOOKUP(L679,'[1]singkron data'!D:E,2,FALSE)</f>
        <v>PT. ARCHITA GRAHA INDAH LESTARI</v>
      </c>
      <c r="AL679" s="11" t="str">
        <f>VLOOKUP(L679,'[1]update 521'!D:D,1,FALSE)</f>
        <v>Lawadia</v>
      </c>
      <c r="AM679" s="11" t="s">
        <v>57</v>
      </c>
      <c r="AN679" s="17">
        <f>VLOOKUP(L679,[1]Sheet19!E:L,8,FALSE)</f>
        <v>3731170139.4400001</v>
      </c>
      <c r="AO679" s="11" t="str">
        <f>VLOOKUP(L679,[1]Sheet19!E:K,7,FALSE)</f>
        <v>KONTRAK</v>
      </c>
      <c r="AP679" s="12" t="s">
        <v>41</v>
      </c>
    </row>
    <row r="680" spans="1:42" ht="15" x14ac:dyDescent="0.2">
      <c r="A680" s="8" t="s">
        <v>42</v>
      </c>
      <c r="B680" s="9" t="s">
        <v>43</v>
      </c>
      <c r="C680" s="9">
        <v>275</v>
      </c>
      <c r="D680" s="9" t="s">
        <v>1631</v>
      </c>
      <c r="E680" s="9">
        <v>62</v>
      </c>
      <c r="F680" s="9" t="s">
        <v>1632</v>
      </c>
      <c r="G680" s="9" t="s">
        <v>1633</v>
      </c>
      <c r="H680" s="9" t="s">
        <v>47</v>
      </c>
      <c r="I680" s="9" t="s">
        <v>1634</v>
      </c>
      <c r="J680" s="9" t="s">
        <v>1635</v>
      </c>
      <c r="K680" s="9" t="s">
        <v>1636</v>
      </c>
      <c r="L680" s="10" t="s">
        <v>1636</v>
      </c>
      <c r="M680" s="9" t="s">
        <v>65</v>
      </c>
      <c r="N680" s="9">
        <v>236</v>
      </c>
      <c r="O680" s="9">
        <v>30</v>
      </c>
      <c r="P680" s="9">
        <v>130</v>
      </c>
      <c r="Q680" s="9">
        <v>160</v>
      </c>
      <c r="R680" s="9">
        <v>1.25</v>
      </c>
      <c r="S680" s="9">
        <v>0.87583299999999997</v>
      </c>
      <c r="T680" s="9">
        <v>104.64916700000001</v>
      </c>
      <c r="U680" s="9" t="s">
        <v>52</v>
      </c>
      <c r="V680" s="20" t="s">
        <v>1637</v>
      </c>
      <c r="W680" s="11"/>
      <c r="X680" s="11"/>
      <c r="Y680" s="11">
        <f>VLOOKUP(L680,'[1]singkron data'!D:H,5,FALSE)</f>
        <v>0</v>
      </c>
      <c r="Z680" s="11">
        <f>VLOOKUP(L680,'[1]singkron data'!D:I,6,FALSE)</f>
        <v>0</v>
      </c>
      <c r="AA680" s="11" t="s">
        <v>1638</v>
      </c>
      <c r="AB680" s="11" t="s">
        <v>54</v>
      </c>
      <c r="AC680" s="11" t="s">
        <v>1639</v>
      </c>
      <c r="AD680" s="11" t="str">
        <f>VLOOKUP(L680,'[1]data 1129'!F:O,10,FALSE)</f>
        <v>Tahap IV 200</v>
      </c>
      <c r="AE680" s="11">
        <f>VLOOKUP(L680,'[1]singkron data'!D:P,13,FALSE)</f>
        <v>0</v>
      </c>
      <c r="AF680" s="11" t="s">
        <v>55</v>
      </c>
      <c r="AG680" s="11" t="e">
        <f>VLOOKUP(L680,'[1]update kontrak'!E:K,6,FALSE)</f>
        <v>#N/A</v>
      </c>
      <c r="AH680" s="11" t="e">
        <f>VLOOKUP(L680,'[1]update kontrak'!E:K,7,FALSE)</f>
        <v>#N/A</v>
      </c>
      <c r="AI680" s="11"/>
      <c r="AJ680" s="11" t="str">
        <f>VLOOKUP(L680,[1]rekap!D:M,1,FALSE)</f>
        <v>Air Gelubi</v>
      </c>
      <c r="AK680" s="11" t="str">
        <f>VLOOKUP(L680,'[1]singkron data'!D:E,2,FALSE)</f>
        <v>PT. Agung Kuck Lom Grub</v>
      </c>
      <c r="AL680" s="11" t="str">
        <f>VLOOKUP(L680,'[1]update 521'!D:D,1,FALSE)</f>
        <v>Air Gelubi</v>
      </c>
      <c r="AM680" s="11" t="s">
        <v>96</v>
      </c>
      <c r="AN680" s="11" t="s">
        <v>1640</v>
      </c>
      <c r="AO680" s="11" t="s">
        <v>1641</v>
      </c>
      <c r="AP680" s="12" t="s">
        <v>1175</v>
      </c>
    </row>
    <row r="681" spans="1:42" ht="15" x14ac:dyDescent="0.2">
      <c r="A681" s="8" t="s">
        <v>42</v>
      </c>
      <c r="B681" s="9" t="s">
        <v>43</v>
      </c>
      <c r="C681" s="9">
        <v>276</v>
      </c>
      <c r="D681" s="9" t="s">
        <v>1631</v>
      </c>
      <c r="E681" s="9">
        <v>63</v>
      </c>
      <c r="F681" s="9" t="s">
        <v>1632</v>
      </c>
      <c r="G681" s="9" t="s">
        <v>1633</v>
      </c>
      <c r="H681" s="9" t="s">
        <v>47</v>
      </c>
      <c r="I681" s="9" t="s">
        <v>1634</v>
      </c>
      <c r="J681" s="9" t="s">
        <v>1642</v>
      </c>
      <c r="K681" s="9" t="s">
        <v>1643</v>
      </c>
      <c r="L681" s="10" t="s">
        <v>1643</v>
      </c>
      <c r="M681" s="9" t="s">
        <v>51</v>
      </c>
      <c r="N681" s="9">
        <v>323</v>
      </c>
      <c r="O681" s="9">
        <v>10</v>
      </c>
      <c r="P681" s="9">
        <v>132</v>
      </c>
      <c r="Q681" s="9">
        <v>142</v>
      </c>
      <c r="R681" s="9">
        <v>1.74</v>
      </c>
      <c r="S681" s="9">
        <v>1.1178889999999999</v>
      </c>
      <c r="T681" s="9">
        <v>104.614028</v>
      </c>
      <c r="U681" s="9" t="s">
        <v>52</v>
      </c>
      <c r="V681" s="20" t="s">
        <v>1637</v>
      </c>
      <c r="W681" s="11"/>
      <c r="X681" s="11"/>
      <c r="Y681" s="11">
        <f>VLOOKUP(L681,'[1]singkron data'!D:H,5,FALSE)</f>
        <v>0</v>
      </c>
      <c r="Z681" s="11">
        <f>VLOOKUP(L681,'[1]singkron data'!D:I,6,FALSE)</f>
        <v>0</v>
      </c>
      <c r="AA681" s="11" t="s">
        <v>1638</v>
      </c>
      <c r="AB681" s="11" t="s">
        <v>54</v>
      </c>
      <c r="AC681" s="11" t="s">
        <v>1639</v>
      </c>
      <c r="AD681" s="11" t="str">
        <f>VLOOKUP(L681,'[1]data 1129'!F:O,10,FALSE)</f>
        <v>Tahap IV 200</v>
      </c>
      <c r="AE681" s="11">
        <f>VLOOKUP(L681,'[1]singkron data'!D:P,13,FALSE)</f>
        <v>0</v>
      </c>
      <c r="AF681" s="11" t="s">
        <v>55</v>
      </c>
      <c r="AG681" s="11" t="e">
        <f>VLOOKUP(L681,'[1]update kontrak'!E:K,6,FALSE)</f>
        <v>#N/A</v>
      </c>
      <c r="AH681" s="11" t="e">
        <f>VLOOKUP(L681,'[1]update kontrak'!E:K,7,FALSE)</f>
        <v>#N/A</v>
      </c>
      <c r="AI681" s="11"/>
      <c r="AJ681" s="11" t="str">
        <f>VLOOKUP(L681,[1]rekap!D:M,1,FALSE)</f>
        <v>Malang Rapat</v>
      </c>
      <c r="AK681" s="11" t="str">
        <f>VLOOKUP(L681,'[1]singkron data'!D:E,2,FALSE)</f>
        <v>PT. Prima Shina Cahaya</v>
      </c>
      <c r="AL681" s="11" t="str">
        <f>VLOOKUP(L681,'[1]update 521'!D:D,1,FALSE)</f>
        <v>Malang Rapat</v>
      </c>
      <c r="AM681" s="11" t="s">
        <v>96</v>
      </c>
      <c r="AN681" s="11" t="s">
        <v>1644</v>
      </c>
      <c r="AO681" s="11" t="s">
        <v>1645</v>
      </c>
      <c r="AP681" s="12" t="s">
        <v>1646</v>
      </c>
    </row>
    <row r="682" spans="1:42" ht="15" x14ac:dyDescent="0.2">
      <c r="A682" s="8" t="s">
        <v>42</v>
      </c>
      <c r="B682" s="9" t="s">
        <v>43</v>
      </c>
      <c r="C682" s="9">
        <v>277</v>
      </c>
      <c r="D682" s="9" t="s">
        <v>1631</v>
      </c>
      <c r="E682" s="9">
        <v>64</v>
      </c>
      <c r="F682" s="9" t="s">
        <v>414</v>
      </c>
      <c r="G682" s="9" t="s">
        <v>1647</v>
      </c>
      <c r="H682" s="9" t="s">
        <v>47</v>
      </c>
      <c r="I682" s="9" t="s">
        <v>1648</v>
      </c>
      <c r="J682" s="9" t="s">
        <v>1649</v>
      </c>
      <c r="K682" s="9" t="s">
        <v>1650</v>
      </c>
      <c r="L682" s="10" t="s">
        <v>1650</v>
      </c>
      <c r="M682" s="9" t="s">
        <v>51</v>
      </c>
      <c r="N682" s="9">
        <v>145</v>
      </c>
      <c r="O682" s="9" t="s">
        <v>72</v>
      </c>
      <c r="P682" s="9">
        <v>145</v>
      </c>
      <c r="Q682" s="9">
        <v>145</v>
      </c>
      <c r="R682" s="9">
        <v>0.3</v>
      </c>
      <c r="S682" s="9">
        <v>-1.614592</v>
      </c>
      <c r="T682" s="9">
        <v>106.035399</v>
      </c>
      <c r="U682" s="9" t="s">
        <v>52</v>
      </c>
      <c r="V682" s="11" t="str">
        <f>VLOOKUP(L682,'[1]singkron data'!D:E,2,FALSE)</f>
        <v>PT. Indo Jaya Negara Abadi</v>
      </c>
      <c r="W682" s="11"/>
      <c r="X682" s="11"/>
      <c r="Y682" s="11" t="str">
        <f>VLOOKUP(L682,'[1]singkron data'!D:H,5,FALSE)</f>
        <v>Jakarta</v>
      </c>
      <c r="Z682" s="11" t="str">
        <f>VLOOKUP(L682,'[1]singkron data'!D:I,6,FALSE)</f>
        <v>Online</v>
      </c>
      <c r="AA682" s="11" t="str">
        <f>VLOOKUP(L682,'[1]singkron data'!D:L,9,FALSE)</f>
        <v>officialindojayanegaraabadi@gmail.com/ 87731490688/087768911327/vikry</v>
      </c>
      <c r="AB682" s="11" t="s">
        <v>54</v>
      </c>
      <c r="AC682" s="11" t="str">
        <f>VLOOKUP(L682,'[1]singkron data'!D:M,10,FALSE)</f>
        <v>vikry</v>
      </c>
      <c r="AD682" s="11" t="str">
        <f>VLOOKUP(L682,'[1]data 1129'!F:O,10,FALSE)</f>
        <v>Tahap IV 200</v>
      </c>
      <c r="AE682" s="11">
        <f>VLOOKUP(L682,'[1]singkron data'!D:P,13,FALSE)</f>
        <v>0</v>
      </c>
      <c r="AF682" s="11" t="s">
        <v>55</v>
      </c>
      <c r="AG682" s="11" t="e">
        <f>VLOOKUP(L682,'[1]update kontrak'!E:K,6,FALSE)</f>
        <v>#N/A</v>
      </c>
      <c r="AH682" s="11" t="e">
        <f>VLOOKUP(L682,'[1]update kontrak'!E:K,7,FALSE)</f>
        <v>#N/A</v>
      </c>
      <c r="AI682" s="11"/>
      <c r="AJ682" s="11" t="str">
        <f>VLOOKUP(L682,[1]rekap!D:M,1,FALSE)</f>
        <v>Mapur</v>
      </c>
      <c r="AK682" s="11" t="str">
        <f>VLOOKUP(L682,'[1]singkron data'!D:E,2,FALSE)</f>
        <v>PT. Indo Jaya Negara Abadi</v>
      </c>
      <c r="AL682" s="11" t="str">
        <f>VLOOKUP(L682,'[1]update 521'!D:D,1,FALSE)</f>
        <v>Mapur</v>
      </c>
      <c r="AM682" s="11" t="s">
        <v>96</v>
      </c>
      <c r="AN682" s="11" t="e">
        <f>VLOOKUP(L682,[1]Sheet19!E:L,8,FALSE)</f>
        <v>#N/A</v>
      </c>
      <c r="AO682" s="11" t="e">
        <f>VLOOKUP(L682,[1]Sheet19!E:K,7,FALSE)</f>
        <v>#N/A</v>
      </c>
      <c r="AP682" s="12"/>
    </row>
    <row r="683" spans="1:42" ht="15" x14ac:dyDescent="0.2">
      <c r="A683" s="8" t="s">
        <v>42</v>
      </c>
      <c r="B683" s="9" t="s">
        <v>43</v>
      </c>
      <c r="C683" s="9">
        <v>278</v>
      </c>
      <c r="D683" s="9" t="s">
        <v>1631</v>
      </c>
      <c r="E683" s="9">
        <v>65</v>
      </c>
      <c r="F683" s="9" t="s">
        <v>1632</v>
      </c>
      <c r="G683" s="9" t="s">
        <v>1633</v>
      </c>
      <c r="H683" s="9" t="s">
        <v>47</v>
      </c>
      <c r="I683" s="9" t="s">
        <v>1634</v>
      </c>
      <c r="J683" s="9" t="s">
        <v>1635</v>
      </c>
      <c r="K683" s="9" t="s">
        <v>1651</v>
      </c>
      <c r="L683" s="10" t="s">
        <v>1651</v>
      </c>
      <c r="M683" s="9" t="s">
        <v>51</v>
      </c>
      <c r="N683" s="9">
        <v>306</v>
      </c>
      <c r="O683" s="9" t="s">
        <v>72</v>
      </c>
      <c r="P683" s="9">
        <v>115</v>
      </c>
      <c r="Q683" s="9">
        <v>115</v>
      </c>
      <c r="R683" s="9">
        <v>1.62</v>
      </c>
      <c r="S683" s="9">
        <v>0.74794700000000003</v>
      </c>
      <c r="T683" s="9">
        <v>104.74228100000001</v>
      </c>
      <c r="U683" s="9" t="s">
        <v>52</v>
      </c>
      <c r="V683" s="20" t="s">
        <v>1637</v>
      </c>
      <c r="W683" s="11"/>
      <c r="X683" s="11"/>
      <c r="Y683" s="11">
        <f>VLOOKUP(L683,'[1]singkron data'!D:H,5,FALSE)</f>
        <v>0</v>
      </c>
      <c r="Z683" s="11">
        <f>VLOOKUP(L683,'[1]singkron data'!D:I,6,FALSE)</f>
        <v>0</v>
      </c>
      <c r="AA683" s="11" t="s">
        <v>1638</v>
      </c>
      <c r="AB683" s="11" t="s">
        <v>54</v>
      </c>
      <c r="AC683" s="11" t="s">
        <v>1639</v>
      </c>
      <c r="AD683" s="11" t="str">
        <f>VLOOKUP(L683,'[1]data 1129'!F:O,10,FALSE)</f>
        <v>Tahap IV 200</v>
      </c>
      <c r="AE683" s="11">
        <f>VLOOKUP(L683,'[1]singkron data'!D:P,13,FALSE)</f>
        <v>0</v>
      </c>
      <c r="AF683" s="11" t="s">
        <v>55</v>
      </c>
      <c r="AG683" s="11" t="e">
        <f>VLOOKUP(L683,'[1]update kontrak'!E:K,6,FALSE)</f>
        <v>#N/A</v>
      </c>
      <c r="AH683" s="11" t="e">
        <f>VLOOKUP(L683,'[1]update kontrak'!E:K,7,FALSE)</f>
        <v>#N/A</v>
      </c>
      <c r="AI683" s="11"/>
      <c r="AJ683" s="11" t="str">
        <f>VLOOKUP(L683,[1]rekap!D:M,1,FALSE)</f>
        <v>Numbing</v>
      </c>
      <c r="AK683" s="11" t="str">
        <f>VLOOKUP(L683,'[1]singkron data'!D:E,2,FALSE)</f>
        <v>PT. Agung Kuck Lom Grub</v>
      </c>
      <c r="AL683" s="11" t="str">
        <f>VLOOKUP(L683,'[1]update 521'!D:D,1,FALSE)</f>
        <v>Numbing</v>
      </c>
      <c r="AM683" s="11" t="s">
        <v>96</v>
      </c>
      <c r="AN683" s="11" t="s">
        <v>1640</v>
      </c>
      <c r="AO683" s="11" t="s">
        <v>1641</v>
      </c>
      <c r="AP683" s="12" t="s">
        <v>1175</v>
      </c>
    </row>
    <row r="684" spans="1:42" ht="15" x14ac:dyDescent="0.2">
      <c r="A684" s="8" t="s">
        <v>42</v>
      </c>
      <c r="B684" s="9" t="s">
        <v>43</v>
      </c>
      <c r="C684" s="9">
        <v>279</v>
      </c>
      <c r="D684" s="9" t="s">
        <v>1631</v>
      </c>
      <c r="E684" s="9">
        <v>66</v>
      </c>
      <c r="F684" s="9" t="s">
        <v>1632</v>
      </c>
      <c r="G684" s="9" t="s">
        <v>1633</v>
      </c>
      <c r="H684" s="9" t="s">
        <v>47</v>
      </c>
      <c r="I684" s="9" t="s">
        <v>1634</v>
      </c>
      <c r="J684" s="9" t="s">
        <v>1642</v>
      </c>
      <c r="K684" s="9" t="s">
        <v>1652</v>
      </c>
      <c r="L684" s="10" t="s">
        <v>1652</v>
      </c>
      <c r="M684" s="9" t="s">
        <v>51</v>
      </c>
      <c r="N684" s="9">
        <v>395</v>
      </c>
      <c r="O684" s="9">
        <v>15</v>
      </c>
      <c r="P684" s="9">
        <v>69</v>
      </c>
      <c r="Q684" s="9">
        <v>84</v>
      </c>
      <c r="R684" s="9">
        <v>7.4</v>
      </c>
      <c r="S684" s="9">
        <v>1.021941</v>
      </c>
      <c r="T684" s="9">
        <v>104.654499</v>
      </c>
      <c r="U684" s="9" t="s">
        <v>52</v>
      </c>
      <c r="V684" s="20" t="s">
        <v>1637</v>
      </c>
      <c r="W684" s="11"/>
      <c r="X684" s="11"/>
      <c r="Y684" s="11">
        <f>VLOOKUP(L684,'[1]singkron data'!D:H,5,FALSE)</f>
        <v>0</v>
      </c>
      <c r="Z684" s="11">
        <f>VLOOKUP(L684,'[1]singkron data'!D:I,6,FALSE)</f>
        <v>0</v>
      </c>
      <c r="AA684" s="11" t="s">
        <v>1638</v>
      </c>
      <c r="AB684" s="11" t="s">
        <v>54</v>
      </c>
      <c r="AC684" s="11" t="s">
        <v>1639</v>
      </c>
      <c r="AD684" s="11" t="str">
        <f>VLOOKUP(L684,'[1]data 1129'!F:O,10,FALSE)</f>
        <v>Tahap IV 200</v>
      </c>
      <c r="AE684" s="11">
        <f>VLOOKUP(L684,'[1]singkron data'!D:P,13,FALSE)</f>
        <v>0</v>
      </c>
      <c r="AF684" s="11" t="s">
        <v>55</v>
      </c>
      <c r="AG684" s="11" t="e">
        <f>VLOOKUP(L684,'[1]update kontrak'!E:K,6,FALSE)</f>
        <v>#N/A</v>
      </c>
      <c r="AH684" s="11" t="e">
        <f>VLOOKUP(L684,'[1]update kontrak'!E:K,7,FALSE)</f>
        <v>#N/A</v>
      </c>
      <c r="AI684" s="11"/>
      <c r="AJ684" s="11" t="str">
        <f>VLOOKUP(L684,[1]rekap!D:M,1,FALSE)</f>
        <v>Teluk Bakau</v>
      </c>
      <c r="AK684" s="11" t="str">
        <f>VLOOKUP(L684,'[1]singkron data'!D:E,2,FALSE)</f>
        <v>PT. Prima Shina Cahaya</v>
      </c>
      <c r="AL684" s="11" t="str">
        <f>VLOOKUP(L684,'[1]update 521'!D:D,1,FALSE)</f>
        <v>Teluk Bakau</v>
      </c>
      <c r="AM684" s="11" t="s">
        <v>96</v>
      </c>
      <c r="AN684" s="11" t="s">
        <v>1644</v>
      </c>
      <c r="AO684" s="11" t="s">
        <v>1645</v>
      </c>
      <c r="AP684" s="12" t="s">
        <v>1646</v>
      </c>
    </row>
    <row r="685" spans="1:42" ht="15" x14ac:dyDescent="0.2">
      <c r="A685" s="8" t="s">
        <v>42</v>
      </c>
      <c r="B685" s="9" t="s">
        <v>43</v>
      </c>
      <c r="C685" s="9">
        <v>280</v>
      </c>
      <c r="D685" s="9" t="s">
        <v>1631</v>
      </c>
      <c r="E685" s="9">
        <v>67</v>
      </c>
      <c r="F685" s="9" t="s">
        <v>1632</v>
      </c>
      <c r="G685" s="9" t="s">
        <v>1633</v>
      </c>
      <c r="H685" s="9" t="s">
        <v>47</v>
      </c>
      <c r="I685" s="9" t="s">
        <v>1634</v>
      </c>
      <c r="J685" s="9" t="s">
        <v>1653</v>
      </c>
      <c r="K685" s="9" t="s">
        <v>1654</v>
      </c>
      <c r="L685" s="10" t="s">
        <v>1654</v>
      </c>
      <c r="M685" s="9" t="s">
        <v>51</v>
      </c>
      <c r="N685" s="9">
        <v>371</v>
      </c>
      <c r="O685" s="9">
        <v>20</v>
      </c>
      <c r="P685" s="9">
        <v>112</v>
      </c>
      <c r="Q685" s="9">
        <v>132</v>
      </c>
      <c r="R685" s="9">
        <v>0.54</v>
      </c>
      <c r="S685" s="9">
        <v>1.2087669999999999</v>
      </c>
      <c r="T685" s="9">
        <v>104.548117</v>
      </c>
      <c r="U685" s="9" t="s">
        <v>52</v>
      </c>
      <c r="V685" s="20" t="s">
        <v>1637</v>
      </c>
      <c r="W685" s="11"/>
      <c r="X685" s="11"/>
      <c r="Y685" s="11">
        <f>VLOOKUP(L685,'[1]singkron data'!D:H,5,FALSE)</f>
        <v>0</v>
      </c>
      <c r="Z685" s="11">
        <f>VLOOKUP(L685,'[1]singkron data'!D:I,6,FALSE)</f>
        <v>0</v>
      </c>
      <c r="AA685" s="11" t="s">
        <v>1638</v>
      </c>
      <c r="AB685" s="11" t="s">
        <v>54</v>
      </c>
      <c r="AC685" s="11" t="s">
        <v>1639</v>
      </c>
      <c r="AD685" s="11" t="str">
        <f>VLOOKUP(L685,'[1]data 1129'!F:O,10,FALSE)</f>
        <v>Tahap IV 200</v>
      </c>
      <c r="AE685" s="11">
        <f>VLOOKUP(L685,'[1]singkron data'!D:P,13,FALSE)</f>
        <v>0</v>
      </c>
      <c r="AF685" s="11" t="s">
        <v>55</v>
      </c>
      <c r="AG685" s="11" t="e">
        <f>VLOOKUP(L685,'[1]update kontrak'!E:K,6,FALSE)</f>
        <v>#N/A</v>
      </c>
      <c r="AH685" s="11" t="e">
        <f>VLOOKUP(L685,'[1]update kontrak'!E:K,7,FALSE)</f>
        <v>#N/A</v>
      </c>
      <c r="AI685" s="11"/>
      <c r="AJ685" s="11" t="str">
        <f>VLOOKUP(L685,[1]rekap!D:M,1,FALSE)</f>
        <v>Berakit</v>
      </c>
      <c r="AK685" s="11" t="str">
        <f>VLOOKUP(L685,'[1]singkron data'!D:E,2,FALSE)</f>
        <v>PT. Prima Shina Cahaya</v>
      </c>
      <c r="AL685" s="11" t="str">
        <f>VLOOKUP(L685,'[1]update 521'!D:D,1,FALSE)</f>
        <v>Berakit</v>
      </c>
      <c r="AM685" s="11" t="s">
        <v>96</v>
      </c>
      <c r="AN685" s="11" t="s">
        <v>1644</v>
      </c>
      <c r="AO685" s="11" t="s">
        <v>1645</v>
      </c>
      <c r="AP685" s="12" t="s">
        <v>1646</v>
      </c>
    </row>
    <row r="686" spans="1:42" ht="15" x14ac:dyDescent="0.2">
      <c r="A686" s="8" t="s">
        <v>42</v>
      </c>
      <c r="B686" s="9" t="s">
        <v>43</v>
      </c>
      <c r="C686" s="9">
        <v>281</v>
      </c>
      <c r="D686" s="9" t="s">
        <v>1631</v>
      </c>
      <c r="E686" s="9">
        <v>68</v>
      </c>
      <c r="F686" s="9" t="s">
        <v>1655</v>
      </c>
      <c r="G686" s="9" t="s">
        <v>1656</v>
      </c>
      <c r="H686" s="9" t="s">
        <v>47</v>
      </c>
      <c r="I686" s="9" t="s">
        <v>1657</v>
      </c>
      <c r="J686" s="9" t="s">
        <v>1658</v>
      </c>
      <c r="K686" s="9" t="s">
        <v>1659</v>
      </c>
      <c r="L686" s="9" t="s">
        <v>1659</v>
      </c>
      <c r="M686" s="9" t="s">
        <v>65</v>
      </c>
      <c r="N686" s="9">
        <v>335</v>
      </c>
      <c r="O686" s="9">
        <v>6</v>
      </c>
      <c r="P686" s="9">
        <v>129</v>
      </c>
      <c r="Q686" s="9">
        <v>135</v>
      </c>
      <c r="R686" s="9">
        <v>1.1000000000000001</v>
      </c>
      <c r="S686" s="9">
        <v>5.6054399999999998</v>
      </c>
      <c r="T686" s="9">
        <v>95.352360000000004</v>
      </c>
      <c r="U686" s="9"/>
      <c r="V686" s="11" t="e">
        <f>VLOOKUP(L686,'[1]singkron data'!D:E,2,FALSE)</f>
        <v>#N/A</v>
      </c>
      <c r="W686" s="11" t="e">
        <f>VLOOKUP(L686,'[1]update tim 2'!D:F,3,FALSE)</f>
        <v>#N/A</v>
      </c>
      <c r="X686" s="11" t="s">
        <v>55</v>
      </c>
      <c r="Y686" s="11" t="e">
        <f>VLOOKUP(L686,'[1]singkron data'!D:H,5,FALSE)</f>
        <v>#N/A</v>
      </c>
      <c r="Z686" s="11" t="e">
        <f>VLOOKUP(L686,'[1]singkron data'!D:I,6,FALSE)</f>
        <v>#N/A</v>
      </c>
      <c r="AA686" s="11" t="e">
        <f>VLOOKUP(L686,'[1]singkron data'!D:L,9,FALSE)</f>
        <v>#N/A</v>
      </c>
      <c r="AB686" s="11" t="s">
        <v>694</v>
      </c>
      <c r="AC686" s="11" t="s">
        <v>1660</v>
      </c>
      <c r="AD686" s="11" t="s">
        <v>364</v>
      </c>
      <c r="AE686" s="11" t="e">
        <f>VLOOKUP(L686,'[1]singkron data'!D:P,13,FALSE)</f>
        <v>#N/A</v>
      </c>
      <c r="AF686" s="11" t="s">
        <v>55</v>
      </c>
      <c r="AG686" s="11" t="e">
        <f>VLOOKUP(L686,'[1]update kontrak'!E:K,6,FALSE)</f>
        <v>#N/A</v>
      </c>
      <c r="AH686" s="11" t="e">
        <f>VLOOKUP(L686,'[1]update kontrak'!E:K,7,FALSE)</f>
        <v>#N/A</v>
      </c>
      <c r="AI686" s="11"/>
      <c r="AJ686" s="11" t="str">
        <f>VLOOKUP(L686,[1]rekap!D:M,1,FALSE)</f>
        <v>Alue Naga</v>
      </c>
      <c r="AK686" s="11" t="e">
        <f>VLOOKUP(L686,'[1]singkron data'!D:E,2,FALSE)</f>
        <v>#N/A</v>
      </c>
      <c r="AL686" s="11" t="str">
        <f>VLOOKUP(L686,'[1]update 521'!D:D,1,FALSE)</f>
        <v>Alue Naga</v>
      </c>
      <c r="AM686" s="11" t="s">
        <v>57</v>
      </c>
      <c r="AN686" s="11" t="e">
        <f>VLOOKUP(L686,[1]Sheet19!E:L,8,FALSE)</f>
        <v>#N/A</v>
      </c>
      <c r="AO686" s="11" t="s">
        <v>1129</v>
      </c>
      <c r="AP686" s="12"/>
    </row>
    <row r="687" spans="1:42" ht="15" x14ac:dyDescent="0.2">
      <c r="A687" s="8" t="s">
        <v>42</v>
      </c>
      <c r="B687" s="9" t="s">
        <v>43</v>
      </c>
      <c r="C687" s="9">
        <v>282</v>
      </c>
      <c r="D687" s="9" t="s">
        <v>1631</v>
      </c>
      <c r="E687" s="9">
        <v>69</v>
      </c>
      <c r="F687" s="9" t="s">
        <v>1655</v>
      </c>
      <c r="G687" s="9" t="s">
        <v>1656</v>
      </c>
      <c r="H687" s="9" t="s">
        <v>47</v>
      </c>
      <c r="I687" s="9" t="s">
        <v>1661</v>
      </c>
      <c r="J687" s="9" t="s">
        <v>1662</v>
      </c>
      <c r="K687" s="9" t="s">
        <v>1663</v>
      </c>
      <c r="L687" s="9" t="s">
        <v>1663</v>
      </c>
      <c r="M687" s="9" t="s">
        <v>51</v>
      </c>
      <c r="N687" s="9">
        <v>350</v>
      </c>
      <c r="O687" s="9">
        <v>15</v>
      </c>
      <c r="P687" s="9">
        <v>58</v>
      </c>
      <c r="Q687" s="9">
        <v>73</v>
      </c>
      <c r="R687" s="9">
        <v>1.51</v>
      </c>
      <c r="S687" s="9">
        <v>5.3470170000000001</v>
      </c>
      <c r="T687" s="9">
        <v>95.240655000000004</v>
      </c>
      <c r="U687" s="9"/>
      <c r="V687" s="11" t="e">
        <f>VLOOKUP(L687,'[1]singkron data'!D:E,2,FALSE)</f>
        <v>#N/A</v>
      </c>
      <c r="W687" s="11"/>
      <c r="X687" s="11"/>
      <c r="Y687" s="11" t="e">
        <f>VLOOKUP(L687,'[1]singkron data'!D:H,5,FALSE)</f>
        <v>#N/A</v>
      </c>
      <c r="Z687" s="11" t="e">
        <f>VLOOKUP(L687,'[1]singkron data'!D:I,6,FALSE)</f>
        <v>#N/A</v>
      </c>
      <c r="AA687" s="11" t="e">
        <f>VLOOKUP(L687,'[1]singkron data'!D:L,9,FALSE)</f>
        <v>#N/A</v>
      </c>
      <c r="AB687" s="11" t="s">
        <v>694</v>
      </c>
      <c r="AC687" s="11" t="e">
        <f>VLOOKUP(L687,'[1]singkron data'!D:M,10,FALSE)</f>
        <v>#N/A</v>
      </c>
      <c r="AD687" s="11" t="s">
        <v>364</v>
      </c>
      <c r="AE687" s="11" t="e">
        <f>VLOOKUP(L687,'[1]singkron data'!D:P,13,FALSE)</f>
        <v>#N/A</v>
      </c>
      <c r="AF687" s="11" t="s">
        <v>55</v>
      </c>
      <c r="AG687" s="11" t="e">
        <f>VLOOKUP(L687,'[1]update kontrak'!E:K,6,FALSE)</f>
        <v>#N/A</v>
      </c>
      <c r="AH687" s="11" t="e">
        <f>VLOOKUP(L687,'[1]update kontrak'!E:K,7,FALSE)</f>
        <v>#N/A</v>
      </c>
      <c r="AI687" s="11"/>
      <c r="AJ687" s="11" t="str">
        <f>VLOOKUP(L687,[1]rekap!D:M,1,FALSE)</f>
        <v>Layeun</v>
      </c>
      <c r="AK687" s="11" t="e">
        <f>VLOOKUP(L687,'[1]singkron data'!D:E,2,FALSE)</f>
        <v>#N/A</v>
      </c>
      <c r="AL687" s="11" t="str">
        <f>VLOOKUP(L687,'[1]update 521'!D:D,1,FALSE)</f>
        <v>Layeun</v>
      </c>
      <c r="AM687" s="11" t="s">
        <v>96</v>
      </c>
      <c r="AN687" s="11" t="e">
        <f>VLOOKUP(L687,[1]Sheet19!E:L,8,FALSE)</f>
        <v>#N/A</v>
      </c>
      <c r="AO687" s="11" t="e">
        <f>VLOOKUP(L687,[1]Sheet19!E:K,7,FALSE)</f>
        <v>#N/A</v>
      </c>
      <c r="AP687" s="12"/>
    </row>
    <row r="688" spans="1:42" ht="15" x14ac:dyDescent="0.2">
      <c r="A688" s="8" t="s">
        <v>42</v>
      </c>
      <c r="B688" s="9" t="s">
        <v>43</v>
      </c>
      <c r="C688" s="9">
        <v>283</v>
      </c>
      <c r="D688" s="9" t="s">
        <v>1631</v>
      </c>
      <c r="E688" s="9">
        <v>70</v>
      </c>
      <c r="F688" s="9" t="s">
        <v>1655</v>
      </c>
      <c r="G688" s="9" t="s">
        <v>1656</v>
      </c>
      <c r="H688" s="9" t="s">
        <v>47</v>
      </c>
      <c r="I688" s="9" t="s">
        <v>1664</v>
      </c>
      <c r="J688" s="9" t="s">
        <v>1665</v>
      </c>
      <c r="K688" s="9" t="s">
        <v>1666</v>
      </c>
      <c r="L688" s="9" t="s">
        <v>1666</v>
      </c>
      <c r="M688" s="9" t="s">
        <v>51</v>
      </c>
      <c r="N688" s="9">
        <v>175</v>
      </c>
      <c r="O688" s="9">
        <v>5</v>
      </c>
      <c r="P688" s="9">
        <v>80</v>
      </c>
      <c r="Q688" s="9">
        <v>85</v>
      </c>
      <c r="R688" s="9">
        <v>0.64</v>
      </c>
      <c r="S688" s="9">
        <v>5.0557879999999997</v>
      </c>
      <c r="T688" s="9">
        <v>95.339927000000003</v>
      </c>
      <c r="U688" s="9"/>
      <c r="V688" s="11" t="e">
        <f>VLOOKUP(L688,'[1]singkron data'!D:E,2,FALSE)</f>
        <v>#N/A</v>
      </c>
      <c r="W688" s="11"/>
      <c r="X688" s="11"/>
      <c r="Y688" s="11" t="e">
        <f>VLOOKUP(L688,'[1]singkron data'!D:H,5,FALSE)</f>
        <v>#N/A</v>
      </c>
      <c r="Z688" s="11" t="e">
        <f>VLOOKUP(L688,'[1]singkron data'!D:I,6,FALSE)</f>
        <v>#N/A</v>
      </c>
      <c r="AA688" s="11" t="e">
        <f>VLOOKUP(L688,'[1]singkron data'!D:L,9,FALSE)</f>
        <v>#N/A</v>
      </c>
      <c r="AB688" s="11" t="s">
        <v>694</v>
      </c>
      <c r="AC688" s="11" t="e">
        <f>VLOOKUP(L688,'[1]singkron data'!D:M,10,FALSE)</f>
        <v>#N/A</v>
      </c>
      <c r="AD688" s="11" t="s">
        <v>364</v>
      </c>
      <c r="AE688" s="11" t="e">
        <f>VLOOKUP(L688,'[1]singkron data'!D:P,13,FALSE)</f>
        <v>#N/A</v>
      </c>
      <c r="AF688" s="11" t="s">
        <v>55</v>
      </c>
      <c r="AG688" s="11" t="e">
        <f>VLOOKUP(L688,'[1]update kontrak'!E:K,6,FALSE)</f>
        <v>#N/A</v>
      </c>
      <c r="AH688" s="11" t="e">
        <f>VLOOKUP(L688,'[1]update kontrak'!E:K,7,FALSE)</f>
        <v>#N/A</v>
      </c>
      <c r="AI688" s="11"/>
      <c r="AJ688" s="11" t="str">
        <f>VLOOKUP(L688,[1]rekap!D:M,1,FALSE)</f>
        <v>Ujong Muloh</v>
      </c>
      <c r="AK688" s="11" t="e">
        <f>VLOOKUP(L688,'[1]singkron data'!D:E,2,FALSE)</f>
        <v>#N/A</v>
      </c>
      <c r="AL688" s="11" t="str">
        <f>VLOOKUP(L688,'[1]update 521'!D:D,1,FALSE)</f>
        <v>Ujong Muloh</v>
      </c>
      <c r="AM688" s="11" t="s">
        <v>96</v>
      </c>
      <c r="AN688" s="11" t="e">
        <f>VLOOKUP(L688,[1]Sheet19!E:L,8,FALSE)</f>
        <v>#N/A</v>
      </c>
      <c r="AO688" s="11" t="e">
        <f>VLOOKUP(L688,[1]Sheet19!E:K,7,FALSE)</f>
        <v>#N/A</v>
      </c>
      <c r="AP688" s="12"/>
    </row>
    <row r="689" spans="1:42" ht="15" x14ac:dyDescent="0.2">
      <c r="A689" s="8" t="s">
        <v>42</v>
      </c>
      <c r="B689" s="9" t="s">
        <v>43</v>
      </c>
      <c r="C689" s="9">
        <v>284</v>
      </c>
      <c r="D689" s="9" t="s">
        <v>1631</v>
      </c>
      <c r="E689" s="9">
        <v>71</v>
      </c>
      <c r="F689" s="9" t="s">
        <v>1667</v>
      </c>
      <c r="G689" s="9" t="s">
        <v>1668</v>
      </c>
      <c r="H689" s="9" t="s">
        <v>47</v>
      </c>
      <c r="I689" s="9" t="s">
        <v>1669</v>
      </c>
      <c r="J689" s="9" t="s">
        <v>1670</v>
      </c>
      <c r="K689" s="9" t="s">
        <v>1671</v>
      </c>
      <c r="L689" s="10" t="s">
        <v>1671</v>
      </c>
      <c r="M689" s="9" t="s">
        <v>51</v>
      </c>
      <c r="N689" s="9">
        <v>315</v>
      </c>
      <c r="O689" s="9" t="s">
        <v>72</v>
      </c>
      <c r="P689" s="9">
        <v>125</v>
      </c>
      <c r="Q689" s="9">
        <v>125</v>
      </c>
      <c r="R689" s="9">
        <v>0.7</v>
      </c>
      <c r="S689" s="9">
        <v>-5.5708799999999998</v>
      </c>
      <c r="T689" s="9">
        <v>105.79629</v>
      </c>
      <c r="U689" s="9" t="s">
        <v>52</v>
      </c>
      <c r="V689" s="11" t="str">
        <f>VLOOKUP(L689,'[1]singkron data'!D:E,2,FALSE)</f>
        <v>PT. Ratu Nayla Mandiri</v>
      </c>
      <c r="W689" s="13">
        <f>VLOOKUP(L689,'[1]update tim 2'!D:F,3,FALSE)</f>
        <v>3938788000</v>
      </c>
      <c r="X689" s="11" t="s">
        <v>55</v>
      </c>
      <c r="Y689" s="11" t="str">
        <f>VLOOKUP(L689,'[1]singkron data'!D:H,5,FALSE)</f>
        <v>Gresik</v>
      </c>
      <c r="Z689" s="11" t="str">
        <f>VLOOKUP(L689,'[1]singkron data'!D:I,6,FALSE)</f>
        <v>Online</v>
      </c>
      <c r="AA689" s="11" t="str">
        <f>VLOOKUP(L689,'[1]singkron data'!D:L,9,FALSE)</f>
        <v>pt.ratunaylamandiri313@gmail.com/081212846377</v>
      </c>
      <c r="AB689" s="11" t="s">
        <v>54</v>
      </c>
      <c r="AC689" s="11" t="str">
        <f>VLOOKUP(L689,'[1]singkron data'!D:M,10,FALSE)</f>
        <v>TK</v>
      </c>
      <c r="AD689" s="11" t="str">
        <f>VLOOKUP(L689,'[1]data 1129'!F:O,10,FALSE)</f>
        <v>Tahap II 146</v>
      </c>
      <c r="AE689" s="11">
        <f>VLOOKUP(L689,'[1]singkron data'!D:P,13,FALSE)</f>
        <v>0</v>
      </c>
      <c r="AF689" s="11" t="s">
        <v>55</v>
      </c>
      <c r="AG689" s="11" t="e">
        <f>VLOOKUP(L689,'[1]update kontrak'!E:K,6,FALSE)</f>
        <v>#N/A</v>
      </c>
      <c r="AH689" s="11" t="e">
        <f>VLOOKUP(L689,'[1]update kontrak'!E:K,7,FALSE)</f>
        <v>#N/A</v>
      </c>
      <c r="AI689" s="11"/>
      <c r="AJ689" s="11" t="str">
        <f>VLOOKUP(L689,[1]rekap!D:M,1,FALSE)</f>
        <v>Labuhan Ratu</v>
      </c>
      <c r="AK689" s="11" t="str">
        <f>VLOOKUP(L689,'[1]singkron data'!D:E,2,FALSE)</f>
        <v>PT. Ratu Nayla Mandiri</v>
      </c>
      <c r="AL689" s="11" t="str">
        <f>VLOOKUP(L689,'[1]update 521'!D:D,1,FALSE)</f>
        <v>Labuhan Ratu</v>
      </c>
      <c r="AM689" s="11" t="s">
        <v>57</v>
      </c>
      <c r="AN689" s="11" t="e">
        <f>VLOOKUP(L689,[1]Sheet19!E:L,8,FALSE)</f>
        <v>#N/A</v>
      </c>
      <c r="AO689" s="11" t="s">
        <v>58</v>
      </c>
      <c r="AP689" s="12"/>
    </row>
    <row r="690" spans="1:42" ht="15" x14ac:dyDescent="0.2">
      <c r="A690" s="8" t="s">
        <v>42</v>
      </c>
      <c r="B690" s="9" t="s">
        <v>43</v>
      </c>
      <c r="C690" s="9">
        <v>285</v>
      </c>
      <c r="D690" s="9" t="s">
        <v>1631</v>
      </c>
      <c r="E690" s="9">
        <v>72</v>
      </c>
      <c r="F690" s="9" t="s">
        <v>1672</v>
      </c>
      <c r="G690" s="9" t="s">
        <v>1633</v>
      </c>
      <c r="H690" s="9" t="s">
        <v>47</v>
      </c>
      <c r="I690" s="9" t="s">
        <v>1673</v>
      </c>
      <c r="J690" s="9" t="s">
        <v>1674</v>
      </c>
      <c r="K690" s="9" t="s">
        <v>1675</v>
      </c>
      <c r="L690" s="10" t="s">
        <v>1675</v>
      </c>
      <c r="M690" s="9" t="s">
        <v>51</v>
      </c>
      <c r="N690" s="9">
        <v>50</v>
      </c>
      <c r="O690" s="9">
        <v>15</v>
      </c>
      <c r="P690" s="9">
        <v>14</v>
      </c>
      <c r="Q690" s="9">
        <v>29</v>
      </c>
      <c r="R690" s="9">
        <v>0.92</v>
      </c>
      <c r="S690" s="9">
        <v>-0.85932600000000003</v>
      </c>
      <c r="T690" s="9">
        <v>104.40858799999999</v>
      </c>
      <c r="U690" s="9" t="s">
        <v>52</v>
      </c>
      <c r="V690" s="11" t="str">
        <f>VLOOKUP(L690,'[1]singkron data'!D:E,2,FALSE)</f>
        <v>Dinamika Bangun Mandiri</v>
      </c>
      <c r="W690" s="11"/>
      <c r="X690" s="11"/>
      <c r="Y690" s="11">
        <f>VLOOKUP(L690,'[1]singkron data'!D:H,5,FALSE)</f>
        <v>0</v>
      </c>
      <c r="Z690" s="11">
        <f>VLOOKUP(L690,'[1]singkron data'!D:I,6,FALSE)</f>
        <v>0</v>
      </c>
      <c r="AA690" s="11">
        <f>VLOOKUP(L690,'[1]singkron data'!D:L,9,FALSE)</f>
        <v>0</v>
      </c>
      <c r="AB690" s="11" t="s">
        <v>54</v>
      </c>
      <c r="AC690" s="20" t="s">
        <v>1676</v>
      </c>
      <c r="AD690" s="11" t="str">
        <f>VLOOKUP(L690,'[1]data 1129'!F:O,10,FALSE)</f>
        <v>Tahap III 166</v>
      </c>
      <c r="AE690" s="11">
        <f>VLOOKUP(L690,'[1]singkron data'!D:P,13,FALSE)</f>
        <v>0</v>
      </c>
      <c r="AF690" s="11" t="s">
        <v>55</v>
      </c>
      <c r="AG690" s="11" t="e">
        <f>VLOOKUP(L690,'[1]update kontrak'!E:K,6,FALSE)</f>
        <v>#N/A</v>
      </c>
      <c r="AH690" s="11" t="e">
        <f>VLOOKUP(L690,'[1]update kontrak'!E:K,7,FALSE)</f>
        <v>#N/A</v>
      </c>
      <c r="AI690" s="11"/>
      <c r="AJ690" s="11" t="str">
        <f>VLOOKUP(L690,[1]rekap!D:M,1,FALSE)</f>
        <v>Berlian</v>
      </c>
      <c r="AK690" s="11" t="str">
        <f>VLOOKUP(L690,'[1]singkron data'!D:E,2,FALSE)</f>
        <v>Dinamika Bangun Mandiri</v>
      </c>
      <c r="AL690" s="11" t="str">
        <f>VLOOKUP(L690,'[1]update 521'!D:D,1,FALSE)</f>
        <v>Berlian</v>
      </c>
      <c r="AM690" s="11" t="s">
        <v>96</v>
      </c>
      <c r="AN690" s="11" t="s">
        <v>1677</v>
      </c>
      <c r="AO690" s="11"/>
      <c r="AP690" s="12" t="s">
        <v>1678</v>
      </c>
    </row>
    <row r="691" spans="1:42" ht="15" x14ac:dyDescent="0.2">
      <c r="A691" s="8" t="s">
        <v>42</v>
      </c>
      <c r="B691" s="9" t="s">
        <v>43</v>
      </c>
      <c r="C691" s="9">
        <v>286</v>
      </c>
      <c r="D691" s="9" t="s">
        <v>1631</v>
      </c>
      <c r="E691" s="9">
        <v>73</v>
      </c>
      <c r="F691" s="9" t="s">
        <v>1672</v>
      </c>
      <c r="G691" s="9" t="s">
        <v>1633</v>
      </c>
      <c r="H691" s="9" t="s">
        <v>47</v>
      </c>
      <c r="I691" s="9" t="s">
        <v>1673</v>
      </c>
      <c r="J691" s="9" t="s">
        <v>1673</v>
      </c>
      <c r="K691" s="9" t="s">
        <v>1679</v>
      </c>
      <c r="L691" s="10" t="s">
        <v>1679</v>
      </c>
      <c r="M691" s="9" t="s">
        <v>51</v>
      </c>
      <c r="N691" s="9">
        <v>127</v>
      </c>
      <c r="O691" s="9">
        <v>32</v>
      </c>
      <c r="P691" s="9">
        <v>69</v>
      </c>
      <c r="Q691" s="9">
        <v>101</v>
      </c>
      <c r="R691" s="9">
        <v>0.45</v>
      </c>
      <c r="S691" s="9">
        <v>-0.25696960000000002</v>
      </c>
      <c r="T691" s="9">
        <v>104.5905832</v>
      </c>
      <c r="U691" s="9" t="s">
        <v>52</v>
      </c>
      <c r="V691" s="11" t="str">
        <f>VLOOKUP(L691,'[1]singkron data'!D:E,2,FALSE)</f>
        <v>Dinamika Bangun Mandiri</v>
      </c>
      <c r="W691" s="11"/>
      <c r="X691" s="11"/>
      <c r="Y691" s="11">
        <f>VLOOKUP(L691,'[1]singkron data'!D:H,5,FALSE)</f>
        <v>0</v>
      </c>
      <c r="Z691" s="11">
        <f>VLOOKUP(L691,'[1]singkron data'!D:I,6,FALSE)</f>
        <v>0</v>
      </c>
      <c r="AA691" s="11">
        <f>VLOOKUP(L691,'[1]singkron data'!D:L,9,FALSE)</f>
        <v>0</v>
      </c>
      <c r="AB691" s="11" t="s">
        <v>54</v>
      </c>
      <c r="AC691" s="20" t="s">
        <v>1676</v>
      </c>
      <c r="AD691" s="11" t="str">
        <f>VLOOKUP(L691,'[1]data 1129'!F:O,10,FALSE)</f>
        <v>Tahap IV 200</v>
      </c>
      <c r="AE691" s="11">
        <f>VLOOKUP(L691,'[1]singkron data'!D:P,13,FALSE)</f>
        <v>0</v>
      </c>
      <c r="AF691" s="11" t="s">
        <v>55</v>
      </c>
      <c r="AG691" s="11" t="e">
        <f>VLOOKUP(L691,'[1]update kontrak'!E:K,6,FALSE)</f>
        <v>#N/A</v>
      </c>
      <c r="AH691" s="11" t="e">
        <f>VLOOKUP(L691,'[1]update kontrak'!E:K,7,FALSE)</f>
        <v>#N/A</v>
      </c>
      <c r="AI691" s="11"/>
      <c r="AJ691" s="11" t="str">
        <f>VLOOKUP(L691,[1]rekap!D:M,1,FALSE)</f>
        <v>Mepar</v>
      </c>
      <c r="AK691" s="11" t="str">
        <f>VLOOKUP(L691,'[1]singkron data'!D:E,2,FALSE)</f>
        <v>Dinamika Bangun Mandiri</v>
      </c>
      <c r="AL691" s="11" t="str">
        <f>VLOOKUP(L691,'[1]update 521'!D:D,1,FALSE)</f>
        <v>Mepar</v>
      </c>
      <c r="AM691" s="11" t="s">
        <v>96</v>
      </c>
      <c r="AN691" s="11" t="s">
        <v>1677</v>
      </c>
      <c r="AO691" s="11"/>
      <c r="AP691" s="12" t="s">
        <v>1678</v>
      </c>
    </row>
    <row r="692" spans="1:42" ht="15" x14ac:dyDescent="0.2">
      <c r="A692" s="8" t="s">
        <v>42</v>
      </c>
      <c r="B692" s="9" t="s">
        <v>43</v>
      </c>
      <c r="C692" s="9">
        <v>287</v>
      </c>
      <c r="D692" s="9" t="s">
        <v>1631</v>
      </c>
      <c r="E692" s="9">
        <v>74</v>
      </c>
      <c r="F692" s="9" t="s">
        <v>1672</v>
      </c>
      <c r="G692" s="9" t="s">
        <v>1633</v>
      </c>
      <c r="H692" s="9" t="s">
        <v>47</v>
      </c>
      <c r="I692" s="9" t="s">
        <v>1673</v>
      </c>
      <c r="J692" s="9" t="s">
        <v>1680</v>
      </c>
      <c r="K692" s="9" t="s">
        <v>1681</v>
      </c>
      <c r="L692" s="10" t="s">
        <v>1681</v>
      </c>
      <c r="M692" s="9" t="s">
        <v>51</v>
      </c>
      <c r="N692" s="9">
        <v>180</v>
      </c>
      <c r="O692" s="9">
        <v>37</v>
      </c>
      <c r="P692" s="9">
        <v>97</v>
      </c>
      <c r="Q692" s="9">
        <v>134</v>
      </c>
      <c r="R692" s="9">
        <v>1.1299999999999999</v>
      </c>
      <c r="S692" s="9">
        <v>-0.29258899999999999</v>
      </c>
      <c r="T692" s="9">
        <v>104.95648300000001</v>
      </c>
      <c r="U692" s="9" t="s">
        <v>52</v>
      </c>
      <c r="V692" s="11" t="str">
        <f>VLOOKUP(L692,'[1]singkron data'!D:E,2,FALSE)</f>
        <v>Dinamika Bangun Mandiri</v>
      </c>
      <c r="W692" s="11"/>
      <c r="X692" s="11"/>
      <c r="Y692" s="11">
        <f>VLOOKUP(L692,'[1]singkron data'!D:H,5,FALSE)</f>
        <v>0</v>
      </c>
      <c r="Z692" s="11">
        <f>VLOOKUP(L692,'[1]singkron data'!D:I,6,FALSE)</f>
        <v>0</v>
      </c>
      <c r="AA692" s="11">
        <f>VLOOKUP(L692,'[1]singkron data'!D:L,9,FALSE)</f>
        <v>0</v>
      </c>
      <c r="AB692" s="11" t="s">
        <v>54</v>
      </c>
      <c r="AC692" s="20" t="s">
        <v>1676</v>
      </c>
      <c r="AD692" s="11" t="str">
        <f>VLOOKUP(L692,'[1]data 1129'!F:O,10,FALSE)</f>
        <v>Tahap III 166</v>
      </c>
      <c r="AE692" s="11">
        <f>VLOOKUP(L692,'[1]singkron data'!D:P,13,FALSE)</f>
        <v>0</v>
      </c>
      <c r="AF692" s="11" t="s">
        <v>55</v>
      </c>
      <c r="AG692" s="11" t="e">
        <f>VLOOKUP(L692,'[1]update kontrak'!E:K,6,FALSE)</f>
        <v>#N/A</v>
      </c>
      <c r="AH692" s="11" t="e">
        <f>VLOOKUP(L692,'[1]update kontrak'!E:K,7,FALSE)</f>
        <v>#N/A</v>
      </c>
      <c r="AI692" s="11"/>
      <c r="AJ692" s="11" t="str">
        <f>VLOOKUP(L692,[1]rekap!D:M,1,FALSE)</f>
        <v>Belungkur</v>
      </c>
      <c r="AK692" s="11" t="str">
        <f>VLOOKUP(L692,'[1]singkron data'!D:E,2,FALSE)</f>
        <v>Dinamika Bangun Mandiri</v>
      </c>
      <c r="AL692" s="11" t="str">
        <f>VLOOKUP(L692,'[1]update 521'!D:D,1,FALSE)</f>
        <v>Belungkur</v>
      </c>
      <c r="AM692" s="11" t="s">
        <v>96</v>
      </c>
      <c r="AN692" s="11" t="s">
        <v>1677</v>
      </c>
      <c r="AO692" s="11"/>
      <c r="AP692" s="12" t="s">
        <v>1678</v>
      </c>
    </row>
    <row r="693" spans="1:42" ht="15" x14ac:dyDescent="0.2">
      <c r="A693" s="8" t="s">
        <v>42</v>
      </c>
      <c r="B693" s="9" t="s">
        <v>43</v>
      </c>
      <c r="C693" s="9">
        <v>288</v>
      </c>
      <c r="D693" s="9" t="s">
        <v>1631</v>
      </c>
      <c r="E693" s="9">
        <v>75</v>
      </c>
      <c r="F693" s="9" t="s">
        <v>1682</v>
      </c>
      <c r="G693" s="9" t="s">
        <v>1656</v>
      </c>
      <c r="H693" s="9" t="s">
        <v>47</v>
      </c>
      <c r="I693" s="9" t="s">
        <v>1683</v>
      </c>
      <c r="J693" s="9" t="s">
        <v>1684</v>
      </c>
      <c r="K693" s="9" t="s">
        <v>1685</v>
      </c>
      <c r="L693" s="9" t="s">
        <v>1685</v>
      </c>
      <c r="M693" s="9" t="s">
        <v>51</v>
      </c>
      <c r="N693" s="9">
        <v>40</v>
      </c>
      <c r="O693" s="9">
        <v>5</v>
      </c>
      <c r="P693" s="9">
        <v>235</v>
      </c>
      <c r="Q693" s="9">
        <v>240</v>
      </c>
      <c r="R693" s="9">
        <v>1.08</v>
      </c>
      <c r="S693" s="9">
        <v>4.9095038000000004</v>
      </c>
      <c r="T693" s="9">
        <v>97.839891199999997</v>
      </c>
      <c r="U693" s="9"/>
      <c r="V693" s="11" t="e">
        <f>VLOOKUP(L693,'[1]singkron data'!D:E,2,FALSE)</f>
        <v>#N/A</v>
      </c>
      <c r="W693" s="11"/>
      <c r="X693" s="11"/>
      <c r="Y693" s="11" t="e">
        <f>VLOOKUP(L693,'[1]singkron data'!D:H,5,FALSE)</f>
        <v>#N/A</v>
      </c>
      <c r="Z693" s="11" t="e">
        <f>VLOOKUP(L693,'[1]singkron data'!D:I,6,FALSE)</f>
        <v>#N/A</v>
      </c>
      <c r="AA693" s="11" t="e">
        <f>VLOOKUP(L693,'[1]singkron data'!D:L,9,FALSE)</f>
        <v>#N/A</v>
      </c>
      <c r="AB693" s="11" t="s">
        <v>694</v>
      </c>
      <c r="AC693" s="11" t="e">
        <f>VLOOKUP(L693,'[1]singkron data'!D:M,10,FALSE)</f>
        <v>#N/A</v>
      </c>
      <c r="AD693" s="11" t="s">
        <v>364</v>
      </c>
      <c r="AE693" s="11" t="e">
        <f>VLOOKUP(L693,'[1]singkron data'!D:P,13,FALSE)</f>
        <v>#N/A</v>
      </c>
      <c r="AF693" s="11" t="s">
        <v>55</v>
      </c>
      <c r="AG693" s="11" t="e">
        <f>VLOOKUP(L693,'[1]update kontrak'!E:K,6,FALSE)</f>
        <v>#N/A</v>
      </c>
      <c r="AH693" s="11" t="e">
        <f>VLOOKUP(L693,'[1]update kontrak'!E:K,7,FALSE)</f>
        <v>#N/A</v>
      </c>
      <c r="AI693" s="11"/>
      <c r="AJ693" s="11" t="str">
        <f>VLOOKUP(L693,[1]rekap!D:M,1,FALSE)</f>
        <v>Gampong Kuala</v>
      </c>
      <c r="AK693" s="11" t="e">
        <f>VLOOKUP(L693,'[1]singkron data'!D:E,2,FALSE)</f>
        <v>#N/A</v>
      </c>
      <c r="AL693" s="11" t="str">
        <f>VLOOKUP(L693,'[1]update 521'!D:D,1,FALSE)</f>
        <v>Gampong Kuala</v>
      </c>
      <c r="AM693" s="11" t="s">
        <v>96</v>
      </c>
      <c r="AN693" s="11" t="e">
        <f>VLOOKUP(L693,[1]Sheet19!E:L,8,FALSE)</f>
        <v>#N/A</v>
      </c>
      <c r="AO693" s="11" t="e">
        <f>VLOOKUP(L693,[1]Sheet19!E:K,7,FALSE)</f>
        <v>#N/A</v>
      </c>
      <c r="AP693" s="12"/>
    </row>
    <row r="694" spans="1:42" ht="15" x14ac:dyDescent="0.2">
      <c r="A694" s="8" t="s">
        <v>42</v>
      </c>
      <c r="B694" s="9" t="s">
        <v>43</v>
      </c>
      <c r="C694" s="9">
        <v>289</v>
      </c>
      <c r="D694" s="9" t="s">
        <v>1631</v>
      </c>
      <c r="E694" s="9">
        <v>76</v>
      </c>
      <c r="F694" s="9" t="s">
        <v>1682</v>
      </c>
      <c r="G694" s="9" t="s">
        <v>1656</v>
      </c>
      <c r="H694" s="9" t="s">
        <v>47</v>
      </c>
      <c r="I694" s="9" t="s">
        <v>1683</v>
      </c>
      <c r="J694" s="9" t="s">
        <v>1684</v>
      </c>
      <c r="K694" s="9" t="s">
        <v>1686</v>
      </c>
      <c r="L694" s="9" t="s">
        <v>1686</v>
      </c>
      <c r="M694" s="9" t="s">
        <v>51</v>
      </c>
      <c r="N694" s="9">
        <v>107</v>
      </c>
      <c r="O694" s="9">
        <v>3</v>
      </c>
      <c r="P694" s="9">
        <v>53</v>
      </c>
      <c r="Q694" s="9">
        <v>56</v>
      </c>
      <c r="R694" s="9">
        <v>1.4</v>
      </c>
      <c r="S694" s="9">
        <v>4.9012370000000001</v>
      </c>
      <c r="T694" s="9">
        <v>97.837755000000001</v>
      </c>
      <c r="U694" s="9"/>
      <c r="V694" s="11" t="e">
        <f>VLOOKUP(L694,'[1]singkron data'!D:E,2,FALSE)</f>
        <v>#N/A</v>
      </c>
      <c r="W694" s="11"/>
      <c r="X694" s="11"/>
      <c r="Y694" s="11" t="e">
        <f>VLOOKUP(L694,'[1]singkron data'!D:H,5,FALSE)</f>
        <v>#N/A</v>
      </c>
      <c r="Z694" s="11" t="e">
        <f>VLOOKUP(L694,'[1]singkron data'!D:I,6,FALSE)</f>
        <v>#N/A</v>
      </c>
      <c r="AA694" s="11" t="e">
        <f>VLOOKUP(L694,'[1]singkron data'!D:L,9,FALSE)</f>
        <v>#N/A</v>
      </c>
      <c r="AB694" s="11" t="s">
        <v>694</v>
      </c>
      <c r="AC694" s="11" t="e">
        <f>VLOOKUP(L694,'[1]singkron data'!D:M,10,FALSE)</f>
        <v>#N/A</v>
      </c>
      <c r="AD694" s="11" t="s">
        <v>364</v>
      </c>
      <c r="AE694" s="11" t="e">
        <f>VLOOKUP(L694,'[1]singkron data'!D:P,13,FALSE)</f>
        <v>#N/A</v>
      </c>
      <c r="AF694" s="11" t="s">
        <v>55</v>
      </c>
      <c r="AG694" s="11" t="e">
        <f>VLOOKUP(L694,'[1]update kontrak'!E:K,6,FALSE)</f>
        <v>#N/A</v>
      </c>
      <c r="AH694" s="11" t="e">
        <f>VLOOKUP(L694,'[1]update kontrak'!E:K,7,FALSE)</f>
        <v>#N/A</v>
      </c>
      <c r="AI694" s="11"/>
      <c r="AJ694" s="11" t="str">
        <f>VLOOKUP(L694,[1]rekap!D:M,1,FALSE)</f>
        <v>Paya Dua</v>
      </c>
      <c r="AK694" s="11" t="e">
        <f>VLOOKUP(L694,'[1]singkron data'!D:E,2,FALSE)</f>
        <v>#N/A</v>
      </c>
      <c r="AL694" s="11" t="str">
        <f>VLOOKUP(L694,'[1]update 521'!D:D,1,FALSE)</f>
        <v>Paya Dua</v>
      </c>
      <c r="AM694" s="11" t="s">
        <v>96</v>
      </c>
      <c r="AN694" s="11" t="e">
        <f>VLOOKUP(L694,[1]Sheet19!E:L,8,FALSE)</f>
        <v>#N/A</v>
      </c>
      <c r="AO694" s="11" t="e">
        <f>VLOOKUP(L694,[1]Sheet19!E:K,7,FALSE)</f>
        <v>#N/A</v>
      </c>
      <c r="AP694" s="12"/>
    </row>
    <row r="695" spans="1:42" ht="15" x14ac:dyDescent="0.2">
      <c r="A695" s="8" t="s">
        <v>42</v>
      </c>
      <c r="B695" s="9" t="s">
        <v>43</v>
      </c>
      <c r="C695" s="9">
        <v>290</v>
      </c>
      <c r="D695" s="9" t="s">
        <v>1631</v>
      </c>
      <c r="E695" s="9">
        <v>77</v>
      </c>
      <c r="F695" s="9" t="s">
        <v>1682</v>
      </c>
      <c r="G695" s="9" t="s">
        <v>1656</v>
      </c>
      <c r="H695" s="9" t="s">
        <v>47</v>
      </c>
      <c r="I695" s="9" t="s">
        <v>1687</v>
      </c>
      <c r="J695" s="9" t="s">
        <v>1688</v>
      </c>
      <c r="K695" s="9" t="s">
        <v>1689</v>
      </c>
      <c r="L695" s="9" t="s">
        <v>1689</v>
      </c>
      <c r="M695" s="9" t="s">
        <v>51</v>
      </c>
      <c r="N695" s="9">
        <v>198</v>
      </c>
      <c r="O695" s="9">
        <v>5</v>
      </c>
      <c r="P695" s="9">
        <v>100</v>
      </c>
      <c r="Q695" s="9">
        <v>105</v>
      </c>
      <c r="R695" s="9">
        <v>1</v>
      </c>
      <c r="S695" s="9">
        <v>4.4030490000000002</v>
      </c>
      <c r="T695" s="9">
        <v>98.245174000000006</v>
      </c>
      <c r="U695" s="9"/>
      <c r="V695" s="11" t="e">
        <f>VLOOKUP(L695,'[1]singkron data'!D:E,2,FALSE)</f>
        <v>#N/A</v>
      </c>
      <c r="W695" s="11"/>
      <c r="X695" s="11"/>
      <c r="Y695" s="11" t="e">
        <f>VLOOKUP(L695,'[1]singkron data'!D:H,5,FALSE)</f>
        <v>#N/A</v>
      </c>
      <c r="Z695" s="11" t="e">
        <f>VLOOKUP(L695,'[1]singkron data'!D:I,6,FALSE)</f>
        <v>#N/A</v>
      </c>
      <c r="AA695" s="11" t="e">
        <f>VLOOKUP(L695,'[1]singkron data'!D:L,9,FALSE)</f>
        <v>#N/A</v>
      </c>
      <c r="AB695" s="11" t="s">
        <v>694</v>
      </c>
      <c r="AC695" s="11" t="e">
        <f>VLOOKUP(L695,'[1]singkron data'!D:M,10,FALSE)</f>
        <v>#N/A</v>
      </c>
      <c r="AD695" s="11" t="s">
        <v>364</v>
      </c>
      <c r="AE695" s="11" t="e">
        <f>VLOOKUP(L695,'[1]singkron data'!D:P,13,FALSE)</f>
        <v>#N/A</v>
      </c>
      <c r="AF695" s="11" t="s">
        <v>55</v>
      </c>
      <c r="AG695" s="11" t="e">
        <f>VLOOKUP(L695,'[1]update kontrak'!E:K,6,FALSE)</f>
        <v>#N/A</v>
      </c>
      <c r="AH695" s="11" t="e">
        <f>VLOOKUP(L695,'[1]update kontrak'!E:K,7,FALSE)</f>
        <v>#N/A</v>
      </c>
      <c r="AI695" s="11"/>
      <c r="AJ695" s="11" t="str">
        <f>VLOOKUP(L695,[1]rekap!D:M,1,FALSE)</f>
        <v>Kuala Pusung Kapal</v>
      </c>
      <c r="AK695" s="11" t="e">
        <f>VLOOKUP(L695,'[1]singkron data'!D:E,2,FALSE)</f>
        <v>#N/A</v>
      </c>
      <c r="AL695" s="11" t="str">
        <f>VLOOKUP(L695,'[1]update 521'!D:D,1,FALSE)</f>
        <v>Kuala Pusung Kapal</v>
      </c>
      <c r="AM695" s="11" t="s">
        <v>96</v>
      </c>
      <c r="AN695" s="11" t="e">
        <f>VLOOKUP(L695,[1]Sheet19!E:L,8,FALSE)</f>
        <v>#N/A</v>
      </c>
      <c r="AO695" s="11" t="e">
        <f>VLOOKUP(L695,[1]Sheet19!E:K,7,FALSE)</f>
        <v>#N/A</v>
      </c>
      <c r="AP695" s="12"/>
    </row>
    <row r="696" spans="1:42" ht="15" x14ac:dyDescent="0.2">
      <c r="A696" s="8" t="s">
        <v>42</v>
      </c>
      <c r="B696" s="9" t="s">
        <v>43</v>
      </c>
      <c r="C696" s="9">
        <v>291</v>
      </c>
      <c r="D696" s="9" t="s">
        <v>1631</v>
      </c>
      <c r="E696" s="9">
        <v>78</v>
      </c>
      <c r="F696" s="9" t="s">
        <v>1682</v>
      </c>
      <c r="G696" s="9" t="s">
        <v>1656</v>
      </c>
      <c r="H696" s="9" t="s">
        <v>47</v>
      </c>
      <c r="I696" s="9" t="s">
        <v>1690</v>
      </c>
      <c r="J696" s="9" t="s">
        <v>1691</v>
      </c>
      <c r="K696" s="9" t="s">
        <v>1692</v>
      </c>
      <c r="L696" s="9" t="s">
        <v>1692</v>
      </c>
      <c r="M696" s="9" t="s">
        <v>51</v>
      </c>
      <c r="N696" s="9">
        <v>340</v>
      </c>
      <c r="O696" s="9">
        <v>30</v>
      </c>
      <c r="P696" s="9">
        <v>160</v>
      </c>
      <c r="Q696" s="9">
        <v>190</v>
      </c>
      <c r="R696" s="9">
        <v>1.4</v>
      </c>
      <c r="S696" s="9">
        <v>4.5165737999999997</v>
      </c>
      <c r="T696" s="9">
        <v>98.014787200000001</v>
      </c>
      <c r="U696" s="9"/>
      <c r="V696" s="11" t="e">
        <f>VLOOKUP(L696,'[1]singkron data'!D:E,2,FALSE)</f>
        <v>#N/A</v>
      </c>
      <c r="W696" s="11"/>
      <c r="X696" s="11"/>
      <c r="Y696" s="11" t="e">
        <f>VLOOKUP(L696,'[1]singkron data'!D:H,5,FALSE)</f>
        <v>#N/A</v>
      </c>
      <c r="Z696" s="11" t="e">
        <f>VLOOKUP(L696,'[1]singkron data'!D:I,6,FALSE)</f>
        <v>#N/A</v>
      </c>
      <c r="AA696" s="11" t="e">
        <f>VLOOKUP(L696,'[1]singkron data'!D:L,9,FALSE)</f>
        <v>#N/A</v>
      </c>
      <c r="AB696" s="11" t="s">
        <v>694</v>
      </c>
      <c r="AC696" s="11" t="e">
        <f>VLOOKUP(L696,'[1]singkron data'!D:M,10,FALSE)</f>
        <v>#N/A</v>
      </c>
      <c r="AD696" s="11" t="s">
        <v>364</v>
      </c>
      <c r="AE696" s="11" t="e">
        <f>VLOOKUP(L696,'[1]singkron data'!D:P,13,FALSE)</f>
        <v>#N/A</v>
      </c>
      <c r="AF696" s="11" t="s">
        <v>55</v>
      </c>
      <c r="AG696" s="11" t="e">
        <f>VLOOKUP(L696,'[1]update kontrak'!E:K,6,FALSE)</f>
        <v>#N/A</v>
      </c>
      <c r="AH696" s="11" t="e">
        <f>VLOOKUP(L696,'[1]update kontrak'!E:K,7,FALSE)</f>
        <v>#N/A</v>
      </c>
      <c r="AI696" s="11"/>
      <c r="AJ696" s="11" t="str">
        <f>VLOOKUP(L696,[1]rekap!D:M,1,FALSE)</f>
        <v>Kuala Langsa</v>
      </c>
      <c r="AK696" s="11" t="e">
        <f>VLOOKUP(L696,'[1]singkron data'!D:E,2,FALSE)</f>
        <v>#N/A</v>
      </c>
      <c r="AL696" s="11" t="str">
        <f>VLOOKUP(L696,'[1]update 521'!D:D,1,FALSE)</f>
        <v>Kuala Langsa</v>
      </c>
      <c r="AM696" s="11" t="s">
        <v>96</v>
      </c>
      <c r="AN696" s="11" t="e">
        <f>VLOOKUP(L696,[1]Sheet19!E:L,8,FALSE)</f>
        <v>#N/A</v>
      </c>
      <c r="AO696" s="11" t="e">
        <f>VLOOKUP(L696,[1]Sheet19!E:K,7,FALSE)</f>
        <v>#N/A</v>
      </c>
      <c r="AP696" s="12"/>
    </row>
    <row r="697" spans="1:42" ht="15" x14ac:dyDescent="0.2">
      <c r="A697" s="8" t="s">
        <v>42</v>
      </c>
      <c r="B697" s="9" t="s">
        <v>43</v>
      </c>
      <c r="C697" s="9">
        <v>292</v>
      </c>
      <c r="D697" s="9" t="s">
        <v>1631</v>
      </c>
      <c r="E697" s="9">
        <v>79</v>
      </c>
      <c r="F697" s="9" t="s">
        <v>1693</v>
      </c>
      <c r="G697" s="9" t="s">
        <v>1668</v>
      </c>
      <c r="H697" s="9" t="s">
        <v>47</v>
      </c>
      <c r="I697" s="9" t="s">
        <v>1694</v>
      </c>
      <c r="J697" s="9" t="s">
        <v>1695</v>
      </c>
      <c r="K697" s="9" t="s">
        <v>1696</v>
      </c>
      <c r="L697" s="10" t="s">
        <v>1696</v>
      </c>
      <c r="M697" s="9" t="s">
        <v>51</v>
      </c>
      <c r="N697" s="9">
        <v>152</v>
      </c>
      <c r="O697" s="9" t="s">
        <v>72</v>
      </c>
      <c r="P697" s="9">
        <v>167</v>
      </c>
      <c r="Q697" s="9">
        <v>167</v>
      </c>
      <c r="R697" s="9">
        <v>0.05</v>
      </c>
      <c r="S697" s="9">
        <v>-4.6346259999999999</v>
      </c>
      <c r="T697" s="9">
        <v>105.89029600000001</v>
      </c>
      <c r="U697" s="9" t="s">
        <v>52</v>
      </c>
      <c r="V697" s="11" t="str">
        <f>VLOOKUP(L697,'[1]singkron data'!D:E,2,FALSE)</f>
        <v>PT. Berkarya Indo Guna</v>
      </c>
      <c r="W697" s="13">
        <f>VLOOKUP(L697,'[1]update tim 2'!D:F,3,FALSE)</f>
        <v>7912834000</v>
      </c>
      <c r="X697" s="11" t="s">
        <v>55</v>
      </c>
      <c r="Y697" s="11">
        <f>VLOOKUP(L697,'[1]singkron data'!D:H,5,FALSE)</f>
        <v>0</v>
      </c>
      <c r="Z697" s="11">
        <f>VLOOKUP(L697,'[1]singkron data'!D:I,6,FALSE)</f>
        <v>0</v>
      </c>
      <c r="AA697" s="11" t="s">
        <v>1697</v>
      </c>
      <c r="AB697" s="11" t="s">
        <v>54</v>
      </c>
      <c r="AC697" s="11" t="s">
        <v>1698</v>
      </c>
      <c r="AD697" s="11" t="str">
        <f>VLOOKUP(L697,'[1]data 1129'!F:O,10,FALSE)</f>
        <v>Tahap II 146</v>
      </c>
      <c r="AE697" s="11">
        <f>VLOOKUP(L697,'[1]singkron data'!D:P,13,FALSE)</f>
        <v>0</v>
      </c>
      <c r="AF697" s="11" t="s">
        <v>55</v>
      </c>
      <c r="AG697" s="11" t="e">
        <f>VLOOKUP(L697,'[1]update kontrak'!E:K,6,FALSE)</f>
        <v>#N/A</v>
      </c>
      <c r="AH697" s="11" t="e">
        <f>VLOOKUP(L697,'[1]update kontrak'!E:K,7,FALSE)</f>
        <v>#N/A</v>
      </c>
      <c r="AI697" s="11"/>
      <c r="AJ697" s="11" t="str">
        <f>VLOOKUP(L697,[1]rekap!D:M,1,FALSE)</f>
        <v>Sungai Burung</v>
      </c>
      <c r="AK697" s="11" t="str">
        <f>VLOOKUP(L697,'[1]singkron data'!D:E,2,FALSE)</f>
        <v>PT. Berkarya Indo Guna</v>
      </c>
      <c r="AL697" s="11" t="str">
        <f>VLOOKUP(L697,'[1]update 521'!D:D,1,FALSE)</f>
        <v>Sungai Burung</v>
      </c>
      <c r="AM697" s="11" t="s">
        <v>57</v>
      </c>
      <c r="AN697" s="11" t="e">
        <f>VLOOKUP(L697,[1]Sheet19!E:L,8,FALSE)</f>
        <v>#N/A</v>
      </c>
      <c r="AO697" s="11" t="s">
        <v>58</v>
      </c>
      <c r="AP697" s="12"/>
    </row>
    <row r="698" spans="1:42" ht="15" x14ac:dyDescent="0.2">
      <c r="A698" s="8" t="s">
        <v>42</v>
      </c>
      <c r="B698" s="9" t="s">
        <v>43</v>
      </c>
      <c r="C698" s="9">
        <v>293</v>
      </c>
      <c r="D698" s="9" t="s">
        <v>1631</v>
      </c>
      <c r="E698" s="9">
        <v>80</v>
      </c>
      <c r="F698" s="9" t="s">
        <v>1699</v>
      </c>
      <c r="G698" s="9" t="s">
        <v>1633</v>
      </c>
      <c r="H698" s="9" t="s">
        <v>47</v>
      </c>
      <c r="I698" s="9" t="s">
        <v>1700</v>
      </c>
      <c r="J698" s="9" t="s">
        <v>1701</v>
      </c>
      <c r="K698" s="9" t="s">
        <v>264</v>
      </c>
      <c r="L698" s="37" t="s">
        <v>264</v>
      </c>
      <c r="M698" s="9" t="s">
        <v>51</v>
      </c>
      <c r="N698" s="9">
        <v>109</v>
      </c>
      <c r="O698" s="9" t="s">
        <v>72</v>
      </c>
      <c r="P698" s="9">
        <v>55</v>
      </c>
      <c r="Q698" s="9">
        <v>55</v>
      </c>
      <c r="R698" s="9">
        <v>1</v>
      </c>
      <c r="S698" s="9">
        <v>4.0169439999999996</v>
      </c>
      <c r="T698" s="9">
        <v>108.344722</v>
      </c>
      <c r="U698" s="9" t="s">
        <v>52</v>
      </c>
      <c r="V698" s="11"/>
      <c r="W698" s="11"/>
      <c r="X698" s="11"/>
      <c r="Y698" s="11">
        <f>VLOOKUP(L698,'[1]singkron data'!D:H,5,FALSE)</f>
        <v>0</v>
      </c>
      <c r="Z698" s="11">
        <f>VLOOKUP(L698,'[1]singkron data'!D:I,6,FALSE)</f>
        <v>0</v>
      </c>
      <c r="AA698" s="11" t="s">
        <v>1702</v>
      </c>
      <c r="AB698" s="11" t="s">
        <v>54</v>
      </c>
      <c r="AC698" s="11" t="s">
        <v>1703</v>
      </c>
      <c r="AD698" s="11" t="str">
        <f>VLOOKUP(L698,'[1]data 1129'!F:O,10,FALSE)</f>
        <v>Tahap II 146</v>
      </c>
      <c r="AE698" s="11">
        <f>VLOOKUP(L698,'[1]singkron data'!D:P,13,FALSE)</f>
        <v>0</v>
      </c>
      <c r="AF698" s="11" t="s">
        <v>55</v>
      </c>
      <c r="AG698" s="11" t="e">
        <f>VLOOKUP(L698,'[1]update kontrak'!E:K,6,FALSE)</f>
        <v>#N/A</v>
      </c>
      <c r="AH698" s="11" t="e">
        <f>VLOOKUP(L698,'[1]update kontrak'!E:K,7,FALSE)</f>
        <v>#N/A</v>
      </c>
      <c r="AI698" s="11"/>
      <c r="AJ698" s="11" t="str">
        <f>VLOOKUP(L698,[1]rekap!D:M,1,FALSE)</f>
        <v>Tanjung</v>
      </c>
      <c r="AK698" s="11" t="str">
        <f>VLOOKUP(L698,'[1]singkron data'!D:E,2,FALSE)</f>
        <v>PT SPECTRATAMA PERKASA</v>
      </c>
      <c r="AL698" s="11" t="str">
        <f>VLOOKUP(L698,'[1]update 521'!D:D,1,FALSE)</f>
        <v>Tanjung</v>
      </c>
      <c r="AM698" s="11" t="s">
        <v>57</v>
      </c>
      <c r="AN698" s="11" t="s">
        <v>1704</v>
      </c>
      <c r="AO698" s="11" t="s">
        <v>1702</v>
      </c>
      <c r="AP698" s="12" t="s">
        <v>268</v>
      </c>
    </row>
    <row r="699" spans="1:42" ht="15" x14ac:dyDescent="0.2">
      <c r="A699" s="8" t="s">
        <v>42</v>
      </c>
      <c r="B699" s="9" t="s">
        <v>43</v>
      </c>
      <c r="C699" s="9">
        <v>294</v>
      </c>
      <c r="D699" s="9" t="s">
        <v>1631</v>
      </c>
      <c r="E699" s="9">
        <v>81</v>
      </c>
      <c r="F699" s="9" t="s">
        <v>1699</v>
      </c>
      <c r="G699" s="9" t="s">
        <v>1633</v>
      </c>
      <c r="H699" s="9" t="s">
        <v>47</v>
      </c>
      <c r="I699" s="9" t="s">
        <v>1700</v>
      </c>
      <c r="J699" s="9" t="s">
        <v>1705</v>
      </c>
      <c r="K699" s="9" t="s">
        <v>1706</v>
      </c>
      <c r="L699" s="37" t="s">
        <v>1706</v>
      </c>
      <c r="M699" s="9" t="s">
        <v>51</v>
      </c>
      <c r="N699" s="9">
        <v>72</v>
      </c>
      <c r="O699" s="9" t="s">
        <v>72</v>
      </c>
      <c r="P699" s="9">
        <v>62</v>
      </c>
      <c r="Q699" s="9">
        <v>62</v>
      </c>
      <c r="R699" s="9">
        <v>0.34</v>
      </c>
      <c r="S699" s="9">
        <v>3.9848699999999999</v>
      </c>
      <c r="T699" s="9">
        <v>107.99533599999999</v>
      </c>
      <c r="U699" s="9" t="s">
        <v>52</v>
      </c>
      <c r="V699" s="11"/>
      <c r="W699" s="11"/>
      <c r="X699" s="11"/>
      <c r="Y699" s="11">
        <f>VLOOKUP(L699,'[1]singkron data'!D:H,5,FALSE)</f>
        <v>0</v>
      </c>
      <c r="Z699" s="11">
        <f>VLOOKUP(L699,'[1]singkron data'!D:I,6,FALSE)</f>
        <v>0</v>
      </c>
      <c r="AA699" s="11" t="s">
        <v>1702</v>
      </c>
      <c r="AB699" s="11" t="s">
        <v>54</v>
      </c>
      <c r="AC699" s="11" t="s">
        <v>1703</v>
      </c>
      <c r="AD699" s="11" t="str">
        <f>VLOOKUP(L699,'[1]data 1129'!F:O,10,FALSE)</f>
        <v>Tahap III 166</v>
      </c>
      <c r="AE699" s="11">
        <f>VLOOKUP(L699,'[1]singkron data'!D:P,13,FALSE)</f>
        <v>0</v>
      </c>
      <c r="AF699" s="11" t="s">
        <v>55</v>
      </c>
      <c r="AG699" s="11" t="e">
        <f>VLOOKUP(L699,'[1]update kontrak'!E:K,6,FALSE)</f>
        <v>#N/A</v>
      </c>
      <c r="AH699" s="11" t="e">
        <f>VLOOKUP(L699,'[1]update kontrak'!E:K,7,FALSE)</f>
        <v>#N/A</v>
      </c>
      <c r="AI699" s="11"/>
      <c r="AJ699" s="11" t="str">
        <f>VLOOKUP(L699,[1]rekap!D:M,1,FALSE)</f>
        <v>Kelarik</v>
      </c>
      <c r="AK699" s="11" t="str">
        <f>VLOOKUP(L699,'[1]singkron data'!D:E,2,FALSE)</f>
        <v>PT SPECTRATAMA PERKASA</v>
      </c>
      <c r="AL699" s="11" t="str">
        <f>VLOOKUP(L699,'[1]update 521'!D:D,1,FALSE)</f>
        <v>Kelarik</v>
      </c>
      <c r="AM699" s="11" t="s">
        <v>96</v>
      </c>
      <c r="AN699" s="11" t="s">
        <v>1704</v>
      </c>
      <c r="AO699" s="11" t="s">
        <v>1702</v>
      </c>
      <c r="AP699" s="12" t="s">
        <v>268</v>
      </c>
    </row>
    <row r="700" spans="1:42" ht="15" x14ac:dyDescent="0.2">
      <c r="A700" s="8" t="s">
        <v>42</v>
      </c>
      <c r="B700" s="9" t="s">
        <v>43</v>
      </c>
      <c r="C700" s="9">
        <v>295</v>
      </c>
      <c r="D700" s="9" t="s">
        <v>1631</v>
      </c>
      <c r="E700" s="9">
        <v>82</v>
      </c>
      <c r="F700" s="9" t="s">
        <v>1699</v>
      </c>
      <c r="G700" s="9" t="s">
        <v>1633</v>
      </c>
      <c r="H700" s="9" t="s">
        <v>47</v>
      </c>
      <c r="I700" s="9" t="s">
        <v>1700</v>
      </c>
      <c r="J700" s="9" t="s">
        <v>1707</v>
      </c>
      <c r="K700" s="9" t="s">
        <v>1708</v>
      </c>
      <c r="L700" s="37" t="s">
        <v>1708</v>
      </c>
      <c r="M700" s="9" t="s">
        <v>51</v>
      </c>
      <c r="N700" s="9">
        <v>163</v>
      </c>
      <c r="O700" s="9" t="s">
        <v>72</v>
      </c>
      <c r="P700" s="9">
        <v>79</v>
      </c>
      <c r="Q700" s="9">
        <v>79</v>
      </c>
      <c r="R700" s="9">
        <v>1</v>
      </c>
      <c r="S700" s="9">
        <v>4.7362500000000001</v>
      </c>
      <c r="T700" s="9">
        <v>107.998167</v>
      </c>
      <c r="U700" s="9" t="s">
        <v>52</v>
      </c>
      <c r="V700" s="11" t="s">
        <v>1709</v>
      </c>
      <c r="W700" s="11"/>
      <c r="X700" s="11"/>
      <c r="Y700" s="11">
        <f>VLOOKUP(L700,'[1]singkron data'!D:H,5,FALSE)</f>
        <v>0</v>
      </c>
      <c r="Z700" s="11">
        <f>VLOOKUP(L700,'[1]singkron data'!D:I,6,FALSE)</f>
        <v>0</v>
      </c>
      <c r="AA700" s="11"/>
      <c r="AB700" s="11" t="s">
        <v>54</v>
      </c>
      <c r="AC700" s="11" t="s">
        <v>1698</v>
      </c>
      <c r="AD700" s="11" t="str">
        <f>VLOOKUP(L700,'[1]data 1129'!F:O,10,FALSE)</f>
        <v>Tahap III 166</v>
      </c>
      <c r="AE700" s="11">
        <f>VLOOKUP(L700,'[1]singkron data'!D:P,13,FALSE)</f>
        <v>0</v>
      </c>
      <c r="AF700" s="11" t="s">
        <v>55</v>
      </c>
      <c r="AG700" s="11" t="e">
        <f>VLOOKUP(L700,'[1]update kontrak'!E:K,6,FALSE)</f>
        <v>#N/A</v>
      </c>
      <c r="AH700" s="11" t="e">
        <f>VLOOKUP(L700,'[1]update kontrak'!E:K,7,FALSE)</f>
        <v>#N/A</v>
      </c>
      <c r="AI700" s="11"/>
      <c r="AJ700" s="11" t="str">
        <f>VLOOKUP(L700,[1]rekap!D:M,1,FALSE)</f>
        <v>Tanjung Pala</v>
      </c>
      <c r="AK700" s="11" t="str">
        <f>VLOOKUP(L700,'[1]singkron data'!D:E,2,FALSE)</f>
        <v>PT SPECTRATAMA PERKASA</v>
      </c>
      <c r="AL700" s="11" t="str">
        <f>VLOOKUP(L700,'[1]update 521'!D:D,1,FALSE)</f>
        <v>Tanjung Pala</v>
      </c>
      <c r="AM700" s="11" t="s">
        <v>96</v>
      </c>
      <c r="AN700" s="11" t="s">
        <v>1704</v>
      </c>
      <c r="AO700" s="11" t="s">
        <v>1702</v>
      </c>
      <c r="AP700" s="12" t="s">
        <v>268</v>
      </c>
    </row>
    <row r="701" spans="1:42" ht="15" x14ac:dyDescent="0.2">
      <c r="A701" s="8" t="s">
        <v>42</v>
      </c>
      <c r="B701" s="9" t="s">
        <v>43</v>
      </c>
      <c r="C701" s="9">
        <v>296</v>
      </c>
      <c r="D701" s="9" t="s">
        <v>1631</v>
      </c>
      <c r="E701" s="9">
        <v>83</v>
      </c>
      <c r="F701" s="9" t="s">
        <v>1699</v>
      </c>
      <c r="G701" s="9" t="s">
        <v>1633</v>
      </c>
      <c r="H701" s="9" t="s">
        <v>47</v>
      </c>
      <c r="I701" s="9" t="s">
        <v>1700</v>
      </c>
      <c r="J701" s="9" t="s">
        <v>1710</v>
      </c>
      <c r="K701" s="9" t="s">
        <v>1711</v>
      </c>
      <c r="L701" s="37" t="s">
        <v>1711</v>
      </c>
      <c r="M701" s="9" t="s">
        <v>51</v>
      </c>
      <c r="N701" s="9">
        <v>41</v>
      </c>
      <c r="O701" s="9" t="s">
        <v>72</v>
      </c>
      <c r="P701" s="9">
        <v>37</v>
      </c>
      <c r="Q701" s="9">
        <v>37</v>
      </c>
      <c r="R701" s="9">
        <v>1</v>
      </c>
      <c r="S701" s="9">
        <v>4.1189439999999999</v>
      </c>
      <c r="T701" s="9">
        <v>107.84819400000001</v>
      </c>
      <c r="U701" s="9" t="s">
        <v>52</v>
      </c>
      <c r="V701" s="11"/>
      <c r="W701" s="11"/>
      <c r="X701" s="11"/>
      <c r="Y701" s="11">
        <f>VLOOKUP(L701,'[1]singkron data'!D:H,5,FALSE)</f>
        <v>0</v>
      </c>
      <c r="Z701" s="11">
        <f>VLOOKUP(L701,'[1]singkron data'!D:I,6,FALSE)</f>
        <v>0</v>
      </c>
      <c r="AA701" s="11" t="s">
        <v>1702</v>
      </c>
      <c r="AB701" s="11" t="s">
        <v>54</v>
      </c>
      <c r="AC701" s="11" t="s">
        <v>1703</v>
      </c>
      <c r="AD701" s="11" t="str">
        <f>VLOOKUP(L701,'[1]data 1129'!F:O,10,FALSE)</f>
        <v>Tahap III 166</v>
      </c>
      <c r="AE701" s="11">
        <f>VLOOKUP(L701,'[1]singkron data'!D:P,13,FALSE)</f>
        <v>0</v>
      </c>
      <c r="AF701" s="11" t="s">
        <v>55</v>
      </c>
      <c r="AG701" s="11" t="e">
        <f>VLOOKUP(L701,'[1]update kontrak'!E:K,6,FALSE)</f>
        <v>#N/A</v>
      </c>
      <c r="AH701" s="11" t="e">
        <f>VLOOKUP(L701,'[1]update kontrak'!E:K,7,FALSE)</f>
        <v>#N/A</v>
      </c>
      <c r="AI701" s="11"/>
      <c r="AJ701" s="11" t="str">
        <f>VLOOKUP(L701,[1]rekap!D:M,1,FALSE)</f>
        <v>Kelarik Barat</v>
      </c>
      <c r="AK701" s="11" t="str">
        <f>VLOOKUP(L701,'[1]singkron data'!D:E,2,FALSE)</f>
        <v>PT SPECTRATAMA PERKASA</v>
      </c>
      <c r="AL701" s="11" t="str">
        <f>VLOOKUP(L701,'[1]update 521'!D:D,1,FALSE)</f>
        <v>Kelarik Barat</v>
      </c>
      <c r="AM701" s="11" t="s">
        <v>96</v>
      </c>
      <c r="AN701" s="11" t="s">
        <v>1704</v>
      </c>
      <c r="AO701" s="11" t="s">
        <v>1702</v>
      </c>
      <c r="AP701" s="12" t="s">
        <v>268</v>
      </c>
    </row>
    <row r="702" spans="1:42" ht="15" x14ac:dyDescent="0.2">
      <c r="A702" s="8" t="s">
        <v>42</v>
      </c>
      <c r="B702" s="9" t="s">
        <v>43</v>
      </c>
      <c r="C702" s="9">
        <v>297</v>
      </c>
      <c r="D702" s="9" t="s">
        <v>1631</v>
      </c>
      <c r="E702" s="9">
        <v>84</v>
      </c>
      <c r="F702" s="9" t="s">
        <v>1712</v>
      </c>
      <c r="G702" s="9" t="s">
        <v>1668</v>
      </c>
      <c r="H702" s="9" t="s">
        <v>47</v>
      </c>
      <c r="I702" s="9" t="s">
        <v>1713</v>
      </c>
      <c r="J702" s="9" t="s">
        <v>1714</v>
      </c>
      <c r="K702" s="9" t="s">
        <v>1715</v>
      </c>
      <c r="L702" s="10" t="s">
        <v>1715</v>
      </c>
      <c r="M702" s="9" t="s">
        <v>51</v>
      </c>
      <c r="N702" s="9">
        <v>192</v>
      </c>
      <c r="O702" s="9">
        <v>17</v>
      </c>
      <c r="P702" s="9">
        <v>117</v>
      </c>
      <c r="Q702" s="9">
        <v>134</v>
      </c>
      <c r="R702" s="9">
        <v>1.02</v>
      </c>
      <c r="S702" s="9">
        <v>-5.6919820000000003</v>
      </c>
      <c r="T702" s="9">
        <v>105.190721</v>
      </c>
      <c r="U702" s="9" t="s">
        <v>52</v>
      </c>
      <c r="V702" s="11" t="str">
        <f>VLOOKUP(L702,'[1]singkron data'!D:E,2,FALSE)</f>
        <v>PT. Baragalu Tias Jaya</v>
      </c>
      <c r="W702" s="13">
        <f>VLOOKUP(L702,'[1]update tim 2'!D:F,3,FALSE)</f>
        <v>3938056000</v>
      </c>
      <c r="X702" s="11" t="s">
        <v>55</v>
      </c>
      <c r="Y702" s="11">
        <f>VLOOKUP(L702,'[1]singkron data'!D:H,5,FALSE)</f>
        <v>0</v>
      </c>
      <c r="Z702" s="11">
        <f>VLOOKUP(L702,'[1]singkron data'!D:I,6,FALSE)</f>
        <v>0</v>
      </c>
      <c r="AA702" s="11" t="str">
        <f>VLOOKUP(L702,'[1]singkron data'!D:L,9,FALSE)</f>
        <v>087701777887/082338377289/bambang harianto</v>
      </c>
      <c r="AB702" s="11" t="s">
        <v>54</v>
      </c>
      <c r="AC702" s="11" t="s">
        <v>1716</v>
      </c>
      <c r="AD702" s="11" t="str">
        <f>VLOOKUP(L702,'[1]data 1129'!F:O,10,FALSE)</f>
        <v>Tahap II 146</v>
      </c>
      <c r="AE702" s="11">
        <f>VLOOKUP(L702,'[1]singkron data'!D:P,13,FALSE)</f>
        <v>0</v>
      </c>
      <c r="AF702" s="11" t="s">
        <v>55</v>
      </c>
      <c r="AG702" s="11" t="e">
        <f>VLOOKUP(L702,'[1]update kontrak'!E:K,6,FALSE)</f>
        <v>#N/A</v>
      </c>
      <c r="AH702" s="11" t="e">
        <f>VLOOKUP(L702,'[1]update kontrak'!E:K,7,FALSE)</f>
        <v>#N/A</v>
      </c>
      <c r="AI702" s="11"/>
      <c r="AJ702" s="11" t="str">
        <f>VLOOKUP(L702,[1]rekap!D:M,1,FALSE)</f>
        <v>Kekatang</v>
      </c>
      <c r="AK702" s="11" t="str">
        <f>VLOOKUP(L702,'[1]singkron data'!D:E,2,FALSE)</f>
        <v>PT. Baragalu Tias Jaya</v>
      </c>
      <c r="AL702" s="11" t="str">
        <f>VLOOKUP(L702,'[1]update 521'!D:D,1,FALSE)</f>
        <v>Kekatang</v>
      </c>
      <c r="AM702" s="11" t="s">
        <v>57</v>
      </c>
      <c r="AN702" s="11" t="e">
        <f>VLOOKUP(L702,[1]Sheet19!E:L,8,FALSE)</f>
        <v>#N/A</v>
      </c>
      <c r="AO702" s="11" t="s">
        <v>58</v>
      </c>
      <c r="AP702" s="12"/>
    </row>
    <row r="703" spans="1:42" ht="15" x14ac:dyDescent="0.2">
      <c r="A703" s="8" t="s">
        <v>42</v>
      </c>
      <c r="B703" s="9" t="s">
        <v>43</v>
      </c>
      <c r="C703" s="9">
        <v>298</v>
      </c>
      <c r="D703" s="9" t="s">
        <v>1631</v>
      </c>
      <c r="E703" s="9">
        <v>85</v>
      </c>
      <c r="F703" s="9" t="s">
        <v>1712</v>
      </c>
      <c r="G703" s="9" t="s">
        <v>1668</v>
      </c>
      <c r="H703" s="9" t="s">
        <v>47</v>
      </c>
      <c r="I703" s="9" t="s">
        <v>1713</v>
      </c>
      <c r="J703" s="9" t="s">
        <v>1717</v>
      </c>
      <c r="K703" s="9" t="s">
        <v>1718</v>
      </c>
      <c r="L703" s="10" t="s">
        <v>1718</v>
      </c>
      <c r="M703" s="9" t="s">
        <v>51</v>
      </c>
      <c r="N703" s="9">
        <v>105</v>
      </c>
      <c r="O703" s="9">
        <v>32</v>
      </c>
      <c r="P703" s="9">
        <v>8</v>
      </c>
      <c r="Q703" s="9">
        <v>40</v>
      </c>
      <c r="R703" s="9">
        <v>2</v>
      </c>
      <c r="S703" s="9">
        <v>-5.7233400000000003</v>
      </c>
      <c r="T703" s="9">
        <v>105.173852</v>
      </c>
      <c r="U703" s="9" t="s">
        <v>52</v>
      </c>
      <c r="V703" s="11" t="str">
        <f>VLOOKUP(L703,'[1]singkron data'!D:E,2,FALSE)</f>
        <v>PT. Baragalu Tias Jaya</v>
      </c>
      <c r="W703" s="13">
        <f>VLOOKUP(L703,'[1]update tim 2'!D:F,3,FALSE)</f>
        <v>3696734000</v>
      </c>
      <c r="X703" s="11" t="s">
        <v>55</v>
      </c>
      <c r="Y703" s="11">
        <f>VLOOKUP(L703,'[1]singkron data'!D:H,5,FALSE)</f>
        <v>0</v>
      </c>
      <c r="Z703" s="11">
        <f>VLOOKUP(L703,'[1]singkron data'!D:I,6,FALSE)</f>
        <v>0</v>
      </c>
      <c r="AA703" s="11" t="str">
        <f>VLOOKUP(L703,'[1]singkron data'!D:L,9,FALSE)</f>
        <v>087701777887/082338377289/bambang harianto</v>
      </c>
      <c r="AB703" s="11" t="s">
        <v>54</v>
      </c>
      <c r="AC703" s="11" t="s">
        <v>1716</v>
      </c>
      <c r="AD703" s="11" t="str">
        <f>VLOOKUP(L703,'[1]data 1129'!F:O,10,FALSE)</f>
        <v>Tahap II 146</v>
      </c>
      <c r="AE703" s="11">
        <f>VLOOKUP(L703,'[1]singkron data'!D:P,13,FALSE)</f>
        <v>0</v>
      </c>
      <c r="AF703" s="11" t="s">
        <v>55</v>
      </c>
      <c r="AG703" s="11" t="e">
        <f>VLOOKUP(L703,'[1]update kontrak'!E:K,6,FALSE)</f>
        <v>#N/A</v>
      </c>
      <c r="AH703" s="11" t="e">
        <f>VLOOKUP(L703,'[1]update kontrak'!E:K,7,FALSE)</f>
        <v>#N/A</v>
      </c>
      <c r="AI703" s="11"/>
      <c r="AJ703" s="11" t="str">
        <f>VLOOKUP(L703,[1]rekap!D:M,1,FALSE)</f>
        <v>Sukarame</v>
      </c>
      <c r="AK703" s="11" t="str">
        <f>VLOOKUP(L703,'[1]singkron data'!D:E,2,FALSE)</f>
        <v>PT. Baragalu Tias Jaya</v>
      </c>
      <c r="AL703" s="11" t="str">
        <f>VLOOKUP(L703,'[1]update 521'!D:D,1,FALSE)</f>
        <v>Sukarame</v>
      </c>
      <c r="AM703" s="11" t="s">
        <v>57</v>
      </c>
      <c r="AN703" s="11" t="e">
        <f>VLOOKUP(L703,[1]Sheet19!E:L,8,FALSE)</f>
        <v>#N/A</v>
      </c>
      <c r="AO703" s="11" t="s">
        <v>58</v>
      </c>
      <c r="AP703" s="12"/>
    </row>
    <row r="704" spans="1:42" ht="15" x14ac:dyDescent="0.2">
      <c r="A704" s="8" t="s">
        <v>42</v>
      </c>
      <c r="B704" s="9" t="s">
        <v>43</v>
      </c>
      <c r="C704" s="9">
        <v>299</v>
      </c>
      <c r="D704" s="9" t="s">
        <v>1631</v>
      </c>
      <c r="E704" s="9">
        <v>86</v>
      </c>
      <c r="F704" s="9" t="s">
        <v>1712</v>
      </c>
      <c r="G704" s="9" t="s">
        <v>1668</v>
      </c>
      <c r="H704" s="9" t="s">
        <v>47</v>
      </c>
      <c r="I704" s="9" t="s">
        <v>1719</v>
      </c>
      <c r="J704" s="9" t="s">
        <v>1720</v>
      </c>
      <c r="K704" s="9" t="s">
        <v>1721</v>
      </c>
      <c r="L704" s="10" t="s">
        <v>1721</v>
      </c>
      <c r="M704" s="9" t="s">
        <v>51</v>
      </c>
      <c r="N704" s="9">
        <v>250</v>
      </c>
      <c r="O704" s="9" t="s">
        <v>72</v>
      </c>
      <c r="P704" s="9">
        <v>177</v>
      </c>
      <c r="Q704" s="9">
        <v>177</v>
      </c>
      <c r="R704" s="9">
        <v>1.01</v>
      </c>
      <c r="S704" s="9">
        <v>-5.7293459999999996</v>
      </c>
      <c r="T704" s="9">
        <v>105.032027</v>
      </c>
      <c r="U704" s="9" t="s">
        <v>52</v>
      </c>
      <c r="V704" s="11" t="s">
        <v>1722</v>
      </c>
      <c r="W704" s="13">
        <f>VLOOKUP(L704,'[1]update tim 2'!D:F,3,FALSE)</f>
        <v>4731192000</v>
      </c>
      <c r="X704" s="11" t="s">
        <v>55</v>
      </c>
      <c r="Y704" s="11">
        <f>VLOOKUP(L704,'[1]singkron data'!D:H,5,FALSE)</f>
        <v>0</v>
      </c>
      <c r="Z704" s="11">
        <f>VLOOKUP(L704,'[1]singkron data'!D:I,6,FALSE)</f>
        <v>0</v>
      </c>
      <c r="AA704" s="11" t="str">
        <f>VLOOKUP(L704,'[1]singkron data'!D:L,9,FALSE)</f>
        <v>087701777887/082338377289/bambang harianto</v>
      </c>
      <c r="AB704" s="11" t="s">
        <v>54</v>
      </c>
      <c r="AC704" s="11" t="s">
        <v>1716</v>
      </c>
      <c r="AD704" s="11" t="str">
        <f>VLOOKUP(L704,'[1]data 1129'!F:O,10,FALSE)</f>
        <v>Tahap II 146</v>
      </c>
      <c r="AE704" s="11">
        <f>VLOOKUP(L704,'[1]singkron data'!D:P,13,FALSE)</f>
        <v>0</v>
      </c>
      <c r="AF704" s="11" t="s">
        <v>55</v>
      </c>
      <c r="AG704" s="11" t="e">
        <f>VLOOKUP(L704,'[1]update kontrak'!E:K,6,FALSE)</f>
        <v>#N/A</v>
      </c>
      <c r="AH704" s="11" t="e">
        <f>VLOOKUP(L704,'[1]update kontrak'!E:K,7,FALSE)</f>
        <v>#N/A</v>
      </c>
      <c r="AI704" s="11"/>
      <c r="AJ704" s="11" t="str">
        <f>VLOOKUP(L704,[1]rekap!D:M,1,FALSE)</f>
        <v>Penyandingan</v>
      </c>
      <c r="AK704" s="11" t="str">
        <f>VLOOKUP(L704,'[1]singkron data'!D:E,2,FALSE)</f>
        <v>PT. Baragalu Tias Jaya</v>
      </c>
      <c r="AL704" s="11" t="str">
        <f>VLOOKUP(L704,'[1]update 521'!D:D,1,FALSE)</f>
        <v>Penyandingan</v>
      </c>
      <c r="AM704" s="11" t="s">
        <v>57</v>
      </c>
      <c r="AN704" s="11" t="e">
        <f>VLOOKUP(L704,[1]Sheet19!E:L,8,FALSE)</f>
        <v>#N/A</v>
      </c>
      <c r="AO704" s="11" t="s">
        <v>58</v>
      </c>
      <c r="AP704" s="12"/>
    </row>
    <row r="705" spans="1:42" ht="15" x14ac:dyDescent="0.2">
      <c r="A705" s="8" t="s">
        <v>42</v>
      </c>
      <c r="B705" s="9" t="s">
        <v>43</v>
      </c>
      <c r="C705" s="9">
        <v>300</v>
      </c>
      <c r="D705" s="9" t="s">
        <v>1631</v>
      </c>
      <c r="E705" s="9">
        <v>87</v>
      </c>
      <c r="F705" s="9" t="s">
        <v>1723</v>
      </c>
      <c r="G705" s="9" t="s">
        <v>1724</v>
      </c>
      <c r="H705" s="9" t="s">
        <v>47</v>
      </c>
      <c r="I705" s="9" t="s">
        <v>1725</v>
      </c>
      <c r="J705" s="9" t="s">
        <v>1726</v>
      </c>
      <c r="K705" s="9" t="s">
        <v>1727</v>
      </c>
      <c r="L705" s="10" t="s">
        <v>1727</v>
      </c>
      <c r="M705" s="9" t="s">
        <v>65</v>
      </c>
      <c r="N705" s="9">
        <v>165</v>
      </c>
      <c r="O705" s="9" t="s">
        <v>72</v>
      </c>
      <c r="P705" s="9">
        <v>165</v>
      </c>
      <c r="Q705" s="9">
        <v>165</v>
      </c>
      <c r="R705" s="9">
        <v>1.01</v>
      </c>
      <c r="S705" s="9">
        <v>2.0076000000000001</v>
      </c>
      <c r="T705" s="9">
        <v>98.412571999999997</v>
      </c>
      <c r="U705" s="9" t="s">
        <v>52</v>
      </c>
      <c r="V705" s="11" t="str">
        <f>VLOOKUP(L705,'[1]singkron data'!D:E,2,FALSE)</f>
        <v>PT. Bukit Zaitun (Menengah)</v>
      </c>
      <c r="W705" s="11"/>
      <c r="X705" s="11"/>
      <c r="Y705" s="11">
        <f>VLOOKUP(L705,'[1]singkron data'!D:H,5,FALSE)</f>
        <v>0</v>
      </c>
      <c r="Z705" s="11">
        <f>VLOOKUP(L705,'[1]singkron data'!D:I,6,FALSE)</f>
        <v>0</v>
      </c>
      <c r="AA705" s="11" t="str">
        <f>VLOOKUP(L705,'[1]singkron data'!D:L,9,FALSE)</f>
        <v>082267333341/rizki ulfa</v>
      </c>
      <c r="AB705" s="11" t="s">
        <v>54</v>
      </c>
      <c r="AC705" s="11" t="str">
        <f>VLOOKUP(L705,'[1]singkron data'!D:M,10,FALSE)</f>
        <v>Dedd</v>
      </c>
      <c r="AD705" s="11" t="str">
        <f>VLOOKUP(L705,'[1]data 1129'!F:O,10,FALSE)</f>
        <v>Tahap III 166</v>
      </c>
      <c r="AE705" s="11">
        <f>VLOOKUP(L705,'[1]singkron data'!D:P,13,FALSE)</f>
        <v>0</v>
      </c>
      <c r="AF705" s="11" t="s">
        <v>55</v>
      </c>
      <c r="AG705" s="11" t="e">
        <f>VLOOKUP(L705,'[1]update kontrak'!E:K,6,FALSE)</f>
        <v>#N/A</v>
      </c>
      <c r="AH705" s="11" t="e">
        <f>VLOOKUP(L705,'[1]update kontrak'!E:K,7,FALSE)</f>
        <v>#N/A</v>
      </c>
      <c r="AI705" s="11"/>
      <c r="AJ705" s="11" t="str">
        <f>VLOOKUP(L705,[1]rekap!D:M,1,FALSE)</f>
        <v>Kedai Gedang</v>
      </c>
      <c r="AK705" s="11" t="str">
        <f>VLOOKUP(L705,'[1]singkron data'!D:E,2,FALSE)</f>
        <v>PT. Bukit Zaitun (Menengah)</v>
      </c>
      <c r="AL705" s="11" t="str">
        <f>VLOOKUP(L705,'[1]update 521'!D:D,1,FALSE)</f>
        <v>Kedai Gedang</v>
      </c>
      <c r="AM705" s="11" t="s">
        <v>96</v>
      </c>
      <c r="AN705" s="11" t="e">
        <f>VLOOKUP(L705,[1]Sheet19!E:L,8,FALSE)</f>
        <v>#N/A</v>
      </c>
      <c r="AO705" s="11" t="e">
        <f>VLOOKUP(L705,[1]Sheet19!E:K,7,FALSE)</f>
        <v>#N/A</v>
      </c>
      <c r="AP705" s="12"/>
    </row>
    <row r="706" spans="1:42" ht="15" x14ac:dyDescent="0.2">
      <c r="A706" s="8" t="s">
        <v>42</v>
      </c>
      <c r="B706" s="9" t="s">
        <v>43</v>
      </c>
      <c r="C706" s="9">
        <v>301</v>
      </c>
      <c r="D706" s="9" t="s">
        <v>1631</v>
      </c>
      <c r="E706" s="9">
        <v>88</v>
      </c>
      <c r="F706" s="9" t="s">
        <v>1723</v>
      </c>
      <c r="G706" s="9" t="s">
        <v>1724</v>
      </c>
      <c r="H706" s="9" t="s">
        <v>47</v>
      </c>
      <c r="I706" s="9" t="s">
        <v>1725</v>
      </c>
      <c r="J706" s="9" t="s">
        <v>1728</v>
      </c>
      <c r="K706" s="9" t="s">
        <v>1729</v>
      </c>
      <c r="L706" s="10" t="s">
        <v>1729</v>
      </c>
      <c r="M706" s="9" t="s">
        <v>51</v>
      </c>
      <c r="N706" s="9">
        <v>843</v>
      </c>
      <c r="O706" s="9" t="s">
        <v>72</v>
      </c>
      <c r="P706" s="9">
        <v>150</v>
      </c>
      <c r="Q706" s="9">
        <v>150</v>
      </c>
      <c r="R706" s="9">
        <v>1.54</v>
      </c>
      <c r="S706" s="9">
        <v>1.8721000000000001</v>
      </c>
      <c r="T706" s="9">
        <v>98.565408000000005</v>
      </c>
      <c r="U706" s="9" t="s">
        <v>52</v>
      </c>
      <c r="V706" s="11" t="str">
        <f>VLOOKUP(L706,'[1]singkron data'!D:E,2,FALSE)</f>
        <v>PT. Bukit Zaitun (Menengah)</v>
      </c>
      <c r="W706" s="11"/>
      <c r="X706" s="11"/>
      <c r="Y706" s="11">
        <f>VLOOKUP(L706,'[1]singkron data'!D:H,5,FALSE)</f>
        <v>0</v>
      </c>
      <c r="Z706" s="11">
        <f>VLOOKUP(L706,'[1]singkron data'!D:I,6,FALSE)</f>
        <v>0</v>
      </c>
      <c r="AA706" s="11" t="str">
        <f>VLOOKUP(L706,'[1]singkron data'!D:L,9,FALSE)</f>
        <v>082267333341/rizki ulfa</v>
      </c>
      <c r="AB706" s="11" t="s">
        <v>54</v>
      </c>
      <c r="AC706" s="11" t="str">
        <f>VLOOKUP(L706,'[1]singkron data'!D:M,10,FALSE)</f>
        <v>Dedd</v>
      </c>
      <c r="AD706" s="11" t="str">
        <f>VLOOKUP(L706,'[1]data 1129'!F:O,10,FALSE)</f>
        <v>Tahap III 166</v>
      </c>
      <c r="AE706" s="11">
        <f>VLOOKUP(L706,'[1]singkron data'!D:P,13,FALSE)</f>
        <v>0</v>
      </c>
      <c r="AF706" s="11" t="s">
        <v>55</v>
      </c>
      <c r="AG706" s="11" t="e">
        <f>VLOOKUP(L706,'[1]update kontrak'!E:K,6,FALSE)</f>
        <v>#N/A</v>
      </c>
      <c r="AH706" s="11" t="e">
        <f>VLOOKUP(L706,'[1]update kontrak'!E:K,7,FALSE)</f>
        <v>#N/A</v>
      </c>
      <c r="AI706" s="11"/>
      <c r="AJ706" s="11" t="str">
        <f>VLOOKUP(L706,[1]rekap!D:M,1,FALSE)</f>
        <v>Pasar Sorkam</v>
      </c>
      <c r="AK706" s="11" t="str">
        <f>VLOOKUP(L706,'[1]singkron data'!D:E,2,FALSE)</f>
        <v>PT. Bukit Zaitun (Menengah)</v>
      </c>
      <c r="AL706" s="11" t="str">
        <f>VLOOKUP(L706,'[1]update 521'!D:D,1,FALSE)</f>
        <v>Pasar Sorkam</v>
      </c>
      <c r="AM706" s="11" t="s">
        <v>96</v>
      </c>
      <c r="AN706" s="11" t="e">
        <f>VLOOKUP(L706,[1]Sheet19!E:L,8,FALSE)</f>
        <v>#N/A</v>
      </c>
      <c r="AO706" s="11" t="e">
        <f>VLOOKUP(L706,[1]Sheet19!E:K,7,FALSE)</f>
        <v>#N/A</v>
      </c>
      <c r="AP706" s="12"/>
    </row>
    <row r="707" spans="1:42" ht="15" x14ac:dyDescent="0.2">
      <c r="A707" s="8" t="s">
        <v>42</v>
      </c>
      <c r="B707" s="9" t="s">
        <v>43</v>
      </c>
      <c r="C707" s="9">
        <v>302</v>
      </c>
      <c r="D707" s="9" t="s">
        <v>1631</v>
      </c>
      <c r="E707" s="9">
        <v>89</v>
      </c>
      <c r="F707" s="9" t="s">
        <v>414</v>
      </c>
      <c r="G707" s="9" t="s">
        <v>1647</v>
      </c>
      <c r="H707" s="9" t="s">
        <v>47</v>
      </c>
      <c r="I707" s="9" t="s">
        <v>1730</v>
      </c>
      <c r="J707" s="9" t="s">
        <v>1731</v>
      </c>
      <c r="K707" s="9" t="s">
        <v>414</v>
      </c>
      <c r="L707" s="10" t="s">
        <v>414</v>
      </c>
      <c r="M707" s="9" t="s">
        <v>65</v>
      </c>
      <c r="N707" s="9">
        <v>284</v>
      </c>
      <c r="O707" s="9">
        <v>15</v>
      </c>
      <c r="P707" s="9">
        <v>200</v>
      </c>
      <c r="Q707" s="9">
        <v>215</v>
      </c>
      <c r="R707" s="9">
        <v>1</v>
      </c>
      <c r="S707" s="9">
        <v>-2.1047470000000001</v>
      </c>
      <c r="T707" s="9">
        <v>106.135718</v>
      </c>
      <c r="U707" s="9" t="s">
        <v>52</v>
      </c>
      <c r="V707" s="11" t="str">
        <f>VLOOKUP(L707,'[1]singkron data'!D:E,2,FALSE)</f>
        <v>CV. Putra Jaya Semesta</v>
      </c>
      <c r="W707" s="11"/>
      <c r="X707" s="11"/>
      <c r="Y707" s="11" t="str">
        <f>VLOOKUP(L707,'[1]singkron data'!D:H,5,FALSE)</f>
        <v>Pangkalpinang</v>
      </c>
      <c r="Z707" s="11" t="str">
        <f>VLOOKUP(L707,'[1]singkron data'!D:I,6,FALSE)</f>
        <v>Online</v>
      </c>
      <c r="AA707" s="11" t="str">
        <f>VLOOKUP(L707,'[1]singkron data'!D:L,9,FALSE)</f>
        <v>81326939749/ putrajayapkp@gmail.com</v>
      </c>
      <c r="AB707" s="11" t="s">
        <v>54</v>
      </c>
      <c r="AC707" s="11" t="s">
        <v>520</v>
      </c>
      <c r="AD707" s="11" t="str">
        <f>VLOOKUP(L707,'[1]data 1129'!F:O,10,FALSE)</f>
        <v>Tahap III 166</v>
      </c>
      <c r="AE707" s="11" t="str">
        <f>VLOOKUP(L707,'[1]singkron data'!D:P,13,FALSE)</f>
        <v>sudah</v>
      </c>
      <c r="AF707" s="11" t="s">
        <v>55</v>
      </c>
      <c r="AG707" s="17">
        <f>VLOOKUP(L707,'[1]update kontrak'!E:K,6,FALSE)</f>
        <v>2336710000</v>
      </c>
      <c r="AH707" s="11" t="str">
        <f>VLOOKUP(L707,'[1]update kontrak'!E:K,7,FALSE)</f>
        <v>KONTRAK</v>
      </c>
      <c r="AI707" s="11" t="s">
        <v>41</v>
      </c>
      <c r="AJ707" s="11" t="str">
        <f>VLOOKUP(L707,[1]rekap!D:M,1,FALSE)</f>
        <v>Ketapang</v>
      </c>
      <c r="AK707" s="11" t="str">
        <f>VLOOKUP(L707,'[1]singkron data'!D:E,2,FALSE)</f>
        <v>CV. Putra Jaya Semesta</v>
      </c>
      <c r="AL707" s="11" t="str">
        <f>VLOOKUP(L707,'[1]update 521'!D:D,1,FALSE)</f>
        <v>Ketapang</v>
      </c>
      <c r="AM707" s="11" t="s">
        <v>57</v>
      </c>
      <c r="AN707" s="17">
        <f>VLOOKUP(L707,[1]Sheet19!E:L,8,FALSE)</f>
        <v>2336710000</v>
      </c>
      <c r="AO707" s="11" t="str">
        <f>VLOOKUP(L707,[1]Sheet19!E:K,7,FALSE)</f>
        <v>KONTRAK</v>
      </c>
      <c r="AP707" s="12" t="s">
        <v>41</v>
      </c>
    </row>
    <row r="708" spans="1:42" ht="15" x14ac:dyDescent="0.2">
      <c r="A708" s="8" t="s">
        <v>42</v>
      </c>
      <c r="B708" s="9" t="s">
        <v>43</v>
      </c>
      <c r="C708" s="9">
        <v>303</v>
      </c>
      <c r="D708" s="9" t="s">
        <v>1631</v>
      </c>
      <c r="E708" s="9">
        <v>90</v>
      </c>
      <c r="F708" s="9" t="s">
        <v>414</v>
      </c>
      <c r="G708" s="9" t="s">
        <v>1647</v>
      </c>
      <c r="H708" s="9" t="s">
        <v>47</v>
      </c>
      <c r="I708" s="9" t="s">
        <v>1732</v>
      </c>
      <c r="J708" s="9" t="s">
        <v>1733</v>
      </c>
      <c r="K708" s="9" t="s">
        <v>1734</v>
      </c>
      <c r="L708" s="10" t="s">
        <v>1734</v>
      </c>
      <c r="M708" s="9" t="s">
        <v>51</v>
      </c>
      <c r="N708" s="9">
        <v>352</v>
      </c>
      <c r="O708" s="9" t="s">
        <v>72</v>
      </c>
      <c r="P708" s="9">
        <v>135</v>
      </c>
      <c r="Q708" s="9">
        <v>135</v>
      </c>
      <c r="R708" s="9">
        <v>1</v>
      </c>
      <c r="S708" s="9">
        <v>-2.1682700000000001</v>
      </c>
      <c r="T708" s="9">
        <v>106.188041</v>
      </c>
      <c r="U708" s="9" t="s">
        <v>52</v>
      </c>
      <c r="V708" s="11" t="str">
        <f>VLOOKUP(L708,'[1]singkron data'!D:E,2,FALSE)</f>
        <v>PT. Indo Jaya Negara Abadi</v>
      </c>
      <c r="W708" s="13">
        <f>VLOOKUP(L708,'[1]update tim 2'!D:F,3,FALSE)</f>
        <v>3220658000</v>
      </c>
      <c r="X708" s="11" t="s">
        <v>55</v>
      </c>
      <c r="Y708" s="11" t="str">
        <f>VLOOKUP(L708,'[1]singkron data'!D:H,5,FALSE)</f>
        <v>Jakarta</v>
      </c>
      <c r="Z708" s="11" t="str">
        <f>VLOOKUP(L708,'[1]singkron data'!D:I,6,FALSE)</f>
        <v>Online</v>
      </c>
      <c r="AA708" s="11" t="str">
        <f>VLOOKUP(L708,'[1]singkron data'!D:L,9,FALSE)</f>
        <v>officialindojayanegaraabadi@gmail.com/ 87731490688/087768911327/vikry</v>
      </c>
      <c r="AB708" s="11" t="s">
        <v>54</v>
      </c>
      <c r="AC708" s="11" t="str">
        <f>VLOOKUP(L708,'[1]singkron data'!D:M,10,FALSE)</f>
        <v>vikry</v>
      </c>
      <c r="AD708" s="11" t="str">
        <f>VLOOKUP(L708,'[1]data 1129'!F:O,10,FALSE)</f>
        <v>Tahap IV 200</v>
      </c>
      <c r="AE708" s="11">
        <f>VLOOKUP(L708,'[1]singkron data'!D:P,13,FALSE)</f>
        <v>0</v>
      </c>
      <c r="AF708" s="11" t="s">
        <v>55</v>
      </c>
      <c r="AG708" s="11" t="e">
        <f>VLOOKUP(L708,'[1]update kontrak'!E:K,6,FALSE)</f>
        <v>#N/A</v>
      </c>
      <c r="AH708" s="11" t="e">
        <f>VLOOKUP(L708,'[1]update kontrak'!E:K,7,FALSE)</f>
        <v>#N/A</v>
      </c>
      <c r="AI708" s="11"/>
      <c r="AJ708" s="11" t="str">
        <f>VLOOKUP(L708,[1]rekap!D:M,1,FALSE)</f>
        <v>Batu Belubang</v>
      </c>
      <c r="AK708" s="11" t="str">
        <f>VLOOKUP(L708,'[1]singkron data'!D:E,2,FALSE)</f>
        <v>PT. Indo Jaya Negara Abadi</v>
      </c>
      <c r="AL708" s="11" t="str">
        <f>VLOOKUP(L708,'[1]update 521'!D:D,1,FALSE)</f>
        <v>Batu Belubang</v>
      </c>
      <c r="AM708" s="11" t="s">
        <v>57</v>
      </c>
      <c r="AN708" s="11" t="e">
        <f>VLOOKUP(L708,[1]Sheet19!E:L,8,FALSE)</f>
        <v>#N/A</v>
      </c>
      <c r="AO708" s="11" t="s">
        <v>58</v>
      </c>
      <c r="AP708" s="12"/>
    </row>
    <row r="709" spans="1:42" ht="15" x14ac:dyDescent="0.2">
      <c r="A709" s="8" t="s">
        <v>42</v>
      </c>
      <c r="B709" s="9" t="s">
        <v>43</v>
      </c>
      <c r="C709" s="9">
        <v>304</v>
      </c>
      <c r="D709" s="9" t="s">
        <v>1631</v>
      </c>
      <c r="E709" s="9">
        <v>91</v>
      </c>
      <c r="F709" s="9" t="s">
        <v>414</v>
      </c>
      <c r="G709" s="9" t="s">
        <v>1647</v>
      </c>
      <c r="H709" s="9" t="s">
        <v>47</v>
      </c>
      <c r="I709" s="9" t="s">
        <v>1648</v>
      </c>
      <c r="J709" s="9" t="s">
        <v>1735</v>
      </c>
      <c r="K709" s="9" t="s">
        <v>1736</v>
      </c>
      <c r="L709" s="10" t="s">
        <v>1736</v>
      </c>
      <c r="M709" s="9" t="s">
        <v>51</v>
      </c>
      <c r="N709" s="9">
        <v>175</v>
      </c>
      <c r="O709" s="9">
        <v>30</v>
      </c>
      <c r="P709" s="9">
        <v>175</v>
      </c>
      <c r="Q709" s="9">
        <v>205</v>
      </c>
      <c r="R709" s="9">
        <v>0.8</v>
      </c>
      <c r="S709" s="9">
        <v>-1.9192149999999999</v>
      </c>
      <c r="T709" s="9">
        <v>106.172434</v>
      </c>
      <c r="U709" s="9" t="s">
        <v>52</v>
      </c>
      <c r="V709" s="11" t="str">
        <f>VLOOKUP(L709,'[1]singkron data'!D:E,2,FALSE)</f>
        <v>PT. Indo Jaya Negara Abadi</v>
      </c>
      <c r="W709" s="11"/>
      <c r="X709" s="11"/>
      <c r="Y709" s="11" t="str">
        <f>VLOOKUP(L709,'[1]singkron data'!D:H,5,FALSE)</f>
        <v>Jakarta</v>
      </c>
      <c r="Z709" s="11" t="str">
        <f>VLOOKUP(L709,'[1]singkron data'!D:I,6,FALSE)</f>
        <v>Online</v>
      </c>
      <c r="AA709" s="11" t="str">
        <f>VLOOKUP(L709,'[1]singkron data'!D:L,9,FALSE)</f>
        <v>officialindojayanegaraabadi@gmail.com/ 87731490688/087768911327/vikry</v>
      </c>
      <c r="AB709" s="11" t="s">
        <v>54</v>
      </c>
      <c r="AC709" s="11" t="str">
        <f>VLOOKUP(L709,'[1]singkron data'!D:M,10,FALSE)</f>
        <v>vikry</v>
      </c>
      <c r="AD709" s="11" t="str">
        <f>VLOOKUP(L709,'[1]data 1129'!F:O,10,FALSE)</f>
        <v>Tahap IV 200</v>
      </c>
      <c r="AE709" s="11">
        <f>VLOOKUP(L709,'[1]singkron data'!D:P,13,FALSE)</f>
        <v>0</v>
      </c>
      <c r="AF709" s="11" t="s">
        <v>55</v>
      </c>
      <c r="AG709" s="11" t="e">
        <f>VLOOKUP(L709,'[1]update kontrak'!E:K,6,FALSE)</f>
        <v>#N/A</v>
      </c>
      <c r="AH709" s="11" t="e">
        <f>VLOOKUP(L709,'[1]update kontrak'!E:K,7,FALSE)</f>
        <v>#N/A</v>
      </c>
      <c r="AI709" s="11"/>
      <c r="AJ709" s="11" t="str">
        <f>VLOOKUP(L709,[1]rekap!D:M,1,FALSE)</f>
        <v>Rebo</v>
      </c>
      <c r="AK709" s="11" t="str">
        <f>VLOOKUP(L709,'[1]singkron data'!D:E,2,FALSE)</f>
        <v>PT. Indo Jaya Negara Abadi</v>
      </c>
      <c r="AL709" s="11" t="str">
        <f>VLOOKUP(L709,'[1]update 521'!D:D,1,FALSE)</f>
        <v>Rebo</v>
      </c>
      <c r="AM709" s="11" t="s">
        <v>96</v>
      </c>
      <c r="AN709" s="11" t="e">
        <f>VLOOKUP(L709,[1]Sheet19!E:L,8,FALSE)</f>
        <v>#N/A</v>
      </c>
      <c r="AO709" s="11" t="e">
        <f>VLOOKUP(L709,[1]Sheet19!E:K,7,FALSE)</f>
        <v>#N/A</v>
      </c>
      <c r="AP709" s="12"/>
    </row>
    <row r="710" spans="1:42" ht="15" x14ac:dyDescent="0.2">
      <c r="A710" s="8" t="s">
        <v>42</v>
      </c>
      <c r="B710" s="9" t="s">
        <v>43</v>
      </c>
      <c r="C710" s="9">
        <v>305</v>
      </c>
      <c r="D710" s="9" t="s">
        <v>1631</v>
      </c>
      <c r="E710" s="9">
        <v>92</v>
      </c>
      <c r="F710" s="9" t="s">
        <v>1632</v>
      </c>
      <c r="G710" s="9" t="s">
        <v>1633</v>
      </c>
      <c r="H710" s="9" t="s">
        <v>47</v>
      </c>
      <c r="I710" s="9" t="s">
        <v>1634</v>
      </c>
      <c r="J710" s="9" t="s">
        <v>1635</v>
      </c>
      <c r="K710" s="9" t="s">
        <v>1650</v>
      </c>
      <c r="L710" s="10" t="s">
        <v>1650</v>
      </c>
      <c r="M710" s="9" t="s">
        <v>51</v>
      </c>
      <c r="N710" s="9">
        <v>128</v>
      </c>
      <c r="O710" s="9">
        <v>10</v>
      </c>
      <c r="P710" s="9">
        <v>64</v>
      </c>
      <c r="Q710" s="9">
        <v>74</v>
      </c>
      <c r="R710" s="9">
        <v>1.83</v>
      </c>
      <c r="S710" s="9">
        <v>1.007857</v>
      </c>
      <c r="T710" s="9">
        <v>104.79687300000001</v>
      </c>
      <c r="U710" s="9" t="s">
        <v>52</v>
      </c>
      <c r="V710" s="11" t="s">
        <v>1737</v>
      </c>
      <c r="W710" s="11"/>
      <c r="X710" s="11"/>
      <c r="Y710" s="11" t="str">
        <f>VLOOKUP(L710,'[1]singkron data'!D:H,5,FALSE)</f>
        <v>Jakarta</v>
      </c>
      <c r="Z710" s="11" t="str">
        <f>VLOOKUP(L710,'[1]singkron data'!D:I,6,FALSE)</f>
        <v>Online</v>
      </c>
      <c r="AA710" s="11" t="s">
        <v>1738</v>
      </c>
      <c r="AB710" s="11" t="s">
        <v>54</v>
      </c>
      <c r="AC710" s="11" t="s">
        <v>1739</v>
      </c>
      <c r="AD710" s="11" t="str">
        <f>VLOOKUP(L710,'[1]data 1129'!F:O,10,FALSE)</f>
        <v>Tahap IV 200</v>
      </c>
      <c r="AE710" s="11">
        <f>VLOOKUP(L710,'[1]singkron data'!D:P,13,FALSE)</f>
        <v>0</v>
      </c>
      <c r="AF710" s="11" t="s">
        <v>55</v>
      </c>
      <c r="AG710" s="11" t="e">
        <f>VLOOKUP(L710,'[1]update kontrak'!E:K,6,FALSE)</f>
        <v>#N/A</v>
      </c>
      <c r="AH710" s="11" t="e">
        <f>VLOOKUP(L710,'[1]update kontrak'!E:K,7,FALSE)</f>
        <v>#N/A</v>
      </c>
      <c r="AI710" s="11"/>
      <c r="AJ710" s="11" t="str">
        <f>VLOOKUP(L710,[1]rekap!D:M,1,FALSE)</f>
        <v>Mapur</v>
      </c>
      <c r="AK710" s="11" t="str">
        <f>VLOOKUP(L710,'[1]singkron data'!D:E,2,FALSE)</f>
        <v>PT. Indo Jaya Negara Abadi</v>
      </c>
      <c r="AL710" s="11" t="str">
        <f>VLOOKUP(L710,'[1]update 521'!D:D,1,FALSE)</f>
        <v>Mapur</v>
      </c>
      <c r="AM710" s="11" t="s">
        <v>96</v>
      </c>
      <c r="AN710" s="11" t="s">
        <v>1740</v>
      </c>
      <c r="AO710" s="11" t="s">
        <v>1741</v>
      </c>
      <c r="AP710" s="12" t="s">
        <v>1742</v>
      </c>
    </row>
    <row r="711" spans="1:42" ht="15" x14ac:dyDescent="0.2">
      <c r="A711" s="8" t="s">
        <v>42</v>
      </c>
      <c r="B711" s="9" t="s">
        <v>43</v>
      </c>
      <c r="C711" s="9">
        <v>306</v>
      </c>
      <c r="D711" s="9" t="s">
        <v>1631</v>
      </c>
      <c r="E711" s="9">
        <v>93</v>
      </c>
      <c r="F711" s="9" t="s">
        <v>1743</v>
      </c>
      <c r="G711" s="9" t="s">
        <v>1668</v>
      </c>
      <c r="H711" s="9" t="s">
        <v>47</v>
      </c>
      <c r="I711" s="9" t="s">
        <v>1744</v>
      </c>
      <c r="J711" s="9" t="s">
        <v>1745</v>
      </c>
      <c r="K711" s="9" t="s">
        <v>1746</v>
      </c>
      <c r="L711" s="10" t="s">
        <v>1746</v>
      </c>
      <c r="M711" s="9" t="s">
        <v>65</v>
      </c>
      <c r="N711" s="9">
        <v>461</v>
      </c>
      <c r="O711" s="9" t="s">
        <v>72</v>
      </c>
      <c r="P711" s="9">
        <v>310</v>
      </c>
      <c r="Q711" s="9">
        <v>310</v>
      </c>
      <c r="R711" s="9">
        <v>0.12</v>
      </c>
      <c r="S711" s="9">
        <v>-5.4603010000000003</v>
      </c>
      <c r="T711" s="9">
        <v>105.25572200000001</v>
      </c>
      <c r="U711" s="9" t="s">
        <v>52</v>
      </c>
      <c r="V711" s="11" t="s">
        <v>1747</v>
      </c>
      <c r="W711" s="13">
        <f>VLOOKUP(L711,'[1]update tim 2'!D:F,3,FALSE)</f>
        <v>6270336000</v>
      </c>
      <c r="X711" s="11" t="s">
        <v>55</v>
      </c>
      <c r="Y711" s="11">
        <f>VLOOKUP(L711,'[1]singkron data'!D:H,5,FALSE)</f>
        <v>0</v>
      </c>
      <c r="Z711" s="11">
        <f>VLOOKUP(L711,'[1]singkron data'!D:I,6,FALSE)</f>
        <v>0</v>
      </c>
      <c r="AA711" s="11" t="s">
        <v>1748</v>
      </c>
      <c r="AB711" s="11" t="s">
        <v>54</v>
      </c>
      <c r="AC711" s="11" t="s">
        <v>1749</v>
      </c>
      <c r="AD711" s="11" t="str">
        <f>VLOOKUP(L711,'[1]data 1129'!F:O,10,FALSE)</f>
        <v>Tahap II 146</v>
      </c>
      <c r="AE711" s="11">
        <f>VLOOKUP(L711,'[1]singkron data'!D:P,13,FALSE)</f>
        <v>0</v>
      </c>
      <c r="AF711" s="11" t="s">
        <v>55</v>
      </c>
      <c r="AG711" s="11" t="e">
        <f>VLOOKUP(L711,'[1]update kontrak'!E:K,6,FALSE)</f>
        <v>#N/A</v>
      </c>
      <c r="AH711" s="11" t="e">
        <f>VLOOKUP(L711,'[1]update kontrak'!E:K,7,FALSE)</f>
        <v>#N/A</v>
      </c>
      <c r="AI711" s="11"/>
      <c r="AJ711" s="11" t="str">
        <f>VLOOKUP(L711,[1]rekap!D:M,1,FALSE)</f>
        <v>Kota Karang Raya</v>
      </c>
      <c r="AK711" s="11" t="str">
        <f>VLOOKUP(L711,'[1]singkron data'!D:E,2,FALSE)</f>
        <v>PT. Hage Primadi Konstruksi (Menengah)</v>
      </c>
      <c r="AL711" s="11" t="str">
        <f>VLOOKUP(L711,'[1]update 521'!D:D,1,FALSE)</f>
        <v>Kota Karang Raya</v>
      </c>
      <c r="AM711" s="11" t="s">
        <v>57</v>
      </c>
      <c r="AN711" s="11" t="e">
        <f>VLOOKUP(L711,[1]Sheet19!E:L,8,FALSE)</f>
        <v>#N/A</v>
      </c>
      <c r="AO711" s="11" t="s">
        <v>58</v>
      </c>
      <c r="AP711" s="12"/>
    </row>
    <row r="712" spans="1:42" ht="15" x14ac:dyDescent="0.2">
      <c r="A712" s="8" t="s">
        <v>42</v>
      </c>
      <c r="B712" s="9" t="s">
        <v>43</v>
      </c>
      <c r="C712" s="9">
        <v>307</v>
      </c>
      <c r="D712" s="9" t="s">
        <v>1631</v>
      </c>
      <c r="E712" s="9">
        <v>94</v>
      </c>
      <c r="F712" s="9" t="s">
        <v>1743</v>
      </c>
      <c r="G712" s="9" t="s">
        <v>1668</v>
      </c>
      <c r="H712" s="9" t="s">
        <v>47</v>
      </c>
      <c r="I712" s="9" t="s">
        <v>1744</v>
      </c>
      <c r="J712" s="9" t="s">
        <v>1750</v>
      </c>
      <c r="K712" s="9" t="s">
        <v>1751</v>
      </c>
      <c r="L712" s="10" t="s">
        <v>1751</v>
      </c>
      <c r="M712" s="9" t="s">
        <v>51</v>
      </c>
      <c r="N712" s="14">
        <v>3145</v>
      </c>
      <c r="O712" s="9" t="s">
        <v>72</v>
      </c>
      <c r="P712" s="9">
        <v>260</v>
      </c>
      <c r="Q712" s="9">
        <v>260</v>
      </c>
      <c r="R712" s="9">
        <v>0.38</v>
      </c>
      <c r="S712" s="9">
        <v>-5.4499240000000002</v>
      </c>
      <c r="T712" s="9">
        <v>105.267411</v>
      </c>
      <c r="U712" s="9" t="s">
        <v>52</v>
      </c>
      <c r="V712" s="11" t="s">
        <v>1747</v>
      </c>
      <c r="W712" s="13">
        <f>VLOOKUP(L712,'[1]update tim 2'!D:F,3,FALSE)</f>
        <v>4028277000</v>
      </c>
      <c r="X712" s="11" t="s">
        <v>55</v>
      </c>
      <c r="Y712" s="11">
        <f>VLOOKUP(L712,'[1]singkron data'!D:H,5,FALSE)</f>
        <v>0</v>
      </c>
      <c r="Z712" s="11">
        <f>VLOOKUP(L712,'[1]singkron data'!D:I,6,FALSE)</f>
        <v>0</v>
      </c>
      <c r="AA712" s="11" t="s">
        <v>1748</v>
      </c>
      <c r="AB712" s="11" t="s">
        <v>54</v>
      </c>
      <c r="AC712" s="11" t="s">
        <v>322</v>
      </c>
      <c r="AD712" s="11" t="str">
        <f>VLOOKUP(L712,'[1]data 1129'!F:O,10,FALSE)</f>
        <v>Tahap II 146</v>
      </c>
      <c r="AE712" s="11">
        <f>VLOOKUP(L712,'[1]singkron data'!D:P,13,FALSE)</f>
        <v>0</v>
      </c>
      <c r="AF712" s="11" t="s">
        <v>55</v>
      </c>
      <c r="AG712" s="11" t="e">
        <f>VLOOKUP(L712,'[1]update kontrak'!E:K,6,FALSE)</f>
        <v>#N/A</v>
      </c>
      <c r="AH712" s="11" t="e">
        <f>VLOOKUP(L712,'[1]update kontrak'!E:K,7,FALSE)</f>
        <v>#N/A</v>
      </c>
      <c r="AI712" s="11"/>
      <c r="AJ712" s="11" t="str">
        <f>VLOOKUP(L712,[1]rekap!D:M,1,FALSE)</f>
        <v>Kangkung</v>
      </c>
      <c r="AK712" s="11" t="str">
        <f>VLOOKUP(L712,'[1]singkron data'!D:E,2,FALSE)</f>
        <v>PT. Hage Primadi Konstruksi (Menengah)</v>
      </c>
      <c r="AL712" s="11" t="str">
        <f>VLOOKUP(L712,'[1]update 521'!D:D,1,FALSE)</f>
        <v>Kangkung</v>
      </c>
      <c r="AM712" s="11" t="s">
        <v>57</v>
      </c>
      <c r="AN712" s="11" t="e">
        <f>VLOOKUP(L712,[1]Sheet19!E:L,8,FALSE)</f>
        <v>#N/A</v>
      </c>
      <c r="AO712" s="11" t="s">
        <v>58</v>
      </c>
      <c r="AP712" s="12"/>
    </row>
    <row r="713" spans="1:42" ht="15" x14ac:dyDescent="0.2">
      <c r="A713" s="8" t="s">
        <v>42</v>
      </c>
      <c r="B713" s="9" t="s">
        <v>43</v>
      </c>
      <c r="C713" s="9">
        <v>308</v>
      </c>
      <c r="D713" s="9" t="s">
        <v>1631</v>
      </c>
      <c r="E713" s="9">
        <v>95</v>
      </c>
      <c r="F713" s="9" t="s">
        <v>1743</v>
      </c>
      <c r="G713" s="9" t="s">
        <v>1668</v>
      </c>
      <c r="H713" s="9" t="s">
        <v>47</v>
      </c>
      <c r="I713" s="9" t="s">
        <v>1744</v>
      </c>
      <c r="J713" s="9" t="s">
        <v>1750</v>
      </c>
      <c r="K713" s="9" t="s">
        <v>1750</v>
      </c>
      <c r="L713" s="10" t="s">
        <v>1750</v>
      </c>
      <c r="M713" s="9" t="s">
        <v>51</v>
      </c>
      <c r="N713" s="9">
        <v>31</v>
      </c>
      <c r="O713" s="9" t="s">
        <v>72</v>
      </c>
      <c r="P713" s="9">
        <v>31</v>
      </c>
      <c r="Q713" s="9">
        <v>31</v>
      </c>
      <c r="R713" s="9">
        <v>1.75</v>
      </c>
      <c r="S713" s="9">
        <v>-5.4465839999999996</v>
      </c>
      <c r="T713" s="9">
        <v>105.282636</v>
      </c>
      <c r="U713" s="9" t="s">
        <v>52</v>
      </c>
      <c r="V713" s="11" t="s">
        <v>1747</v>
      </c>
      <c r="W713" s="13">
        <f>VLOOKUP(L713,'[1]update tim 2'!D:F,3,FALSE)</f>
        <v>2942399000</v>
      </c>
      <c r="X713" s="11" t="s">
        <v>55</v>
      </c>
      <c r="Y713" s="11">
        <f>VLOOKUP(L713,'[1]singkron data'!D:H,5,FALSE)</f>
        <v>0</v>
      </c>
      <c r="Z713" s="11" t="str">
        <f>VLOOKUP(L713,'[1]singkron data'!D:I,6,FALSE)</f>
        <v>Offline</v>
      </c>
      <c r="AA713" s="11" t="s">
        <v>1748</v>
      </c>
      <c r="AB713" s="11" t="s">
        <v>54</v>
      </c>
      <c r="AC713" s="11" t="s">
        <v>322</v>
      </c>
      <c r="AD713" s="11" t="str">
        <f>VLOOKUP(L713,'[1]data 1129'!F:O,10,FALSE)</f>
        <v>Tahap II 146</v>
      </c>
      <c r="AE713" s="11">
        <f>VLOOKUP(L713,'[1]singkron data'!D:P,13,FALSE)</f>
        <v>0</v>
      </c>
      <c r="AF713" s="11" t="s">
        <v>55</v>
      </c>
      <c r="AG713" s="11" t="e">
        <f>VLOOKUP(L713,'[1]update kontrak'!E:K,6,FALSE)</f>
        <v>#N/A</v>
      </c>
      <c r="AH713" s="11" t="e">
        <f>VLOOKUP(L713,'[1]update kontrak'!E:K,7,FALSE)</f>
        <v>#N/A</v>
      </c>
      <c r="AI713" s="11"/>
      <c r="AJ713" s="11" t="str">
        <f>VLOOKUP(L713,[1]rekap!D:M,1,FALSE)</f>
        <v>Bumi Waras</v>
      </c>
      <c r="AK713" s="11" t="str">
        <f>VLOOKUP(L713,'[1]singkron data'!D:E,2,FALSE)</f>
        <v>PT. Mitra Selaras Nusantara</v>
      </c>
      <c r="AL713" s="11" t="str">
        <f>VLOOKUP(L713,'[1]update 521'!D:D,1,FALSE)</f>
        <v>Bumi Waras</v>
      </c>
      <c r="AM713" s="11" t="s">
        <v>57</v>
      </c>
      <c r="AN713" s="11" t="e">
        <f>VLOOKUP(L713,[1]Sheet19!E:L,8,FALSE)</f>
        <v>#N/A</v>
      </c>
      <c r="AO713" s="11" t="s">
        <v>58</v>
      </c>
      <c r="AP713" s="12"/>
    </row>
    <row r="714" spans="1:42" ht="15" x14ac:dyDescent="0.2">
      <c r="A714" s="8" t="s">
        <v>42</v>
      </c>
      <c r="B714" s="9" t="s">
        <v>43</v>
      </c>
      <c r="C714" s="9">
        <v>309</v>
      </c>
      <c r="D714" s="9" t="s">
        <v>1631</v>
      </c>
      <c r="E714" s="9">
        <v>96</v>
      </c>
      <c r="F714" s="9" t="s">
        <v>1752</v>
      </c>
      <c r="G714" s="9" t="s">
        <v>1633</v>
      </c>
      <c r="H714" s="9" t="s">
        <v>47</v>
      </c>
      <c r="I714" s="9" t="s">
        <v>1753</v>
      </c>
      <c r="J714" s="9" t="s">
        <v>1754</v>
      </c>
      <c r="K714" s="9" t="s">
        <v>1755</v>
      </c>
      <c r="L714" s="37" t="s">
        <v>1755</v>
      </c>
      <c r="M714" s="9" t="s">
        <v>65</v>
      </c>
      <c r="N714" s="9">
        <v>288</v>
      </c>
      <c r="O714" s="9">
        <v>3</v>
      </c>
      <c r="P714" s="9">
        <v>126</v>
      </c>
      <c r="Q714" s="9">
        <v>129</v>
      </c>
      <c r="R714" s="9">
        <v>2.6</v>
      </c>
      <c r="S714" s="9">
        <v>2.9054994000000001</v>
      </c>
      <c r="T714" s="9">
        <v>105.8074429</v>
      </c>
      <c r="U714" s="9" t="s">
        <v>52</v>
      </c>
      <c r="V714" s="11"/>
      <c r="W714" s="11"/>
      <c r="X714" s="11"/>
      <c r="Y714" s="11">
        <f>VLOOKUP(L714,'[1]singkron data'!D:H,5,FALSE)</f>
        <v>0</v>
      </c>
      <c r="Z714" s="11">
        <f>VLOOKUP(L714,'[1]singkron data'!D:I,6,FALSE)</f>
        <v>0</v>
      </c>
      <c r="AA714" s="11" t="s">
        <v>1702</v>
      </c>
      <c r="AB714" s="11" t="s">
        <v>54</v>
      </c>
      <c r="AC714" s="11" t="s">
        <v>1703</v>
      </c>
      <c r="AD714" s="11" t="str">
        <f>VLOOKUP(L714,'[1]data 1129'!F:O,10,FALSE)</f>
        <v>Tahap IV 200</v>
      </c>
      <c r="AE714" s="11">
        <f>VLOOKUP(L714,'[1]singkron data'!D:P,13,FALSE)</f>
        <v>0</v>
      </c>
      <c r="AF714" s="11" t="s">
        <v>55</v>
      </c>
      <c r="AG714" s="11" t="e">
        <f>VLOOKUP(L714,'[1]update kontrak'!E:K,6,FALSE)</f>
        <v>#N/A</v>
      </c>
      <c r="AH714" s="11" t="e">
        <f>VLOOKUP(L714,'[1]update kontrak'!E:K,7,FALSE)</f>
        <v>#N/A</v>
      </c>
      <c r="AI714" s="11"/>
      <c r="AJ714" s="11" t="str">
        <f>VLOOKUP(L714,[1]rekap!D:M,1,FALSE)</f>
        <v>Kuala Maras</v>
      </c>
      <c r="AK714" s="11" t="str">
        <f>VLOOKUP(L714,'[1]singkron data'!D:E,2,FALSE)</f>
        <v>PT. Ibnu Munsyir Dwi Guna</v>
      </c>
      <c r="AL714" s="11" t="str">
        <f>VLOOKUP(L714,'[1]update 521'!D:D,1,FALSE)</f>
        <v>Kuala Maras</v>
      </c>
      <c r="AM714" s="11" t="s">
        <v>96</v>
      </c>
      <c r="AN714" s="11" t="s">
        <v>1704</v>
      </c>
      <c r="AO714" s="11" t="s">
        <v>1702</v>
      </c>
      <c r="AP714" s="12" t="s">
        <v>268</v>
      </c>
    </row>
    <row r="715" spans="1:42" ht="15" x14ac:dyDescent="0.2">
      <c r="A715" s="8" t="s">
        <v>42</v>
      </c>
      <c r="B715" s="9" t="s">
        <v>43</v>
      </c>
      <c r="C715" s="9">
        <v>310</v>
      </c>
      <c r="D715" s="9" t="s">
        <v>1631</v>
      </c>
      <c r="E715" s="9">
        <v>97</v>
      </c>
      <c r="F715" s="9" t="s">
        <v>1752</v>
      </c>
      <c r="G715" s="9" t="s">
        <v>1633</v>
      </c>
      <c r="H715" s="9" t="s">
        <v>47</v>
      </c>
      <c r="I715" s="9" t="s">
        <v>1753</v>
      </c>
      <c r="J715" s="9" t="s">
        <v>1756</v>
      </c>
      <c r="K715" s="9" t="s">
        <v>1757</v>
      </c>
      <c r="L715" s="37" t="s">
        <v>1757</v>
      </c>
      <c r="M715" s="9" t="s">
        <v>51</v>
      </c>
      <c r="N715" s="9">
        <v>226</v>
      </c>
      <c r="O715" s="9" t="s">
        <v>72</v>
      </c>
      <c r="P715" s="9">
        <v>115</v>
      </c>
      <c r="Q715" s="9">
        <v>115</v>
      </c>
      <c r="R715" s="9">
        <v>0.35</v>
      </c>
      <c r="S715" s="9">
        <v>3.3445642000000002</v>
      </c>
      <c r="T715" s="9">
        <v>106.2963256</v>
      </c>
      <c r="U715" s="9" t="s">
        <v>52</v>
      </c>
      <c r="V715" s="11"/>
      <c r="W715" s="11"/>
      <c r="X715" s="11"/>
      <c r="Y715" s="11">
        <f>VLOOKUP(L715,'[1]singkron data'!D:H,5,FALSE)</f>
        <v>0</v>
      </c>
      <c r="Z715" s="11">
        <f>VLOOKUP(L715,'[1]singkron data'!D:I,6,FALSE)</f>
        <v>0</v>
      </c>
      <c r="AA715" s="11" t="s">
        <v>1702</v>
      </c>
      <c r="AB715" s="11" t="s">
        <v>54</v>
      </c>
      <c r="AC715" s="11" t="s">
        <v>1703</v>
      </c>
      <c r="AD715" s="11" t="str">
        <f>VLOOKUP(L715,'[1]data 1129'!F:O,10,FALSE)</f>
        <v>Tahap IV 200</v>
      </c>
      <c r="AE715" s="11">
        <f>VLOOKUP(L715,'[1]singkron data'!D:P,13,FALSE)</f>
        <v>0</v>
      </c>
      <c r="AF715" s="11" t="s">
        <v>55</v>
      </c>
      <c r="AG715" s="11" t="e">
        <f>VLOOKUP(L715,'[1]update kontrak'!E:K,6,FALSE)</f>
        <v>#N/A</v>
      </c>
      <c r="AH715" s="11" t="e">
        <f>VLOOKUP(L715,'[1]update kontrak'!E:K,7,FALSE)</f>
        <v>#N/A</v>
      </c>
      <c r="AI715" s="11"/>
      <c r="AJ715" s="11" t="str">
        <f>VLOOKUP(L715,[1]rekap!D:M,1,FALSE)</f>
        <v>Putik</v>
      </c>
      <c r="AK715" s="11" t="str">
        <f>VLOOKUP(L715,'[1]singkron data'!D:E,2,FALSE)</f>
        <v>PT. Takabea Reshi Consolindo Cabang Riau</v>
      </c>
      <c r="AL715" s="11" t="str">
        <f>VLOOKUP(L715,'[1]update 521'!D:D,1,FALSE)</f>
        <v>Putik</v>
      </c>
      <c r="AM715" s="11" t="s">
        <v>96</v>
      </c>
      <c r="AN715" s="11" t="s">
        <v>1704</v>
      </c>
      <c r="AO715" s="11" t="s">
        <v>1702</v>
      </c>
      <c r="AP715" s="12" t="s">
        <v>268</v>
      </c>
    </row>
    <row r="716" spans="1:42" ht="15" x14ac:dyDescent="0.2">
      <c r="A716" s="8" t="s">
        <v>42</v>
      </c>
      <c r="B716" s="9" t="s">
        <v>43</v>
      </c>
      <c r="C716" s="9">
        <v>311</v>
      </c>
      <c r="D716" s="9" t="s">
        <v>1631</v>
      </c>
      <c r="E716" s="9">
        <v>98</v>
      </c>
      <c r="F716" s="9" t="s">
        <v>1752</v>
      </c>
      <c r="G716" s="9" t="s">
        <v>1633</v>
      </c>
      <c r="H716" s="9" t="s">
        <v>47</v>
      </c>
      <c r="I716" s="9" t="s">
        <v>1753</v>
      </c>
      <c r="J716" s="9" t="s">
        <v>1758</v>
      </c>
      <c r="K716" s="9" t="s">
        <v>1759</v>
      </c>
      <c r="L716" s="37" t="s">
        <v>1759</v>
      </c>
      <c r="M716" s="9" t="s">
        <v>51</v>
      </c>
      <c r="N716" s="9">
        <v>41</v>
      </c>
      <c r="O716" s="9">
        <v>20</v>
      </c>
      <c r="P716" s="9">
        <v>36</v>
      </c>
      <c r="Q716" s="9">
        <v>56</v>
      </c>
      <c r="R716" s="9">
        <v>3.6</v>
      </c>
      <c r="S716" s="9">
        <v>2.9566686999999998</v>
      </c>
      <c r="T716" s="9">
        <v>105.7130603</v>
      </c>
      <c r="U716" s="9" t="s">
        <v>52</v>
      </c>
      <c r="V716" s="11"/>
      <c r="W716" s="11"/>
      <c r="X716" s="11"/>
      <c r="Y716" s="11">
        <f>VLOOKUP(L716,'[1]singkron data'!D:H,5,FALSE)</f>
        <v>0</v>
      </c>
      <c r="Z716" s="11">
        <f>VLOOKUP(L716,'[1]singkron data'!D:I,6,FALSE)</f>
        <v>0</v>
      </c>
      <c r="AA716" s="11" t="s">
        <v>1702</v>
      </c>
      <c r="AB716" s="11" t="s">
        <v>54</v>
      </c>
      <c r="AC716" s="11" t="s">
        <v>1703</v>
      </c>
      <c r="AD716" s="11" t="str">
        <f>VLOOKUP(L716,'[1]data 1129'!F:O,10,FALSE)</f>
        <v>Tahap IV 200</v>
      </c>
      <c r="AE716" s="11">
        <f>VLOOKUP(L716,'[1]singkron data'!D:P,13,FALSE)</f>
        <v>0</v>
      </c>
      <c r="AF716" s="11" t="s">
        <v>55</v>
      </c>
      <c r="AG716" s="11" t="e">
        <f>VLOOKUP(L716,'[1]update kontrak'!E:K,6,FALSE)</f>
        <v>#N/A</v>
      </c>
      <c r="AH716" s="11" t="e">
        <f>VLOOKUP(L716,'[1]update kontrak'!E:K,7,FALSE)</f>
        <v>#N/A</v>
      </c>
      <c r="AI716" s="11"/>
      <c r="AJ716" s="11" t="str">
        <f>VLOOKUP(L716,[1]rekap!D:M,1,FALSE)</f>
        <v>Mampok</v>
      </c>
      <c r="AK716" s="11" t="str">
        <f>VLOOKUP(L716,'[1]singkron data'!D:E,2,FALSE)</f>
        <v>PT. Ibnu Munsyir Dwi Guna</v>
      </c>
      <c r="AL716" s="11" t="str">
        <f>VLOOKUP(L716,'[1]update 521'!D:D,1,FALSE)</f>
        <v>Mampok</v>
      </c>
      <c r="AM716" s="11" t="s">
        <v>96</v>
      </c>
      <c r="AN716" s="11" t="s">
        <v>1704</v>
      </c>
      <c r="AO716" s="11" t="s">
        <v>1702</v>
      </c>
      <c r="AP716" s="12" t="s">
        <v>268</v>
      </c>
    </row>
    <row r="717" spans="1:42" ht="15" x14ac:dyDescent="0.2">
      <c r="A717" s="8" t="s">
        <v>42</v>
      </c>
      <c r="B717" s="9" t="s">
        <v>43</v>
      </c>
      <c r="C717" s="9">
        <v>312</v>
      </c>
      <c r="D717" s="9" t="s">
        <v>1631</v>
      </c>
      <c r="E717" s="9">
        <v>99</v>
      </c>
      <c r="F717" s="9" t="s">
        <v>1752</v>
      </c>
      <c r="G717" s="9" t="s">
        <v>1633</v>
      </c>
      <c r="H717" s="9" t="s">
        <v>47</v>
      </c>
      <c r="I717" s="9" t="s">
        <v>1753</v>
      </c>
      <c r="J717" s="9" t="s">
        <v>1760</v>
      </c>
      <c r="K717" s="9" t="s">
        <v>1761</v>
      </c>
      <c r="L717" s="37" t="s">
        <v>1761</v>
      </c>
      <c r="M717" s="9" t="s">
        <v>51</v>
      </c>
      <c r="N717" s="9">
        <v>88</v>
      </c>
      <c r="O717" s="9">
        <v>26</v>
      </c>
      <c r="P717" s="9">
        <v>62</v>
      </c>
      <c r="Q717" s="9">
        <v>88</v>
      </c>
      <c r="R717" s="9">
        <v>0.72</v>
      </c>
      <c r="S717" s="9">
        <v>3.1098398999999999</v>
      </c>
      <c r="T717" s="9">
        <v>106.2603656</v>
      </c>
      <c r="U717" s="9" t="s">
        <v>52</v>
      </c>
      <c r="V717" s="11"/>
      <c r="W717" s="11"/>
      <c r="X717" s="11"/>
      <c r="Y717" s="11">
        <f>VLOOKUP(L717,'[1]singkron data'!D:H,5,FALSE)</f>
        <v>0</v>
      </c>
      <c r="Z717" s="11">
        <f>VLOOKUP(L717,'[1]singkron data'!D:I,6,FALSE)</f>
        <v>0</v>
      </c>
      <c r="AA717" s="11" t="s">
        <v>1702</v>
      </c>
      <c r="AB717" s="11" t="s">
        <v>54</v>
      </c>
      <c r="AC717" s="11" t="s">
        <v>1703</v>
      </c>
      <c r="AD717" s="11" t="str">
        <f>VLOOKUP(L717,'[1]data 1129'!F:O,10,FALSE)</f>
        <v>Tahap IV 200</v>
      </c>
      <c r="AE717" s="11">
        <f>VLOOKUP(L717,'[1]singkron data'!D:P,13,FALSE)</f>
        <v>0</v>
      </c>
      <c r="AF717" s="11" t="s">
        <v>55</v>
      </c>
      <c r="AG717" s="11" t="e">
        <f>VLOOKUP(L717,'[1]update kontrak'!E:K,6,FALSE)</f>
        <v>#N/A</v>
      </c>
      <c r="AH717" s="11" t="e">
        <f>VLOOKUP(L717,'[1]update kontrak'!E:K,7,FALSE)</f>
        <v>#N/A</v>
      </c>
      <c r="AI717" s="11"/>
      <c r="AJ717" s="11" t="str">
        <f>VLOOKUP(L717,[1]rekap!D:M,1,FALSE)</f>
        <v>Air Bini</v>
      </c>
      <c r="AK717" s="11" t="str">
        <f>VLOOKUP(L717,'[1]singkron data'!D:E,2,FALSE)</f>
        <v>PT. Takabea Reshi Consolindo Cabang Riau</v>
      </c>
      <c r="AL717" s="11" t="str">
        <f>VLOOKUP(L717,'[1]update 521'!D:D,1,FALSE)</f>
        <v>Air Bini</v>
      </c>
      <c r="AM717" s="11" t="s">
        <v>96</v>
      </c>
      <c r="AN717" s="11" t="s">
        <v>1704</v>
      </c>
      <c r="AO717" s="11" t="s">
        <v>1702</v>
      </c>
      <c r="AP717" s="12" t="s">
        <v>268</v>
      </c>
    </row>
    <row r="718" spans="1:42" ht="15" x14ac:dyDescent="0.2">
      <c r="A718" s="8" t="s">
        <v>42</v>
      </c>
      <c r="B718" s="9" t="s">
        <v>43</v>
      </c>
      <c r="C718" s="9">
        <v>313</v>
      </c>
      <c r="D718" s="9" t="s">
        <v>1631</v>
      </c>
      <c r="E718" s="9">
        <v>100</v>
      </c>
      <c r="F718" s="9" t="s">
        <v>1752</v>
      </c>
      <c r="G718" s="9" t="s">
        <v>1633</v>
      </c>
      <c r="H718" s="9" t="s">
        <v>47</v>
      </c>
      <c r="I718" s="9" t="s">
        <v>1753</v>
      </c>
      <c r="J718" s="9" t="s">
        <v>1762</v>
      </c>
      <c r="K718" s="9" t="s">
        <v>1763</v>
      </c>
      <c r="L718" s="37" t="s">
        <v>1763</v>
      </c>
      <c r="M718" s="9" t="s">
        <v>51</v>
      </c>
      <c r="N718" s="9">
        <v>113</v>
      </c>
      <c r="O718" s="9" t="s">
        <v>72</v>
      </c>
      <c r="P718" s="9">
        <v>113</v>
      </c>
      <c r="Q718" s="9">
        <v>113</v>
      </c>
      <c r="R718" s="9">
        <v>0.17</v>
      </c>
      <c r="S718" s="9">
        <v>3.3083458000000001</v>
      </c>
      <c r="T718" s="9">
        <v>106.2234868</v>
      </c>
      <c r="U718" s="9" t="s">
        <v>52</v>
      </c>
      <c r="V718" s="11"/>
      <c r="W718" s="11"/>
      <c r="X718" s="11"/>
      <c r="Y718" s="11">
        <f>VLOOKUP(L718,'[1]singkron data'!D:H,5,FALSE)</f>
        <v>0</v>
      </c>
      <c r="Z718" s="11">
        <f>VLOOKUP(L718,'[1]singkron data'!D:I,6,FALSE)</f>
        <v>0</v>
      </c>
      <c r="AA718" s="11" t="s">
        <v>1702</v>
      </c>
      <c r="AB718" s="11" t="s">
        <v>54</v>
      </c>
      <c r="AC718" s="11" t="s">
        <v>1703</v>
      </c>
      <c r="AD718" s="11" t="str">
        <f>VLOOKUP(L718,'[1]data 1129'!F:O,10,FALSE)</f>
        <v>Tahap IV 200</v>
      </c>
      <c r="AE718" s="11">
        <f>VLOOKUP(L718,'[1]singkron data'!D:P,13,FALSE)</f>
        <v>0</v>
      </c>
      <c r="AF718" s="11" t="s">
        <v>55</v>
      </c>
      <c r="AG718" s="11" t="e">
        <f>VLOOKUP(L718,'[1]update kontrak'!E:K,6,FALSE)</f>
        <v>#N/A</v>
      </c>
      <c r="AH718" s="11" t="e">
        <f>VLOOKUP(L718,'[1]update kontrak'!E:K,7,FALSE)</f>
        <v>#N/A</v>
      </c>
      <c r="AI718" s="11"/>
      <c r="AJ718" s="11" t="str">
        <f>VLOOKUP(L718,[1]rekap!D:M,1,FALSE)</f>
        <v>Piasan</v>
      </c>
      <c r="AK718" s="11" t="str">
        <f>VLOOKUP(L718,'[1]singkron data'!D:E,2,FALSE)</f>
        <v>PT. Takabea Reshi Consolindo Cabang Riau</v>
      </c>
      <c r="AL718" s="11" t="str">
        <f>VLOOKUP(L718,'[1]update 521'!D:D,1,FALSE)</f>
        <v>Piasan</v>
      </c>
      <c r="AM718" s="11" t="s">
        <v>96</v>
      </c>
      <c r="AN718" s="11" t="s">
        <v>1704</v>
      </c>
      <c r="AO718" s="11" t="s">
        <v>1702</v>
      </c>
      <c r="AP718" s="12" t="s">
        <v>268</v>
      </c>
    </row>
    <row r="719" spans="1:42" ht="15" x14ac:dyDescent="0.2">
      <c r="A719" s="8" t="s">
        <v>42</v>
      </c>
      <c r="B719" s="9" t="s">
        <v>43</v>
      </c>
      <c r="C719" s="9">
        <v>314</v>
      </c>
      <c r="D719" s="9" t="s">
        <v>1631</v>
      </c>
      <c r="E719" s="9">
        <v>101</v>
      </c>
      <c r="F719" s="9" t="s">
        <v>1764</v>
      </c>
      <c r="G719" s="9" t="s">
        <v>1656</v>
      </c>
      <c r="H719" s="9" t="s">
        <v>47</v>
      </c>
      <c r="I719" s="9" t="s">
        <v>1765</v>
      </c>
      <c r="J719" s="9" t="s">
        <v>1766</v>
      </c>
      <c r="K719" s="9" t="s">
        <v>1767</v>
      </c>
      <c r="L719" s="9" t="s">
        <v>1767</v>
      </c>
      <c r="M719" s="9" t="s">
        <v>51</v>
      </c>
      <c r="N719" s="9">
        <v>286</v>
      </c>
      <c r="O719" s="9">
        <v>35</v>
      </c>
      <c r="P719" s="9">
        <v>10</v>
      </c>
      <c r="Q719" s="9">
        <v>45</v>
      </c>
      <c r="R719" s="9">
        <v>1.2</v>
      </c>
      <c r="S719" s="9">
        <v>5.2604920000000002</v>
      </c>
      <c r="T719" s="9">
        <v>96.993461999999994</v>
      </c>
      <c r="U719" s="9"/>
      <c r="V719" s="11" t="e">
        <f>VLOOKUP(L719,'[1]singkron data'!D:E,2,FALSE)</f>
        <v>#N/A</v>
      </c>
      <c r="W719" s="11"/>
      <c r="X719" s="11"/>
      <c r="Y719" s="11" t="e">
        <f>VLOOKUP(L719,'[1]singkron data'!D:H,5,FALSE)</f>
        <v>#N/A</v>
      </c>
      <c r="Z719" s="11" t="e">
        <f>VLOOKUP(L719,'[1]singkron data'!D:I,6,FALSE)</f>
        <v>#N/A</v>
      </c>
      <c r="AA719" s="11" t="e">
        <f>VLOOKUP(L719,'[1]singkron data'!D:L,9,FALSE)</f>
        <v>#N/A</v>
      </c>
      <c r="AB719" s="11" t="s">
        <v>694</v>
      </c>
      <c r="AC719" s="11" t="e">
        <f>VLOOKUP(L719,'[1]singkron data'!D:M,10,FALSE)</f>
        <v>#N/A</v>
      </c>
      <c r="AD719" s="11" t="s">
        <v>364</v>
      </c>
      <c r="AE719" s="11" t="e">
        <f>VLOOKUP(L719,'[1]singkron data'!D:P,13,FALSE)</f>
        <v>#N/A</v>
      </c>
      <c r="AF719" s="11" t="s">
        <v>55</v>
      </c>
      <c r="AG719" s="11" t="e">
        <f>VLOOKUP(L719,'[1]update kontrak'!E:K,6,FALSE)</f>
        <v>#N/A</v>
      </c>
      <c r="AH719" s="11" t="e">
        <f>VLOOKUP(L719,'[1]update kontrak'!E:K,7,FALSE)</f>
        <v>#N/A</v>
      </c>
      <c r="AI719" s="11"/>
      <c r="AJ719" s="11" t="str">
        <f>VLOOKUP(L719,[1]rekap!D:M,1,FALSE)</f>
        <v>Geulumpang Sulu Timu</v>
      </c>
      <c r="AK719" s="11" t="e">
        <f>VLOOKUP(L719,'[1]singkron data'!D:E,2,FALSE)</f>
        <v>#N/A</v>
      </c>
      <c r="AL719" s="11" t="str">
        <f>VLOOKUP(L719,'[1]update 521'!D:D,1,FALSE)</f>
        <v>Geulumpang Sulu Timu</v>
      </c>
      <c r="AM719" s="11" t="s">
        <v>96</v>
      </c>
      <c r="AN719" s="11" t="e">
        <f>VLOOKUP(L719,[1]Sheet19!E:L,8,FALSE)</f>
        <v>#N/A</v>
      </c>
      <c r="AO719" s="11" t="e">
        <f>VLOOKUP(L719,[1]Sheet19!E:K,7,FALSE)</f>
        <v>#N/A</v>
      </c>
      <c r="AP719" s="12"/>
    </row>
    <row r="720" spans="1:42" ht="15" x14ac:dyDescent="0.2">
      <c r="A720" s="8" t="s">
        <v>42</v>
      </c>
      <c r="B720" s="9" t="s">
        <v>43</v>
      </c>
      <c r="C720" s="9">
        <v>315</v>
      </c>
      <c r="D720" s="9" t="s">
        <v>1631</v>
      </c>
      <c r="E720" s="9">
        <v>102</v>
      </c>
      <c r="F720" s="9" t="s">
        <v>1764</v>
      </c>
      <c r="G720" s="9" t="s">
        <v>1656</v>
      </c>
      <c r="H720" s="9" t="s">
        <v>47</v>
      </c>
      <c r="I720" s="9" t="s">
        <v>1768</v>
      </c>
      <c r="J720" s="9" t="s">
        <v>1769</v>
      </c>
      <c r="K720" s="9" t="s">
        <v>1770</v>
      </c>
      <c r="L720" s="9" t="s">
        <v>1770</v>
      </c>
      <c r="M720" s="9" t="s">
        <v>51</v>
      </c>
      <c r="N720" s="9">
        <v>302</v>
      </c>
      <c r="O720" s="9" t="s">
        <v>72</v>
      </c>
      <c r="P720" s="9">
        <v>109</v>
      </c>
      <c r="Q720" s="9">
        <v>109</v>
      </c>
      <c r="R720" s="9">
        <v>5.8</v>
      </c>
      <c r="S720" s="9">
        <v>5.2473650000000003</v>
      </c>
      <c r="T720" s="9">
        <v>96.883904999999999</v>
      </c>
      <c r="U720" s="9"/>
      <c r="V720" s="11" t="e">
        <f>VLOOKUP(L720,'[1]singkron data'!D:E,2,FALSE)</f>
        <v>#N/A</v>
      </c>
      <c r="W720" s="11" t="e">
        <f>VLOOKUP(L720,'[1]update tim 2'!D:F,3,FALSE)</f>
        <v>#N/A</v>
      </c>
      <c r="X720" s="11" t="s">
        <v>55</v>
      </c>
      <c r="Y720" s="11" t="e">
        <f>VLOOKUP(L720,'[1]singkron data'!D:H,5,FALSE)</f>
        <v>#N/A</v>
      </c>
      <c r="Z720" s="11" t="e">
        <f>VLOOKUP(L720,'[1]singkron data'!D:I,6,FALSE)</f>
        <v>#N/A</v>
      </c>
      <c r="AA720" s="11" t="e">
        <f>VLOOKUP(L720,'[1]singkron data'!D:L,9,FALSE)</f>
        <v>#N/A</v>
      </c>
      <c r="AB720" s="11" t="s">
        <v>694</v>
      </c>
      <c r="AC720" s="11" t="s">
        <v>1660</v>
      </c>
      <c r="AD720" s="11" t="s">
        <v>364</v>
      </c>
      <c r="AE720" s="11" t="e">
        <f>VLOOKUP(L720,'[1]singkron data'!D:P,13,FALSE)</f>
        <v>#N/A</v>
      </c>
      <c r="AF720" s="11" t="s">
        <v>55</v>
      </c>
      <c r="AG720" s="11" t="e">
        <f>VLOOKUP(L720,'[1]update kontrak'!E:K,6,FALSE)</f>
        <v>#N/A</v>
      </c>
      <c r="AH720" s="11" t="e">
        <f>VLOOKUP(L720,'[1]update kontrak'!E:K,7,FALSE)</f>
        <v>#N/A</v>
      </c>
      <c r="AI720" s="11"/>
      <c r="AJ720" s="11" t="str">
        <f>VLOOKUP(L720,[1]rekap!D:M,1,FALSE)</f>
        <v>Lapang Barat</v>
      </c>
      <c r="AK720" s="11" t="e">
        <f>VLOOKUP(L720,'[1]singkron data'!D:E,2,FALSE)</f>
        <v>#N/A</v>
      </c>
      <c r="AL720" s="11" t="str">
        <f>VLOOKUP(L720,'[1]update 521'!D:D,1,FALSE)</f>
        <v>Lapang Barat</v>
      </c>
      <c r="AM720" s="11" t="s">
        <v>57</v>
      </c>
      <c r="AN720" s="11" t="e">
        <f>VLOOKUP(L720,[1]Sheet19!E:L,8,FALSE)</f>
        <v>#N/A</v>
      </c>
      <c r="AO720" s="11" t="s">
        <v>1129</v>
      </c>
      <c r="AP720" s="12"/>
    </row>
    <row r="721" spans="1:42" ht="15" x14ac:dyDescent="0.2">
      <c r="A721" s="8" t="s">
        <v>42</v>
      </c>
      <c r="B721" s="9" t="s">
        <v>43</v>
      </c>
      <c r="C721" s="9">
        <v>316</v>
      </c>
      <c r="D721" s="9" t="s">
        <v>1631</v>
      </c>
      <c r="E721" s="9">
        <v>103</v>
      </c>
      <c r="F721" s="9" t="s">
        <v>1764</v>
      </c>
      <c r="G721" s="9" t="s">
        <v>1656</v>
      </c>
      <c r="H721" s="9" t="s">
        <v>47</v>
      </c>
      <c r="I721" s="9" t="s">
        <v>1768</v>
      </c>
      <c r="J721" s="9" t="s">
        <v>1771</v>
      </c>
      <c r="K721" s="9" t="s">
        <v>1772</v>
      </c>
      <c r="L721" s="9" t="s">
        <v>1772</v>
      </c>
      <c r="M721" s="9" t="s">
        <v>51</v>
      </c>
      <c r="N721" s="9">
        <v>159</v>
      </c>
      <c r="O721" s="9" t="s">
        <v>72</v>
      </c>
      <c r="P721" s="9">
        <v>168</v>
      </c>
      <c r="Q721" s="9">
        <v>168</v>
      </c>
      <c r="R721" s="9">
        <v>2.5</v>
      </c>
      <c r="S721" s="9">
        <v>5.275976</v>
      </c>
      <c r="T721" s="9">
        <v>96.84572</v>
      </c>
      <c r="U721" s="9"/>
      <c r="V721" s="11" t="e">
        <f>VLOOKUP(L721,'[1]singkron data'!D:E,2,FALSE)</f>
        <v>#N/A</v>
      </c>
      <c r="W721" s="11" t="e">
        <f>VLOOKUP(L721,'[1]update tim 2'!D:F,3,FALSE)</f>
        <v>#N/A</v>
      </c>
      <c r="X721" s="11" t="s">
        <v>55</v>
      </c>
      <c r="Y721" s="11" t="e">
        <f>VLOOKUP(L721,'[1]singkron data'!D:H,5,FALSE)</f>
        <v>#N/A</v>
      </c>
      <c r="Z721" s="11" t="e">
        <f>VLOOKUP(L721,'[1]singkron data'!D:I,6,FALSE)</f>
        <v>#N/A</v>
      </c>
      <c r="AA721" s="11" t="e">
        <f>VLOOKUP(L721,'[1]singkron data'!D:L,9,FALSE)</f>
        <v>#N/A</v>
      </c>
      <c r="AB721" s="11" t="s">
        <v>694</v>
      </c>
      <c r="AC721" s="11" t="s">
        <v>1660</v>
      </c>
      <c r="AD721" s="11" t="s">
        <v>364</v>
      </c>
      <c r="AE721" s="11" t="e">
        <f>VLOOKUP(L721,'[1]singkron data'!D:P,13,FALSE)</f>
        <v>#N/A</v>
      </c>
      <c r="AF721" s="11" t="s">
        <v>55</v>
      </c>
      <c r="AG721" s="11" t="e">
        <f>VLOOKUP(L721,'[1]update kontrak'!E:K,6,FALSE)</f>
        <v>#N/A</v>
      </c>
      <c r="AH721" s="11" t="e">
        <f>VLOOKUP(L721,'[1]update kontrak'!E:K,7,FALSE)</f>
        <v>#N/A</v>
      </c>
      <c r="AI721" s="11"/>
      <c r="AJ721" s="11" t="str">
        <f>VLOOKUP(L721,[1]rekap!D:M,1,FALSE)</f>
        <v>Kuala Cerape</v>
      </c>
      <c r="AK721" s="11" t="e">
        <f>VLOOKUP(L721,'[1]singkron data'!D:E,2,FALSE)</f>
        <v>#N/A</v>
      </c>
      <c r="AL721" s="11" t="str">
        <f>VLOOKUP(L721,'[1]update 521'!D:D,1,FALSE)</f>
        <v>Kuala Cerape</v>
      </c>
      <c r="AM721" s="11" t="s">
        <v>57</v>
      </c>
      <c r="AN721" s="11" t="e">
        <f>VLOOKUP(L721,[1]Sheet19!E:L,8,FALSE)</f>
        <v>#N/A</v>
      </c>
      <c r="AO721" s="11" t="s">
        <v>1129</v>
      </c>
      <c r="AP721" s="12"/>
    </row>
    <row r="722" spans="1:42" ht="15" x14ac:dyDescent="0.2">
      <c r="A722" s="8" t="s">
        <v>42</v>
      </c>
      <c r="B722" s="9" t="s">
        <v>43</v>
      </c>
      <c r="C722" s="9">
        <v>317</v>
      </c>
      <c r="D722" s="9" t="s">
        <v>1631</v>
      </c>
      <c r="E722" s="9">
        <v>104</v>
      </c>
      <c r="F722" s="9" t="s">
        <v>1764</v>
      </c>
      <c r="G722" s="9" t="s">
        <v>1656</v>
      </c>
      <c r="H722" s="9" t="s">
        <v>47</v>
      </c>
      <c r="I722" s="9" t="s">
        <v>1768</v>
      </c>
      <c r="J722" s="9" t="s">
        <v>1773</v>
      </c>
      <c r="K722" s="9" t="s">
        <v>1774</v>
      </c>
      <c r="L722" s="9" t="s">
        <v>1774</v>
      </c>
      <c r="M722" s="9" t="s">
        <v>51</v>
      </c>
      <c r="N722" s="9">
        <v>420</v>
      </c>
      <c r="O722" s="9" t="s">
        <v>72</v>
      </c>
      <c r="P722" s="9">
        <v>188</v>
      </c>
      <c r="Q722" s="9">
        <v>188</v>
      </c>
      <c r="R722" s="9">
        <v>4.5</v>
      </c>
      <c r="S722" s="9">
        <v>5.2026633999999996</v>
      </c>
      <c r="T722" s="9">
        <v>96.496966999999998</v>
      </c>
      <c r="U722" s="9"/>
      <c r="V722" s="11" t="e">
        <f>VLOOKUP(L722,'[1]singkron data'!D:E,2,FALSE)</f>
        <v>#N/A</v>
      </c>
      <c r="W722" s="11" t="e">
        <f>VLOOKUP(L722,'[1]update tim 2'!D:F,3,FALSE)</f>
        <v>#N/A</v>
      </c>
      <c r="X722" s="11" t="s">
        <v>55</v>
      </c>
      <c r="Y722" s="11" t="e">
        <f>VLOOKUP(L722,'[1]singkron data'!D:H,5,FALSE)</f>
        <v>#N/A</v>
      </c>
      <c r="Z722" s="11" t="e">
        <f>VLOOKUP(L722,'[1]singkron data'!D:I,6,FALSE)</f>
        <v>#N/A</v>
      </c>
      <c r="AA722" s="11" t="e">
        <f>VLOOKUP(L722,'[1]singkron data'!D:L,9,FALSE)</f>
        <v>#N/A</v>
      </c>
      <c r="AB722" s="11" t="s">
        <v>694</v>
      </c>
      <c r="AC722" s="11" t="s">
        <v>1660</v>
      </c>
      <c r="AD722" s="11" t="s">
        <v>364</v>
      </c>
      <c r="AE722" s="11" t="e">
        <f>VLOOKUP(L722,'[1]singkron data'!D:P,13,FALSE)</f>
        <v>#N/A</v>
      </c>
      <c r="AF722" s="11" t="s">
        <v>55</v>
      </c>
      <c r="AG722" s="11" t="e">
        <f>VLOOKUP(L722,'[1]update kontrak'!E:K,6,FALSE)</f>
        <v>#N/A</v>
      </c>
      <c r="AH722" s="11" t="e">
        <f>VLOOKUP(L722,'[1]update kontrak'!E:K,7,FALSE)</f>
        <v>#N/A</v>
      </c>
      <c r="AI722" s="11"/>
      <c r="AJ722" s="11" t="str">
        <f>VLOOKUP(L722,[1]rekap!D:M,1,FALSE)</f>
        <v>Lancang</v>
      </c>
      <c r="AK722" s="11" t="e">
        <f>VLOOKUP(L722,'[1]singkron data'!D:E,2,FALSE)</f>
        <v>#N/A</v>
      </c>
      <c r="AL722" s="11" t="str">
        <f>VLOOKUP(L722,'[1]update 521'!D:D,1,FALSE)</f>
        <v>Lancang</v>
      </c>
      <c r="AM722" s="11" t="s">
        <v>57</v>
      </c>
      <c r="AN722" s="11" t="e">
        <f>VLOOKUP(L722,[1]Sheet19!E:L,8,FALSE)</f>
        <v>#N/A</v>
      </c>
      <c r="AO722" s="11" t="s">
        <v>1129</v>
      </c>
      <c r="AP722" s="12"/>
    </row>
    <row r="723" spans="1:42" ht="15" x14ac:dyDescent="0.2">
      <c r="A723" s="8" t="s">
        <v>42</v>
      </c>
      <c r="B723" s="9" t="s">
        <v>43</v>
      </c>
      <c r="C723" s="9">
        <v>319</v>
      </c>
      <c r="D723" s="9" t="s">
        <v>1631</v>
      </c>
      <c r="E723" s="9">
        <v>106</v>
      </c>
      <c r="F723" s="9" t="s">
        <v>1775</v>
      </c>
      <c r="G723" s="9" t="s">
        <v>1668</v>
      </c>
      <c r="H723" s="9" t="s">
        <v>47</v>
      </c>
      <c r="I723" s="9" t="s">
        <v>1776</v>
      </c>
      <c r="J723" s="9" t="s">
        <v>1777</v>
      </c>
      <c r="K723" s="9" t="s">
        <v>1778</v>
      </c>
      <c r="L723" s="10" t="s">
        <v>1778</v>
      </c>
      <c r="M723" s="9" t="s">
        <v>51</v>
      </c>
      <c r="N723" s="9">
        <v>133</v>
      </c>
      <c r="O723" s="9">
        <v>82</v>
      </c>
      <c r="P723" s="9">
        <v>51</v>
      </c>
      <c r="Q723" s="9">
        <v>133</v>
      </c>
      <c r="R723" s="9">
        <v>1</v>
      </c>
      <c r="S723" s="9">
        <v>-5.8114489999999996</v>
      </c>
      <c r="T723" s="9">
        <v>105.59256999999999</v>
      </c>
      <c r="U723" s="9" t="s">
        <v>52</v>
      </c>
      <c r="V723" s="11" t="str">
        <f>VLOOKUP(L723,'[1]singkron data'!D:E,2,FALSE)</f>
        <v>PT. Ratu Nayla Mandiri</v>
      </c>
      <c r="W723" s="13">
        <f>VLOOKUP(L723,'[1]update tim 2'!D:F,3,FALSE)</f>
        <v>4180673000</v>
      </c>
      <c r="X723" s="11" t="s">
        <v>55</v>
      </c>
      <c r="Y723" s="11" t="str">
        <f>VLOOKUP(L723,'[1]singkron data'!D:H,5,FALSE)</f>
        <v>Gresik</v>
      </c>
      <c r="Z723" s="11" t="str">
        <f>VLOOKUP(L723,'[1]singkron data'!D:I,6,FALSE)</f>
        <v>Online</v>
      </c>
      <c r="AA723" s="11" t="str">
        <f>VLOOKUP(L723,'[1]singkron data'!D:L,9,FALSE)</f>
        <v>pt.ratunaylamandiri313@gmail.com/081212846377</v>
      </c>
      <c r="AB723" s="11" t="s">
        <v>54</v>
      </c>
      <c r="AC723" s="11" t="str">
        <f>VLOOKUP(L723,'[1]singkron data'!D:M,10,FALSE)</f>
        <v>TK</v>
      </c>
      <c r="AD723" s="11" t="str">
        <f>VLOOKUP(L723,'[1]data 1129'!F:O,10,FALSE)</f>
        <v>Tahap II 146</v>
      </c>
      <c r="AE723" s="11">
        <f>VLOOKUP(L723,'[1]singkron data'!D:P,13,FALSE)</f>
        <v>0</v>
      </c>
      <c r="AF723" s="11" t="s">
        <v>55</v>
      </c>
      <c r="AG723" s="11" t="e">
        <f>VLOOKUP(L723,'[1]update kontrak'!E:K,6,FALSE)</f>
        <v>#N/A</v>
      </c>
      <c r="AH723" s="11" t="e">
        <f>VLOOKUP(L723,'[1]update kontrak'!E:K,7,FALSE)</f>
        <v>#N/A</v>
      </c>
      <c r="AI723" s="11"/>
      <c r="AJ723" s="11" t="str">
        <f>VLOOKUP(L723,[1]rekap!D:M,1,FALSE)</f>
        <v>Banding</v>
      </c>
      <c r="AK723" s="11" t="str">
        <f>VLOOKUP(L723,'[1]singkron data'!D:E,2,FALSE)</f>
        <v>PT. Ratu Nayla Mandiri</v>
      </c>
      <c r="AL723" s="11" t="str">
        <f>VLOOKUP(L723,'[1]update 521'!D:D,1,FALSE)</f>
        <v>Banding</v>
      </c>
      <c r="AM723" s="11" t="s">
        <v>57</v>
      </c>
      <c r="AN723" s="11" t="e">
        <f>VLOOKUP(L723,[1]Sheet19!E:L,8,FALSE)</f>
        <v>#N/A</v>
      </c>
      <c r="AO723" s="11" t="s">
        <v>58</v>
      </c>
      <c r="AP723" s="12"/>
    </row>
    <row r="724" spans="1:42" ht="15" x14ac:dyDescent="0.2">
      <c r="A724" s="8" t="s">
        <v>42</v>
      </c>
      <c r="B724" s="9" t="s">
        <v>43</v>
      </c>
      <c r="C724" s="9">
        <v>320</v>
      </c>
      <c r="D724" s="9" t="s">
        <v>1631</v>
      </c>
      <c r="E724" s="9">
        <v>107</v>
      </c>
      <c r="F724" s="9" t="s">
        <v>1779</v>
      </c>
      <c r="G724" s="9" t="s">
        <v>1724</v>
      </c>
      <c r="H724" s="9" t="s">
        <v>47</v>
      </c>
      <c r="I724" s="9" t="s">
        <v>1780</v>
      </c>
      <c r="J724" s="9" t="s">
        <v>1781</v>
      </c>
      <c r="K724" s="9" t="s">
        <v>1782</v>
      </c>
      <c r="L724" s="10" t="s">
        <v>1782</v>
      </c>
      <c r="M724" s="9" t="s">
        <v>51</v>
      </c>
      <c r="N724" s="9">
        <v>226</v>
      </c>
      <c r="O724" s="9" t="s">
        <v>72</v>
      </c>
      <c r="P724" s="9">
        <v>133</v>
      </c>
      <c r="Q724" s="9">
        <v>133</v>
      </c>
      <c r="R724" s="9">
        <v>0.05</v>
      </c>
      <c r="S724" s="9">
        <v>4.0379737999999996</v>
      </c>
      <c r="T724" s="9">
        <v>98.452415400000007</v>
      </c>
      <c r="U724" s="9" t="s">
        <v>52</v>
      </c>
      <c r="V724" s="11" t="str">
        <f>VLOOKUP(L724,'[1]singkron data'!D:E,2,FALSE)</f>
        <v>PT Multi Gapura Pembangunan Semesta</v>
      </c>
      <c r="W724" s="11"/>
      <c r="X724" s="11"/>
      <c r="Y724" s="11">
        <f>VLOOKUP(L724,'[1]singkron data'!D:H,5,FALSE)</f>
        <v>0</v>
      </c>
      <c r="Z724" s="11" t="str">
        <f>VLOOKUP(L724,'[1]singkron data'!D:I,6,FALSE)</f>
        <v>Online</v>
      </c>
      <c r="AA724" s="11" t="str">
        <f>VLOOKUP(L724,'[1]singkron data'!D:L,9,FALSE)</f>
        <v>082297871501/habib</v>
      </c>
      <c r="AB724" s="11" t="s">
        <v>54</v>
      </c>
      <c r="AC724" s="11" t="str">
        <f>VLOOKUP(L724,'[1]singkron data'!D:M,10,FALSE)</f>
        <v>TK</v>
      </c>
      <c r="AD724" s="11" t="str">
        <f>VLOOKUP(L724,'[1]data 1129'!F:O,10,FALSE)</f>
        <v>Tahap III 166</v>
      </c>
      <c r="AE724" s="11">
        <f>VLOOKUP(L724,'[1]singkron data'!D:P,13,FALSE)</f>
        <v>0</v>
      </c>
      <c r="AF724" s="11" t="s">
        <v>55</v>
      </c>
      <c r="AG724" s="11" t="e">
        <f>VLOOKUP(L724,'[1]update kontrak'!E:K,6,FALSE)</f>
        <v>#N/A</v>
      </c>
      <c r="AH724" s="11" t="e">
        <f>VLOOKUP(L724,'[1]update kontrak'!E:K,7,FALSE)</f>
        <v>#N/A</v>
      </c>
      <c r="AI724" s="11"/>
      <c r="AJ724" s="11" t="str">
        <f>VLOOKUP(L724,[1]rekap!D:M,1,FALSE)</f>
        <v>Kwala Serapuh</v>
      </c>
      <c r="AK724" s="11" t="str">
        <f>VLOOKUP(L724,'[1]singkron data'!D:E,2,FALSE)</f>
        <v>PT Multi Gapura Pembangunan Semesta</v>
      </c>
      <c r="AL724" s="11" t="str">
        <f>VLOOKUP(L724,'[1]update 521'!D:D,1,FALSE)</f>
        <v>Kwala Serapuh</v>
      </c>
      <c r="AM724" s="11" t="s">
        <v>96</v>
      </c>
      <c r="AN724" s="11" t="e">
        <f>VLOOKUP(L724,[1]Sheet19!E:L,8,FALSE)</f>
        <v>#N/A</v>
      </c>
      <c r="AO724" s="11" t="e">
        <f>VLOOKUP(L724,[1]Sheet19!E:K,7,FALSE)</f>
        <v>#N/A</v>
      </c>
      <c r="AP724" s="12"/>
    </row>
    <row r="725" spans="1:42" ht="15" x14ac:dyDescent="0.2">
      <c r="A725" s="8" t="s">
        <v>42</v>
      </c>
      <c r="B725" s="9" t="s">
        <v>43</v>
      </c>
      <c r="C725" s="9">
        <v>321</v>
      </c>
      <c r="D725" s="9" t="s">
        <v>1631</v>
      </c>
      <c r="E725" s="9">
        <v>108</v>
      </c>
      <c r="F725" s="9" t="s">
        <v>1779</v>
      </c>
      <c r="G725" s="9" t="s">
        <v>1724</v>
      </c>
      <c r="H725" s="9" t="s">
        <v>47</v>
      </c>
      <c r="I725" s="9" t="s">
        <v>1783</v>
      </c>
      <c r="J725" s="9" t="s">
        <v>1784</v>
      </c>
      <c r="K725" s="9" t="s">
        <v>1785</v>
      </c>
      <c r="L725" s="10" t="s">
        <v>1785</v>
      </c>
      <c r="M725" s="9" t="s">
        <v>51</v>
      </c>
      <c r="N725" s="14">
        <v>1000</v>
      </c>
      <c r="O725" s="9">
        <v>5</v>
      </c>
      <c r="P725" s="9">
        <v>505</v>
      </c>
      <c r="Q725" s="9">
        <v>510</v>
      </c>
      <c r="R725" s="9">
        <v>1</v>
      </c>
      <c r="S725" s="9">
        <v>3.6663890000000001</v>
      </c>
      <c r="T725" s="9">
        <v>98.904160000000005</v>
      </c>
      <c r="U725" s="9" t="s">
        <v>52</v>
      </c>
      <c r="V725" s="11" t="str">
        <f>VLOOKUP(L725,'[1]singkron data'!D:E,2,FALSE)</f>
        <v>PT Multi Gapura Pembangunan Semesta</v>
      </c>
      <c r="W725" s="11"/>
      <c r="X725" s="11"/>
      <c r="Y725" s="11">
        <f>VLOOKUP(L725,'[1]singkron data'!D:H,5,FALSE)</f>
        <v>0</v>
      </c>
      <c r="Z725" s="11" t="str">
        <f>VLOOKUP(L725,'[1]singkron data'!D:I,6,FALSE)</f>
        <v>Online</v>
      </c>
      <c r="AA725" s="11" t="str">
        <f>VLOOKUP(L725,'[1]singkron data'!D:L,9,FALSE)</f>
        <v>082297871501/habib</v>
      </c>
      <c r="AB725" s="11" t="s">
        <v>54</v>
      </c>
      <c r="AC725" s="11" t="str">
        <f>VLOOKUP(L725,'[1]singkron data'!D:M,10,FALSE)</f>
        <v>TK</v>
      </c>
      <c r="AD725" s="11" t="str">
        <f>VLOOKUP(L725,'[1]data 1129'!F:O,10,FALSE)</f>
        <v>Tahap III 166</v>
      </c>
      <c r="AE725" s="11">
        <f>VLOOKUP(L725,'[1]singkron data'!D:P,13,FALSE)</f>
        <v>0</v>
      </c>
      <c r="AF725" s="11" t="s">
        <v>55</v>
      </c>
      <c r="AG725" s="11" t="e">
        <f>VLOOKUP(L725,'[1]update kontrak'!E:K,6,FALSE)</f>
        <v>#N/A</v>
      </c>
      <c r="AH725" s="11" t="e">
        <f>VLOOKUP(L725,'[1]update kontrak'!E:K,7,FALSE)</f>
        <v>#N/A</v>
      </c>
      <c r="AI725" s="11"/>
      <c r="AJ725" s="11" t="str">
        <f>VLOOKUP(L725,[1]rekap!D:M,1,FALSE)</f>
        <v>Paluh Sibaji</v>
      </c>
      <c r="AK725" s="11" t="str">
        <f>VLOOKUP(L725,'[1]singkron data'!D:E,2,FALSE)</f>
        <v>PT Multi Gapura Pembangunan Semesta</v>
      </c>
      <c r="AL725" s="11" t="str">
        <f>VLOOKUP(L725,'[1]update 521'!D:D,1,FALSE)</f>
        <v>Paluh Sibaji</v>
      </c>
      <c r="AM725" s="11" t="s">
        <v>96</v>
      </c>
      <c r="AN725" s="11" t="e">
        <f>VLOOKUP(L725,[1]Sheet19!E:L,8,FALSE)</f>
        <v>#N/A</v>
      </c>
      <c r="AO725" s="11" t="e">
        <f>VLOOKUP(L725,[1]Sheet19!E:K,7,FALSE)</f>
        <v>#N/A</v>
      </c>
      <c r="AP725" s="12"/>
    </row>
    <row r="726" spans="1:42" ht="15" x14ac:dyDescent="0.2">
      <c r="A726" s="8" t="s">
        <v>42</v>
      </c>
      <c r="B726" s="9" t="s">
        <v>43</v>
      </c>
      <c r="C726" s="9">
        <v>322</v>
      </c>
      <c r="D726" s="9" t="s">
        <v>1631</v>
      </c>
      <c r="E726" s="9">
        <v>109</v>
      </c>
      <c r="F726" s="9" t="s">
        <v>1779</v>
      </c>
      <c r="G726" s="9" t="s">
        <v>1724</v>
      </c>
      <c r="H726" s="9" t="s">
        <v>47</v>
      </c>
      <c r="I726" s="9" t="s">
        <v>1786</v>
      </c>
      <c r="J726" s="9" t="s">
        <v>1787</v>
      </c>
      <c r="K726" s="9" t="s">
        <v>1788</v>
      </c>
      <c r="L726" s="10" t="s">
        <v>1788</v>
      </c>
      <c r="M726" s="9" t="s">
        <v>51</v>
      </c>
      <c r="N726" s="9">
        <v>394</v>
      </c>
      <c r="O726" s="9">
        <v>2</v>
      </c>
      <c r="P726" s="9">
        <v>329</v>
      </c>
      <c r="Q726" s="9">
        <v>331</v>
      </c>
      <c r="R726" s="30"/>
      <c r="S726" s="9">
        <v>3.7557999999999998</v>
      </c>
      <c r="T726" s="9">
        <v>98.701800000000006</v>
      </c>
      <c r="U726" s="9" t="s">
        <v>52</v>
      </c>
      <c r="V726" s="11" t="str">
        <f>VLOOKUP(L726,'[1]singkron data'!D:E,2,FALSE)</f>
        <v>PT Multi Gapura Pembangunan Semesta</v>
      </c>
      <c r="W726" s="11"/>
      <c r="X726" s="11"/>
      <c r="Y726" s="11">
        <f>VLOOKUP(L726,'[1]singkron data'!D:H,5,FALSE)</f>
        <v>0</v>
      </c>
      <c r="Z726" s="11" t="str">
        <f>VLOOKUP(L726,'[1]singkron data'!D:I,6,FALSE)</f>
        <v>Online</v>
      </c>
      <c r="AA726" s="11" t="str">
        <f>VLOOKUP(L726,'[1]singkron data'!D:L,9,FALSE)</f>
        <v>082297871501/habib</v>
      </c>
      <c r="AB726" s="11" t="s">
        <v>54</v>
      </c>
      <c r="AC726" s="11" t="str">
        <f>VLOOKUP(L726,'[1]singkron data'!D:M,10,FALSE)</f>
        <v>TK</v>
      </c>
      <c r="AD726" s="11" t="str">
        <f>VLOOKUP(L726,'[1]data 1129'!F:O,10,FALSE)</f>
        <v>Tahap III 166</v>
      </c>
      <c r="AE726" s="11">
        <f>VLOOKUP(L726,'[1]singkron data'!D:P,13,FALSE)</f>
        <v>0</v>
      </c>
      <c r="AF726" s="11" t="s">
        <v>55</v>
      </c>
      <c r="AG726" s="11" t="e">
        <f>VLOOKUP(L726,'[1]update kontrak'!E:K,6,FALSE)</f>
        <v>#N/A</v>
      </c>
      <c r="AH726" s="11" t="e">
        <f>VLOOKUP(L726,'[1]update kontrak'!E:K,7,FALSE)</f>
        <v>#N/A</v>
      </c>
      <c r="AI726" s="11"/>
      <c r="AJ726" s="11" t="str">
        <f>VLOOKUP(L726,[1]rekap!D:M,1,FALSE)</f>
        <v>Nelayan Indah</v>
      </c>
      <c r="AK726" s="11" t="str">
        <f>VLOOKUP(L726,'[1]singkron data'!D:E,2,FALSE)</f>
        <v>PT Multi Gapura Pembangunan Semesta</v>
      </c>
      <c r="AL726" s="11" t="str">
        <f>VLOOKUP(L726,'[1]update 521'!D:D,1,FALSE)</f>
        <v>Nelayan Indah</v>
      </c>
      <c r="AM726" s="11" t="s">
        <v>96</v>
      </c>
      <c r="AN726" s="11" t="e">
        <f>VLOOKUP(L726,[1]Sheet19!E:L,8,FALSE)</f>
        <v>#N/A</v>
      </c>
      <c r="AO726" s="11" t="e">
        <f>VLOOKUP(L726,[1]Sheet19!E:K,7,FALSE)</f>
        <v>#N/A</v>
      </c>
      <c r="AP726" s="12"/>
    </row>
    <row r="727" spans="1:42" ht="15" x14ac:dyDescent="0.2">
      <c r="A727" s="8" t="s">
        <v>42</v>
      </c>
      <c r="B727" s="9" t="s">
        <v>43</v>
      </c>
      <c r="C727" s="9">
        <v>323</v>
      </c>
      <c r="D727" s="9" t="s">
        <v>1631</v>
      </c>
      <c r="E727" s="9">
        <v>110</v>
      </c>
      <c r="F727" s="9" t="s">
        <v>1789</v>
      </c>
      <c r="G727" s="9" t="s">
        <v>1724</v>
      </c>
      <c r="H727" s="9" t="s">
        <v>47</v>
      </c>
      <c r="I727" s="9" t="s">
        <v>1790</v>
      </c>
      <c r="J727" s="9" t="s">
        <v>1791</v>
      </c>
      <c r="K727" s="9" t="s">
        <v>1792</v>
      </c>
      <c r="L727" s="10" t="s">
        <v>1792</v>
      </c>
      <c r="M727" s="9" t="s">
        <v>51</v>
      </c>
      <c r="N727" s="9">
        <v>95</v>
      </c>
      <c r="O727" s="9" t="s">
        <v>72</v>
      </c>
      <c r="P727" s="9">
        <v>53</v>
      </c>
      <c r="Q727" s="9">
        <v>53</v>
      </c>
      <c r="R727" s="9">
        <v>0.89</v>
      </c>
      <c r="S727" s="9">
        <v>-3.4859999999999999E-3</v>
      </c>
      <c r="T727" s="9">
        <v>98.390578000000005</v>
      </c>
      <c r="U727" s="9" t="s">
        <v>52</v>
      </c>
      <c r="V727" s="11" t="str">
        <f>VLOOKUP(L727,'[1]singkron data'!D:E,2,FALSE)</f>
        <v>PT. Bukit Zaitun (Menengah)</v>
      </c>
      <c r="W727" s="13">
        <f>VLOOKUP(L727,'[1]update tim 2'!D:F,3,FALSE)</f>
        <v>9990646000</v>
      </c>
      <c r="X727" s="11" t="s">
        <v>55</v>
      </c>
      <c r="Y727" s="11" t="str">
        <f>VLOOKUP(L727,'[1]singkron data'!D:H,5,FALSE)</f>
        <v>Jakarta</v>
      </c>
      <c r="Z727" s="11" t="str">
        <f>VLOOKUP(L727,'[1]singkron data'!D:I,6,FALSE)</f>
        <v>Online</v>
      </c>
      <c r="AA727" s="11" t="str">
        <f>VLOOKUP(L727,'[1]singkron data'!D:L,9,FALSE)</f>
        <v>082267333341/rizki ulfa</v>
      </c>
      <c r="AB727" s="11" t="s">
        <v>54</v>
      </c>
      <c r="AC727" s="11" t="str">
        <f>VLOOKUP(L727,'[1]singkron data'!D:M,10,FALSE)</f>
        <v>Dedd</v>
      </c>
      <c r="AD727" s="11" t="str">
        <f>VLOOKUP(L727,'[1]data 1129'!F:O,10,FALSE)</f>
        <v>Tahap III 166</v>
      </c>
      <c r="AE727" s="11">
        <f>VLOOKUP(L727,'[1]singkron data'!D:P,13,FALSE)</f>
        <v>0</v>
      </c>
      <c r="AF727" s="11" t="s">
        <v>55</v>
      </c>
      <c r="AG727" s="11" t="e">
        <f>VLOOKUP(L727,'[1]update kontrak'!E:K,6,FALSE)</f>
        <v>#N/A</v>
      </c>
      <c r="AH727" s="11" t="e">
        <f>VLOOKUP(L727,'[1]update kontrak'!E:K,7,FALSE)</f>
        <v>#N/A</v>
      </c>
      <c r="AI727" s="11"/>
      <c r="AJ727" s="11" t="str">
        <f>VLOOKUP(L727,[1]rekap!D:M,1,FALSE)</f>
        <v>Bale-Bale Sibohou</v>
      </c>
      <c r="AK727" s="11" t="str">
        <f>VLOOKUP(L727,'[1]singkron data'!D:E,2,FALSE)</f>
        <v>PT. Bukit Zaitun (Menengah)</v>
      </c>
      <c r="AL727" s="11" t="str">
        <f>VLOOKUP(L727,'[1]update 521'!D:D,1,FALSE)</f>
        <v>Bale-Bale Sibohou</v>
      </c>
      <c r="AM727" s="11" t="s">
        <v>57</v>
      </c>
      <c r="AN727" s="11" t="e">
        <f>VLOOKUP(L727,[1]Sheet19!E:L,8,FALSE)</f>
        <v>#N/A</v>
      </c>
      <c r="AO727" s="11" t="s">
        <v>58</v>
      </c>
      <c r="AP727" s="12"/>
    </row>
    <row r="728" spans="1:42" ht="15" x14ac:dyDescent="0.2">
      <c r="A728" s="8" t="s">
        <v>42</v>
      </c>
      <c r="B728" s="9" t="s">
        <v>43</v>
      </c>
      <c r="C728" s="9">
        <v>324</v>
      </c>
      <c r="D728" s="9" t="s">
        <v>1631</v>
      </c>
      <c r="E728" s="9">
        <v>111</v>
      </c>
      <c r="F728" s="9" t="s">
        <v>1789</v>
      </c>
      <c r="G728" s="9" t="s">
        <v>1724</v>
      </c>
      <c r="H728" s="9" t="s">
        <v>47</v>
      </c>
      <c r="I728" s="9" t="s">
        <v>1790</v>
      </c>
      <c r="J728" s="9" t="s">
        <v>1793</v>
      </c>
      <c r="K728" s="9" t="s">
        <v>1794</v>
      </c>
      <c r="L728" s="10" t="s">
        <v>1794</v>
      </c>
      <c r="M728" s="9" t="s">
        <v>51</v>
      </c>
      <c r="N728" s="9">
        <v>70</v>
      </c>
      <c r="O728" s="9">
        <v>5</v>
      </c>
      <c r="P728" s="9">
        <v>62</v>
      </c>
      <c r="Q728" s="9">
        <v>67</v>
      </c>
      <c r="R728" s="9">
        <v>0.05</v>
      </c>
      <c r="S728" s="9">
        <v>9.0923000000000004E-2</v>
      </c>
      <c r="T728" s="9">
        <v>98.846323999999996</v>
      </c>
      <c r="U728" s="9" t="s">
        <v>52</v>
      </c>
      <c r="V728" s="11" t="str">
        <f>VLOOKUP(L728,'[1]singkron data'!D:E,2,FALSE)</f>
        <v>PT. Bukit Zaitun (Menengah)</v>
      </c>
      <c r="W728" s="13">
        <f>VLOOKUP(L728,'[1]update tim 2'!D:F,3,FALSE)</f>
        <v>5155048000</v>
      </c>
      <c r="X728" s="11" t="s">
        <v>55</v>
      </c>
      <c r="Y728" s="11" t="str">
        <f>VLOOKUP(L728,'[1]singkron data'!D:H,5,FALSE)</f>
        <v>Jakarta</v>
      </c>
      <c r="Z728" s="11" t="str">
        <f>VLOOKUP(L728,'[1]singkron data'!D:I,6,FALSE)</f>
        <v>Online</v>
      </c>
      <c r="AA728" s="11" t="str">
        <f>VLOOKUP(L728,'[1]singkron data'!D:L,9,FALSE)</f>
        <v>082267333341/rizki ulfa</v>
      </c>
      <c r="AB728" s="11" t="s">
        <v>54</v>
      </c>
      <c r="AC728" s="11" t="str">
        <f>VLOOKUP(L728,'[1]singkron data'!D:M,10,FALSE)</f>
        <v>Dedd</v>
      </c>
      <c r="AD728" s="11" t="str">
        <f>VLOOKUP(L728,'[1]data 1129'!F:O,10,FALSE)</f>
        <v>Tahap IV 200</v>
      </c>
      <c r="AE728" s="11">
        <f>VLOOKUP(L728,'[1]singkron data'!D:P,13,FALSE)</f>
        <v>0</v>
      </c>
      <c r="AF728" s="11" t="s">
        <v>55</v>
      </c>
      <c r="AG728" s="11" t="e">
        <f>VLOOKUP(L728,'[1]update kontrak'!E:K,6,FALSE)</f>
        <v>#N/A</v>
      </c>
      <c r="AH728" s="11" t="e">
        <f>VLOOKUP(L728,'[1]update kontrak'!E:K,7,FALSE)</f>
        <v>#N/A</v>
      </c>
      <c r="AI728" s="11"/>
      <c r="AJ728" s="11" t="str">
        <f>VLOOKUP(L728,[1]rekap!D:M,1,FALSE)</f>
        <v>Labuhan Bazau</v>
      </c>
      <c r="AK728" s="11" t="str">
        <f>VLOOKUP(L728,'[1]singkron data'!D:E,2,FALSE)</f>
        <v>PT. Bukit Zaitun (Menengah)</v>
      </c>
      <c r="AL728" s="11" t="str">
        <f>VLOOKUP(L728,'[1]update 521'!D:D,1,FALSE)</f>
        <v>Labuhan Bazau</v>
      </c>
      <c r="AM728" s="11" t="s">
        <v>57</v>
      </c>
      <c r="AN728" s="11" t="e">
        <f>VLOOKUP(L728,[1]Sheet19!E:L,8,FALSE)</f>
        <v>#N/A</v>
      </c>
      <c r="AO728" s="11" t="s">
        <v>58</v>
      </c>
      <c r="AP728" s="12"/>
    </row>
    <row r="729" spans="1:42" ht="15" x14ac:dyDescent="0.2">
      <c r="A729" s="8" t="s">
        <v>42</v>
      </c>
      <c r="B729" s="9" t="s">
        <v>43</v>
      </c>
      <c r="C729" s="9">
        <v>325</v>
      </c>
      <c r="D729" s="9" t="s">
        <v>1631</v>
      </c>
      <c r="E729" s="9">
        <v>112</v>
      </c>
      <c r="F729" s="9" t="s">
        <v>1789</v>
      </c>
      <c r="G729" s="9" t="s">
        <v>1724</v>
      </c>
      <c r="H729" s="9" t="s">
        <v>47</v>
      </c>
      <c r="I729" s="9" t="s">
        <v>1790</v>
      </c>
      <c r="J729" s="9" t="s">
        <v>1791</v>
      </c>
      <c r="K729" s="9" t="s">
        <v>1795</v>
      </c>
      <c r="L729" s="10" t="s">
        <v>1795</v>
      </c>
      <c r="M729" s="9" t="s">
        <v>51</v>
      </c>
      <c r="N729" s="9">
        <v>90</v>
      </c>
      <c r="O729" s="9">
        <v>10</v>
      </c>
      <c r="P729" s="9">
        <v>25</v>
      </c>
      <c r="Q729" s="9">
        <v>35</v>
      </c>
      <c r="R729" s="9">
        <v>0.36</v>
      </c>
      <c r="S729" s="9">
        <v>-7.6789999999999996E-4</v>
      </c>
      <c r="T729" s="9">
        <v>98.228884899999997</v>
      </c>
      <c r="U729" s="9" t="s">
        <v>52</v>
      </c>
      <c r="V729" s="11" t="str">
        <f>VLOOKUP(L729,'[1]singkron data'!D:E,2,FALSE)</f>
        <v>PT. Bukit Zaitun (Menengah)</v>
      </c>
      <c r="W729" s="11"/>
      <c r="X729" s="11"/>
      <c r="Y729" s="11" t="str">
        <f>VLOOKUP(L729,'[1]singkron data'!D:H,5,FALSE)</f>
        <v>Jakarta</v>
      </c>
      <c r="Z729" s="11" t="str">
        <f>VLOOKUP(L729,'[1]singkron data'!D:I,6,FALSE)</f>
        <v>Online</v>
      </c>
      <c r="AA729" s="11" t="str">
        <f>VLOOKUP(L729,'[1]singkron data'!D:L,9,FALSE)</f>
        <v>082267333341/rizki ulfa</v>
      </c>
      <c r="AB729" s="11" t="s">
        <v>54</v>
      </c>
      <c r="AC729" s="11" t="str">
        <f>VLOOKUP(L729,'[1]singkron data'!D:M,10,FALSE)</f>
        <v>Dedd</v>
      </c>
      <c r="AD729" s="11" t="str">
        <f>VLOOKUP(L729,'[1]data 1129'!F:O,10,FALSE)</f>
        <v>Tahap III 166</v>
      </c>
      <c r="AE729" s="11">
        <f>VLOOKUP(L729,'[1]singkron data'!D:P,13,FALSE)</f>
        <v>0</v>
      </c>
      <c r="AF729" s="11" t="s">
        <v>55</v>
      </c>
      <c r="AG729" s="11" t="e">
        <f>VLOOKUP(L729,'[1]update kontrak'!E:K,6,FALSE)</f>
        <v>#N/A</v>
      </c>
      <c r="AH729" s="11" t="e">
        <f>VLOOKUP(L729,'[1]update kontrak'!E:K,7,FALSE)</f>
        <v>#N/A</v>
      </c>
      <c r="AI729" s="11"/>
      <c r="AJ729" s="11" t="str">
        <f>VLOOKUP(L729,[1]rekap!D:M,1,FALSE)</f>
        <v>Majino Lorang</v>
      </c>
      <c r="AK729" s="11" t="str">
        <f>VLOOKUP(L729,'[1]singkron data'!D:E,2,FALSE)</f>
        <v>PT. Bukit Zaitun (Menengah)</v>
      </c>
      <c r="AL729" s="11" t="str">
        <f>VLOOKUP(L729,'[1]update 521'!D:D,1,FALSE)</f>
        <v>Majino Lorang</v>
      </c>
      <c r="AM729" s="11" t="s">
        <v>96</v>
      </c>
      <c r="AN729" s="11" t="e">
        <f>VLOOKUP(L729,[1]Sheet19!E:L,8,FALSE)</f>
        <v>#N/A</v>
      </c>
      <c r="AO729" s="11" t="e">
        <f>VLOOKUP(L729,[1]Sheet19!E:K,7,FALSE)</f>
        <v>#N/A</v>
      </c>
      <c r="AP729" s="12"/>
    </row>
    <row r="730" spans="1:42" ht="15" x14ac:dyDescent="0.2">
      <c r="A730" s="8" t="s">
        <v>42</v>
      </c>
      <c r="B730" s="9" t="s">
        <v>43</v>
      </c>
      <c r="C730" s="9">
        <v>326</v>
      </c>
      <c r="D730" s="9" t="s">
        <v>1631</v>
      </c>
      <c r="E730" s="9">
        <v>113</v>
      </c>
      <c r="F730" s="9" t="s">
        <v>1796</v>
      </c>
      <c r="G730" s="9" t="s">
        <v>1656</v>
      </c>
      <c r="H730" s="9" t="s">
        <v>47</v>
      </c>
      <c r="I730" s="9" t="s">
        <v>1765</v>
      </c>
      <c r="J730" s="9" t="s">
        <v>1797</v>
      </c>
      <c r="K730" s="9" t="s">
        <v>1798</v>
      </c>
      <c r="L730" s="9" t="s">
        <v>1798</v>
      </c>
      <c r="M730" s="9" t="s">
        <v>51</v>
      </c>
      <c r="N730" s="9">
        <v>190</v>
      </c>
      <c r="O730" s="9">
        <v>3</v>
      </c>
      <c r="P730" s="9">
        <v>78</v>
      </c>
      <c r="Q730" s="9">
        <v>81</v>
      </c>
      <c r="R730" s="9">
        <v>1.3</v>
      </c>
      <c r="S730" s="9">
        <v>5.2193769999999997</v>
      </c>
      <c r="T730" s="9">
        <v>97.423060000000007</v>
      </c>
      <c r="U730" s="9"/>
      <c r="V730" s="11" t="e">
        <f>VLOOKUP(L730,'[1]singkron data'!D:E,2,FALSE)</f>
        <v>#N/A</v>
      </c>
      <c r="W730" s="11"/>
      <c r="X730" s="11"/>
      <c r="Y730" s="11" t="e">
        <f>VLOOKUP(L730,'[1]singkron data'!D:H,5,FALSE)</f>
        <v>#N/A</v>
      </c>
      <c r="Z730" s="11" t="e">
        <f>VLOOKUP(L730,'[1]singkron data'!D:I,6,FALSE)</f>
        <v>#N/A</v>
      </c>
      <c r="AA730" s="11" t="e">
        <f>VLOOKUP(L730,'[1]singkron data'!D:L,9,FALSE)</f>
        <v>#N/A</v>
      </c>
      <c r="AB730" s="11" t="s">
        <v>694</v>
      </c>
      <c r="AC730" s="11" t="e">
        <f>VLOOKUP(L730,'[1]singkron data'!D:M,10,FALSE)</f>
        <v>#N/A</v>
      </c>
      <c r="AD730" s="11" t="s">
        <v>364</v>
      </c>
      <c r="AE730" s="11" t="e">
        <f>VLOOKUP(L730,'[1]singkron data'!D:P,13,FALSE)</f>
        <v>#N/A</v>
      </c>
      <c r="AF730" s="11" t="s">
        <v>55</v>
      </c>
      <c r="AG730" s="11" t="e">
        <f>VLOOKUP(L730,'[1]update kontrak'!E:K,6,FALSE)</f>
        <v>#N/A</v>
      </c>
      <c r="AH730" s="11" t="e">
        <f>VLOOKUP(L730,'[1]update kontrak'!E:K,7,FALSE)</f>
        <v>#N/A</v>
      </c>
      <c r="AI730" s="11"/>
      <c r="AJ730" s="11" t="str">
        <f>VLOOKUP(L730,[1]rekap!D:M,1,FALSE)</f>
        <v>Ulee Rubek Timu</v>
      </c>
      <c r="AK730" s="11" t="e">
        <f>VLOOKUP(L730,'[1]singkron data'!D:E,2,FALSE)</f>
        <v>#N/A</v>
      </c>
      <c r="AL730" s="11" t="str">
        <f>VLOOKUP(L730,'[1]update 521'!D:D,1,FALSE)</f>
        <v>Ulee Rubek Timu</v>
      </c>
      <c r="AM730" s="11" t="s">
        <v>96</v>
      </c>
      <c r="AN730" s="11" t="e">
        <f>VLOOKUP(L730,[1]Sheet19!E:L,8,FALSE)</f>
        <v>#N/A</v>
      </c>
      <c r="AO730" s="11" t="e">
        <f>VLOOKUP(L730,[1]Sheet19!E:K,7,FALSE)</f>
        <v>#N/A</v>
      </c>
      <c r="AP730" s="12"/>
    </row>
    <row r="731" spans="1:42" ht="15" x14ac:dyDescent="0.2">
      <c r="A731" s="8" t="s">
        <v>42</v>
      </c>
      <c r="B731" s="9" t="s">
        <v>43</v>
      </c>
      <c r="C731" s="9">
        <v>327</v>
      </c>
      <c r="D731" s="9" t="s">
        <v>1631</v>
      </c>
      <c r="E731" s="9">
        <v>114</v>
      </c>
      <c r="F731" s="9" t="s">
        <v>1796</v>
      </c>
      <c r="G731" s="9" t="s">
        <v>1656</v>
      </c>
      <c r="H731" s="9" t="s">
        <v>47</v>
      </c>
      <c r="I731" s="9" t="s">
        <v>1765</v>
      </c>
      <c r="J731" s="9" t="s">
        <v>1797</v>
      </c>
      <c r="K731" s="9" t="s">
        <v>1799</v>
      </c>
      <c r="L731" s="9" t="s">
        <v>1799</v>
      </c>
      <c r="M731" s="9" t="s">
        <v>51</v>
      </c>
      <c r="N731" s="9">
        <v>700</v>
      </c>
      <c r="O731" s="9">
        <v>4</v>
      </c>
      <c r="P731" s="9">
        <v>380</v>
      </c>
      <c r="Q731" s="9">
        <v>384</v>
      </c>
      <c r="R731" s="9">
        <v>1.9</v>
      </c>
      <c r="S731" s="9">
        <v>5.2164374999999996</v>
      </c>
      <c r="T731" s="9">
        <v>97.408165299999993</v>
      </c>
      <c r="U731" s="9"/>
      <c r="V731" s="11" t="e">
        <f>VLOOKUP(L731,'[1]singkron data'!D:E,2,FALSE)</f>
        <v>#N/A</v>
      </c>
      <c r="W731" s="11"/>
      <c r="X731" s="11"/>
      <c r="Y731" s="11" t="e">
        <f>VLOOKUP(L731,'[1]singkron data'!D:H,5,FALSE)</f>
        <v>#N/A</v>
      </c>
      <c r="Z731" s="11" t="e">
        <f>VLOOKUP(L731,'[1]singkron data'!D:I,6,FALSE)</f>
        <v>#N/A</v>
      </c>
      <c r="AA731" s="11" t="e">
        <f>VLOOKUP(L731,'[1]singkron data'!D:L,9,FALSE)</f>
        <v>#N/A</v>
      </c>
      <c r="AB731" s="11" t="s">
        <v>694</v>
      </c>
      <c r="AC731" s="11" t="e">
        <f>VLOOKUP(L731,'[1]singkron data'!D:M,10,FALSE)</f>
        <v>#N/A</v>
      </c>
      <c r="AD731" s="11" t="s">
        <v>364</v>
      </c>
      <c r="AE731" s="11" t="e">
        <f>VLOOKUP(L731,'[1]singkron data'!D:P,13,FALSE)</f>
        <v>#N/A</v>
      </c>
      <c r="AF731" s="11" t="s">
        <v>55</v>
      </c>
      <c r="AG731" s="11" t="e">
        <f>VLOOKUP(L731,'[1]update kontrak'!E:K,6,FALSE)</f>
        <v>#N/A</v>
      </c>
      <c r="AH731" s="11" t="e">
        <f>VLOOKUP(L731,'[1]update kontrak'!E:K,7,FALSE)</f>
        <v>#N/A</v>
      </c>
      <c r="AI731" s="11"/>
      <c r="AJ731" s="11" t="str">
        <f>VLOOKUP(L731,[1]rekap!D:M,1,FALSE)</f>
        <v>Ulee Rubek Barat</v>
      </c>
      <c r="AK731" s="11" t="e">
        <f>VLOOKUP(L731,'[1]singkron data'!D:E,2,FALSE)</f>
        <v>#N/A</v>
      </c>
      <c r="AL731" s="11" t="str">
        <f>VLOOKUP(L731,'[1]update 521'!D:D,1,FALSE)</f>
        <v>Ulee Rubek Barat</v>
      </c>
      <c r="AM731" s="11" t="s">
        <v>96</v>
      </c>
      <c r="AN731" s="11" t="e">
        <f>VLOOKUP(L731,[1]Sheet19!E:L,8,FALSE)</f>
        <v>#N/A</v>
      </c>
      <c r="AO731" s="11" t="e">
        <f>VLOOKUP(L731,[1]Sheet19!E:K,7,FALSE)</f>
        <v>#N/A</v>
      </c>
      <c r="AP731" s="12"/>
    </row>
    <row r="732" spans="1:42" ht="15" x14ac:dyDescent="0.2">
      <c r="A732" s="8" t="s">
        <v>42</v>
      </c>
      <c r="B732" s="9" t="s">
        <v>43</v>
      </c>
      <c r="C732" s="9">
        <v>328</v>
      </c>
      <c r="D732" s="9" t="s">
        <v>1631</v>
      </c>
      <c r="E732" s="9">
        <v>115</v>
      </c>
      <c r="F732" s="9" t="s">
        <v>1796</v>
      </c>
      <c r="G732" s="9" t="s">
        <v>1656</v>
      </c>
      <c r="H732" s="9" t="s">
        <v>47</v>
      </c>
      <c r="I732" s="9" t="s">
        <v>1765</v>
      </c>
      <c r="J732" s="9" t="s">
        <v>1797</v>
      </c>
      <c r="K732" s="9" t="s">
        <v>1800</v>
      </c>
      <c r="L732" s="9" t="s">
        <v>1800</v>
      </c>
      <c r="M732" s="9" t="s">
        <v>51</v>
      </c>
      <c r="N732" s="9">
        <v>43</v>
      </c>
      <c r="O732" s="9">
        <v>1</v>
      </c>
      <c r="P732" s="9">
        <v>58</v>
      </c>
      <c r="Q732" s="9">
        <v>59</v>
      </c>
      <c r="R732" s="9">
        <v>0.05</v>
      </c>
      <c r="S732" s="9">
        <v>5.1981229999999998</v>
      </c>
      <c r="T732" s="9">
        <v>97.364971999999995</v>
      </c>
      <c r="U732" s="9"/>
      <c r="V732" s="11" t="e">
        <f>VLOOKUP(L732,'[1]singkron data'!D:E,2,FALSE)</f>
        <v>#N/A</v>
      </c>
      <c r="W732" s="11"/>
      <c r="X732" s="11"/>
      <c r="Y732" s="11" t="e">
        <f>VLOOKUP(L732,'[1]singkron data'!D:H,5,FALSE)</f>
        <v>#N/A</v>
      </c>
      <c r="Z732" s="11" t="e">
        <f>VLOOKUP(L732,'[1]singkron data'!D:I,6,FALSE)</f>
        <v>#N/A</v>
      </c>
      <c r="AA732" s="11" t="e">
        <f>VLOOKUP(L732,'[1]singkron data'!D:L,9,FALSE)</f>
        <v>#N/A</v>
      </c>
      <c r="AB732" s="11" t="s">
        <v>694</v>
      </c>
      <c r="AC732" s="11" t="e">
        <f>VLOOKUP(L732,'[1]singkron data'!D:M,10,FALSE)</f>
        <v>#N/A</v>
      </c>
      <c r="AD732" s="11" t="s">
        <v>364</v>
      </c>
      <c r="AE732" s="11" t="e">
        <f>VLOOKUP(L732,'[1]singkron data'!D:P,13,FALSE)</f>
        <v>#N/A</v>
      </c>
      <c r="AF732" s="11" t="s">
        <v>55</v>
      </c>
      <c r="AG732" s="11" t="e">
        <f>VLOOKUP(L732,'[1]update kontrak'!E:K,6,FALSE)</f>
        <v>#N/A</v>
      </c>
      <c r="AH732" s="11" t="e">
        <f>VLOOKUP(L732,'[1]update kontrak'!E:K,7,FALSE)</f>
        <v>#N/A</v>
      </c>
      <c r="AI732" s="11"/>
      <c r="AJ732" s="11" t="str">
        <f>VLOOKUP(L732,[1]rekap!D:M,1,FALSE)</f>
        <v>Matang Puntong</v>
      </c>
      <c r="AK732" s="11" t="e">
        <f>VLOOKUP(L732,'[1]singkron data'!D:E,2,FALSE)</f>
        <v>#N/A</v>
      </c>
      <c r="AL732" s="11" t="str">
        <f>VLOOKUP(L732,'[1]update 521'!D:D,1,FALSE)</f>
        <v>Matang Puntong</v>
      </c>
      <c r="AM732" s="11" t="s">
        <v>96</v>
      </c>
      <c r="AN732" s="11" t="e">
        <f>VLOOKUP(L732,[1]Sheet19!E:L,8,FALSE)</f>
        <v>#N/A</v>
      </c>
      <c r="AO732" s="11" t="e">
        <f>VLOOKUP(L732,[1]Sheet19!E:K,7,FALSE)</f>
        <v>#N/A</v>
      </c>
      <c r="AP732" s="12"/>
    </row>
    <row r="733" spans="1:42" ht="15" x14ac:dyDescent="0.2">
      <c r="A733" s="8" t="s">
        <v>42</v>
      </c>
      <c r="B733" s="9" t="s">
        <v>43</v>
      </c>
      <c r="C733" s="9">
        <v>329</v>
      </c>
      <c r="D733" s="9" t="s">
        <v>1631</v>
      </c>
      <c r="E733" s="9">
        <v>116</v>
      </c>
      <c r="F733" s="9" t="s">
        <v>1796</v>
      </c>
      <c r="G733" s="9" t="s">
        <v>1656</v>
      </c>
      <c r="H733" s="9" t="s">
        <v>47</v>
      </c>
      <c r="I733" s="9" t="s">
        <v>1801</v>
      </c>
      <c r="J733" s="9" t="s">
        <v>1802</v>
      </c>
      <c r="K733" s="9" t="s">
        <v>567</v>
      </c>
      <c r="L733" s="9" t="s">
        <v>567</v>
      </c>
      <c r="M733" s="9" t="s">
        <v>51</v>
      </c>
      <c r="N733" s="9">
        <v>35</v>
      </c>
      <c r="O733" s="9">
        <v>12</v>
      </c>
      <c r="P733" s="9">
        <v>50</v>
      </c>
      <c r="Q733" s="9">
        <v>62</v>
      </c>
      <c r="R733" s="9">
        <v>1.8</v>
      </c>
      <c r="S733" s="9">
        <v>5.1467780000000003</v>
      </c>
      <c r="T733" s="9">
        <v>97.154813000000004</v>
      </c>
      <c r="U733" s="9" t="s">
        <v>52</v>
      </c>
      <c r="V733" s="11" t="str">
        <f>VLOOKUP(L733,'[1]singkron data'!D:E,2,FALSE)</f>
        <v>PT. Profitindo Primatama Jaya Abadi (Menengah)</v>
      </c>
      <c r="W733" s="13">
        <f>VLOOKUP(L733,'[1]update tim 2'!D:F,3,FALSE)</f>
        <v>5289846000</v>
      </c>
      <c r="X733" s="11" t="s">
        <v>55</v>
      </c>
      <c r="Y733" s="11">
        <f>VLOOKUP(L733,'[1]singkron data'!D:H,5,FALSE)</f>
        <v>0</v>
      </c>
      <c r="Z733" s="11">
        <f>VLOOKUP(L733,'[1]singkron data'!D:I,6,FALSE)</f>
        <v>0</v>
      </c>
      <c r="AA733" s="11" t="str">
        <f>VLOOKUP(L733,'[1]singkron data'!D:L,9,FALSE)</f>
        <v>082199363484/ ricard</v>
      </c>
      <c r="AB733" s="11" t="s">
        <v>694</v>
      </c>
      <c r="AC733" s="11" t="s">
        <v>1803</v>
      </c>
      <c r="AD733" s="11" t="str">
        <f>VLOOKUP(L733,'[1]data 1129'!F:O,10,FALSE)</f>
        <v>Tahap II 146</v>
      </c>
      <c r="AE733" s="11">
        <f>VLOOKUP(L733,'[1]singkron data'!D:P,13,FALSE)</f>
        <v>0</v>
      </c>
      <c r="AF733" s="11" t="s">
        <v>55</v>
      </c>
      <c r="AG733" s="11" t="e">
        <f>VLOOKUP(L733,'[1]update kontrak'!E:K,6,FALSE)</f>
        <v>#N/A</v>
      </c>
      <c r="AH733" s="11" t="e">
        <f>VLOOKUP(L733,'[1]update kontrak'!E:K,7,FALSE)</f>
        <v>#N/A</v>
      </c>
      <c r="AI733" s="11"/>
      <c r="AJ733" s="11" t="str">
        <f>VLOOKUP(L733,[1]rekap!D:M,1,FALSE)</f>
        <v>Kuala</v>
      </c>
      <c r="AK733" s="11" t="str">
        <f>VLOOKUP(L733,'[1]singkron data'!D:E,2,FALSE)</f>
        <v>PT. Profitindo Primatama Jaya Abadi (Menengah)</v>
      </c>
      <c r="AL733" s="11" t="str">
        <f>VLOOKUP(L733,'[1]update 521'!D:D,1,FALSE)</f>
        <v>Kuala</v>
      </c>
      <c r="AM733" s="11" t="s">
        <v>57</v>
      </c>
      <c r="AN733" s="11" t="e">
        <f>VLOOKUP(L733,[1]Sheet19!E:L,8,FALSE)</f>
        <v>#N/A</v>
      </c>
      <c r="AO733" s="11" t="s">
        <v>58</v>
      </c>
      <c r="AP733" s="12"/>
    </row>
    <row r="734" spans="1:42" ht="15" x14ac:dyDescent="0.2">
      <c r="A734" s="8" t="s">
        <v>42</v>
      </c>
      <c r="B734" s="9" t="s">
        <v>43</v>
      </c>
      <c r="C734" s="9">
        <v>330</v>
      </c>
      <c r="D734" s="9" t="s">
        <v>1631</v>
      </c>
      <c r="E734" s="9">
        <v>117</v>
      </c>
      <c r="F734" s="9" t="s">
        <v>1796</v>
      </c>
      <c r="G734" s="9" t="s">
        <v>1656</v>
      </c>
      <c r="H734" s="9" t="s">
        <v>47</v>
      </c>
      <c r="I734" s="9" t="s">
        <v>1765</v>
      </c>
      <c r="J734" s="9" t="s">
        <v>1804</v>
      </c>
      <c r="K734" s="9" t="s">
        <v>1805</v>
      </c>
      <c r="L734" s="9" t="s">
        <v>1805</v>
      </c>
      <c r="M734" s="9" t="s">
        <v>51</v>
      </c>
      <c r="N734" s="9">
        <v>650</v>
      </c>
      <c r="O734" s="9">
        <v>10</v>
      </c>
      <c r="P734" s="9">
        <v>110</v>
      </c>
      <c r="Q734" s="9">
        <v>120</v>
      </c>
      <c r="R734" s="9">
        <v>2.9</v>
      </c>
      <c r="S734" s="9">
        <v>5.1794599999999997</v>
      </c>
      <c r="T734" s="9">
        <v>97.302372000000005</v>
      </c>
      <c r="U734" s="9"/>
      <c r="V734" s="11" t="e">
        <f>VLOOKUP(L734,'[1]singkron data'!D:E,2,FALSE)</f>
        <v>#N/A</v>
      </c>
      <c r="W734" s="11"/>
      <c r="X734" s="11"/>
      <c r="Y734" s="11" t="e">
        <f>VLOOKUP(L734,'[1]singkron data'!D:H,5,FALSE)</f>
        <v>#N/A</v>
      </c>
      <c r="Z734" s="11" t="e">
        <f>VLOOKUP(L734,'[1]singkron data'!D:I,6,FALSE)</f>
        <v>#N/A</v>
      </c>
      <c r="AA734" s="11" t="e">
        <f>VLOOKUP(L734,'[1]singkron data'!D:L,9,FALSE)</f>
        <v>#N/A</v>
      </c>
      <c r="AB734" s="11" t="s">
        <v>694</v>
      </c>
      <c r="AC734" s="11" t="e">
        <f>VLOOKUP(L734,'[1]singkron data'!D:M,10,FALSE)</f>
        <v>#N/A</v>
      </c>
      <c r="AD734" s="11" t="s">
        <v>364</v>
      </c>
      <c r="AE734" s="11" t="e">
        <f>VLOOKUP(L734,'[1]singkron data'!D:P,13,FALSE)</f>
        <v>#N/A</v>
      </c>
      <c r="AF734" s="11" t="s">
        <v>55</v>
      </c>
      <c r="AG734" s="11" t="e">
        <f>VLOOKUP(L734,'[1]update kontrak'!E:K,6,FALSE)</f>
        <v>#N/A</v>
      </c>
      <c r="AH734" s="11" t="e">
        <f>VLOOKUP(L734,'[1]update kontrak'!E:K,7,FALSE)</f>
        <v>#N/A</v>
      </c>
      <c r="AI734" s="11"/>
      <c r="AJ734" s="11" t="str">
        <f>VLOOKUP(L734,[1]rekap!D:M,1,FALSE)</f>
        <v>Kuala Cangkoy</v>
      </c>
      <c r="AK734" s="11" t="e">
        <f>VLOOKUP(L734,'[1]singkron data'!D:E,2,FALSE)</f>
        <v>#N/A</v>
      </c>
      <c r="AL734" s="11" t="str">
        <f>VLOOKUP(L734,'[1]update 521'!D:D,1,FALSE)</f>
        <v>Kuala Cangkoy</v>
      </c>
      <c r="AM734" s="11" t="s">
        <v>96</v>
      </c>
      <c r="AN734" s="11" t="e">
        <f>VLOOKUP(L734,[1]Sheet19!E:L,8,FALSE)</f>
        <v>#N/A</v>
      </c>
      <c r="AO734" s="11" t="e">
        <f>VLOOKUP(L734,[1]Sheet19!E:K,7,FALSE)</f>
        <v>#N/A</v>
      </c>
      <c r="AP734" s="12"/>
    </row>
    <row r="735" spans="1:42" ht="15" x14ac:dyDescent="0.2">
      <c r="A735" s="8" t="s">
        <v>42</v>
      </c>
      <c r="B735" s="9" t="s">
        <v>43</v>
      </c>
      <c r="C735" s="9">
        <v>331</v>
      </c>
      <c r="D735" s="9" t="s">
        <v>1631</v>
      </c>
      <c r="E735" s="9">
        <v>118</v>
      </c>
      <c r="F735" s="9" t="s">
        <v>1796</v>
      </c>
      <c r="G735" s="9" t="s">
        <v>1656</v>
      </c>
      <c r="H735" s="9" t="s">
        <v>47</v>
      </c>
      <c r="I735" s="9" t="s">
        <v>1801</v>
      </c>
      <c r="J735" s="9" t="s">
        <v>1806</v>
      </c>
      <c r="K735" s="9" t="s">
        <v>1807</v>
      </c>
      <c r="L735" s="9" t="s">
        <v>1807</v>
      </c>
      <c r="M735" s="9" t="s">
        <v>51</v>
      </c>
      <c r="N735" s="14">
        <v>2000</v>
      </c>
      <c r="O735" s="9">
        <v>20</v>
      </c>
      <c r="P735" s="9">
        <v>230</v>
      </c>
      <c r="Q735" s="9">
        <v>250</v>
      </c>
      <c r="R735" s="9">
        <v>0.93</v>
      </c>
      <c r="S735" s="9">
        <v>5.2044699999999997</v>
      </c>
      <c r="T735" s="9">
        <v>97.114296999999993</v>
      </c>
      <c r="U735" s="9"/>
      <c r="V735" s="11" t="e">
        <f>VLOOKUP(L735,'[1]singkron data'!D:E,2,FALSE)</f>
        <v>#N/A</v>
      </c>
      <c r="W735" s="11"/>
      <c r="X735" s="11"/>
      <c r="Y735" s="11" t="e">
        <f>VLOOKUP(L735,'[1]singkron data'!D:H,5,FALSE)</f>
        <v>#N/A</v>
      </c>
      <c r="Z735" s="11" t="e">
        <f>VLOOKUP(L735,'[1]singkron data'!D:I,6,FALSE)</f>
        <v>#N/A</v>
      </c>
      <c r="AA735" s="11" t="e">
        <f>VLOOKUP(L735,'[1]singkron data'!D:L,9,FALSE)</f>
        <v>#N/A</v>
      </c>
      <c r="AB735" s="11" t="s">
        <v>694</v>
      </c>
      <c r="AC735" s="11" t="e">
        <f>VLOOKUP(L735,'[1]singkron data'!D:M,10,FALSE)</f>
        <v>#N/A</v>
      </c>
      <c r="AD735" s="11" t="s">
        <v>364</v>
      </c>
      <c r="AE735" s="11" t="e">
        <f>VLOOKUP(L735,'[1]singkron data'!D:P,13,FALSE)</f>
        <v>#N/A</v>
      </c>
      <c r="AF735" s="11" t="s">
        <v>55</v>
      </c>
      <c r="AG735" s="11" t="e">
        <f>VLOOKUP(L735,'[1]update kontrak'!E:K,6,FALSE)</f>
        <v>#N/A</v>
      </c>
      <c r="AH735" s="11" t="e">
        <f>VLOOKUP(L735,'[1]update kontrak'!E:K,7,FALSE)</f>
        <v>#N/A</v>
      </c>
      <c r="AI735" s="11"/>
      <c r="AJ735" s="11" t="str">
        <f>VLOOKUP(L735,[1]rekap!D:M,1,FALSE)</f>
        <v>Ujong Blang</v>
      </c>
      <c r="AK735" s="11" t="e">
        <f>VLOOKUP(L735,'[1]singkron data'!D:E,2,FALSE)</f>
        <v>#N/A</v>
      </c>
      <c r="AL735" s="11" t="str">
        <f>VLOOKUP(L735,'[1]update 521'!D:D,1,FALSE)</f>
        <v>Ujong Blang</v>
      </c>
      <c r="AM735" s="11" t="s">
        <v>96</v>
      </c>
      <c r="AN735" s="11" t="e">
        <f>VLOOKUP(L735,[1]Sheet19!E:L,8,FALSE)</f>
        <v>#N/A</v>
      </c>
      <c r="AO735" s="11" t="e">
        <f>VLOOKUP(L735,[1]Sheet19!E:K,7,FALSE)</f>
        <v>#N/A</v>
      </c>
      <c r="AP735" s="12"/>
    </row>
    <row r="736" spans="1:42" ht="15" x14ac:dyDescent="0.2">
      <c r="A736" s="8" t="s">
        <v>42</v>
      </c>
      <c r="B736" s="9" t="s">
        <v>43</v>
      </c>
      <c r="C736" s="9">
        <v>332</v>
      </c>
      <c r="D736" s="9" t="s">
        <v>1631</v>
      </c>
      <c r="E736" s="9">
        <v>119</v>
      </c>
      <c r="F736" s="9" t="s">
        <v>1808</v>
      </c>
      <c r="G736" s="9" t="s">
        <v>1656</v>
      </c>
      <c r="H736" s="9" t="s">
        <v>47</v>
      </c>
      <c r="I736" s="9" t="s">
        <v>1809</v>
      </c>
      <c r="J736" s="9" t="s">
        <v>1810</v>
      </c>
      <c r="K736" s="9" t="s">
        <v>1808</v>
      </c>
      <c r="L736" s="9" t="s">
        <v>1808</v>
      </c>
      <c r="M736" s="9" t="s">
        <v>65</v>
      </c>
      <c r="N736" s="9">
        <v>250</v>
      </c>
      <c r="O736" s="9">
        <v>50</v>
      </c>
      <c r="P736" s="9">
        <v>100</v>
      </c>
      <c r="Q736" s="9">
        <v>150</v>
      </c>
      <c r="R736" s="9">
        <v>1</v>
      </c>
      <c r="S736" s="9">
        <v>2.8250649999999999</v>
      </c>
      <c r="T736" s="9">
        <v>95.767910999999998</v>
      </c>
      <c r="U736" s="9"/>
      <c r="V736" s="11" t="e">
        <f>VLOOKUP(L736,'[1]singkron data'!D:E,2,FALSE)</f>
        <v>#N/A</v>
      </c>
      <c r="W736" s="11"/>
      <c r="X736" s="11"/>
      <c r="Y736" s="11" t="e">
        <f>VLOOKUP(L736,'[1]singkron data'!D:H,5,FALSE)</f>
        <v>#N/A</v>
      </c>
      <c r="Z736" s="11" t="e">
        <f>VLOOKUP(L736,'[1]singkron data'!D:I,6,FALSE)</f>
        <v>#N/A</v>
      </c>
      <c r="AA736" s="11" t="e">
        <f>VLOOKUP(L736,'[1]singkron data'!D:L,9,FALSE)</f>
        <v>#N/A</v>
      </c>
      <c r="AB736" s="11" t="s">
        <v>694</v>
      </c>
      <c r="AC736" s="11" t="e">
        <f>VLOOKUP(L736,'[1]singkron data'!D:M,10,FALSE)</f>
        <v>#N/A</v>
      </c>
      <c r="AD736" s="11" t="s">
        <v>364</v>
      </c>
      <c r="AE736" s="11" t="e">
        <f>VLOOKUP(L736,'[1]singkron data'!D:P,13,FALSE)</f>
        <v>#N/A</v>
      </c>
      <c r="AF736" s="11" t="s">
        <v>55</v>
      </c>
      <c r="AG736" s="11" t="e">
        <f>VLOOKUP(L736,'[1]update kontrak'!E:K,6,FALSE)</f>
        <v>#N/A</v>
      </c>
      <c r="AH736" s="11" t="e">
        <f>VLOOKUP(L736,'[1]update kontrak'!E:K,7,FALSE)</f>
        <v>#N/A</v>
      </c>
      <c r="AI736" s="11"/>
      <c r="AJ736" s="11" t="str">
        <f>VLOOKUP(L736,[1]rekap!D:M,1,FALSE)</f>
        <v>Langi</v>
      </c>
      <c r="AK736" s="11" t="e">
        <f>VLOOKUP(L736,'[1]singkron data'!D:E,2,FALSE)</f>
        <v>#N/A</v>
      </c>
      <c r="AL736" s="11" t="str">
        <f>VLOOKUP(L736,'[1]update 521'!D:D,1,FALSE)</f>
        <v>Langi</v>
      </c>
      <c r="AM736" s="11" t="s">
        <v>96</v>
      </c>
      <c r="AN736" s="11" t="e">
        <f>VLOOKUP(L736,[1]Sheet19!E:L,8,FALSE)</f>
        <v>#N/A</v>
      </c>
      <c r="AO736" s="11" t="e">
        <f>VLOOKUP(L736,[1]Sheet19!E:K,7,FALSE)</f>
        <v>#N/A</v>
      </c>
      <c r="AP736" s="12"/>
    </row>
    <row r="737" spans="1:42" ht="15" x14ac:dyDescent="0.2">
      <c r="A737" s="8" t="s">
        <v>42</v>
      </c>
      <c r="B737" s="9" t="s">
        <v>43</v>
      </c>
      <c r="C737" s="9">
        <v>333</v>
      </c>
      <c r="D737" s="9" t="s">
        <v>1631</v>
      </c>
      <c r="E737" s="9">
        <v>120</v>
      </c>
      <c r="F737" s="9" t="s">
        <v>1808</v>
      </c>
      <c r="G737" s="9" t="s">
        <v>1656</v>
      </c>
      <c r="H737" s="9" t="s">
        <v>47</v>
      </c>
      <c r="I737" s="9" t="s">
        <v>1809</v>
      </c>
      <c r="J737" s="9" t="s">
        <v>1811</v>
      </c>
      <c r="K737" s="9" t="s">
        <v>1812</v>
      </c>
      <c r="L737" s="9" t="s">
        <v>1812</v>
      </c>
      <c r="M737" s="9" t="s">
        <v>51</v>
      </c>
      <c r="N737" s="9">
        <v>300</v>
      </c>
      <c r="O737" s="9">
        <v>33</v>
      </c>
      <c r="P737" s="9">
        <v>63</v>
      </c>
      <c r="Q737" s="9">
        <v>96</v>
      </c>
      <c r="R737" s="9">
        <v>0.92</v>
      </c>
      <c r="S737" s="9">
        <v>2.6141839999999998</v>
      </c>
      <c r="T737" s="9">
        <v>95.887354000000002</v>
      </c>
      <c r="U737" s="9"/>
      <c r="V737" s="11" t="e">
        <f>VLOOKUP(L737,'[1]singkron data'!D:E,2,FALSE)</f>
        <v>#N/A</v>
      </c>
      <c r="W737" s="11"/>
      <c r="X737" s="11"/>
      <c r="Y737" s="11" t="e">
        <f>VLOOKUP(L737,'[1]singkron data'!D:H,5,FALSE)</f>
        <v>#N/A</v>
      </c>
      <c r="Z737" s="11" t="e">
        <f>VLOOKUP(L737,'[1]singkron data'!D:I,6,FALSE)</f>
        <v>#N/A</v>
      </c>
      <c r="AA737" s="11" t="e">
        <f>VLOOKUP(L737,'[1]singkron data'!D:L,9,FALSE)</f>
        <v>#N/A</v>
      </c>
      <c r="AB737" s="11" t="s">
        <v>694</v>
      </c>
      <c r="AC737" s="11" t="e">
        <f>VLOOKUP(L737,'[1]singkron data'!D:M,10,FALSE)</f>
        <v>#N/A</v>
      </c>
      <c r="AD737" s="11" t="s">
        <v>364</v>
      </c>
      <c r="AE737" s="11" t="e">
        <f>VLOOKUP(L737,'[1]singkron data'!D:P,13,FALSE)</f>
        <v>#N/A</v>
      </c>
      <c r="AF737" s="11" t="s">
        <v>55</v>
      </c>
      <c r="AG737" s="11" t="e">
        <f>VLOOKUP(L737,'[1]update kontrak'!E:K,6,FALSE)</f>
        <v>#N/A</v>
      </c>
      <c r="AH737" s="11" t="e">
        <f>VLOOKUP(L737,'[1]update kontrak'!E:K,7,FALSE)</f>
        <v>#N/A</v>
      </c>
      <c r="AI737" s="11"/>
      <c r="AJ737" s="11" t="str">
        <f>VLOOKUP(L737,[1]rekap!D:M,1,FALSE)</f>
        <v>Nasreuhe</v>
      </c>
      <c r="AK737" s="11" t="e">
        <f>VLOOKUP(L737,'[1]singkron data'!D:E,2,FALSE)</f>
        <v>#N/A</v>
      </c>
      <c r="AL737" s="11" t="str">
        <f>VLOOKUP(L737,'[1]update 521'!D:D,1,FALSE)</f>
        <v>Nasreuhe</v>
      </c>
      <c r="AM737" s="11" t="s">
        <v>96</v>
      </c>
      <c r="AN737" s="11" t="e">
        <f>VLOOKUP(L737,[1]Sheet19!E:L,8,FALSE)</f>
        <v>#N/A</v>
      </c>
      <c r="AO737" s="11" t="e">
        <f>VLOOKUP(L737,[1]Sheet19!E:K,7,FALSE)</f>
        <v>#N/A</v>
      </c>
      <c r="AP737" s="12"/>
    </row>
    <row r="738" spans="1:42" ht="15" x14ac:dyDescent="0.2">
      <c r="A738" s="8" t="s">
        <v>42</v>
      </c>
      <c r="B738" s="9" t="s">
        <v>43</v>
      </c>
      <c r="C738" s="9">
        <v>334</v>
      </c>
      <c r="D738" s="9" t="s">
        <v>1631</v>
      </c>
      <c r="E738" s="9">
        <v>121</v>
      </c>
      <c r="F738" s="9" t="s">
        <v>1808</v>
      </c>
      <c r="G738" s="9" t="s">
        <v>1656</v>
      </c>
      <c r="H738" s="9" t="s">
        <v>47</v>
      </c>
      <c r="I738" s="9" t="s">
        <v>1809</v>
      </c>
      <c r="J738" s="9" t="s">
        <v>1813</v>
      </c>
      <c r="K738" s="9" t="s">
        <v>1814</v>
      </c>
      <c r="L738" s="9" t="s">
        <v>1814</v>
      </c>
      <c r="M738" s="9" t="s">
        <v>51</v>
      </c>
      <c r="N738" s="9">
        <v>300</v>
      </c>
      <c r="O738" s="9">
        <v>15</v>
      </c>
      <c r="P738" s="9">
        <v>50</v>
      </c>
      <c r="Q738" s="9">
        <v>65</v>
      </c>
      <c r="R738" s="9">
        <v>0.56000000000000005</v>
      </c>
      <c r="S738" s="9">
        <v>2.5787640000000001</v>
      </c>
      <c r="T738" s="9">
        <v>95.963603000000006</v>
      </c>
      <c r="U738" s="9"/>
      <c r="V738" s="11" t="e">
        <f>VLOOKUP(L738,'[1]singkron data'!D:E,2,FALSE)</f>
        <v>#N/A</v>
      </c>
      <c r="W738" s="11"/>
      <c r="X738" s="11"/>
      <c r="Y738" s="11" t="e">
        <f>VLOOKUP(L738,'[1]singkron data'!D:H,5,FALSE)</f>
        <v>#N/A</v>
      </c>
      <c r="Z738" s="11" t="e">
        <f>VLOOKUP(L738,'[1]singkron data'!D:I,6,FALSE)</f>
        <v>#N/A</v>
      </c>
      <c r="AA738" s="11" t="e">
        <f>VLOOKUP(L738,'[1]singkron data'!D:L,9,FALSE)</f>
        <v>#N/A</v>
      </c>
      <c r="AB738" s="11" t="s">
        <v>694</v>
      </c>
      <c r="AC738" s="11" t="e">
        <f>VLOOKUP(L738,'[1]singkron data'!D:M,10,FALSE)</f>
        <v>#N/A</v>
      </c>
      <c r="AD738" s="11" t="s">
        <v>364</v>
      </c>
      <c r="AE738" s="11" t="e">
        <f>VLOOKUP(L738,'[1]singkron data'!D:P,13,FALSE)</f>
        <v>#N/A</v>
      </c>
      <c r="AF738" s="11" t="s">
        <v>55</v>
      </c>
      <c r="AG738" s="11" t="e">
        <f>VLOOKUP(L738,'[1]update kontrak'!E:K,6,FALSE)</f>
        <v>#N/A</v>
      </c>
      <c r="AH738" s="11" t="e">
        <f>VLOOKUP(L738,'[1]update kontrak'!E:K,7,FALSE)</f>
        <v>#N/A</v>
      </c>
      <c r="AI738" s="11"/>
      <c r="AJ738" s="11" t="str">
        <f>VLOOKUP(L738,[1]rekap!D:M,1,FALSE)</f>
        <v>Kampung Aie</v>
      </c>
      <c r="AK738" s="11" t="e">
        <f>VLOOKUP(L738,'[1]singkron data'!D:E,2,FALSE)</f>
        <v>#N/A</v>
      </c>
      <c r="AL738" s="11" t="str">
        <f>VLOOKUP(L738,'[1]update 521'!D:D,1,FALSE)</f>
        <v>Kampung Aie</v>
      </c>
      <c r="AM738" s="11" t="s">
        <v>96</v>
      </c>
      <c r="AN738" s="11" t="e">
        <f>VLOOKUP(L738,[1]Sheet19!E:L,8,FALSE)</f>
        <v>#N/A</v>
      </c>
      <c r="AO738" s="11" t="e">
        <f>VLOOKUP(L738,[1]Sheet19!E:K,7,FALSE)</f>
        <v>#N/A</v>
      </c>
      <c r="AP738" s="12"/>
    </row>
    <row r="739" spans="1:42" ht="15" x14ac:dyDescent="0.2">
      <c r="A739" s="8" t="s">
        <v>42</v>
      </c>
      <c r="B739" s="9" t="s">
        <v>43</v>
      </c>
      <c r="C739" s="9">
        <v>335</v>
      </c>
      <c r="D739" s="9" t="s">
        <v>1631</v>
      </c>
      <c r="E739" s="9">
        <v>122</v>
      </c>
      <c r="F739" s="9" t="s">
        <v>1815</v>
      </c>
      <c r="G739" s="9" t="s">
        <v>1656</v>
      </c>
      <c r="H739" s="9" t="s">
        <v>47</v>
      </c>
      <c r="I739" s="9" t="s">
        <v>1816</v>
      </c>
      <c r="J739" s="9" t="s">
        <v>1817</v>
      </c>
      <c r="K739" s="9" t="s">
        <v>1818</v>
      </c>
      <c r="L739" s="9" t="s">
        <v>1818</v>
      </c>
      <c r="M739" s="9" t="s">
        <v>51</v>
      </c>
      <c r="N739" s="9">
        <v>72</v>
      </c>
      <c r="O739" s="9">
        <v>5</v>
      </c>
      <c r="P739" s="9">
        <v>50</v>
      </c>
      <c r="Q739" s="9">
        <v>55</v>
      </c>
      <c r="R739" s="9">
        <v>0.1</v>
      </c>
      <c r="S739" s="9">
        <v>3.527898</v>
      </c>
      <c r="T739" s="9">
        <v>97.009292000000002</v>
      </c>
      <c r="U739" s="9"/>
      <c r="V739" s="11" t="e">
        <f>VLOOKUP(L739,'[1]singkron data'!D:E,2,FALSE)</f>
        <v>#N/A</v>
      </c>
      <c r="W739" s="11"/>
      <c r="X739" s="11"/>
      <c r="Y739" s="11" t="e">
        <f>VLOOKUP(L739,'[1]singkron data'!D:H,5,FALSE)</f>
        <v>#N/A</v>
      </c>
      <c r="Z739" s="11" t="e">
        <f>VLOOKUP(L739,'[1]singkron data'!D:I,6,FALSE)</f>
        <v>#N/A</v>
      </c>
      <c r="AA739" s="11" t="e">
        <f>VLOOKUP(L739,'[1]singkron data'!D:L,9,FALSE)</f>
        <v>#N/A</v>
      </c>
      <c r="AB739" s="11" t="s">
        <v>694</v>
      </c>
      <c r="AC739" s="11" t="e">
        <f>VLOOKUP(L739,'[1]singkron data'!D:M,10,FALSE)</f>
        <v>#N/A</v>
      </c>
      <c r="AD739" s="11" t="s">
        <v>364</v>
      </c>
      <c r="AE739" s="11" t="e">
        <f>VLOOKUP(L739,'[1]singkron data'!D:P,13,FALSE)</f>
        <v>#N/A</v>
      </c>
      <c r="AF739" s="11" t="s">
        <v>55</v>
      </c>
      <c r="AG739" s="11" t="e">
        <f>VLOOKUP(L739,'[1]update kontrak'!E:K,6,FALSE)</f>
        <v>#N/A</v>
      </c>
      <c r="AH739" s="11" t="e">
        <f>VLOOKUP(L739,'[1]update kontrak'!E:K,7,FALSE)</f>
        <v>#N/A</v>
      </c>
      <c r="AI739" s="11"/>
      <c r="AJ739" s="11" t="str">
        <f>VLOOKUP(L739,[1]rekap!D:M,1,FALSE)</f>
        <v>Sawang Indah</v>
      </c>
      <c r="AK739" s="11" t="e">
        <f>VLOOKUP(L739,'[1]singkron data'!D:E,2,FALSE)</f>
        <v>#N/A</v>
      </c>
      <c r="AL739" s="11" t="str">
        <f>VLOOKUP(L739,'[1]update 521'!D:D,1,FALSE)</f>
        <v>Sawang Indah</v>
      </c>
      <c r="AM739" s="11" t="s">
        <v>96</v>
      </c>
      <c r="AN739" s="11" t="e">
        <f>VLOOKUP(L739,[1]Sheet19!E:L,8,FALSE)</f>
        <v>#N/A</v>
      </c>
      <c r="AO739" s="11" t="e">
        <f>VLOOKUP(L739,[1]Sheet19!E:K,7,FALSE)</f>
        <v>#N/A</v>
      </c>
      <c r="AP739" s="12"/>
    </row>
    <row r="740" spans="1:42" ht="15" x14ac:dyDescent="0.2">
      <c r="A740" s="8" t="s">
        <v>42</v>
      </c>
      <c r="B740" s="9" t="s">
        <v>43</v>
      </c>
      <c r="C740" s="9">
        <v>336</v>
      </c>
      <c r="D740" s="9" t="s">
        <v>1631</v>
      </c>
      <c r="E740" s="9">
        <v>123</v>
      </c>
      <c r="F740" s="9" t="s">
        <v>1815</v>
      </c>
      <c r="G740" s="9" t="s">
        <v>1656</v>
      </c>
      <c r="H740" s="9" t="s">
        <v>47</v>
      </c>
      <c r="I740" s="9" t="s">
        <v>1816</v>
      </c>
      <c r="J740" s="9" t="s">
        <v>1819</v>
      </c>
      <c r="K740" s="9" t="s">
        <v>1820</v>
      </c>
      <c r="L740" s="9" t="s">
        <v>1820</v>
      </c>
      <c r="M740" s="9" t="s">
        <v>51</v>
      </c>
      <c r="N740" s="9">
        <v>186</v>
      </c>
      <c r="O740" s="9">
        <v>4</v>
      </c>
      <c r="P740" s="9">
        <v>105</v>
      </c>
      <c r="Q740" s="9">
        <v>109</v>
      </c>
      <c r="R740" s="9">
        <v>0.36</v>
      </c>
      <c r="S740" s="9">
        <v>3.4393500000000001</v>
      </c>
      <c r="T740" s="9">
        <v>97.064391000000001</v>
      </c>
      <c r="U740" s="9"/>
      <c r="V740" s="11" t="e">
        <f>VLOOKUP(L740,'[1]singkron data'!D:E,2,FALSE)</f>
        <v>#N/A</v>
      </c>
      <c r="W740" s="11"/>
      <c r="X740" s="11"/>
      <c r="Y740" s="11" t="e">
        <f>VLOOKUP(L740,'[1]singkron data'!D:H,5,FALSE)</f>
        <v>#N/A</v>
      </c>
      <c r="Z740" s="11" t="e">
        <f>VLOOKUP(L740,'[1]singkron data'!D:I,6,FALSE)</f>
        <v>#N/A</v>
      </c>
      <c r="AA740" s="11" t="e">
        <f>VLOOKUP(L740,'[1]singkron data'!D:L,9,FALSE)</f>
        <v>#N/A</v>
      </c>
      <c r="AB740" s="11" t="s">
        <v>694</v>
      </c>
      <c r="AC740" s="11" t="e">
        <f>VLOOKUP(L740,'[1]singkron data'!D:M,10,FALSE)</f>
        <v>#N/A</v>
      </c>
      <c r="AD740" s="11" t="s">
        <v>364</v>
      </c>
      <c r="AE740" s="11" t="e">
        <f>VLOOKUP(L740,'[1]singkron data'!D:P,13,FALSE)</f>
        <v>#N/A</v>
      </c>
      <c r="AF740" s="11" t="s">
        <v>55</v>
      </c>
      <c r="AG740" s="11" t="e">
        <f>VLOOKUP(L740,'[1]update kontrak'!E:K,6,FALSE)</f>
        <v>#N/A</v>
      </c>
      <c r="AH740" s="11" t="e">
        <f>VLOOKUP(L740,'[1]update kontrak'!E:K,7,FALSE)</f>
        <v>#N/A</v>
      </c>
      <c r="AI740" s="11"/>
      <c r="AJ740" s="11" t="str">
        <f>VLOOKUP(L740,[1]rekap!D:M,1,FALSE)</f>
        <v>Labuhan Tarok II</v>
      </c>
      <c r="AK740" s="11" t="e">
        <f>VLOOKUP(L740,'[1]singkron data'!D:E,2,FALSE)</f>
        <v>#N/A</v>
      </c>
      <c r="AL740" s="11" t="str">
        <f>VLOOKUP(L740,'[1]update 521'!D:D,1,FALSE)</f>
        <v>Labuhan Tarok II</v>
      </c>
      <c r="AM740" s="11" t="s">
        <v>96</v>
      </c>
      <c r="AN740" s="11" t="e">
        <f>VLOOKUP(L740,[1]Sheet19!E:L,8,FALSE)</f>
        <v>#N/A</v>
      </c>
      <c r="AO740" s="11" t="e">
        <f>VLOOKUP(L740,[1]Sheet19!E:K,7,FALSE)</f>
        <v>#N/A</v>
      </c>
      <c r="AP740" s="12"/>
    </row>
    <row r="741" spans="1:42" ht="15" x14ac:dyDescent="0.2">
      <c r="A741" s="8" t="s">
        <v>42</v>
      </c>
      <c r="B741" s="9" t="s">
        <v>43</v>
      </c>
      <c r="C741" s="9">
        <v>337</v>
      </c>
      <c r="D741" s="9" t="s">
        <v>1631</v>
      </c>
      <c r="E741" s="9">
        <v>124</v>
      </c>
      <c r="F741" s="9" t="s">
        <v>1815</v>
      </c>
      <c r="G741" s="9" t="s">
        <v>1656</v>
      </c>
      <c r="H741" s="9" t="s">
        <v>47</v>
      </c>
      <c r="I741" s="9" t="s">
        <v>1821</v>
      </c>
      <c r="J741" s="9" t="s">
        <v>1822</v>
      </c>
      <c r="K741" s="9" t="s">
        <v>1823</v>
      </c>
      <c r="L741" s="9" t="s">
        <v>1823</v>
      </c>
      <c r="M741" s="9" t="s">
        <v>51</v>
      </c>
      <c r="N741" s="9">
        <v>65</v>
      </c>
      <c r="O741" s="9">
        <v>15</v>
      </c>
      <c r="P741" s="9">
        <v>50</v>
      </c>
      <c r="Q741" s="9">
        <v>65</v>
      </c>
      <c r="R741" s="9">
        <v>1.5</v>
      </c>
      <c r="S741" s="9">
        <v>3.694204</v>
      </c>
      <c r="T741" s="9">
        <v>96.864878000000004</v>
      </c>
      <c r="U741" s="9"/>
      <c r="V741" s="11" t="e">
        <f>VLOOKUP(L741,'[1]singkron data'!D:E,2,FALSE)</f>
        <v>#N/A</v>
      </c>
      <c r="W741" s="11" t="e">
        <f>VLOOKUP(L741,'[1]update tim 2'!D:F,3,FALSE)</f>
        <v>#N/A</v>
      </c>
      <c r="X741" s="11" t="s">
        <v>55</v>
      </c>
      <c r="Y741" s="11" t="e">
        <f>VLOOKUP(L741,'[1]singkron data'!D:H,5,FALSE)</f>
        <v>#N/A</v>
      </c>
      <c r="Z741" s="11" t="e">
        <f>VLOOKUP(L741,'[1]singkron data'!D:I,6,FALSE)</f>
        <v>#N/A</v>
      </c>
      <c r="AA741" s="11" t="e">
        <f>VLOOKUP(L741,'[1]singkron data'!D:L,9,FALSE)</f>
        <v>#N/A</v>
      </c>
      <c r="AB741" s="11" t="s">
        <v>694</v>
      </c>
      <c r="AC741" s="11" t="e">
        <f>VLOOKUP(L741,'[1]singkron data'!D:M,10,FALSE)</f>
        <v>#N/A</v>
      </c>
      <c r="AD741" s="11" t="s">
        <v>364</v>
      </c>
      <c r="AE741" s="11" t="e">
        <f>VLOOKUP(L741,'[1]singkron data'!D:P,13,FALSE)</f>
        <v>#N/A</v>
      </c>
      <c r="AF741" s="11" t="s">
        <v>55</v>
      </c>
      <c r="AG741" s="11" t="e">
        <f>VLOOKUP(L741,'[1]update kontrak'!E:K,6,FALSE)</f>
        <v>#N/A</v>
      </c>
      <c r="AH741" s="11" t="e">
        <f>VLOOKUP(L741,'[1]update kontrak'!E:K,7,FALSE)</f>
        <v>#N/A</v>
      </c>
      <c r="AI741" s="11"/>
      <c r="AJ741" s="11" t="str">
        <f>VLOOKUP(L741,[1]rekap!D:M,1,FALSE)</f>
        <v>Ujung Tanah</v>
      </c>
      <c r="AK741" s="11" t="e">
        <f>VLOOKUP(L741,'[1]singkron data'!D:E,2,FALSE)</f>
        <v>#N/A</v>
      </c>
      <c r="AL741" s="11" t="str">
        <f>VLOOKUP(L741,'[1]update 521'!D:D,1,FALSE)</f>
        <v>Ujung Tanah</v>
      </c>
      <c r="AM741" s="11" t="s">
        <v>57</v>
      </c>
      <c r="AN741" s="11" t="e">
        <f>VLOOKUP(L741,[1]Sheet19!E:L,8,FALSE)</f>
        <v>#N/A</v>
      </c>
      <c r="AO741" s="11" t="s">
        <v>1129</v>
      </c>
      <c r="AP741" s="12"/>
    </row>
    <row r="742" spans="1:42" ht="15" x14ac:dyDescent="0.2">
      <c r="A742" s="8" t="s">
        <v>42</v>
      </c>
      <c r="B742" s="9" t="s">
        <v>43</v>
      </c>
      <c r="C742" s="9">
        <v>338</v>
      </c>
      <c r="D742" s="9" t="s">
        <v>1631</v>
      </c>
      <c r="E742" s="9">
        <v>125</v>
      </c>
      <c r="F742" s="9" t="s">
        <v>1815</v>
      </c>
      <c r="G742" s="9" t="s">
        <v>1656</v>
      </c>
      <c r="H742" s="9" t="s">
        <v>47</v>
      </c>
      <c r="I742" s="9" t="s">
        <v>1821</v>
      </c>
      <c r="J742" s="9" t="s">
        <v>1824</v>
      </c>
      <c r="K742" s="9" t="s">
        <v>1825</v>
      </c>
      <c r="L742" s="9" t="s">
        <v>1825</v>
      </c>
      <c r="M742" s="9" t="s">
        <v>51</v>
      </c>
      <c r="N742" s="9">
        <v>260</v>
      </c>
      <c r="O742" s="9" t="s">
        <v>72</v>
      </c>
      <c r="P742" s="9">
        <v>50</v>
      </c>
      <c r="Q742" s="9">
        <v>50</v>
      </c>
      <c r="R742" s="9">
        <v>2.5</v>
      </c>
      <c r="S742" s="9">
        <v>3.724383</v>
      </c>
      <c r="T742" s="9">
        <v>96.805841999999998</v>
      </c>
      <c r="U742" s="9"/>
      <c r="V742" s="11" t="e">
        <f>VLOOKUP(L742,'[1]singkron data'!D:E,2,FALSE)</f>
        <v>#N/A</v>
      </c>
      <c r="W742" s="11"/>
      <c r="X742" s="11"/>
      <c r="Y742" s="11" t="e">
        <f>VLOOKUP(L742,'[1]singkron data'!D:H,5,FALSE)</f>
        <v>#N/A</v>
      </c>
      <c r="Z742" s="11" t="e">
        <f>VLOOKUP(L742,'[1]singkron data'!D:I,6,FALSE)</f>
        <v>#N/A</v>
      </c>
      <c r="AA742" s="11" t="e">
        <f>VLOOKUP(L742,'[1]singkron data'!D:L,9,FALSE)</f>
        <v>#N/A</v>
      </c>
      <c r="AB742" s="11" t="s">
        <v>694</v>
      </c>
      <c r="AC742" s="11" t="s">
        <v>1660</v>
      </c>
      <c r="AD742" s="11" t="s">
        <v>364</v>
      </c>
      <c r="AE742" s="11" t="e">
        <f>VLOOKUP(L742,'[1]singkron data'!D:P,13,FALSE)</f>
        <v>#N/A</v>
      </c>
      <c r="AF742" s="11" t="s">
        <v>55</v>
      </c>
      <c r="AG742" s="11" t="e">
        <f>VLOOKUP(L742,'[1]update kontrak'!E:K,6,FALSE)</f>
        <v>#N/A</v>
      </c>
      <c r="AH742" s="11" t="e">
        <f>VLOOKUP(L742,'[1]update kontrak'!E:K,7,FALSE)</f>
        <v>#N/A</v>
      </c>
      <c r="AI742" s="11"/>
      <c r="AJ742" s="11" t="str">
        <f>VLOOKUP(L742,[1]rekap!D:M,1,FALSE)</f>
        <v>Padang Baru</v>
      </c>
      <c r="AK742" s="11" t="e">
        <f>VLOOKUP(L742,'[1]singkron data'!D:E,2,FALSE)</f>
        <v>#N/A</v>
      </c>
      <c r="AL742" s="11" t="str">
        <f>VLOOKUP(L742,'[1]update 521'!D:D,1,FALSE)</f>
        <v>Padang Baru</v>
      </c>
      <c r="AM742" s="11" t="s">
        <v>96</v>
      </c>
      <c r="AN742" s="11" t="e">
        <f>VLOOKUP(L742,[1]Sheet19!E:L,8,FALSE)</f>
        <v>#N/A</v>
      </c>
      <c r="AO742" s="11" t="e">
        <f>VLOOKUP(L742,[1]Sheet19!E:K,7,FALSE)</f>
        <v>#N/A</v>
      </c>
      <c r="AP742" s="12"/>
    </row>
    <row r="743" spans="1:42" ht="15" x14ac:dyDescent="0.2">
      <c r="A743" s="8" t="s">
        <v>42</v>
      </c>
      <c r="B743" s="9" t="s">
        <v>43</v>
      </c>
      <c r="C743" s="9">
        <v>339</v>
      </c>
      <c r="D743" s="9" t="s">
        <v>1631</v>
      </c>
      <c r="E743" s="9">
        <v>126</v>
      </c>
      <c r="F743" s="9" t="s">
        <v>1826</v>
      </c>
      <c r="G743" s="9" t="s">
        <v>1656</v>
      </c>
      <c r="H743" s="9" t="s">
        <v>47</v>
      </c>
      <c r="I743" s="9" t="s">
        <v>1809</v>
      </c>
      <c r="J743" s="9" t="s">
        <v>1827</v>
      </c>
      <c r="K743" s="9" t="s">
        <v>1828</v>
      </c>
      <c r="L743" s="9" t="s">
        <v>1828</v>
      </c>
      <c r="M743" s="9" t="s">
        <v>65</v>
      </c>
      <c r="N743" s="9">
        <v>150</v>
      </c>
      <c r="O743" s="9">
        <v>40</v>
      </c>
      <c r="P743" s="9">
        <v>80</v>
      </c>
      <c r="Q743" s="9">
        <v>120</v>
      </c>
      <c r="R743" s="9">
        <v>0.62</v>
      </c>
      <c r="S743" s="9">
        <v>2.689689</v>
      </c>
      <c r="T743" s="9">
        <v>96.108953</v>
      </c>
      <c r="U743" s="9"/>
      <c r="V743" s="11" t="e">
        <f>VLOOKUP(L743,'[1]singkron data'!D:E,2,FALSE)</f>
        <v>#N/A</v>
      </c>
      <c r="W743" s="11"/>
      <c r="X743" s="11"/>
      <c r="Y743" s="11" t="e">
        <f>VLOOKUP(L743,'[1]singkron data'!D:H,5,FALSE)</f>
        <v>#N/A</v>
      </c>
      <c r="Z743" s="11" t="e">
        <f>VLOOKUP(L743,'[1]singkron data'!D:I,6,FALSE)</f>
        <v>#N/A</v>
      </c>
      <c r="AA743" s="11" t="e">
        <f>VLOOKUP(L743,'[1]singkron data'!D:L,9,FALSE)</f>
        <v>#N/A</v>
      </c>
      <c r="AB743" s="11" t="s">
        <v>694</v>
      </c>
      <c r="AC743" s="11" t="e">
        <f>VLOOKUP(L743,'[1]singkron data'!D:M,10,FALSE)</f>
        <v>#N/A</v>
      </c>
      <c r="AD743" s="11" t="s">
        <v>364</v>
      </c>
      <c r="AE743" s="11" t="e">
        <f>VLOOKUP(L743,'[1]singkron data'!D:P,13,FALSE)</f>
        <v>#N/A</v>
      </c>
      <c r="AF743" s="11" t="s">
        <v>55</v>
      </c>
      <c r="AG743" s="11" t="e">
        <f>VLOOKUP(L743,'[1]update kontrak'!E:K,6,FALSE)</f>
        <v>#N/A</v>
      </c>
      <c r="AH743" s="11" t="e">
        <f>VLOOKUP(L743,'[1]update kontrak'!E:K,7,FALSE)</f>
        <v>#N/A</v>
      </c>
      <c r="AI743" s="11"/>
      <c r="AJ743" s="11" t="str">
        <f>VLOOKUP(L743,[1]rekap!D:M,1,FALSE)</f>
        <v>Lugu Sebahak</v>
      </c>
      <c r="AK743" s="11" t="e">
        <f>VLOOKUP(L743,'[1]singkron data'!D:E,2,FALSE)</f>
        <v>#N/A</v>
      </c>
      <c r="AL743" s="11" t="str">
        <f>VLOOKUP(L743,'[1]update 521'!D:D,1,FALSE)</f>
        <v>Lugu Sebahak</v>
      </c>
      <c r="AM743" s="11" t="s">
        <v>96</v>
      </c>
      <c r="AN743" s="11" t="e">
        <f>VLOOKUP(L743,[1]Sheet19!E:L,8,FALSE)</f>
        <v>#N/A</v>
      </c>
      <c r="AO743" s="11" t="e">
        <f>VLOOKUP(L743,[1]Sheet19!E:K,7,FALSE)</f>
        <v>#N/A</v>
      </c>
      <c r="AP743" s="12"/>
    </row>
    <row r="744" spans="1:42" ht="15" x14ac:dyDescent="0.2">
      <c r="A744" s="8" t="s">
        <v>42</v>
      </c>
      <c r="B744" s="9" t="s">
        <v>43</v>
      </c>
      <c r="C744" s="9">
        <v>340</v>
      </c>
      <c r="D744" s="9" t="s">
        <v>1631</v>
      </c>
      <c r="E744" s="9">
        <v>127</v>
      </c>
      <c r="F744" s="9" t="s">
        <v>1826</v>
      </c>
      <c r="G744" s="9" t="s">
        <v>1656</v>
      </c>
      <c r="H744" s="9" t="s">
        <v>47</v>
      </c>
      <c r="I744" s="9" t="s">
        <v>1809</v>
      </c>
      <c r="J744" s="9" t="s">
        <v>1827</v>
      </c>
      <c r="K744" s="9" t="s">
        <v>1829</v>
      </c>
      <c r="L744" s="9" t="s">
        <v>1829</v>
      </c>
      <c r="M744" s="9" t="s">
        <v>51</v>
      </c>
      <c r="N744" s="9">
        <v>224</v>
      </c>
      <c r="O744" s="9">
        <v>40</v>
      </c>
      <c r="P744" s="9">
        <v>30</v>
      </c>
      <c r="Q744" s="9">
        <v>70</v>
      </c>
      <c r="R744" s="9">
        <v>1.1299999999999999</v>
      </c>
      <c r="S744" s="9">
        <v>2.7028789999999998</v>
      </c>
      <c r="T744" s="9">
        <v>96.125817999999995</v>
      </c>
      <c r="U744" s="9"/>
      <c r="V744" s="11" t="e">
        <f>VLOOKUP(L744,'[1]singkron data'!D:E,2,FALSE)</f>
        <v>#N/A</v>
      </c>
      <c r="W744" s="11"/>
      <c r="X744" s="11"/>
      <c r="Y744" s="11" t="e">
        <f>VLOOKUP(L744,'[1]singkron data'!D:H,5,FALSE)</f>
        <v>#N/A</v>
      </c>
      <c r="Z744" s="11" t="e">
        <f>VLOOKUP(L744,'[1]singkron data'!D:I,6,FALSE)</f>
        <v>#N/A</v>
      </c>
      <c r="AA744" s="11" t="e">
        <f>VLOOKUP(L744,'[1]singkron data'!D:L,9,FALSE)</f>
        <v>#N/A</v>
      </c>
      <c r="AB744" s="11" t="s">
        <v>694</v>
      </c>
      <c r="AC744" s="11" t="e">
        <f>VLOOKUP(L744,'[1]singkron data'!D:M,10,FALSE)</f>
        <v>#N/A</v>
      </c>
      <c r="AD744" s="11" t="s">
        <v>364</v>
      </c>
      <c r="AE744" s="11" t="e">
        <f>VLOOKUP(L744,'[1]singkron data'!D:P,13,FALSE)</f>
        <v>#N/A</v>
      </c>
      <c r="AF744" s="11" t="s">
        <v>55</v>
      </c>
      <c r="AG744" s="11" t="e">
        <f>VLOOKUP(L744,'[1]update kontrak'!E:K,6,FALSE)</f>
        <v>#N/A</v>
      </c>
      <c r="AH744" s="11" t="e">
        <f>VLOOKUP(L744,'[1]update kontrak'!E:K,7,FALSE)</f>
        <v>#N/A</v>
      </c>
      <c r="AI744" s="11"/>
      <c r="AJ744" s="11" t="str">
        <f>VLOOKUP(L744,[1]rekap!D:M,1,FALSE)</f>
        <v>Muara Aman</v>
      </c>
      <c r="AK744" s="11" t="e">
        <f>VLOOKUP(L744,'[1]singkron data'!D:E,2,FALSE)</f>
        <v>#N/A</v>
      </c>
      <c r="AL744" s="11" t="str">
        <f>VLOOKUP(L744,'[1]update 521'!D:D,1,FALSE)</f>
        <v>Muara Aman</v>
      </c>
      <c r="AM744" s="11" t="s">
        <v>96</v>
      </c>
      <c r="AN744" s="11" t="e">
        <f>VLOOKUP(L744,[1]Sheet19!E:L,8,FALSE)</f>
        <v>#N/A</v>
      </c>
      <c r="AO744" s="11" t="e">
        <f>VLOOKUP(L744,[1]Sheet19!E:K,7,FALSE)</f>
        <v>#N/A</v>
      </c>
      <c r="AP744" s="12"/>
    </row>
    <row r="745" spans="1:42" ht="15" x14ac:dyDescent="0.2">
      <c r="A745" s="8" t="s">
        <v>42</v>
      </c>
      <c r="B745" s="9" t="s">
        <v>43</v>
      </c>
      <c r="C745" s="9">
        <v>341</v>
      </c>
      <c r="D745" s="9" t="s">
        <v>1631</v>
      </c>
      <c r="E745" s="9">
        <v>128</v>
      </c>
      <c r="F745" s="9" t="s">
        <v>1830</v>
      </c>
      <c r="G745" s="9" t="s">
        <v>1831</v>
      </c>
      <c r="H745" s="9" t="s">
        <v>47</v>
      </c>
      <c r="I745" s="9" t="s">
        <v>1832</v>
      </c>
      <c r="J745" s="9" t="s">
        <v>1833</v>
      </c>
      <c r="K745" s="9" t="s">
        <v>1830</v>
      </c>
      <c r="L745" s="10" t="s">
        <v>1830</v>
      </c>
      <c r="M745" s="9" t="s">
        <v>65</v>
      </c>
      <c r="N745" s="9">
        <v>370</v>
      </c>
      <c r="O745" s="9">
        <v>27</v>
      </c>
      <c r="P745" s="9">
        <v>325</v>
      </c>
      <c r="Q745" s="9">
        <v>352</v>
      </c>
      <c r="R745" s="9">
        <v>0.32</v>
      </c>
      <c r="S745" s="9">
        <v>6.8030999999999994E-2</v>
      </c>
      <c r="T745" s="9">
        <v>99.618178</v>
      </c>
      <c r="U745" s="9" t="s">
        <v>52</v>
      </c>
      <c r="V745" s="11" t="s">
        <v>1834</v>
      </c>
      <c r="W745" s="13">
        <f>VLOOKUP(L745,'[1]update tim 2'!D:F,3,FALSE)</f>
        <v>6982796000</v>
      </c>
      <c r="X745" s="11" t="s">
        <v>55</v>
      </c>
      <c r="Y745" s="11">
        <f>VLOOKUP(L745,'[1]singkron data'!D:H,5,FALSE)</f>
        <v>0</v>
      </c>
      <c r="Z745" s="11">
        <f>VLOOKUP(L745,'[1]singkron data'!D:I,6,FALSE)</f>
        <v>0</v>
      </c>
      <c r="AA745" s="11" t="s">
        <v>1835</v>
      </c>
      <c r="AB745" s="11" t="s">
        <v>54</v>
      </c>
      <c r="AC745" s="11" t="s">
        <v>1836</v>
      </c>
      <c r="AD745" s="11" t="str">
        <f>VLOOKUP(L745,'[1]data 1129'!F:O,10,FALSE)</f>
        <v>Tahap III 166</v>
      </c>
      <c r="AE745" s="11">
        <f>VLOOKUP(L745,'[1]singkron data'!D:P,13,FALSE)</f>
        <v>0</v>
      </c>
      <c r="AF745" s="11" t="s">
        <v>55</v>
      </c>
      <c r="AG745" s="11" t="e">
        <f>VLOOKUP(L745,'[1]update kontrak'!E:K,6,FALSE)</f>
        <v>#N/A</v>
      </c>
      <c r="AH745" s="11" t="e">
        <f>VLOOKUP(L745,'[1]update kontrak'!E:K,7,FALSE)</f>
        <v>#N/A</v>
      </c>
      <c r="AI745" s="11"/>
      <c r="AJ745" s="11" t="str">
        <f>VLOOKUP(L745,[1]rekap!D:M,1,FALSE)</f>
        <v>Maligi</v>
      </c>
      <c r="AK745" s="11" t="str">
        <f>VLOOKUP(L745,'[1]singkron data'!D:E,2,FALSE)</f>
        <v>PT. Wijaya Karya Bangunan Gedung</v>
      </c>
      <c r="AL745" s="11" t="str">
        <f>VLOOKUP(L745,'[1]update 521'!D:D,1,FALSE)</f>
        <v>Maligi</v>
      </c>
      <c r="AM745" s="11" t="s">
        <v>57</v>
      </c>
      <c r="AN745" s="11" t="e">
        <f>VLOOKUP(L745,[1]Sheet19!E:L,8,FALSE)</f>
        <v>#N/A</v>
      </c>
      <c r="AO745" s="11" t="s">
        <v>58</v>
      </c>
      <c r="AP745" s="12"/>
    </row>
    <row r="746" spans="1:42" ht="15" x14ac:dyDescent="0.2">
      <c r="A746" s="8" t="s">
        <v>42</v>
      </c>
      <c r="B746" s="9" t="s">
        <v>43</v>
      </c>
      <c r="C746" s="9">
        <v>342</v>
      </c>
      <c r="D746" s="9" t="s">
        <v>1631</v>
      </c>
      <c r="E746" s="9">
        <v>129</v>
      </c>
      <c r="F746" s="9" t="s">
        <v>1830</v>
      </c>
      <c r="G746" s="9" t="s">
        <v>1831</v>
      </c>
      <c r="H746" s="9" t="s">
        <v>47</v>
      </c>
      <c r="I746" s="9" t="s">
        <v>1832</v>
      </c>
      <c r="J746" s="9" t="s">
        <v>1833</v>
      </c>
      <c r="K746" s="9" t="s">
        <v>1837</v>
      </c>
      <c r="L746" s="10" t="s">
        <v>1837</v>
      </c>
      <c r="M746" s="9" t="s">
        <v>51</v>
      </c>
      <c r="N746" s="9">
        <v>672</v>
      </c>
      <c r="O746" s="9">
        <v>20</v>
      </c>
      <c r="P746" s="9">
        <v>33</v>
      </c>
      <c r="Q746" s="9">
        <v>53</v>
      </c>
      <c r="R746" s="9">
        <v>0.25</v>
      </c>
      <c r="S746" s="9">
        <v>-4.0039999999999997E-3</v>
      </c>
      <c r="T746" s="9">
        <v>99.70617</v>
      </c>
      <c r="U746" s="9" t="s">
        <v>52</v>
      </c>
      <c r="V746" s="11" t="s">
        <v>1834</v>
      </c>
      <c r="W746" s="13">
        <f>VLOOKUP(L746,'[1]update tim 2'!D:F,3,FALSE)</f>
        <v>3167705000</v>
      </c>
      <c r="X746" s="11" t="s">
        <v>55</v>
      </c>
      <c r="Y746" s="11">
        <f>VLOOKUP(L746,'[1]singkron data'!D:H,5,FALSE)</f>
        <v>0</v>
      </c>
      <c r="Z746" s="11">
        <f>VLOOKUP(L746,'[1]singkron data'!D:I,6,FALSE)</f>
        <v>0</v>
      </c>
      <c r="AA746" s="11" t="s">
        <v>1835</v>
      </c>
      <c r="AB746" s="11" t="s">
        <v>54</v>
      </c>
      <c r="AC746" s="11" t="s">
        <v>1836</v>
      </c>
      <c r="AD746" s="11" t="str">
        <f>VLOOKUP(L746,'[1]data 1129'!F:O,10,FALSE)</f>
        <v>Tahap IV 200</v>
      </c>
      <c r="AE746" s="11">
        <f>VLOOKUP(L746,'[1]singkron data'!D:P,13,FALSE)</f>
        <v>0</v>
      </c>
      <c r="AF746" s="11" t="s">
        <v>55</v>
      </c>
      <c r="AG746" s="11" t="e">
        <f>VLOOKUP(L746,'[1]update kontrak'!E:K,6,FALSE)</f>
        <v>#N/A</v>
      </c>
      <c r="AH746" s="11" t="e">
        <f>VLOOKUP(L746,'[1]update kontrak'!E:K,7,FALSE)</f>
        <v>#N/A</v>
      </c>
      <c r="AI746" s="11"/>
      <c r="AJ746" s="11" t="str">
        <f>VLOOKUP(L746,[1]rekap!D:M,1,FALSE)</f>
        <v>Sasak</v>
      </c>
      <c r="AK746" s="11" t="str">
        <f>VLOOKUP(L746,'[1]singkron data'!D:E,2,FALSE)</f>
        <v>PT. Wijaya Karya Bangunan Gedung</v>
      </c>
      <c r="AL746" s="11" t="str">
        <f>VLOOKUP(L746,'[1]update 521'!D:D,1,FALSE)</f>
        <v>Sasak</v>
      </c>
      <c r="AM746" s="11" t="s">
        <v>57</v>
      </c>
      <c r="AN746" s="11" t="e">
        <f>VLOOKUP(L746,[1]Sheet19!E:L,8,FALSE)</f>
        <v>#N/A</v>
      </c>
      <c r="AO746" s="11" t="s">
        <v>58</v>
      </c>
      <c r="AP746" s="12"/>
    </row>
    <row r="747" spans="1:42" ht="15" x14ac:dyDescent="0.2">
      <c r="A747" s="8" t="s">
        <v>42</v>
      </c>
      <c r="B747" s="9" t="s">
        <v>43</v>
      </c>
      <c r="C747" s="9">
        <v>343</v>
      </c>
      <c r="D747" s="9" t="s">
        <v>1631</v>
      </c>
      <c r="E747" s="9">
        <v>130</v>
      </c>
      <c r="F747" s="9" t="s">
        <v>1830</v>
      </c>
      <c r="G747" s="9" t="s">
        <v>1831</v>
      </c>
      <c r="H747" s="9" t="s">
        <v>47</v>
      </c>
      <c r="I747" s="9" t="s">
        <v>1832</v>
      </c>
      <c r="J747" s="9" t="s">
        <v>1833</v>
      </c>
      <c r="K747" s="9" t="s">
        <v>1838</v>
      </c>
      <c r="L747" s="10" t="s">
        <v>1838</v>
      </c>
      <c r="M747" s="9" t="s">
        <v>51</v>
      </c>
      <c r="N747" s="14">
        <v>1308</v>
      </c>
      <c r="O747" s="9" t="s">
        <v>72</v>
      </c>
      <c r="P747" s="9">
        <v>170</v>
      </c>
      <c r="Q747" s="9">
        <v>170</v>
      </c>
      <c r="R747" s="9">
        <v>1.5</v>
      </c>
      <c r="S747" s="9">
        <v>-1.1924000000000001E-2</v>
      </c>
      <c r="T747" s="9">
        <v>99.722990999999993</v>
      </c>
      <c r="U747" s="9" t="s">
        <v>52</v>
      </c>
      <c r="V747" s="11" t="s">
        <v>1834</v>
      </c>
      <c r="W747" s="13">
        <f>VLOOKUP(L747,'[1]update tim 2'!D:F,3,FALSE)</f>
        <v>3472645000</v>
      </c>
      <c r="X747" s="11" t="s">
        <v>55</v>
      </c>
      <c r="Y747" s="11">
        <f>VLOOKUP(L747,'[1]singkron data'!D:H,5,FALSE)</f>
        <v>0</v>
      </c>
      <c r="Z747" s="11">
        <f>VLOOKUP(L747,'[1]singkron data'!D:I,6,FALSE)</f>
        <v>0</v>
      </c>
      <c r="AA747" s="11" t="s">
        <v>1835</v>
      </c>
      <c r="AB747" s="11" t="s">
        <v>54</v>
      </c>
      <c r="AC747" s="11" t="s">
        <v>1836</v>
      </c>
      <c r="AD747" s="11" t="str">
        <f>VLOOKUP(L747,'[1]data 1129'!F:O,10,FALSE)</f>
        <v>Tahap III 166</v>
      </c>
      <c r="AE747" s="11">
        <f>VLOOKUP(L747,'[1]singkron data'!D:P,13,FALSE)</f>
        <v>0</v>
      </c>
      <c r="AF747" s="11" t="s">
        <v>55</v>
      </c>
      <c r="AG747" s="11" t="e">
        <f>VLOOKUP(L747,'[1]update kontrak'!E:K,6,FALSE)</f>
        <v>#N/A</v>
      </c>
      <c r="AH747" s="11" t="e">
        <f>VLOOKUP(L747,'[1]update kontrak'!E:K,7,FALSE)</f>
        <v>#N/A</v>
      </c>
      <c r="AI747" s="11"/>
      <c r="AJ747" s="11" t="str">
        <f>VLOOKUP(L747,[1]rekap!D:M,1,FALSE)</f>
        <v>Ranah Pasisie</v>
      </c>
      <c r="AK747" s="11" t="str">
        <f>VLOOKUP(L747,'[1]singkron data'!D:E,2,FALSE)</f>
        <v>PT. Wijaya Karya Bangunan Gedung</v>
      </c>
      <c r="AL747" s="11" t="str">
        <f>VLOOKUP(L747,'[1]update 521'!D:D,1,FALSE)</f>
        <v>Ranah Pasisie</v>
      </c>
      <c r="AM747" s="11" t="s">
        <v>57</v>
      </c>
      <c r="AN747" s="11" t="e">
        <f>VLOOKUP(L747,[1]Sheet19!E:L,8,FALSE)</f>
        <v>#N/A</v>
      </c>
      <c r="AO747" s="11" t="s">
        <v>58</v>
      </c>
      <c r="AP747" s="12"/>
    </row>
    <row r="748" spans="1:42" ht="15" x14ac:dyDescent="0.2">
      <c r="A748" s="8" t="s">
        <v>42</v>
      </c>
      <c r="B748" s="9" t="s">
        <v>43</v>
      </c>
      <c r="C748" s="9">
        <v>344</v>
      </c>
      <c r="D748" s="9" t="s">
        <v>1631</v>
      </c>
      <c r="E748" s="9">
        <v>131</v>
      </c>
      <c r="F748" s="9" t="s">
        <v>1839</v>
      </c>
      <c r="G748" s="9" t="s">
        <v>1668</v>
      </c>
      <c r="H748" s="9" t="s">
        <v>47</v>
      </c>
      <c r="I748" s="9" t="s">
        <v>1840</v>
      </c>
      <c r="J748" s="9" t="s">
        <v>1841</v>
      </c>
      <c r="K748" s="9" t="s">
        <v>1839</v>
      </c>
      <c r="L748" s="10" t="s">
        <v>1839</v>
      </c>
      <c r="M748" s="9" t="s">
        <v>65</v>
      </c>
      <c r="N748" s="9">
        <v>874</v>
      </c>
      <c r="O748" s="9" t="s">
        <v>72</v>
      </c>
      <c r="P748" s="9">
        <v>300</v>
      </c>
      <c r="Q748" s="9">
        <v>300</v>
      </c>
      <c r="R748" s="9">
        <v>0.6</v>
      </c>
      <c r="S748" s="9">
        <v>-5.4051809999999998</v>
      </c>
      <c r="T748" s="9">
        <v>104.070042</v>
      </c>
      <c r="U748" s="9" t="s">
        <v>52</v>
      </c>
      <c r="V748" s="11" t="str">
        <f>VLOOKUP(L748,'[1]singkron data'!D:E,2,FALSE)</f>
        <v>PT. Innevo Karya Andesindo</v>
      </c>
      <c r="W748" s="11"/>
      <c r="X748" s="11"/>
      <c r="Y748" s="11">
        <f>VLOOKUP(L748,'[1]singkron data'!D:H,5,FALSE)</f>
        <v>0</v>
      </c>
      <c r="Z748" s="11" t="str">
        <f>VLOOKUP(L748,'[1]singkron data'!D:I,6,FALSE)</f>
        <v>Offline</v>
      </c>
      <c r="AA748" s="11" t="str">
        <f>VLOOKUP(L748,'[1]singkron data'!D:L,9,FALSE)</f>
        <v>kiki/081373338328</v>
      </c>
      <c r="AB748" s="11" t="s">
        <v>54</v>
      </c>
      <c r="AC748" s="11" t="str">
        <f>VLOOKUP(L748,'[1]singkron data'!D:M,10,FALSE)</f>
        <v>Aufar</v>
      </c>
      <c r="AD748" s="11" t="str">
        <f>VLOOKUP(L748,'[1]data 1129'!F:O,10,FALSE)</f>
        <v>Tahap II 146</v>
      </c>
      <c r="AE748" s="11">
        <f>VLOOKUP(L748,'[1]singkron data'!D:P,13,FALSE)</f>
        <v>0</v>
      </c>
      <c r="AF748" s="11" t="s">
        <v>55</v>
      </c>
      <c r="AG748" s="11" t="e">
        <f>VLOOKUP(L748,'[1]update kontrak'!E:K,6,FALSE)</f>
        <v>#N/A</v>
      </c>
      <c r="AH748" s="11" t="e">
        <f>VLOOKUP(L748,'[1]update kontrak'!E:K,7,FALSE)</f>
        <v>#N/A</v>
      </c>
      <c r="AI748" s="11"/>
      <c r="AJ748" s="11" t="str">
        <f>VLOOKUP(L748,[1]rekap!D:M,1,FALSE)</f>
        <v>Marang</v>
      </c>
      <c r="AK748" s="11" t="str">
        <f>VLOOKUP(L748,'[1]singkron data'!D:E,2,FALSE)</f>
        <v>PT. Innevo Karya Andesindo</v>
      </c>
      <c r="AL748" s="11" t="str">
        <f>VLOOKUP(L748,'[1]update 521'!D:D,1,FALSE)</f>
        <v>Marang</v>
      </c>
      <c r="AM748" s="11" t="e">
        <v>#N/A</v>
      </c>
      <c r="AN748" s="11" t="e">
        <f>VLOOKUP(L748,[1]Sheet19!E:L,8,FALSE)</f>
        <v>#N/A</v>
      </c>
      <c r="AO748" s="11" t="e">
        <f>VLOOKUP(L748,[1]Sheet19!E:K,7,FALSE)</f>
        <v>#N/A</v>
      </c>
      <c r="AP748" s="12"/>
    </row>
    <row r="749" spans="1:42" ht="15" x14ac:dyDescent="0.2">
      <c r="A749" s="8" t="s">
        <v>42</v>
      </c>
      <c r="B749" s="9" t="s">
        <v>43</v>
      </c>
      <c r="C749" s="9">
        <v>345</v>
      </c>
      <c r="D749" s="9" t="s">
        <v>1631</v>
      </c>
      <c r="E749" s="9">
        <v>132</v>
      </c>
      <c r="F749" s="9" t="s">
        <v>1839</v>
      </c>
      <c r="G749" s="9" t="s">
        <v>1668</v>
      </c>
      <c r="H749" s="9" t="s">
        <v>47</v>
      </c>
      <c r="I749" s="9" t="s">
        <v>1840</v>
      </c>
      <c r="J749" s="9" t="s">
        <v>1842</v>
      </c>
      <c r="K749" s="9" t="s">
        <v>1843</v>
      </c>
      <c r="L749" s="10" t="s">
        <v>1843</v>
      </c>
      <c r="M749" s="9" t="s">
        <v>51</v>
      </c>
      <c r="N749" s="9">
        <v>355</v>
      </c>
      <c r="O749" s="9" t="s">
        <v>72</v>
      </c>
      <c r="P749" s="9">
        <v>367</v>
      </c>
      <c r="Q749" s="9">
        <v>367</v>
      </c>
      <c r="R749" s="9">
        <v>0.5</v>
      </c>
      <c r="S749" s="9">
        <v>-5.6345910000000003</v>
      </c>
      <c r="T749" s="9">
        <v>104.30957100000001</v>
      </c>
      <c r="U749" s="9" t="s">
        <v>52</v>
      </c>
      <c r="V749" s="11" t="str">
        <f>VLOOKUP(L749,'[1]singkron data'!D:E,2,FALSE)</f>
        <v>PT. Innevo Karya Andesindo</v>
      </c>
      <c r="W749" s="13">
        <f>VLOOKUP(L749,'[1]update tim 2'!D:F,3,FALSE)</f>
        <v>4218770000</v>
      </c>
      <c r="X749" s="11" t="s">
        <v>55</v>
      </c>
      <c r="Y749" s="11">
        <f>VLOOKUP(L749,'[1]singkron data'!D:H,5,FALSE)</f>
        <v>0</v>
      </c>
      <c r="Z749" s="11">
        <f>VLOOKUP(L749,'[1]singkron data'!D:I,6,FALSE)</f>
        <v>0</v>
      </c>
      <c r="AA749" s="11" t="str">
        <f>VLOOKUP(L749,'[1]singkron data'!D:L,9,FALSE)</f>
        <v>kiki/081373338328</v>
      </c>
      <c r="AB749" s="11" t="s">
        <v>54</v>
      </c>
      <c r="AC749" s="11" t="str">
        <f>VLOOKUP(L749,'[1]singkron data'!D:M,10,FALSE)</f>
        <v>Aufar</v>
      </c>
      <c r="AD749" s="11" t="str">
        <f>VLOOKUP(L749,'[1]data 1129'!F:O,10,FALSE)</f>
        <v>Tahap II 146</v>
      </c>
      <c r="AE749" s="11">
        <f>VLOOKUP(L749,'[1]singkron data'!D:P,13,FALSE)</f>
        <v>0</v>
      </c>
      <c r="AF749" s="11" t="s">
        <v>55</v>
      </c>
      <c r="AG749" s="11" t="e">
        <f>VLOOKUP(L749,'[1]update kontrak'!E:K,6,FALSE)</f>
        <v>#N/A</v>
      </c>
      <c r="AH749" s="11" t="e">
        <f>VLOOKUP(L749,'[1]update kontrak'!E:K,7,FALSE)</f>
        <v>#N/A</v>
      </c>
      <c r="AI749" s="11"/>
      <c r="AJ749" s="11" t="str">
        <f>VLOOKUP(L749,[1]rekap!D:M,1,FALSE)</f>
        <v>Kota Jawa</v>
      </c>
      <c r="AK749" s="11" t="str">
        <f>VLOOKUP(L749,'[1]singkron data'!D:E,2,FALSE)</f>
        <v>PT. Innevo Karya Andesindo</v>
      </c>
      <c r="AL749" s="11" t="str">
        <f>VLOOKUP(L749,'[1]update 521'!D:D,1,FALSE)</f>
        <v>Kota Jawa</v>
      </c>
      <c r="AM749" s="11" t="s">
        <v>57</v>
      </c>
      <c r="AN749" s="11" t="e">
        <f>VLOOKUP(L749,[1]Sheet19!E:L,8,FALSE)</f>
        <v>#N/A</v>
      </c>
      <c r="AO749" s="11" t="s">
        <v>58</v>
      </c>
      <c r="AP749" s="12"/>
    </row>
    <row r="750" spans="1:42" ht="15" x14ac:dyDescent="0.2">
      <c r="A750" s="8" t="s">
        <v>42</v>
      </c>
      <c r="B750" s="9" t="s">
        <v>43</v>
      </c>
      <c r="C750" s="9">
        <v>346</v>
      </c>
      <c r="D750" s="9" t="s">
        <v>1631</v>
      </c>
      <c r="E750" s="9">
        <v>133</v>
      </c>
      <c r="F750" s="9" t="s">
        <v>1839</v>
      </c>
      <c r="G750" s="9" t="s">
        <v>1668</v>
      </c>
      <c r="H750" s="9" t="s">
        <v>47</v>
      </c>
      <c r="I750" s="9" t="s">
        <v>1840</v>
      </c>
      <c r="J750" s="9" t="s">
        <v>1844</v>
      </c>
      <c r="K750" s="9" t="s">
        <v>1845</v>
      </c>
      <c r="L750" s="10" t="s">
        <v>1845</v>
      </c>
      <c r="M750" s="9" t="s">
        <v>51</v>
      </c>
      <c r="N750" s="9">
        <v>174</v>
      </c>
      <c r="O750" s="9">
        <v>13</v>
      </c>
      <c r="P750" s="9">
        <v>187</v>
      </c>
      <c r="Q750" s="9">
        <v>200</v>
      </c>
      <c r="R750" s="9">
        <v>1</v>
      </c>
      <c r="S750" s="9">
        <v>-5.1791669999999996</v>
      </c>
      <c r="T750" s="9">
        <v>103.935833</v>
      </c>
      <c r="U750" s="9" t="s">
        <v>52</v>
      </c>
      <c r="V750" s="11" t="str">
        <f>VLOOKUP(L750,'[1]singkron data'!D:E,2,FALSE)</f>
        <v>PT. Innevo Karya Andesindo</v>
      </c>
      <c r="W750" s="13">
        <f>VLOOKUP(L750,'[1]update tim 2'!D:F,3,FALSE)</f>
        <v>4204336000</v>
      </c>
      <c r="X750" s="11" t="s">
        <v>55</v>
      </c>
      <c r="Y750" s="11" t="str">
        <f>VLOOKUP(L750,'[1]singkron data'!D:H,5,FALSE)</f>
        <v>Kabupaten Sampang</v>
      </c>
      <c r="Z750" s="11" t="str">
        <f>VLOOKUP(L750,'[1]singkron data'!D:I,6,FALSE)</f>
        <v>Online</v>
      </c>
      <c r="AA750" s="11">
        <f>VLOOKUP(L750,'[1]singkron data'!D:L,8,FALSE)</f>
        <v>0</v>
      </c>
      <c r="AB750" s="11" t="s">
        <v>54</v>
      </c>
      <c r="AC750" s="11" t="str">
        <f>VLOOKUP(L750,'[1]singkron data'!D:M,10,FALSE)</f>
        <v>Aufar</v>
      </c>
      <c r="AD750" s="11" t="str">
        <f>VLOOKUP(L750,'[1]data 1129'!F:O,10,FALSE)</f>
        <v>Tahap II 146</v>
      </c>
      <c r="AE750" s="11">
        <f>VLOOKUP(L750,'[1]singkron data'!D:P,13,FALSE)</f>
        <v>0</v>
      </c>
      <c r="AF750" s="11" t="s">
        <v>55</v>
      </c>
      <c r="AG750" s="11" t="e">
        <f>VLOOKUP(L750,'[1]update kontrak'!E:K,6,FALSE)</f>
        <v>#N/A</v>
      </c>
      <c r="AH750" s="11" t="e">
        <f>VLOOKUP(L750,'[1]update kontrak'!E:K,7,FALSE)</f>
        <v>#N/A</v>
      </c>
      <c r="AI750" s="11"/>
      <c r="AJ750" s="11" t="str">
        <f>VLOOKUP(L750,[1]rekap!D:M,1,FALSE)</f>
        <v>Pasar Kota Krui</v>
      </c>
      <c r="AK750" s="11" t="str">
        <f>VLOOKUP(L750,'[1]singkron data'!D:E,2,FALSE)</f>
        <v>PT. Innevo Karya Andesindo</v>
      </c>
      <c r="AL750" s="11" t="str">
        <f>VLOOKUP(L750,'[1]update 521'!D:D,1,FALSE)</f>
        <v>Pasar Kota Krui</v>
      </c>
      <c r="AM750" s="11" t="s">
        <v>57</v>
      </c>
      <c r="AN750" s="11" t="e">
        <f>VLOOKUP(L750,[1]Sheet19!E:L,8,FALSE)</f>
        <v>#N/A</v>
      </c>
      <c r="AO750" s="11" t="s">
        <v>58</v>
      </c>
      <c r="AP750" s="12"/>
    </row>
    <row r="751" spans="1:42" ht="15" x14ac:dyDescent="0.2">
      <c r="A751" s="8" t="s">
        <v>42</v>
      </c>
      <c r="B751" s="9" t="s">
        <v>43</v>
      </c>
      <c r="C751" s="9">
        <v>347</v>
      </c>
      <c r="D751" s="9" t="s">
        <v>1631</v>
      </c>
      <c r="E751" s="9">
        <v>134</v>
      </c>
      <c r="F751" s="9" t="s">
        <v>1846</v>
      </c>
      <c r="G751" s="9" t="s">
        <v>1668</v>
      </c>
      <c r="H751" s="9" t="s">
        <v>47</v>
      </c>
      <c r="I751" s="9" t="s">
        <v>1669</v>
      </c>
      <c r="J751" s="9" t="s">
        <v>1847</v>
      </c>
      <c r="K751" s="9" t="s">
        <v>1848</v>
      </c>
      <c r="L751" s="10" t="s">
        <v>1848</v>
      </c>
      <c r="M751" s="9" t="s">
        <v>51</v>
      </c>
      <c r="N751" s="14">
        <v>5183</v>
      </c>
      <c r="O751" s="9" t="s">
        <v>72</v>
      </c>
      <c r="P751" s="14">
        <v>1628</v>
      </c>
      <c r="Q751" s="14">
        <v>1628</v>
      </c>
      <c r="R751" s="9">
        <v>0.57999999999999996</v>
      </c>
      <c r="S751" s="9">
        <v>-5.3646000000000003</v>
      </c>
      <c r="T751" s="9">
        <v>105.81692</v>
      </c>
      <c r="U751" s="9" t="s">
        <v>52</v>
      </c>
      <c r="V751" s="11" t="str">
        <f>VLOOKUP(L751,'[1]singkron data'!D:E,2,FALSE)</f>
        <v>PT. Ratu Nayla Mandiri</v>
      </c>
      <c r="W751" s="13">
        <f>VLOOKUP(L751,'[1]update tim 2'!D:F,3,FALSE)</f>
        <v>3867506000</v>
      </c>
      <c r="X751" s="11" t="s">
        <v>55</v>
      </c>
      <c r="Y751" s="11" t="str">
        <f>VLOOKUP(L751,'[1]singkron data'!D:H,5,FALSE)</f>
        <v>Gresik</v>
      </c>
      <c r="Z751" s="11" t="str">
        <f>VLOOKUP(L751,'[1]singkron data'!D:I,6,FALSE)</f>
        <v>Online</v>
      </c>
      <c r="AA751" s="11" t="str">
        <f>VLOOKUP(L751,'[1]singkron data'!D:L,9,FALSE)</f>
        <v>pt.ratunaylamandiri313@gmail.com/081212846377</v>
      </c>
      <c r="AB751" s="11" t="s">
        <v>54</v>
      </c>
      <c r="AC751" s="11" t="str">
        <f>VLOOKUP(L751,'[1]singkron data'!D:M,10,FALSE)</f>
        <v>TK</v>
      </c>
      <c r="AD751" s="11" t="str">
        <f>VLOOKUP(L751,'[1]data 1129'!F:O,10,FALSE)</f>
        <v>Tahap II 146</v>
      </c>
      <c r="AE751" s="11">
        <f>VLOOKUP(L751,'[1]singkron data'!D:P,13,FALSE)</f>
        <v>0</v>
      </c>
      <c r="AF751" s="11" t="s">
        <v>55</v>
      </c>
      <c r="AG751" s="11" t="e">
        <f>VLOOKUP(L751,'[1]update kontrak'!E:K,6,FALSE)</f>
        <v>#N/A</v>
      </c>
      <c r="AH751" s="11" t="e">
        <f>VLOOKUP(L751,'[1]update kontrak'!E:K,7,FALSE)</f>
        <v>#N/A</v>
      </c>
      <c r="AI751" s="11"/>
      <c r="AJ751" s="11" t="str">
        <f>VLOOKUP(L751,[1]rekap!D:M,1,FALSE)</f>
        <v>Muara Gading Mas</v>
      </c>
      <c r="AK751" s="11" t="str">
        <f>VLOOKUP(L751,'[1]singkron data'!D:E,2,FALSE)</f>
        <v>PT. Ratu Nayla Mandiri</v>
      </c>
      <c r="AL751" s="11" t="str">
        <f>VLOOKUP(L751,'[1]update 521'!D:D,1,FALSE)</f>
        <v>Muara Gading Mas</v>
      </c>
      <c r="AM751" s="11" t="s">
        <v>57</v>
      </c>
      <c r="AN751" s="11" t="e">
        <f>VLOOKUP(L751,[1]Sheet19!E:L,8,FALSE)</f>
        <v>#N/A</v>
      </c>
      <c r="AO751" s="11" t="s">
        <v>58</v>
      </c>
      <c r="AP751" s="12"/>
    </row>
    <row r="752" spans="1:42" ht="15" x14ac:dyDescent="0.2">
      <c r="A752" s="8" t="s">
        <v>42</v>
      </c>
      <c r="B752" s="9" t="s">
        <v>43</v>
      </c>
      <c r="C752" s="9">
        <v>348</v>
      </c>
      <c r="D752" s="9" t="s">
        <v>1631</v>
      </c>
      <c r="E752" s="9">
        <v>135</v>
      </c>
      <c r="F752" s="9" t="s">
        <v>1849</v>
      </c>
      <c r="G752" s="9" t="s">
        <v>1633</v>
      </c>
      <c r="H752" s="9" t="s">
        <v>47</v>
      </c>
      <c r="I752" s="9" t="s">
        <v>1673</v>
      </c>
      <c r="J752" s="9" t="s">
        <v>1850</v>
      </c>
      <c r="K752" s="9" t="s">
        <v>1851</v>
      </c>
      <c r="L752" s="37" t="s">
        <v>1851</v>
      </c>
      <c r="M752" s="9" t="s">
        <v>81</v>
      </c>
      <c r="N752" s="9">
        <v>283</v>
      </c>
      <c r="O752" s="9">
        <v>50</v>
      </c>
      <c r="P752" s="9">
        <v>153</v>
      </c>
      <c r="Q752" s="9">
        <v>203</v>
      </c>
      <c r="R752" s="9">
        <v>0.16</v>
      </c>
      <c r="S752" s="9">
        <v>0.37203599999999998</v>
      </c>
      <c r="T752" s="9">
        <v>104.52718299999999</v>
      </c>
      <c r="U752" s="9" t="s">
        <v>52</v>
      </c>
      <c r="V752" s="11"/>
      <c r="W752" s="11"/>
      <c r="X752" s="11"/>
      <c r="Y752" s="11">
        <f>VLOOKUP(L752,'[1]singkron data'!D:H,5,FALSE)</f>
        <v>0</v>
      </c>
      <c r="Z752" s="11">
        <f>VLOOKUP(L752,'[1]singkron data'!D:I,6,FALSE)</f>
        <v>0</v>
      </c>
      <c r="AA752" s="11" t="s">
        <v>1702</v>
      </c>
      <c r="AB752" s="11" t="s">
        <v>54</v>
      </c>
      <c r="AC752" s="11" t="s">
        <v>1703</v>
      </c>
      <c r="AD752" s="11" t="str">
        <f>VLOOKUP(L752,'[1]data 1129'!F:O,10,FALSE)</f>
        <v>Tahap III 166</v>
      </c>
      <c r="AE752" s="11">
        <f>VLOOKUP(L752,'[1]singkron data'!D:P,13,FALSE)</f>
        <v>0</v>
      </c>
      <c r="AF752" s="11" t="s">
        <v>55</v>
      </c>
      <c r="AG752" s="11" t="e">
        <f>VLOOKUP(L752,'[1]update kontrak'!E:K,6,FALSE)</f>
        <v>#N/A</v>
      </c>
      <c r="AH752" s="11" t="e">
        <f>VLOOKUP(L752,'[1]update kontrak'!E:K,7,FALSE)</f>
        <v>#N/A</v>
      </c>
      <c r="AI752" s="11"/>
      <c r="AJ752" s="11" t="str">
        <f>VLOOKUP(L752,[1]rekap!D:M,1,FALSE)</f>
        <v>Mensanak</v>
      </c>
      <c r="AK752" s="11" t="str">
        <f>VLOOKUP(L752,'[1]singkron data'!D:E,2,FALSE)</f>
        <v>PT. Ibnu Munsyir Dwi Guna</v>
      </c>
      <c r="AL752" s="11" t="str">
        <f>VLOOKUP(L752,'[1]update 521'!D:D,1,FALSE)</f>
        <v>Mensanak</v>
      </c>
      <c r="AM752" s="11" t="s">
        <v>96</v>
      </c>
      <c r="AN752" s="11" t="s">
        <v>1704</v>
      </c>
      <c r="AO752" s="11" t="s">
        <v>1702</v>
      </c>
      <c r="AP752" s="12" t="s">
        <v>268</v>
      </c>
    </row>
    <row r="753" spans="1:42" ht="15" x14ac:dyDescent="0.2">
      <c r="A753" s="8" t="s">
        <v>42</v>
      </c>
      <c r="B753" s="9" t="s">
        <v>43</v>
      </c>
      <c r="C753" s="9">
        <v>349</v>
      </c>
      <c r="D753" s="9" t="s">
        <v>1631</v>
      </c>
      <c r="E753" s="9">
        <v>136</v>
      </c>
      <c r="F753" s="9" t="s">
        <v>1849</v>
      </c>
      <c r="G753" s="9" t="s">
        <v>1633</v>
      </c>
      <c r="H753" s="9" t="s">
        <v>47</v>
      </c>
      <c r="I753" s="9" t="s">
        <v>1673</v>
      </c>
      <c r="J753" s="9" t="s">
        <v>1850</v>
      </c>
      <c r="K753" s="9" t="s">
        <v>1852</v>
      </c>
      <c r="L753" s="37" t="s">
        <v>1852</v>
      </c>
      <c r="M753" s="9" t="s">
        <v>81</v>
      </c>
      <c r="N753" s="9">
        <v>216</v>
      </c>
      <c r="O753" s="9">
        <v>10</v>
      </c>
      <c r="P753" s="9">
        <v>206</v>
      </c>
      <c r="Q753" s="9">
        <v>216</v>
      </c>
      <c r="R753" s="9">
        <v>0.12</v>
      </c>
      <c r="S753" s="9">
        <v>0.46406999999999998</v>
      </c>
      <c r="T753" s="9">
        <v>104.45318899999999</v>
      </c>
      <c r="U753" s="9" t="s">
        <v>52</v>
      </c>
      <c r="V753" s="11"/>
      <c r="W753" s="11"/>
      <c r="X753" s="11"/>
      <c r="Y753" s="11">
        <f>VLOOKUP(L753,'[1]singkron data'!D:H,5,FALSE)</f>
        <v>0</v>
      </c>
      <c r="Z753" s="11">
        <f>VLOOKUP(L753,'[1]singkron data'!D:I,6,FALSE)</f>
        <v>0</v>
      </c>
      <c r="AA753" s="11" t="s">
        <v>1702</v>
      </c>
      <c r="AB753" s="11" t="s">
        <v>54</v>
      </c>
      <c r="AC753" s="11" t="s">
        <v>1703</v>
      </c>
      <c r="AD753" s="11" t="str">
        <f>VLOOKUP(L753,'[1]data 1129'!F:O,10,FALSE)</f>
        <v>Tahap III 166</v>
      </c>
      <c r="AE753" s="11">
        <f>VLOOKUP(L753,'[1]singkron data'!D:P,13,FALSE)</f>
        <v>0</v>
      </c>
      <c r="AF753" s="11" t="s">
        <v>55</v>
      </c>
      <c r="AG753" s="11" t="e">
        <f>VLOOKUP(L753,'[1]update kontrak'!E:K,6,FALSE)</f>
        <v>#N/A</v>
      </c>
      <c r="AH753" s="11" t="e">
        <f>VLOOKUP(L753,'[1]update kontrak'!E:K,7,FALSE)</f>
        <v>#N/A</v>
      </c>
      <c r="AI753" s="11"/>
      <c r="AJ753" s="11" t="str">
        <f>VLOOKUP(L753,[1]rekap!D:M,1,FALSE)</f>
        <v>Benan</v>
      </c>
      <c r="AK753" s="11" t="str">
        <f>VLOOKUP(L753,'[1]singkron data'!D:E,2,FALSE)</f>
        <v>PT. Ibnu Munsyir Dwi Guna</v>
      </c>
      <c r="AL753" s="11" t="str">
        <f>VLOOKUP(L753,'[1]update 521'!D:D,1,FALSE)</f>
        <v>Benan</v>
      </c>
      <c r="AM753" s="11" t="s">
        <v>96</v>
      </c>
      <c r="AN753" s="11" t="s">
        <v>1704</v>
      </c>
      <c r="AO753" s="11" t="s">
        <v>1702</v>
      </c>
      <c r="AP753" s="12" t="s">
        <v>268</v>
      </c>
    </row>
    <row r="754" spans="1:42" ht="15" x14ac:dyDescent="0.2">
      <c r="A754" s="8" t="s">
        <v>42</v>
      </c>
      <c r="B754" s="9" t="s">
        <v>43</v>
      </c>
      <c r="C754" s="9">
        <v>350</v>
      </c>
      <c r="D754" s="9" t="s">
        <v>1631</v>
      </c>
      <c r="E754" s="9">
        <v>137</v>
      </c>
      <c r="F754" s="9" t="s">
        <v>1853</v>
      </c>
      <c r="G754" s="9" t="s">
        <v>1854</v>
      </c>
      <c r="H754" s="9" t="s">
        <v>47</v>
      </c>
      <c r="I754" s="9" t="s">
        <v>1855</v>
      </c>
      <c r="J754" s="9" t="s">
        <v>1856</v>
      </c>
      <c r="K754" s="9" t="s">
        <v>1857</v>
      </c>
      <c r="L754" s="10" t="s">
        <v>1857</v>
      </c>
      <c r="M754" s="9" t="s">
        <v>51</v>
      </c>
      <c r="N754" s="9">
        <v>136</v>
      </c>
      <c r="O754" s="9">
        <v>4</v>
      </c>
      <c r="P754" s="9">
        <v>203</v>
      </c>
      <c r="Q754" s="9">
        <v>207</v>
      </c>
      <c r="R754" s="9">
        <v>0.3</v>
      </c>
      <c r="S754" s="9">
        <v>-4.8005000000000004</v>
      </c>
      <c r="T754" s="9">
        <v>103.3482222</v>
      </c>
      <c r="U754" s="9" t="s">
        <v>52</v>
      </c>
      <c r="V754" s="11" t="s">
        <v>1858</v>
      </c>
      <c r="W754" s="13">
        <f>VLOOKUP(L754,'[1]update tim 2'!D:F,3,FALSE)</f>
        <v>5769986000</v>
      </c>
      <c r="X754" s="11" t="s">
        <v>55</v>
      </c>
      <c r="Y754" s="11" t="str">
        <f>VLOOKUP(L754,'[1]singkron data'!D:H,5,FALSE)</f>
        <v>Kota Bengkulu</v>
      </c>
      <c r="Z754" s="11" t="str">
        <f>VLOOKUP(L754,'[1]singkron data'!D:I,6,FALSE)</f>
        <v>Offline</v>
      </c>
      <c r="AA754" s="11">
        <f>VLOOKUP(L754,'[1]singkron data'!D:L,8,FALSE)</f>
        <v>0</v>
      </c>
      <c r="AB754" s="11" t="s">
        <v>54</v>
      </c>
      <c r="AC754" s="11" t="s">
        <v>1859</v>
      </c>
      <c r="AD754" s="11" t="str">
        <f>VLOOKUP(L754,'[1]data 1129'!F:O,10,FALSE)</f>
        <v>Tahap III 166</v>
      </c>
      <c r="AE754" s="11">
        <f>VLOOKUP(L754,'[1]singkron data'!D:P,13,FALSE)</f>
        <v>0</v>
      </c>
      <c r="AF754" s="11" t="s">
        <v>55</v>
      </c>
      <c r="AG754" s="11" t="e">
        <f>VLOOKUP(L754,'[1]update kontrak'!E:K,6,FALSE)</f>
        <v>#N/A</v>
      </c>
      <c r="AH754" s="11" t="e">
        <f>VLOOKUP(L754,'[1]update kontrak'!E:K,7,FALSE)</f>
        <v>#N/A</v>
      </c>
      <c r="AI754" s="11"/>
      <c r="AJ754" s="11" t="str">
        <f>VLOOKUP(L754,[1]rekap!D:M,1,FALSE)</f>
        <v>Pasar Lama</v>
      </c>
      <c r="AK754" s="11" t="str">
        <f>VLOOKUP(L754,'[1]singkron data'!D:E,2,FALSE)</f>
        <v>PT. Burniat Indah Karya</v>
      </c>
      <c r="AL754" s="11" t="str">
        <f>VLOOKUP(L754,'[1]update 521'!D:D,1,FALSE)</f>
        <v>Pasar Lama</v>
      </c>
      <c r="AM754" s="11" t="s">
        <v>57</v>
      </c>
      <c r="AN754" s="11" t="e">
        <f>VLOOKUP(L754,[1]Sheet19!E:L,8,FALSE)</f>
        <v>#N/A</v>
      </c>
      <c r="AO754" s="11" t="s">
        <v>58</v>
      </c>
      <c r="AP754" s="12"/>
    </row>
    <row r="755" spans="1:42" ht="15" x14ac:dyDescent="0.2">
      <c r="A755" s="8" t="s">
        <v>42</v>
      </c>
      <c r="B755" s="9" t="s">
        <v>43</v>
      </c>
      <c r="C755" s="9">
        <v>351</v>
      </c>
      <c r="D755" s="9" t="s">
        <v>1631</v>
      </c>
      <c r="E755" s="9">
        <v>138</v>
      </c>
      <c r="F755" s="9" t="s">
        <v>1853</v>
      </c>
      <c r="G755" s="9" t="s">
        <v>1854</v>
      </c>
      <c r="H755" s="9" t="s">
        <v>47</v>
      </c>
      <c r="I755" s="9" t="s">
        <v>1855</v>
      </c>
      <c r="J755" s="9" t="s">
        <v>1860</v>
      </c>
      <c r="K755" s="9" t="s">
        <v>1861</v>
      </c>
      <c r="L755" s="10" t="s">
        <v>1861</v>
      </c>
      <c r="M755" s="9" t="s">
        <v>51</v>
      </c>
      <c r="N755" s="9">
        <v>64</v>
      </c>
      <c r="O755" s="9">
        <v>28</v>
      </c>
      <c r="P755" s="9">
        <v>35</v>
      </c>
      <c r="Q755" s="9">
        <v>63</v>
      </c>
      <c r="R755" s="9">
        <v>1</v>
      </c>
      <c r="S755" s="9">
        <v>-4.8673080000000004</v>
      </c>
      <c r="T755" s="9">
        <v>103.432863</v>
      </c>
      <c r="U755" s="9" t="s">
        <v>52</v>
      </c>
      <c r="V755" s="11" t="s">
        <v>1858</v>
      </c>
      <c r="W755" s="13">
        <f>VLOOKUP(L755,'[1]update tim 2'!D:F,3,FALSE)</f>
        <v>5625876000</v>
      </c>
      <c r="X755" s="11" t="s">
        <v>55</v>
      </c>
      <c r="Y755" s="11" t="str">
        <f>VLOOKUP(L755,'[1]singkron data'!D:H,5,FALSE)</f>
        <v>Kota Bengkulu</v>
      </c>
      <c r="Z755" s="11" t="str">
        <f>VLOOKUP(L755,'[1]singkron data'!D:I,6,FALSE)</f>
        <v>Offline</v>
      </c>
      <c r="AA755" s="11">
        <f>VLOOKUP(L755,'[1]singkron data'!D:L,8,FALSE)</f>
        <v>0</v>
      </c>
      <c r="AB755" s="11" t="s">
        <v>54</v>
      </c>
      <c r="AC755" s="11" t="s">
        <v>1859</v>
      </c>
      <c r="AD755" s="11" t="str">
        <f>VLOOKUP(L755,'[1]data 1129'!F:O,10,FALSE)</f>
        <v>Tahap III 166</v>
      </c>
      <c r="AE755" s="11">
        <f>VLOOKUP(L755,'[1]singkron data'!D:P,13,FALSE)</f>
        <v>0</v>
      </c>
      <c r="AF755" s="11" t="s">
        <v>55</v>
      </c>
      <c r="AG755" s="11" t="e">
        <f>VLOOKUP(L755,'[1]update kontrak'!E:K,6,FALSE)</f>
        <v>#N/A</v>
      </c>
      <c r="AH755" s="11" t="e">
        <f>VLOOKUP(L755,'[1]update kontrak'!E:K,7,FALSE)</f>
        <v>#N/A</v>
      </c>
      <c r="AI755" s="11"/>
      <c r="AJ755" s="11" t="str">
        <f>VLOOKUP(L755,[1]rekap!D:M,1,FALSE)</f>
        <v>Way Hawang</v>
      </c>
      <c r="AK755" s="11" t="str">
        <f>VLOOKUP(L755,'[1]singkron data'!D:E,2,FALSE)</f>
        <v>PT. Burniat Indah Karya</v>
      </c>
      <c r="AL755" s="11" t="str">
        <f>VLOOKUP(L755,'[1]update 521'!D:D,1,FALSE)</f>
        <v>Way Hawang</v>
      </c>
      <c r="AM755" s="11" t="s">
        <v>57</v>
      </c>
      <c r="AN755" s="11" t="e">
        <f>VLOOKUP(L755,[1]Sheet19!E:L,8,FALSE)</f>
        <v>#N/A</v>
      </c>
      <c r="AO755" s="11" t="s">
        <v>58</v>
      </c>
      <c r="AP755" s="12"/>
    </row>
    <row r="756" spans="1:42" ht="15" x14ac:dyDescent="0.2">
      <c r="A756" s="8" t="s">
        <v>42</v>
      </c>
      <c r="B756" s="9" t="s">
        <v>43</v>
      </c>
      <c r="C756" s="9">
        <v>352</v>
      </c>
      <c r="D756" s="9" t="s">
        <v>1631</v>
      </c>
      <c r="E756" s="9">
        <v>139</v>
      </c>
      <c r="F756" s="9" t="s">
        <v>1853</v>
      </c>
      <c r="G756" s="9" t="s">
        <v>1668</v>
      </c>
      <c r="H756" s="9" t="s">
        <v>47</v>
      </c>
      <c r="I756" s="9" t="s">
        <v>1840</v>
      </c>
      <c r="J756" s="9" t="s">
        <v>1862</v>
      </c>
      <c r="K756" s="9" t="s">
        <v>1863</v>
      </c>
      <c r="L756" s="10" t="s">
        <v>1863</v>
      </c>
      <c r="M756" s="9" t="s">
        <v>51</v>
      </c>
      <c r="N756" s="9">
        <v>150</v>
      </c>
      <c r="O756" s="9">
        <v>20</v>
      </c>
      <c r="P756" s="9">
        <v>40</v>
      </c>
      <c r="Q756" s="9">
        <v>60</v>
      </c>
      <c r="R756" s="9">
        <v>0.41</v>
      </c>
      <c r="S756" s="9">
        <v>-5.0385869999999997</v>
      </c>
      <c r="T756" s="9">
        <v>103.789683</v>
      </c>
      <c r="U756" s="9" t="s">
        <v>52</v>
      </c>
      <c r="V756" s="11" t="s">
        <v>1864</v>
      </c>
      <c r="W756" s="13">
        <f>VLOOKUP(L756,'[1]update tim 2'!D:F,3,FALSE)</f>
        <v>3949041000</v>
      </c>
      <c r="X756" s="11" t="s">
        <v>55</v>
      </c>
      <c r="Y756" s="11" t="str">
        <f>VLOOKUP(L756,'[1]singkron data'!D:H,5,FALSE)</f>
        <v>Kota Bengkulu</v>
      </c>
      <c r="Z756" s="11" t="str">
        <f>VLOOKUP(L756,'[1]singkron data'!D:I,6,FALSE)</f>
        <v>Offline</v>
      </c>
      <c r="AA756" s="11" t="s">
        <v>1865</v>
      </c>
      <c r="AB756" s="11" t="s">
        <v>54</v>
      </c>
      <c r="AC756" s="11" t="s">
        <v>1646</v>
      </c>
      <c r="AD756" s="11" t="str">
        <f>VLOOKUP(L756,'[1]data 1129'!F:O,10,FALSE)</f>
        <v>Tahap IV 200</v>
      </c>
      <c r="AE756" s="11">
        <f>VLOOKUP(L756,'[1]singkron data'!D:P,13,FALSE)</f>
        <v>0</v>
      </c>
      <c r="AF756" s="11" t="s">
        <v>55</v>
      </c>
      <c r="AG756" s="11" t="e">
        <f>VLOOKUP(L756,'[1]update kontrak'!E:K,6,FALSE)</f>
        <v>#N/A</v>
      </c>
      <c r="AH756" s="11" t="e">
        <f>VLOOKUP(L756,'[1]update kontrak'!E:K,7,FALSE)</f>
        <v>#N/A</v>
      </c>
      <c r="AI756" s="11"/>
      <c r="AJ756" s="11" t="str">
        <f>VLOOKUP(L756,[1]rekap!D:M,1,FALSE)</f>
        <v>Balam</v>
      </c>
      <c r="AK756" s="11" t="str">
        <f>VLOOKUP(L756,'[1]singkron data'!D:E,2,FALSE)</f>
        <v>PT. Burniat Indah Karya</v>
      </c>
      <c r="AL756" s="11" t="str">
        <f>VLOOKUP(L756,'[1]update 521'!D:D,1,FALSE)</f>
        <v>Balam</v>
      </c>
      <c r="AM756" s="11" t="s">
        <v>57</v>
      </c>
      <c r="AN756" s="11" t="e">
        <f>VLOOKUP(L756,[1]Sheet19!E:L,8,FALSE)</f>
        <v>#N/A</v>
      </c>
      <c r="AO756" s="11" t="s">
        <v>58</v>
      </c>
      <c r="AP756" s="12"/>
    </row>
    <row r="757" spans="1:42" ht="15" x14ac:dyDescent="0.2">
      <c r="A757" s="8" t="s">
        <v>42</v>
      </c>
      <c r="B757" s="9" t="s">
        <v>43</v>
      </c>
      <c r="C757" s="9">
        <v>353</v>
      </c>
      <c r="D757" s="9" t="s">
        <v>1631</v>
      </c>
      <c r="E757" s="9">
        <v>140</v>
      </c>
      <c r="F757" s="9" t="s">
        <v>1866</v>
      </c>
      <c r="G757" s="9" t="s">
        <v>1831</v>
      </c>
      <c r="H757" s="9" t="s">
        <v>47</v>
      </c>
      <c r="I757" s="9" t="s">
        <v>1867</v>
      </c>
      <c r="J757" s="9" t="s">
        <v>1868</v>
      </c>
      <c r="K757" s="9" t="s">
        <v>1869</v>
      </c>
      <c r="L757" s="10" t="s">
        <v>1869</v>
      </c>
      <c r="M757" s="9" t="s">
        <v>51</v>
      </c>
      <c r="N757" s="9">
        <v>50</v>
      </c>
      <c r="O757" s="9" t="s">
        <v>72</v>
      </c>
      <c r="P757" s="9">
        <v>30</v>
      </c>
      <c r="Q757" s="9">
        <v>30</v>
      </c>
      <c r="R757" s="9">
        <v>1.5</v>
      </c>
      <c r="S757" s="9">
        <v>-0.71556900000000001</v>
      </c>
      <c r="T757" s="9">
        <v>100.199039</v>
      </c>
      <c r="U757" s="9" t="s">
        <v>52</v>
      </c>
      <c r="V757" s="11" t="str">
        <f>VLOOKUP(L757,'[1]singkron data'!D:E,2,FALSE)</f>
        <v>PT. Catur Pilar Cakrawala</v>
      </c>
      <c r="W757" s="13">
        <f>VLOOKUP(L757,'[1]update tim 2'!D:F,3,FALSE)</f>
        <v>4946941000</v>
      </c>
      <c r="X757" s="11" t="s">
        <v>55</v>
      </c>
      <c r="Y757" s="11">
        <f>VLOOKUP(L757,'[1]singkron data'!D:H,5,FALSE)</f>
        <v>0</v>
      </c>
      <c r="Z757" s="11">
        <f>VLOOKUP(L757,'[1]singkron data'!D:I,6,FALSE)</f>
        <v>0</v>
      </c>
      <c r="AA757" s="11">
        <f>VLOOKUP(L757,'[1]singkron data'!D:L,9,FALSE)</f>
        <v>0</v>
      </c>
      <c r="AB757" s="11" t="s">
        <v>54</v>
      </c>
      <c r="AC757" s="11" t="s">
        <v>95</v>
      </c>
      <c r="AD757" s="11" t="str">
        <f>VLOOKUP(L757,'[1]data 1129'!F:O,10,FALSE)</f>
        <v>Tahap III 166</v>
      </c>
      <c r="AE757" s="11">
        <f>VLOOKUP(L757,'[1]singkron data'!D:P,13,FALSE)</f>
        <v>0</v>
      </c>
      <c r="AF757" s="11" t="s">
        <v>55</v>
      </c>
      <c r="AG757" s="11" t="e">
        <f>VLOOKUP(L757,'[1]update kontrak'!E:K,6,FALSE)</f>
        <v>#N/A</v>
      </c>
      <c r="AH757" s="11" t="e">
        <f>VLOOKUP(L757,'[1]update kontrak'!E:K,7,FALSE)</f>
        <v>#N/A</v>
      </c>
      <c r="AI757" s="11"/>
      <c r="AJ757" s="11" t="str">
        <f>VLOOKUP(L757,[1]rekap!D:M,1,FALSE)</f>
        <v>Seulayat Ulakan</v>
      </c>
      <c r="AK757" s="11" t="str">
        <f>VLOOKUP(L757,'[1]singkron data'!D:E,2,FALSE)</f>
        <v>PT. Catur Pilar Cakrawala</v>
      </c>
      <c r="AL757" s="11" t="str">
        <f>VLOOKUP(L757,'[1]update 521'!D:D,1,FALSE)</f>
        <v>Seulayat Ulakan</v>
      </c>
      <c r="AM757" s="11" t="s">
        <v>57</v>
      </c>
      <c r="AN757" s="11" t="e">
        <f>VLOOKUP(L757,[1]Sheet19!E:L,8,FALSE)</f>
        <v>#N/A</v>
      </c>
      <c r="AO757" s="11" t="s">
        <v>58</v>
      </c>
      <c r="AP757" s="12"/>
    </row>
    <row r="758" spans="1:42" ht="15" x14ac:dyDescent="0.2">
      <c r="A758" s="8" t="s">
        <v>42</v>
      </c>
      <c r="B758" s="9" t="s">
        <v>43</v>
      </c>
      <c r="C758" s="9">
        <v>354</v>
      </c>
      <c r="D758" s="9" t="s">
        <v>1631</v>
      </c>
      <c r="E758" s="9">
        <v>141</v>
      </c>
      <c r="F758" s="9" t="s">
        <v>1870</v>
      </c>
      <c r="G758" s="9" t="s">
        <v>1656</v>
      </c>
      <c r="H758" s="9" t="s">
        <v>47</v>
      </c>
      <c r="I758" s="9" t="s">
        <v>1871</v>
      </c>
      <c r="J758" s="9" t="s">
        <v>1872</v>
      </c>
      <c r="K758" s="9" t="s">
        <v>1873</v>
      </c>
      <c r="L758" s="9" t="s">
        <v>1873</v>
      </c>
      <c r="M758" s="9" t="s">
        <v>65</v>
      </c>
      <c r="N758" s="9">
        <v>543</v>
      </c>
      <c r="O758" s="9">
        <v>5</v>
      </c>
      <c r="P758" s="9">
        <v>148</v>
      </c>
      <c r="Q758" s="9">
        <v>153</v>
      </c>
      <c r="R758" s="9">
        <v>1.1499999999999999</v>
      </c>
      <c r="S758" s="9">
        <v>4.1395479999999996</v>
      </c>
      <c r="T758" s="9">
        <v>96.133684000000002</v>
      </c>
      <c r="U758" s="9"/>
      <c r="V758" s="11" t="e">
        <f>VLOOKUP(L758,'[1]singkron data'!D:E,2,FALSE)</f>
        <v>#N/A</v>
      </c>
      <c r="W758" s="11"/>
      <c r="X758" s="11"/>
      <c r="Y758" s="11" t="e">
        <f>VLOOKUP(L758,'[1]singkron data'!D:H,5,FALSE)</f>
        <v>#N/A</v>
      </c>
      <c r="Z758" s="11" t="e">
        <f>VLOOKUP(L758,'[1]singkron data'!D:I,6,FALSE)</f>
        <v>#N/A</v>
      </c>
      <c r="AA758" s="11" t="e">
        <f>VLOOKUP(L758,'[1]singkron data'!D:L,9,FALSE)</f>
        <v>#N/A</v>
      </c>
      <c r="AB758" s="11" t="s">
        <v>694</v>
      </c>
      <c r="AC758" s="11" t="e">
        <f>VLOOKUP(L758,'[1]singkron data'!D:M,10,FALSE)</f>
        <v>#N/A</v>
      </c>
      <c r="AD758" s="11" t="s">
        <v>364</v>
      </c>
      <c r="AE758" s="11" t="e">
        <f>VLOOKUP(L758,'[1]singkron data'!D:P,13,FALSE)</f>
        <v>#N/A</v>
      </c>
      <c r="AF758" s="11" t="s">
        <v>55</v>
      </c>
      <c r="AG758" s="11" t="e">
        <f>VLOOKUP(L758,'[1]update kontrak'!E:K,6,FALSE)</f>
        <v>#N/A</v>
      </c>
      <c r="AH758" s="11" t="e">
        <f>VLOOKUP(L758,'[1]update kontrak'!E:K,7,FALSE)</f>
        <v>#N/A</v>
      </c>
      <c r="AI758" s="11"/>
      <c r="AJ758" s="11" t="str">
        <f>VLOOKUP(L758,[1]rekap!D:M,1,FALSE)</f>
        <v>Padang Seurahet</v>
      </c>
      <c r="AK758" s="11" t="e">
        <f>VLOOKUP(L758,'[1]singkron data'!D:E,2,FALSE)</f>
        <v>#N/A</v>
      </c>
      <c r="AL758" s="11" t="str">
        <f>VLOOKUP(L758,'[1]update 521'!D:D,1,FALSE)</f>
        <v>Padang Seurahet</v>
      </c>
      <c r="AM758" s="11" t="s">
        <v>96</v>
      </c>
      <c r="AN758" s="11" t="e">
        <f>VLOOKUP(L758,[1]Sheet19!E:L,8,FALSE)</f>
        <v>#N/A</v>
      </c>
      <c r="AO758" s="11" t="e">
        <f>VLOOKUP(L758,[1]Sheet19!E:K,7,FALSE)</f>
        <v>#N/A</v>
      </c>
      <c r="AP758" s="12"/>
    </row>
    <row r="759" spans="1:42" ht="15" x14ac:dyDescent="0.2">
      <c r="A759" s="8" t="s">
        <v>42</v>
      </c>
      <c r="B759" s="9" t="s">
        <v>43</v>
      </c>
      <c r="C759" s="9">
        <v>355</v>
      </c>
      <c r="D759" s="9" t="s">
        <v>1631</v>
      </c>
      <c r="E759" s="9">
        <v>142</v>
      </c>
      <c r="F759" s="9" t="s">
        <v>1870</v>
      </c>
      <c r="G759" s="9" t="s">
        <v>1656</v>
      </c>
      <c r="H759" s="9" t="s">
        <v>47</v>
      </c>
      <c r="I759" s="9" t="s">
        <v>1871</v>
      </c>
      <c r="J759" s="9" t="s">
        <v>1874</v>
      </c>
      <c r="K759" s="9" t="s">
        <v>1875</v>
      </c>
      <c r="L759" s="9" t="s">
        <v>1875</v>
      </c>
      <c r="M759" s="9" t="s">
        <v>51</v>
      </c>
      <c r="N759" s="9">
        <v>80</v>
      </c>
      <c r="O759" s="9">
        <v>25</v>
      </c>
      <c r="P759" s="9">
        <v>50</v>
      </c>
      <c r="Q759" s="9">
        <v>75</v>
      </c>
      <c r="R759" s="9">
        <v>2.5</v>
      </c>
      <c r="S759" s="9">
        <v>4.2711499999999996</v>
      </c>
      <c r="T759" s="9">
        <v>95.971199999999996</v>
      </c>
      <c r="U759" s="9"/>
      <c r="V759" s="11" t="e">
        <f>VLOOKUP(L759,'[1]singkron data'!D:E,2,FALSE)</f>
        <v>#N/A</v>
      </c>
      <c r="W759" s="11"/>
      <c r="X759" s="11"/>
      <c r="Y759" s="11" t="e">
        <f>VLOOKUP(L759,'[1]singkron data'!D:H,5,FALSE)</f>
        <v>#N/A</v>
      </c>
      <c r="Z759" s="11" t="e">
        <f>VLOOKUP(L759,'[1]singkron data'!D:I,6,FALSE)</f>
        <v>#N/A</v>
      </c>
      <c r="AA759" s="11" t="e">
        <f>VLOOKUP(L759,'[1]singkron data'!D:L,9,FALSE)</f>
        <v>#N/A</v>
      </c>
      <c r="AB759" s="11" t="s">
        <v>694</v>
      </c>
      <c r="AC759" s="11" t="e">
        <f>VLOOKUP(L759,'[1]singkron data'!D:M,10,FALSE)</f>
        <v>#N/A</v>
      </c>
      <c r="AD759" s="11" t="s">
        <v>364</v>
      </c>
      <c r="AE759" s="11" t="e">
        <f>VLOOKUP(L759,'[1]singkron data'!D:P,13,FALSE)</f>
        <v>#N/A</v>
      </c>
      <c r="AF759" s="11" t="s">
        <v>55</v>
      </c>
      <c r="AG759" s="11" t="e">
        <f>VLOOKUP(L759,'[1]update kontrak'!E:K,6,FALSE)</f>
        <v>#N/A</v>
      </c>
      <c r="AH759" s="11" t="e">
        <f>VLOOKUP(L759,'[1]update kontrak'!E:K,7,FALSE)</f>
        <v>#N/A</v>
      </c>
      <c r="AI759" s="11"/>
      <c r="AJ759" s="11" t="str">
        <f>VLOOKUP(L759,[1]rekap!D:M,1,FALSE)</f>
        <v>Suak Seumaseh</v>
      </c>
      <c r="AK759" s="11" t="e">
        <f>VLOOKUP(L759,'[1]singkron data'!D:E,2,FALSE)</f>
        <v>#N/A</v>
      </c>
      <c r="AL759" s="11" t="str">
        <f>VLOOKUP(L759,'[1]update 521'!D:D,1,FALSE)</f>
        <v>Suak Seumaseh</v>
      </c>
      <c r="AM759" s="11" t="s">
        <v>96</v>
      </c>
      <c r="AN759" s="11" t="e">
        <f>VLOOKUP(L759,[1]Sheet19!E:L,8,FALSE)</f>
        <v>#N/A</v>
      </c>
      <c r="AO759" s="11" t="e">
        <f>VLOOKUP(L759,[1]Sheet19!E:K,7,FALSE)</f>
        <v>#N/A</v>
      </c>
      <c r="AP759" s="12"/>
    </row>
    <row r="760" spans="1:42" ht="15" x14ac:dyDescent="0.2">
      <c r="A760" s="8" t="s">
        <v>42</v>
      </c>
      <c r="B760" s="9" t="s">
        <v>43</v>
      </c>
      <c r="C760" s="9">
        <v>356</v>
      </c>
      <c r="D760" s="9" t="s">
        <v>1631</v>
      </c>
      <c r="E760" s="9">
        <v>143</v>
      </c>
      <c r="F760" s="9" t="s">
        <v>1870</v>
      </c>
      <c r="G760" s="9" t="s">
        <v>1656</v>
      </c>
      <c r="H760" s="9" t="s">
        <v>47</v>
      </c>
      <c r="I760" s="9" t="s">
        <v>1876</v>
      </c>
      <c r="J760" s="9" t="s">
        <v>1877</v>
      </c>
      <c r="K760" s="9" t="s">
        <v>1878</v>
      </c>
      <c r="L760" s="9" t="s">
        <v>1878</v>
      </c>
      <c r="M760" s="9" t="s">
        <v>51</v>
      </c>
      <c r="N760" s="9">
        <v>174</v>
      </c>
      <c r="O760" s="9" t="s">
        <v>72</v>
      </c>
      <c r="P760" s="9">
        <v>50</v>
      </c>
      <c r="Q760" s="9">
        <v>50</v>
      </c>
      <c r="R760" s="9">
        <v>0.6</v>
      </c>
      <c r="S760" s="9">
        <v>3.966367</v>
      </c>
      <c r="T760" s="9">
        <v>96.309669</v>
      </c>
      <c r="U760" s="9"/>
      <c r="V760" s="11" t="e">
        <f>VLOOKUP(L760,'[1]singkron data'!D:E,2,FALSE)</f>
        <v>#N/A</v>
      </c>
      <c r="W760" s="11"/>
      <c r="X760" s="11"/>
      <c r="Y760" s="11" t="e">
        <f>VLOOKUP(L760,'[1]singkron data'!D:H,5,FALSE)</f>
        <v>#N/A</v>
      </c>
      <c r="Z760" s="11" t="e">
        <f>VLOOKUP(L760,'[1]singkron data'!D:I,6,FALSE)</f>
        <v>#N/A</v>
      </c>
      <c r="AA760" s="11" t="e">
        <f>VLOOKUP(L760,'[1]singkron data'!D:L,9,FALSE)</f>
        <v>#N/A</v>
      </c>
      <c r="AB760" s="11" t="s">
        <v>694</v>
      </c>
      <c r="AC760" s="11" t="e">
        <f>VLOOKUP(L760,'[1]singkron data'!D:M,10,FALSE)</f>
        <v>#N/A</v>
      </c>
      <c r="AD760" s="11" t="s">
        <v>364</v>
      </c>
      <c r="AE760" s="11" t="e">
        <f>VLOOKUP(L760,'[1]singkron data'!D:P,13,FALSE)</f>
        <v>#N/A</v>
      </c>
      <c r="AF760" s="11" t="s">
        <v>55</v>
      </c>
      <c r="AG760" s="11" t="e">
        <f>VLOOKUP(L760,'[1]update kontrak'!E:K,6,FALSE)</f>
        <v>#N/A</v>
      </c>
      <c r="AH760" s="11" t="e">
        <f>VLOOKUP(L760,'[1]update kontrak'!E:K,7,FALSE)</f>
        <v>#N/A</v>
      </c>
      <c r="AI760" s="11"/>
      <c r="AJ760" s="11" t="str">
        <f>VLOOKUP(L760,[1]rekap!D:M,1,FALSE)</f>
        <v>Kuala Tadu</v>
      </c>
      <c r="AK760" s="11" t="e">
        <f>VLOOKUP(L760,'[1]singkron data'!D:E,2,FALSE)</f>
        <v>#N/A</v>
      </c>
      <c r="AL760" s="11" t="str">
        <f>VLOOKUP(L760,'[1]update 521'!D:D,1,FALSE)</f>
        <v>Kuala Tadu</v>
      </c>
      <c r="AM760" s="11" t="s">
        <v>96</v>
      </c>
      <c r="AN760" s="11" t="e">
        <f>VLOOKUP(L760,[1]Sheet19!E:L,8,FALSE)</f>
        <v>#N/A</v>
      </c>
      <c r="AO760" s="11" t="e">
        <f>VLOOKUP(L760,[1]Sheet19!E:K,7,FALSE)</f>
        <v>#N/A</v>
      </c>
      <c r="AP760" s="12"/>
    </row>
    <row r="761" spans="1:42" ht="15" x14ac:dyDescent="0.2">
      <c r="A761" s="8" t="s">
        <v>42</v>
      </c>
      <c r="B761" s="9" t="s">
        <v>43</v>
      </c>
      <c r="C761" s="9">
        <v>357</v>
      </c>
      <c r="D761" s="9" t="s">
        <v>1631</v>
      </c>
      <c r="E761" s="9">
        <v>144</v>
      </c>
      <c r="F761" s="9" t="s">
        <v>1870</v>
      </c>
      <c r="G761" s="9" t="s">
        <v>1656</v>
      </c>
      <c r="H761" s="9" t="s">
        <v>47</v>
      </c>
      <c r="I761" s="9" t="s">
        <v>1664</v>
      </c>
      <c r="J761" s="9" t="s">
        <v>1879</v>
      </c>
      <c r="K761" s="9" t="s">
        <v>1880</v>
      </c>
      <c r="L761" s="9" t="s">
        <v>1880</v>
      </c>
      <c r="M761" s="9" t="s">
        <v>51</v>
      </c>
      <c r="N761" s="9">
        <v>50</v>
      </c>
      <c r="O761" s="9">
        <v>5</v>
      </c>
      <c r="P761" s="9">
        <v>80</v>
      </c>
      <c r="Q761" s="9">
        <v>85</v>
      </c>
      <c r="R761" s="9">
        <v>0.13</v>
      </c>
      <c r="S761" s="9">
        <v>4.6433555000000002</v>
      </c>
      <c r="T761" s="9">
        <v>95.582801500000002</v>
      </c>
      <c r="U761" s="9"/>
      <c r="V761" s="11" t="e">
        <f>VLOOKUP(L761,'[1]singkron data'!D:E,2,FALSE)</f>
        <v>#N/A</v>
      </c>
      <c r="W761" s="11"/>
      <c r="X761" s="11"/>
      <c r="Y761" s="11" t="e">
        <f>VLOOKUP(L761,'[1]singkron data'!D:H,5,FALSE)</f>
        <v>#N/A</v>
      </c>
      <c r="Z761" s="11" t="e">
        <f>VLOOKUP(L761,'[1]singkron data'!D:I,6,FALSE)</f>
        <v>#N/A</v>
      </c>
      <c r="AA761" s="11" t="e">
        <f>VLOOKUP(L761,'[1]singkron data'!D:L,9,FALSE)</f>
        <v>#N/A</v>
      </c>
      <c r="AB761" s="11" t="s">
        <v>694</v>
      </c>
      <c r="AC761" s="11" t="e">
        <f>VLOOKUP(L761,'[1]singkron data'!D:M,10,FALSE)</f>
        <v>#N/A</v>
      </c>
      <c r="AD761" s="11" t="s">
        <v>364</v>
      </c>
      <c r="AE761" s="11" t="e">
        <f>VLOOKUP(L761,'[1]singkron data'!D:P,13,FALSE)</f>
        <v>#N/A</v>
      </c>
      <c r="AF761" s="11" t="s">
        <v>55</v>
      </c>
      <c r="AG761" s="11" t="e">
        <f>VLOOKUP(L761,'[1]update kontrak'!E:K,6,FALSE)</f>
        <v>#N/A</v>
      </c>
      <c r="AH761" s="11" t="e">
        <f>VLOOKUP(L761,'[1]update kontrak'!E:K,7,FALSE)</f>
        <v>#N/A</v>
      </c>
      <c r="AI761" s="11"/>
      <c r="AJ761" s="11" t="str">
        <f>VLOOKUP(L761,[1]rekap!D:M,1,FALSE)</f>
        <v>Panton Makmur</v>
      </c>
      <c r="AK761" s="11" t="e">
        <f>VLOOKUP(L761,'[1]singkron data'!D:E,2,FALSE)</f>
        <v>#N/A</v>
      </c>
      <c r="AL761" s="11" t="str">
        <f>VLOOKUP(L761,'[1]update 521'!D:D,1,FALSE)</f>
        <v>Panton Makmur</v>
      </c>
      <c r="AM761" s="11" t="s">
        <v>96</v>
      </c>
      <c r="AN761" s="11" t="e">
        <f>VLOOKUP(L761,[1]Sheet19!E:L,8,FALSE)</f>
        <v>#N/A</v>
      </c>
      <c r="AO761" s="11" t="e">
        <f>VLOOKUP(L761,[1]Sheet19!E:K,7,FALSE)</f>
        <v>#N/A</v>
      </c>
      <c r="AP761" s="12"/>
    </row>
    <row r="762" spans="1:42" ht="15" x14ac:dyDescent="0.2">
      <c r="A762" s="8" t="s">
        <v>42</v>
      </c>
      <c r="B762" s="9" t="s">
        <v>43</v>
      </c>
      <c r="C762" s="9">
        <v>358</v>
      </c>
      <c r="D762" s="9" t="s">
        <v>1631</v>
      </c>
      <c r="E762" s="9">
        <v>145</v>
      </c>
      <c r="F762" s="9" t="s">
        <v>1881</v>
      </c>
      <c r="G762" s="9" t="s">
        <v>1882</v>
      </c>
      <c r="H762" s="9" t="s">
        <v>47</v>
      </c>
      <c r="I762" s="9" t="s">
        <v>1883</v>
      </c>
      <c r="J762" s="9" t="s">
        <v>1884</v>
      </c>
      <c r="K762" s="9" t="s">
        <v>1885</v>
      </c>
      <c r="L762" s="10" t="s">
        <v>1885</v>
      </c>
      <c r="M762" s="9" t="s">
        <v>51</v>
      </c>
      <c r="N762" s="9">
        <v>230</v>
      </c>
      <c r="O762" s="9" t="s">
        <v>72</v>
      </c>
      <c r="P762" s="9">
        <v>53</v>
      </c>
      <c r="Q762" s="9">
        <v>53</v>
      </c>
      <c r="R762" s="9">
        <v>0.7</v>
      </c>
      <c r="S762" s="9">
        <v>1.5250600000000001</v>
      </c>
      <c r="T762" s="9">
        <v>102.435705</v>
      </c>
      <c r="U762" s="9" t="s">
        <v>52</v>
      </c>
      <c r="V762" s="11" t="str">
        <f>VLOOKUP(L762,'[1]singkron data'!D:E,2,FALSE)</f>
        <v>CV. Sonta Abadi</v>
      </c>
      <c r="W762" s="13">
        <f>VLOOKUP(L762,'[1]update tim 2'!D:F,3,FALSE)</f>
        <v>5076818000</v>
      </c>
      <c r="X762" s="11" t="s">
        <v>55</v>
      </c>
      <c r="Y762" s="11">
        <f>VLOOKUP(L762,'[1]singkron data'!D:H,5,FALSE)</f>
        <v>0</v>
      </c>
      <c r="Z762" s="11">
        <f>VLOOKUP(L762,'[1]singkron data'!D:I,6,FALSE)</f>
        <v>0</v>
      </c>
      <c r="AA762" s="11" t="str">
        <f>VLOOKUP(L762,'[1]singkron data'!D:L,9,FALSE)</f>
        <v>082189262966/rudi</v>
      </c>
      <c r="AB762" s="11" t="s">
        <v>54</v>
      </c>
      <c r="AC762" s="11">
        <f>VLOOKUP(L762,'[1]singkron data'!D:M,10,FALSE)</f>
        <v>0</v>
      </c>
      <c r="AD762" s="11" t="str">
        <f>VLOOKUP(L762,'[1]data 1129'!F:O,10,FALSE)</f>
        <v>Tahap IV 200</v>
      </c>
      <c r="AE762" s="11">
        <f>VLOOKUP(L762,'[1]singkron data'!D:P,13,FALSE)</f>
        <v>0</v>
      </c>
      <c r="AF762" s="11" t="s">
        <v>55</v>
      </c>
      <c r="AG762" s="11" t="e">
        <f>VLOOKUP(L762,'[1]update kontrak'!E:K,6,FALSE)</f>
        <v>#N/A</v>
      </c>
      <c r="AH762" s="11" t="e">
        <f>VLOOKUP(L762,'[1]update kontrak'!E:K,7,FALSE)</f>
        <v>#N/A</v>
      </c>
      <c r="AI762" s="11"/>
      <c r="AJ762" s="11" t="str">
        <f>VLOOKUP(L762,[1]rekap!D:M,1,FALSE)</f>
        <v>Muntai</v>
      </c>
      <c r="AK762" s="11" t="str">
        <f>VLOOKUP(L762,'[1]singkron data'!D:E,2,FALSE)</f>
        <v>CV. Sonta Abadi</v>
      </c>
      <c r="AL762" s="11" t="str">
        <f>VLOOKUP(L762,'[1]update 521'!D:D,1,FALSE)</f>
        <v>Muntai</v>
      </c>
      <c r="AM762" s="11" t="s">
        <v>57</v>
      </c>
      <c r="AN762" s="11" t="e">
        <f>VLOOKUP(L762,[1]Sheet19!E:L,8,FALSE)</f>
        <v>#N/A</v>
      </c>
      <c r="AO762" s="11" t="s">
        <v>58</v>
      </c>
      <c r="AP762" s="12"/>
    </row>
    <row r="763" spans="1:42" ht="15" x14ac:dyDescent="0.2">
      <c r="A763" s="8" t="s">
        <v>42</v>
      </c>
      <c r="B763" s="9" t="s">
        <v>43</v>
      </c>
      <c r="C763" s="9">
        <v>359</v>
      </c>
      <c r="D763" s="9" t="s">
        <v>1631</v>
      </c>
      <c r="E763" s="9">
        <v>146</v>
      </c>
      <c r="F763" s="9" t="s">
        <v>1881</v>
      </c>
      <c r="G763" s="9" t="s">
        <v>1882</v>
      </c>
      <c r="H763" s="9" t="s">
        <v>47</v>
      </c>
      <c r="I763" s="9" t="s">
        <v>1886</v>
      </c>
      <c r="J763" s="9" t="s">
        <v>1887</v>
      </c>
      <c r="K763" s="9" t="s">
        <v>1888</v>
      </c>
      <c r="L763" s="10" t="s">
        <v>1888</v>
      </c>
      <c r="M763" s="9" t="s">
        <v>51</v>
      </c>
      <c r="N763" s="9">
        <v>256</v>
      </c>
      <c r="O763" s="9">
        <v>38</v>
      </c>
      <c r="P763" s="9">
        <v>30</v>
      </c>
      <c r="Q763" s="9">
        <v>68</v>
      </c>
      <c r="R763" s="9">
        <v>0.06</v>
      </c>
      <c r="S763" s="9">
        <v>0.57590660000000005</v>
      </c>
      <c r="T763" s="9">
        <v>101.53314330000001</v>
      </c>
      <c r="U763" s="9" t="s">
        <v>52</v>
      </c>
      <c r="V763" s="11" t="str">
        <f>VLOOKUP(L763,'[1]singkron data'!D:E,2,FALSE)</f>
        <v>PT. Putra Meranti</v>
      </c>
      <c r="W763" s="13">
        <f>VLOOKUP(L763,'[1]update tim 2'!D:F,3,FALSE)</f>
        <v>4815074000</v>
      </c>
      <c r="X763" s="11" t="s">
        <v>55</v>
      </c>
      <c r="Y763" s="11" t="str">
        <f>VLOOKUP(L763,'[1]singkron data'!D:H,5,FALSE)</f>
        <v>Pekanbaru</v>
      </c>
      <c r="Z763" s="11" t="str">
        <f>VLOOKUP(L763,'[1]singkron data'!D:I,6,FALSE)</f>
        <v>Online</v>
      </c>
      <c r="AA763" s="11" t="str">
        <f>VLOOKUP(L763,'[1]singkron data'!D:L,9,FALSE)</f>
        <v>081268231919/efendi saputra</v>
      </c>
      <c r="AB763" s="11" t="s">
        <v>54</v>
      </c>
      <c r="AC763" s="11" t="str">
        <f>VLOOKUP(L763,'[1]singkron data'!D:M,10,FALSE)</f>
        <v>Dedd</v>
      </c>
      <c r="AD763" s="11" t="str">
        <f>VLOOKUP(L763,'[1]data 1129'!F:O,10,FALSE)</f>
        <v>Tahap IV 200</v>
      </c>
      <c r="AE763" s="11">
        <f>VLOOKUP(L763,'[1]singkron data'!D:P,13,FALSE)</f>
        <v>0</v>
      </c>
      <c r="AF763" s="11" t="s">
        <v>55</v>
      </c>
      <c r="AG763" s="11" t="e">
        <f>VLOOKUP(L763,'[1]update kontrak'!E:K,6,FALSE)</f>
        <v>#N/A</v>
      </c>
      <c r="AH763" s="11" t="e">
        <f>VLOOKUP(L763,'[1]update kontrak'!E:K,7,FALSE)</f>
        <v>#N/A</v>
      </c>
      <c r="AI763" s="11"/>
      <c r="AJ763" s="11" t="str">
        <f>VLOOKUP(L763,[1]rekap!D:M,1,FALSE)</f>
        <v>Tebing Tinggi Okura</v>
      </c>
      <c r="AK763" s="11" t="str">
        <f>VLOOKUP(L763,'[1]singkron data'!D:E,2,FALSE)</f>
        <v>PT. Putra Meranti</v>
      </c>
      <c r="AL763" s="11" t="str">
        <f>VLOOKUP(L763,'[1]update 521'!D:D,1,FALSE)</f>
        <v>Tebing Tinggi Okura</v>
      </c>
      <c r="AM763" s="11" t="s">
        <v>57</v>
      </c>
      <c r="AN763" s="11" t="e">
        <f>VLOOKUP(L763,[1]Sheet19!E:L,8,FALSE)</f>
        <v>#N/A</v>
      </c>
      <c r="AO763" s="11" t="s">
        <v>58</v>
      </c>
      <c r="AP763" s="12"/>
    </row>
    <row r="764" spans="1:42" ht="15" x14ac:dyDescent="0.2">
      <c r="A764" s="8" t="s">
        <v>42</v>
      </c>
      <c r="B764" s="9" t="s">
        <v>43</v>
      </c>
      <c r="C764" s="9">
        <v>360</v>
      </c>
      <c r="D764" s="9" t="s">
        <v>1631</v>
      </c>
      <c r="E764" s="9">
        <v>147</v>
      </c>
      <c r="F764" s="9" t="s">
        <v>1881</v>
      </c>
      <c r="G764" s="9" t="s">
        <v>1882</v>
      </c>
      <c r="H764" s="9" t="s">
        <v>47</v>
      </c>
      <c r="I764" s="9" t="s">
        <v>1889</v>
      </c>
      <c r="J764" s="9" t="s">
        <v>1890</v>
      </c>
      <c r="K764" s="9" t="s">
        <v>1891</v>
      </c>
      <c r="L764" s="10" t="s">
        <v>1891</v>
      </c>
      <c r="M764" s="9" t="s">
        <v>51</v>
      </c>
      <c r="N764" s="9">
        <v>56</v>
      </c>
      <c r="O764" s="9">
        <v>2</v>
      </c>
      <c r="P764" s="9">
        <v>54</v>
      </c>
      <c r="Q764" s="9">
        <v>56</v>
      </c>
      <c r="R764" s="9">
        <v>0.1</v>
      </c>
      <c r="S764" s="9">
        <v>1.1389216</v>
      </c>
      <c r="T764" s="9">
        <v>102.1695524</v>
      </c>
      <c r="U764" s="9" t="s">
        <v>52</v>
      </c>
      <c r="V764" s="11" t="str">
        <f>VLOOKUP(L764,'[1]singkron data'!D:E,2,FALSE)</f>
        <v>PT. Putra Meranti</v>
      </c>
      <c r="W764" s="13">
        <f>VLOOKUP(L764,'[1]update tim 2'!D:F,3,FALSE)</f>
        <v>4694272000</v>
      </c>
      <c r="X764" s="11" t="s">
        <v>55</v>
      </c>
      <c r="Y764" s="11" t="str">
        <f>VLOOKUP(L764,'[1]singkron data'!D:H,5,FALSE)</f>
        <v>Pekanbaru</v>
      </c>
      <c r="Z764" s="11" t="str">
        <f>VLOOKUP(L764,'[1]singkron data'!D:I,6,FALSE)</f>
        <v>Online</v>
      </c>
      <c r="AA764" s="11" t="str">
        <f>VLOOKUP(L764,'[1]singkron data'!D:L,9,FALSE)</f>
        <v>081268231919/efendi saputra</v>
      </c>
      <c r="AB764" s="11" t="s">
        <v>54</v>
      </c>
      <c r="AC764" s="11" t="str">
        <f>VLOOKUP(L764,'[1]singkron data'!D:M,10,FALSE)</f>
        <v>Dedd</v>
      </c>
      <c r="AD764" s="11" t="str">
        <f>VLOOKUP(L764,'[1]data 1129'!F:O,10,FALSE)</f>
        <v>Tahap IV 200</v>
      </c>
      <c r="AE764" s="11">
        <f>VLOOKUP(L764,'[1]singkron data'!D:P,13,FALSE)</f>
        <v>0</v>
      </c>
      <c r="AF764" s="11" t="s">
        <v>55</v>
      </c>
      <c r="AG764" s="11" t="e">
        <f>VLOOKUP(L764,'[1]update kontrak'!E:K,6,FALSE)</f>
        <v>#N/A</v>
      </c>
      <c r="AH764" s="11" t="e">
        <f>VLOOKUP(L764,'[1]update kontrak'!E:K,7,FALSE)</f>
        <v>#N/A</v>
      </c>
      <c r="AI764" s="11"/>
      <c r="AJ764" s="11" t="str">
        <f>VLOOKUP(L764,[1]rekap!D:M,1,FALSE)</f>
        <v>Teluk Batil</v>
      </c>
      <c r="AK764" s="11" t="str">
        <f>VLOOKUP(L764,'[1]singkron data'!D:E,2,FALSE)</f>
        <v>PT. Putra Meranti</v>
      </c>
      <c r="AL764" s="11" t="str">
        <f>VLOOKUP(L764,'[1]update 521'!D:D,1,FALSE)</f>
        <v>Teluk Batil</v>
      </c>
      <c r="AM764" s="11" t="s">
        <v>57</v>
      </c>
      <c r="AN764" s="11" t="e">
        <f>VLOOKUP(L764,[1]Sheet19!E:L,8,FALSE)</f>
        <v>#N/A</v>
      </c>
      <c r="AO764" s="11" t="s">
        <v>58</v>
      </c>
      <c r="AP764" s="12"/>
    </row>
    <row r="765" spans="1:42" ht="15" x14ac:dyDescent="0.2">
      <c r="A765" s="8" t="s">
        <v>42</v>
      </c>
      <c r="B765" s="9" t="s">
        <v>43</v>
      </c>
      <c r="C765" s="9">
        <v>361</v>
      </c>
      <c r="D765" s="9" t="s">
        <v>1631</v>
      </c>
      <c r="E765" s="9">
        <v>148</v>
      </c>
      <c r="F765" s="9" t="s">
        <v>1881</v>
      </c>
      <c r="G765" s="9" t="s">
        <v>1882</v>
      </c>
      <c r="H765" s="9" t="s">
        <v>47</v>
      </c>
      <c r="I765" s="9" t="s">
        <v>1883</v>
      </c>
      <c r="J765" s="9" t="s">
        <v>1884</v>
      </c>
      <c r="K765" s="9" t="s">
        <v>1892</v>
      </c>
      <c r="L765" s="10" t="s">
        <v>1892</v>
      </c>
      <c r="M765" s="9" t="s">
        <v>51</v>
      </c>
      <c r="N765" s="9">
        <v>150</v>
      </c>
      <c r="O765" s="9" t="s">
        <v>72</v>
      </c>
      <c r="P765" s="9">
        <v>110</v>
      </c>
      <c r="Q765" s="9">
        <v>110</v>
      </c>
      <c r="R765" s="9">
        <v>1.86</v>
      </c>
      <c r="S765" s="9">
        <v>1.5681400000000001</v>
      </c>
      <c r="T765" s="9">
        <v>102.187439</v>
      </c>
      <c r="U765" s="9" t="s">
        <v>52</v>
      </c>
      <c r="V765" s="11" t="str">
        <f>VLOOKUP(L765,'[1]singkron data'!D:E,2,FALSE)</f>
        <v>CV. Sonta Abadi</v>
      </c>
      <c r="W765" s="13">
        <f>VLOOKUP(L765,'[1]update tim 2'!D:F,3,FALSE)</f>
        <v>4405873000</v>
      </c>
      <c r="X765" s="11" t="s">
        <v>55</v>
      </c>
      <c r="Y765" s="11">
        <f>VLOOKUP(L765,'[1]singkron data'!D:H,5,FALSE)</f>
        <v>0</v>
      </c>
      <c r="Z765" s="11">
        <f>VLOOKUP(L765,'[1]singkron data'!D:I,6,FALSE)</f>
        <v>0</v>
      </c>
      <c r="AA765" s="11" t="str">
        <f>VLOOKUP(L765,'[1]singkron data'!D:L,9,FALSE)</f>
        <v>082189262966/rudi</v>
      </c>
      <c r="AB765" s="11" t="s">
        <v>54</v>
      </c>
      <c r="AC765" s="11">
        <f>VLOOKUP(L765,'[1]singkron data'!D:M,10,FALSE)</f>
        <v>0</v>
      </c>
      <c r="AD765" s="11" t="str">
        <f>VLOOKUP(L765,'[1]data 1129'!F:O,10,FALSE)</f>
        <v>Tahap IV 200</v>
      </c>
      <c r="AE765" s="11">
        <f>VLOOKUP(L765,'[1]singkron data'!D:P,13,FALSE)</f>
        <v>0</v>
      </c>
      <c r="AF765" s="11" t="s">
        <v>55</v>
      </c>
      <c r="AG765" s="11" t="e">
        <f>VLOOKUP(L765,'[1]update kontrak'!E:K,6,FALSE)</f>
        <v>#N/A</v>
      </c>
      <c r="AH765" s="11" t="e">
        <f>VLOOKUP(L765,'[1]update kontrak'!E:K,7,FALSE)</f>
        <v>#N/A</v>
      </c>
      <c r="AI765" s="11"/>
      <c r="AJ765" s="11" t="str">
        <f>VLOOKUP(L765,[1]rekap!D:M,1,FALSE)</f>
        <v>Deluk</v>
      </c>
      <c r="AK765" s="11" t="str">
        <f>VLOOKUP(L765,'[1]singkron data'!D:E,2,FALSE)</f>
        <v>CV. Sonta Abadi</v>
      </c>
      <c r="AL765" s="11" t="str">
        <f>VLOOKUP(L765,'[1]update 521'!D:D,1,FALSE)</f>
        <v>Deluk</v>
      </c>
      <c r="AM765" s="11" t="s">
        <v>57</v>
      </c>
      <c r="AN765" s="11" t="e">
        <f>VLOOKUP(L765,[1]Sheet19!E:L,8,FALSE)</f>
        <v>#N/A</v>
      </c>
      <c r="AO765" s="11" t="s">
        <v>58</v>
      </c>
      <c r="AP765" s="12"/>
    </row>
    <row r="766" spans="1:42" ht="15" x14ac:dyDescent="0.2">
      <c r="A766" s="8" t="s">
        <v>42</v>
      </c>
      <c r="B766" s="9" t="s">
        <v>43</v>
      </c>
      <c r="C766" s="9">
        <v>362</v>
      </c>
      <c r="D766" s="9" t="s">
        <v>1631</v>
      </c>
      <c r="E766" s="9">
        <v>149</v>
      </c>
      <c r="F766" s="9" t="s">
        <v>1881</v>
      </c>
      <c r="G766" s="9" t="s">
        <v>1882</v>
      </c>
      <c r="H766" s="9" t="s">
        <v>47</v>
      </c>
      <c r="I766" s="9" t="s">
        <v>1883</v>
      </c>
      <c r="J766" s="9" t="s">
        <v>1883</v>
      </c>
      <c r="K766" s="9" t="s">
        <v>1893</v>
      </c>
      <c r="L766" s="10" t="s">
        <v>1893</v>
      </c>
      <c r="M766" s="9" t="s">
        <v>51</v>
      </c>
      <c r="N766" s="9">
        <v>160</v>
      </c>
      <c r="O766" s="9" t="s">
        <v>72</v>
      </c>
      <c r="P766" s="9">
        <v>120</v>
      </c>
      <c r="Q766" s="9">
        <v>120</v>
      </c>
      <c r="R766" s="9">
        <v>0.35</v>
      </c>
      <c r="S766" s="9">
        <v>1.5583499999999999</v>
      </c>
      <c r="T766" s="9">
        <v>102.02588</v>
      </c>
      <c r="U766" s="9" t="s">
        <v>52</v>
      </c>
      <c r="V766" s="11" t="str">
        <f>VLOOKUP(L766,'[1]singkron data'!D:E,2,FALSE)</f>
        <v>CV. Sonta Abadi</v>
      </c>
      <c r="W766" s="13">
        <f>VLOOKUP(L766,'[1]update tim 2'!D:F,3,FALSE)</f>
        <v>3747928000</v>
      </c>
      <c r="X766" s="11" t="s">
        <v>55</v>
      </c>
      <c r="Y766" s="11">
        <f>VLOOKUP(L766,'[1]singkron data'!D:H,5,FALSE)</f>
        <v>0</v>
      </c>
      <c r="Z766" s="11">
        <f>VLOOKUP(L766,'[1]singkron data'!D:I,6,FALSE)</f>
        <v>0</v>
      </c>
      <c r="AA766" s="11" t="str">
        <f>VLOOKUP(L766,'[1]singkron data'!D:L,9,FALSE)</f>
        <v>082189262966/rudi</v>
      </c>
      <c r="AB766" s="11" t="s">
        <v>54</v>
      </c>
      <c r="AC766" s="11">
        <f>VLOOKUP(L766,'[1]singkron data'!D:M,10,FALSE)</f>
        <v>0</v>
      </c>
      <c r="AD766" s="11" t="str">
        <f>VLOOKUP(L766,'[1]data 1129'!F:O,10,FALSE)</f>
        <v>Tahap IV 200</v>
      </c>
      <c r="AE766" s="11">
        <f>VLOOKUP(L766,'[1]singkron data'!D:P,13,FALSE)</f>
        <v>0</v>
      </c>
      <c r="AF766" s="11" t="s">
        <v>55</v>
      </c>
      <c r="AG766" s="11" t="e">
        <f>VLOOKUP(L766,'[1]update kontrak'!E:K,6,FALSE)</f>
        <v>#N/A</v>
      </c>
      <c r="AH766" s="11" t="e">
        <f>VLOOKUP(L766,'[1]update kontrak'!E:K,7,FALSE)</f>
        <v>#N/A</v>
      </c>
      <c r="AI766" s="11"/>
      <c r="AJ766" s="11" t="str">
        <f>VLOOKUP(L766,[1]rekap!D:M,1,FALSE)</f>
        <v>Meskom</v>
      </c>
      <c r="AK766" s="11" t="str">
        <f>VLOOKUP(L766,'[1]singkron data'!D:E,2,FALSE)</f>
        <v>CV. Sonta Abadi</v>
      </c>
      <c r="AL766" s="11" t="str">
        <f>VLOOKUP(L766,'[1]update 521'!D:D,1,FALSE)</f>
        <v>Meskom</v>
      </c>
      <c r="AM766" s="11" t="s">
        <v>57</v>
      </c>
      <c r="AN766" s="11" t="e">
        <f>VLOOKUP(L766,[1]Sheet19!E:L,8,FALSE)</f>
        <v>#N/A</v>
      </c>
      <c r="AO766" s="11" t="s">
        <v>58</v>
      </c>
      <c r="AP766" s="12"/>
    </row>
    <row r="767" spans="1:42" ht="15" x14ac:dyDescent="0.2">
      <c r="A767" s="8" t="s">
        <v>42</v>
      </c>
      <c r="B767" s="9" t="s">
        <v>43</v>
      </c>
      <c r="C767" s="9">
        <v>363</v>
      </c>
      <c r="D767" s="9" t="s">
        <v>1631</v>
      </c>
      <c r="E767" s="9">
        <v>150</v>
      </c>
      <c r="F767" s="9" t="s">
        <v>1894</v>
      </c>
      <c r="G767" s="9" t="s">
        <v>1724</v>
      </c>
      <c r="H767" s="9" t="s">
        <v>47</v>
      </c>
      <c r="I767" s="9" t="s">
        <v>1895</v>
      </c>
      <c r="J767" s="9" t="s">
        <v>1896</v>
      </c>
      <c r="K767" s="9" t="s">
        <v>1897</v>
      </c>
      <c r="L767" s="10" t="s">
        <v>1897</v>
      </c>
      <c r="M767" s="9" t="s">
        <v>65</v>
      </c>
      <c r="N767" s="9">
        <v>177</v>
      </c>
      <c r="O767" s="9" t="s">
        <v>72</v>
      </c>
      <c r="P767" s="9">
        <v>110</v>
      </c>
      <c r="Q767" s="9">
        <v>110</v>
      </c>
      <c r="R767" s="9">
        <v>1.1599999999999999</v>
      </c>
      <c r="S767" s="9">
        <v>0.39446700000000001</v>
      </c>
      <c r="T767" s="9">
        <v>99.142977999999999</v>
      </c>
      <c r="U767" s="9" t="s">
        <v>52</v>
      </c>
      <c r="V767" s="11" t="str">
        <f>VLOOKUP(L767,'[1]singkron data'!D:E,2,FALSE)</f>
        <v>PT. Pilar Persada Konstruksi</v>
      </c>
      <c r="W767" s="13">
        <f>VLOOKUP(L767,'[1]update tim 2'!D:F,3,FALSE)</f>
        <v>8493554000</v>
      </c>
      <c r="X767" s="11" t="s">
        <v>55</v>
      </c>
      <c r="Y767" s="11">
        <f>VLOOKUP(L767,'[1]singkron data'!D:H,5,FALSE)</f>
        <v>0</v>
      </c>
      <c r="Z767" s="11">
        <f>VLOOKUP(L767,'[1]singkron data'!D:I,6,FALSE)</f>
        <v>0</v>
      </c>
      <c r="AA767" s="11" t="str">
        <f>VLOOKUP(L767,'[1]singkron data'!D:L,9,FALSE)</f>
        <v>081293305027/iqbal</v>
      </c>
      <c r="AB767" s="11" t="s">
        <v>54</v>
      </c>
      <c r="AC767" s="11" t="str">
        <f>VLOOKUP(L767,'[1]singkron data'!D:M,10,FALSE)</f>
        <v>Iqbal/AM</v>
      </c>
      <c r="AD767" s="11" t="str">
        <f>VLOOKUP(L767,'[1]data 1129'!F:O,10,FALSE)</f>
        <v>Tahap III 166</v>
      </c>
      <c r="AE767" s="11">
        <f>VLOOKUP(L767,'[1]singkron data'!D:P,13,FALSE)</f>
        <v>0</v>
      </c>
      <c r="AF767" s="11" t="s">
        <v>55</v>
      </c>
      <c r="AG767" s="11" t="e">
        <f>VLOOKUP(L767,'[1]update kontrak'!E:K,6,FALSE)</f>
        <v>#N/A</v>
      </c>
      <c r="AH767" s="11" t="e">
        <f>VLOOKUP(L767,'[1]update kontrak'!E:K,7,FALSE)</f>
        <v>#N/A</v>
      </c>
      <c r="AI767" s="11"/>
      <c r="AJ767" s="11" t="str">
        <f>VLOOKUP(L767,[1]rekap!D:M,1,FALSE)</f>
        <v>Pasar Baru Batahan</v>
      </c>
      <c r="AK767" s="11" t="str">
        <f>VLOOKUP(L767,'[1]singkron data'!D:E,2,FALSE)</f>
        <v>PT. Pilar Persada Konstruksi</v>
      </c>
      <c r="AL767" s="11" t="str">
        <f>VLOOKUP(L767,'[1]update 521'!D:D,1,FALSE)</f>
        <v>Pasar Baru Batahan</v>
      </c>
      <c r="AM767" s="11" t="s">
        <v>57</v>
      </c>
      <c r="AN767" s="11" t="e">
        <f>VLOOKUP(L767,[1]Sheet19!E:L,8,FALSE)</f>
        <v>#N/A</v>
      </c>
      <c r="AO767" s="11" t="s">
        <v>58</v>
      </c>
      <c r="AP767" s="12"/>
    </row>
    <row r="768" spans="1:42" ht="15" x14ac:dyDescent="0.2">
      <c r="A768" s="8" t="s">
        <v>42</v>
      </c>
      <c r="B768" s="9" t="s">
        <v>43</v>
      </c>
      <c r="C768" s="9">
        <v>364</v>
      </c>
      <c r="D768" s="9" t="s">
        <v>1631</v>
      </c>
      <c r="E768" s="9">
        <v>151</v>
      </c>
      <c r="F768" s="9" t="s">
        <v>1894</v>
      </c>
      <c r="G768" s="9" t="s">
        <v>1724</v>
      </c>
      <c r="H768" s="9" t="s">
        <v>47</v>
      </c>
      <c r="I768" s="9" t="s">
        <v>1895</v>
      </c>
      <c r="J768" s="9" t="s">
        <v>1898</v>
      </c>
      <c r="K768" s="9" t="s">
        <v>1899</v>
      </c>
      <c r="L768" s="10" t="s">
        <v>1899</v>
      </c>
      <c r="M768" s="9" t="s">
        <v>51</v>
      </c>
      <c r="N768" s="9">
        <v>216</v>
      </c>
      <c r="O768" s="9">
        <v>40</v>
      </c>
      <c r="P768" s="9">
        <v>44</v>
      </c>
      <c r="Q768" s="9">
        <v>84</v>
      </c>
      <c r="R768" s="9">
        <v>2</v>
      </c>
      <c r="S768" s="9">
        <v>0.84165599999999996</v>
      </c>
      <c r="T768" s="9">
        <v>98.995867000000004</v>
      </c>
      <c r="U768" s="9" t="s">
        <v>52</v>
      </c>
      <c r="V768" s="11" t="str">
        <f>VLOOKUP(L768,'[1]singkron data'!D:E,2,FALSE)</f>
        <v>PT. Pilar Persada Konstruksi</v>
      </c>
      <c r="W768" s="11"/>
      <c r="X768" s="11"/>
      <c r="Y768" s="11">
        <f>VLOOKUP(L768,'[1]singkron data'!D:H,5,FALSE)</f>
        <v>0</v>
      </c>
      <c r="Z768" s="11">
        <f>VLOOKUP(L768,'[1]singkron data'!D:I,6,FALSE)</f>
        <v>0</v>
      </c>
      <c r="AA768" s="11" t="str">
        <f>VLOOKUP(L768,'[1]singkron data'!D:L,9,FALSE)</f>
        <v>081293305027/iqbal</v>
      </c>
      <c r="AB768" s="11" t="s">
        <v>54</v>
      </c>
      <c r="AC768" s="11" t="str">
        <f>VLOOKUP(L768,'[1]singkron data'!D:M,10,FALSE)</f>
        <v>Iqbal/AM</v>
      </c>
      <c r="AD768" s="11" t="str">
        <f>VLOOKUP(L768,'[1]data 1129'!F:O,10,FALSE)</f>
        <v>Tahap III 166</v>
      </c>
      <c r="AE768" s="11">
        <f>VLOOKUP(L768,'[1]singkron data'!D:P,13,FALSE)</f>
        <v>0</v>
      </c>
      <c r="AF768" s="11" t="s">
        <v>55</v>
      </c>
      <c r="AG768" s="11" t="e">
        <f>VLOOKUP(L768,'[1]update kontrak'!E:K,6,FALSE)</f>
        <v>#N/A</v>
      </c>
      <c r="AH768" s="11" t="e">
        <f>VLOOKUP(L768,'[1]update kontrak'!E:K,7,FALSE)</f>
        <v>#N/A</v>
      </c>
      <c r="AI768" s="11"/>
      <c r="AJ768" s="11" t="str">
        <f>VLOOKUP(L768,[1]rekap!D:M,1,FALSE)</f>
        <v>Tabuyung</v>
      </c>
      <c r="AK768" s="11" t="str">
        <f>VLOOKUP(L768,'[1]singkron data'!D:E,2,FALSE)</f>
        <v>PT. Pilar Persada Konstruksi</v>
      </c>
      <c r="AL768" s="11" t="str">
        <f>VLOOKUP(L768,'[1]update 521'!D:D,1,FALSE)</f>
        <v>Tabuyung</v>
      </c>
      <c r="AM768" s="11" t="s">
        <v>96</v>
      </c>
      <c r="AN768" s="11" t="e">
        <f>VLOOKUP(L768,[1]Sheet19!E:L,8,FALSE)</f>
        <v>#N/A</v>
      </c>
      <c r="AO768" s="11" t="e">
        <f>VLOOKUP(L768,[1]Sheet19!E:K,7,FALSE)</f>
        <v>#N/A</v>
      </c>
      <c r="AP768" s="12"/>
    </row>
    <row r="769" spans="1:42" ht="15" x14ac:dyDescent="0.2">
      <c r="A769" s="8" t="s">
        <v>42</v>
      </c>
      <c r="B769" s="9" t="s">
        <v>43</v>
      </c>
      <c r="C769" s="9">
        <v>365</v>
      </c>
      <c r="D769" s="9" t="s">
        <v>1631</v>
      </c>
      <c r="E769" s="9">
        <v>152</v>
      </c>
      <c r="F769" s="9" t="s">
        <v>1894</v>
      </c>
      <c r="G769" s="9" t="s">
        <v>1724</v>
      </c>
      <c r="H769" s="9" t="s">
        <v>47</v>
      </c>
      <c r="I769" s="9" t="s">
        <v>1895</v>
      </c>
      <c r="J769" s="9" t="s">
        <v>1900</v>
      </c>
      <c r="K769" s="9" t="s">
        <v>1901</v>
      </c>
      <c r="L769" s="10" t="s">
        <v>1901</v>
      </c>
      <c r="M769" s="9" t="s">
        <v>51</v>
      </c>
      <c r="N769" s="9">
        <v>170</v>
      </c>
      <c r="O769" s="9" t="s">
        <v>72</v>
      </c>
      <c r="P769" s="9">
        <v>30</v>
      </c>
      <c r="Q769" s="9">
        <v>30</v>
      </c>
      <c r="R769" s="9">
        <v>0.1</v>
      </c>
      <c r="S769" s="9">
        <v>0.55238600000000004</v>
      </c>
      <c r="T769" s="9">
        <v>99.110819000000006</v>
      </c>
      <c r="U769" s="9" t="s">
        <v>52</v>
      </c>
      <c r="V769" s="11" t="str">
        <f>VLOOKUP(L769,'[1]singkron data'!D:E,2,FALSE)</f>
        <v>PT. Pilar Persada Konstruksi</v>
      </c>
      <c r="W769" s="11"/>
      <c r="X769" s="11"/>
      <c r="Y769" s="11">
        <f>VLOOKUP(L769,'[1]singkron data'!D:H,5,FALSE)</f>
        <v>0</v>
      </c>
      <c r="Z769" s="11">
        <f>VLOOKUP(L769,'[1]singkron data'!D:I,6,FALSE)</f>
        <v>0</v>
      </c>
      <c r="AA769" s="11" t="str">
        <f>VLOOKUP(L769,'[1]singkron data'!D:L,9,FALSE)</f>
        <v>081293305027/iqbal</v>
      </c>
      <c r="AB769" s="11" t="s">
        <v>54</v>
      </c>
      <c r="AC769" s="11" t="str">
        <f>VLOOKUP(L769,'[1]singkron data'!D:M,10,FALSE)</f>
        <v>Iqbal/AM</v>
      </c>
      <c r="AD769" s="11" t="str">
        <f>VLOOKUP(L769,'[1]data 1129'!F:O,10,FALSE)</f>
        <v>Tahap III 166</v>
      </c>
      <c r="AE769" s="11">
        <f>VLOOKUP(L769,'[1]singkron data'!D:P,13,FALSE)</f>
        <v>0</v>
      </c>
      <c r="AF769" s="11" t="s">
        <v>55</v>
      </c>
      <c r="AG769" s="11" t="e">
        <f>VLOOKUP(L769,'[1]update kontrak'!E:K,6,FALSE)</f>
        <v>#N/A</v>
      </c>
      <c r="AH769" s="11" t="e">
        <f>VLOOKUP(L769,'[1]update kontrak'!E:K,7,FALSE)</f>
        <v>#N/A</v>
      </c>
      <c r="AI769" s="11"/>
      <c r="AJ769" s="11" t="str">
        <f>VLOOKUP(L769,[1]rekap!D:M,1,FALSE)</f>
        <v>Pasar V Natal</v>
      </c>
      <c r="AK769" s="11" t="str">
        <f>VLOOKUP(L769,'[1]singkron data'!D:E,2,FALSE)</f>
        <v>PT. Pilar Persada Konstruksi</v>
      </c>
      <c r="AL769" s="11" t="str">
        <f>VLOOKUP(L769,'[1]update 521'!D:D,1,FALSE)</f>
        <v>Pasar V Natal</v>
      </c>
      <c r="AM769" s="11" t="s">
        <v>96</v>
      </c>
      <c r="AN769" s="11" t="e">
        <f>VLOOKUP(L769,[1]Sheet19!E:L,8,FALSE)</f>
        <v>#N/A</v>
      </c>
      <c r="AO769" s="11" t="e">
        <f>VLOOKUP(L769,[1]Sheet19!E:K,7,FALSE)</f>
        <v>#N/A</v>
      </c>
      <c r="AP769" s="12"/>
    </row>
    <row r="770" spans="1:42" ht="15" x14ac:dyDescent="0.2">
      <c r="A770" s="8" t="s">
        <v>42</v>
      </c>
      <c r="B770" s="9" t="s">
        <v>43</v>
      </c>
      <c r="C770" s="9">
        <v>366</v>
      </c>
      <c r="D770" s="9" t="s">
        <v>1631</v>
      </c>
      <c r="E770" s="9">
        <v>153</v>
      </c>
      <c r="F770" s="9" t="s">
        <v>1902</v>
      </c>
      <c r="G770" s="9" t="s">
        <v>1724</v>
      </c>
      <c r="H770" s="9" t="s">
        <v>47</v>
      </c>
      <c r="I770" s="9" t="s">
        <v>1903</v>
      </c>
      <c r="J770" s="9" t="s">
        <v>1904</v>
      </c>
      <c r="K770" s="9" t="s">
        <v>1905</v>
      </c>
      <c r="L770" s="10" t="s">
        <v>1905</v>
      </c>
      <c r="M770" s="9" t="s">
        <v>65</v>
      </c>
      <c r="N770" s="9">
        <v>300</v>
      </c>
      <c r="O770" s="9">
        <v>5</v>
      </c>
      <c r="P770" s="9">
        <v>178</v>
      </c>
      <c r="Q770" s="9">
        <v>183</v>
      </c>
      <c r="R770" s="9">
        <v>2</v>
      </c>
      <c r="S770" s="9">
        <v>1.4015181000000001</v>
      </c>
      <c r="T770" s="9">
        <v>97.169532799999999</v>
      </c>
      <c r="U770" s="9" t="s">
        <v>52</v>
      </c>
      <c r="V770" s="11" t="str">
        <f>VLOOKUP(L770,'[1]singkron data'!D:E,2,FALSE)</f>
        <v>CV. Pantai Selatan Mandiri</v>
      </c>
      <c r="W770" s="11"/>
      <c r="X770" s="11" t="s">
        <v>55</v>
      </c>
      <c r="Y770" s="11">
        <f>VLOOKUP(L770,'[1]singkron data'!D:H,5,FALSE)</f>
        <v>0</v>
      </c>
      <c r="Z770" s="11" t="str">
        <f>VLOOKUP(L770,'[1]singkron data'!D:I,6,FALSE)</f>
        <v>Online</v>
      </c>
      <c r="AA770" s="11" t="str">
        <f>VLOOKUP(L770,'[1]singkron data'!D:L,9,FALSE)</f>
        <v>0812-6444-4245</v>
      </c>
      <c r="AB770" s="11" t="s">
        <v>54</v>
      </c>
      <c r="AC770" s="11" t="str">
        <f>VLOOKUP(L770,'[1]singkron data'!D:M,10,FALSE)</f>
        <v>Rohmi</v>
      </c>
      <c r="AD770" s="11" t="str">
        <f>VLOOKUP(L770,'[1]data 1129'!F:O,10,FALSE)</f>
        <v>Tahap III 166</v>
      </c>
      <c r="AE770" s="11">
        <f>VLOOKUP(L770,'[1]singkron data'!D:P,13,FALSE)</f>
        <v>0</v>
      </c>
      <c r="AF770" s="11" t="s">
        <v>55</v>
      </c>
      <c r="AG770" s="11" t="e">
        <f>VLOOKUP(L770,'[1]update kontrak'!E:K,6,FALSE)</f>
        <v>#N/A</v>
      </c>
      <c r="AH770" s="11" t="e">
        <f>VLOOKUP(L770,'[1]update kontrak'!E:K,7,FALSE)</f>
        <v>#N/A</v>
      </c>
      <c r="AI770" s="11"/>
      <c r="AJ770" s="11" t="str">
        <f>VLOOKUP(L770,[1]rekap!D:M,1,FALSE)</f>
        <v>Pasar Lahewa</v>
      </c>
      <c r="AK770" s="11" t="str">
        <f>VLOOKUP(L770,'[1]singkron data'!D:E,2,FALSE)</f>
        <v>CV. Pantai Selatan Mandiri</v>
      </c>
      <c r="AL770" s="11" t="str">
        <f>VLOOKUP(L770,'[1]update 521'!D:D,1,FALSE)</f>
        <v>Pasar Lahewa</v>
      </c>
      <c r="AM770" s="11" t="s">
        <v>96</v>
      </c>
      <c r="AN770" s="11" t="e">
        <f>VLOOKUP(L770,[1]Sheet19!E:L,8,FALSE)</f>
        <v>#N/A</v>
      </c>
      <c r="AO770" s="11" t="e">
        <f>VLOOKUP(L770,[1]Sheet19!E:K,7,FALSE)</f>
        <v>#N/A</v>
      </c>
      <c r="AP770" s="12"/>
    </row>
    <row r="771" spans="1:42" ht="15" x14ac:dyDescent="0.2">
      <c r="A771" s="8" t="s">
        <v>42</v>
      </c>
      <c r="B771" s="9" t="s">
        <v>43</v>
      </c>
      <c r="C771" s="9">
        <v>367</v>
      </c>
      <c r="D771" s="9" t="s">
        <v>1631</v>
      </c>
      <c r="E771" s="9">
        <v>154</v>
      </c>
      <c r="F771" s="9" t="s">
        <v>1902</v>
      </c>
      <c r="G771" s="9" t="s">
        <v>1724</v>
      </c>
      <c r="H771" s="9" t="s">
        <v>47</v>
      </c>
      <c r="I771" s="9" t="s">
        <v>1906</v>
      </c>
      <c r="J771" s="9" t="s">
        <v>1907</v>
      </c>
      <c r="K771" s="9" t="s">
        <v>1908</v>
      </c>
      <c r="L771" s="10" t="s">
        <v>1908</v>
      </c>
      <c r="M771" s="9" t="s">
        <v>51</v>
      </c>
      <c r="N771" s="9">
        <v>150</v>
      </c>
      <c r="O771" s="9">
        <v>9</v>
      </c>
      <c r="P771" s="9">
        <v>121</v>
      </c>
      <c r="Q771" s="9">
        <v>130</v>
      </c>
      <c r="R771" s="9">
        <v>1</v>
      </c>
      <c r="S771" s="9">
        <v>1.377545</v>
      </c>
      <c r="T771" s="9">
        <v>97.550285299999999</v>
      </c>
      <c r="U771" s="9" t="s">
        <v>52</v>
      </c>
      <c r="V771" s="11" t="str">
        <f>VLOOKUP(L771,'[1]singkron data'!D:E,2,FALSE)</f>
        <v>CV. Pantai Selatan Mandiri</v>
      </c>
      <c r="W771" s="13">
        <v>6434059000</v>
      </c>
      <c r="X771" s="11" t="s">
        <v>55</v>
      </c>
      <c r="Y771" s="11">
        <f>VLOOKUP(L771,'[1]singkron data'!D:H,5,FALSE)</f>
        <v>0</v>
      </c>
      <c r="Z771" s="11" t="str">
        <f>VLOOKUP(L771,'[1]singkron data'!D:I,6,FALSE)</f>
        <v>Online</v>
      </c>
      <c r="AA771" s="11" t="str">
        <f>VLOOKUP(L771,'[1]singkron data'!D:L,9,FALSE)</f>
        <v>0812-6444-4245</v>
      </c>
      <c r="AB771" s="11" t="s">
        <v>54</v>
      </c>
      <c r="AC771" s="11" t="str">
        <f>VLOOKUP(L771,'[1]singkron data'!D:M,10,FALSE)</f>
        <v>Rohmi</v>
      </c>
      <c r="AD771" s="11" t="str">
        <f>VLOOKUP(L771,'[1]data 1129'!F:O,10,FALSE)</f>
        <v>Tahap III 166</v>
      </c>
      <c r="AE771" s="11">
        <f>VLOOKUP(L771,'[1]singkron data'!D:P,13,FALSE)</f>
        <v>0</v>
      </c>
      <c r="AF771" s="11" t="s">
        <v>55</v>
      </c>
      <c r="AG771" s="11" t="e">
        <f>VLOOKUP(L771,'[1]update kontrak'!E:K,6,FALSE)</f>
        <v>#N/A</v>
      </c>
      <c r="AH771" s="11" t="e">
        <f>VLOOKUP(L771,'[1]update kontrak'!E:K,7,FALSE)</f>
        <v>#N/A</v>
      </c>
      <c r="AI771" s="11"/>
      <c r="AJ771" s="11" t="str">
        <f>VLOOKUP(L771,[1]rekap!D:M,1,FALSE)</f>
        <v>Afia</v>
      </c>
      <c r="AK771" s="11" t="str">
        <f>VLOOKUP(L771,'[1]singkron data'!D:E,2,FALSE)</f>
        <v>CV. Pantai Selatan Mandiri</v>
      </c>
      <c r="AL771" s="11" t="str">
        <f>VLOOKUP(L771,'[1]update 521'!D:D,1,FALSE)</f>
        <v>Afia</v>
      </c>
      <c r="AM771" s="11" t="s">
        <v>96</v>
      </c>
      <c r="AN771" s="11" t="e">
        <f>VLOOKUP(L771,[1]Sheet19!E:L,8,FALSE)</f>
        <v>#N/A</v>
      </c>
      <c r="AO771" s="11" t="e">
        <f>VLOOKUP(L771,[1]Sheet19!E:K,7,FALSE)</f>
        <v>#N/A</v>
      </c>
      <c r="AP771" s="12"/>
    </row>
    <row r="772" spans="1:42" ht="15" x14ac:dyDescent="0.2">
      <c r="A772" s="8" t="s">
        <v>42</v>
      </c>
      <c r="B772" s="9" t="s">
        <v>43</v>
      </c>
      <c r="C772" s="9">
        <v>368</v>
      </c>
      <c r="D772" s="9" t="s">
        <v>1631</v>
      </c>
      <c r="E772" s="9">
        <v>155</v>
      </c>
      <c r="F772" s="9" t="s">
        <v>1902</v>
      </c>
      <c r="G772" s="9" t="s">
        <v>1724</v>
      </c>
      <c r="H772" s="9" t="s">
        <v>47</v>
      </c>
      <c r="I772" s="9" t="s">
        <v>1903</v>
      </c>
      <c r="J772" s="9" t="s">
        <v>1909</v>
      </c>
      <c r="K772" s="9" t="s">
        <v>1909</v>
      </c>
      <c r="L772" s="10" t="s">
        <v>1909</v>
      </c>
      <c r="M772" s="9" t="s">
        <v>51</v>
      </c>
      <c r="N772" s="9">
        <v>150</v>
      </c>
      <c r="O772" s="9">
        <v>20</v>
      </c>
      <c r="P772" s="9">
        <v>75</v>
      </c>
      <c r="Q772" s="9">
        <v>95</v>
      </c>
      <c r="R772" s="9">
        <v>1</v>
      </c>
      <c r="S772" s="9">
        <v>1.259598</v>
      </c>
      <c r="T772" s="9">
        <v>97.237831099999994</v>
      </c>
      <c r="U772" s="9" t="s">
        <v>52</v>
      </c>
      <c r="V772" s="11" t="str">
        <f>VLOOKUP(L772,'[1]singkron data'!D:E,2,FALSE)</f>
        <v>CV. Pantai Selatan Mandiri</v>
      </c>
      <c r="W772" s="11"/>
      <c r="X772" s="11" t="s">
        <v>55</v>
      </c>
      <c r="Y772" s="11">
        <f>VLOOKUP(L772,'[1]singkron data'!D:H,5,FALSE)</f>
        <v>0</v>
      </c>
      <c r="Z772" s="11" t="str">
        <f>VLOOKUP(L772,'[1]singkron data'!D:I,6,FALSE)</f>
        <v>Online</v>
      </c>
      <c r="AA772" s="11" t="s">
        <v>1910</v>
      </c>
      <c r="AB772" s="11" t="s">
        <v>54</v>
      </c>
      <c r="AC772" s="11" t="str">
        <f>VLOOKUP(L772,'[1]singkron data'!D:M,10,FALSE)</f>
        <v>Rohmi</v>
      </c>
      <c r="AD772" s="11" t="str">
        <f>VLOOKUP(L772,'[1]data 1129'!F:O,10,FALSE)</f>
        <v>Tahap III 166</v>
      </c>
      <c r="AE772" s="11">
        <f>VLOOKUP(L772,'[1]singkron data'!D:P,13,FALSE)</f>
        <v>0</v>
      </c>
      <c r="AF772" s="11" t="s">
        <v>55</v>
      </c>
      <c r="AG772" s="11" t="e">
        <f>VLOOKUP(L772,'[1]update kontrak'!E:K,6,FALSE)</f>
        <v>#N/A</v>
      </c>
      <c r="AH772" s="11" t="e">
        <f>VLOOKUP(L772,'[1]update kontrak'!E:K,7,FALSE)</f>
        <v>#N/A</v>
      </c>
      <c r="AI772" s="11"/>
      <c r="AJ772" s="11" t="str">
        <f>VLOOKUP(L772,[1]rekap!D:M,1,FALSE)</f>
        <v>Afulu</v>
      </c>
      <c r="AK772" s="11" t="str">
        <f>VLOOKUP(L772,'[1]singkron data'!D:E,2,FALSE)</f>
        <v>CV. Pantai Selatan Mandiri</v>
      </c>
      <c r="AL772" s="11" t="str">
        <f>VLOOKUP(L772,'[1]update 521'!D:D,1,FALSE)</f>
        <v>Afulu</v>
      </c>
      <c r="AM772" s="11" t="s">
        <v>96</v>
      </c>
      <c r="AN772" s="11" t="e">
        <f>VLOOKUP(L772,[1]Sheet19!E:L,8,FALSE)</f>
        <v>#N/A</v>
      </c>
      <c r="AO772" s="11" t="e">
        <f>VLOOKUP(L772,[1]Sheet19!E:K,7,FALSE)</f>
        <v>#N/A</v>
      </c>
      <c r="AP772" s="12"/>
    </row>
    <row r="773" spans="1:42" ht="15" x14ac:dyDescent="0.2">
      <c r="A773" s="8" t="s">
        <v>42</v>
      </c>
      <c r="B773" s="9" t="s">
        <v>43</v>
      </c>
      <c r="C773" s="9">
        <v>370</v>
      </c>
      <c r="D773" s="9" t="s">
        <v>1631</v>
      </c>
      <c r="E773" s="9">
        <v>157</v>
      </c>
      <c r="F773" s="9" t="s">
        <v>1911</v>
      </c>
      <c r="G773" s="9" t="s">
        <v>1854</v>
      </c>
      <c r="H773" s="9" t="s">
        <v>47</v>
      </c>
      <c r="I773" s="9" t="s">
        <v>1912</v>
      </c>
      <c r="J773" s="9" t="s">
        <v>1913</v>
      </c>
      <c r="K773" s="9" t="s">
        <v>1914</v>
      </c>
      <c r="L773" s="10" t="s">
        <v>1914</v>
      </c>
      <c r="M773" s="9" t="s">
        <v>65</v>
      </c>
      <c r="N773" s="9">
        <v>95</v>
      </c>
      <c r="O773" s="9">
        <v>900</v>
      </c>
      <c r="P773" s="9">
        <v>94</v>
      </c>
      <c r="Q773" s="9">
        <v>994</v>
      </c>
      <c r="R773" s="9">
        <v>1.2</v>
      </c>
      <c r="S773" s="9">
        <v>-3.584705</v>
      </c>
      <c r="T773" s="9">
        <v>102.124917</v>
      </c>
      <c r="U773" s="9" t="s">
        <v>52</v>
      </c>
      <c r="V773" s="11" t="str">
        <f>VLOOKUP(L773,'[1]singkron data'!D:E,2,FALSE)</f>
        <v>PT. Aruna Karya Bangunindo</v>
      </c>
      <c r="W773" s="13">
        <f>VLOOKUP(L773,'[1]update tim 2'!D:F,3,FALSE)</f>
        <v>3599234000</v>
      </c>
      <c r="X773" s="11" t="s">
        <v>55</v>
      </c>
      <c r="Y773" s="11" t="str">
        <f>VLOOKUP(L773,'[1]singkron data'!D:H,5,FALSE)</f>
        <v>Kota Bengkulu</v>
      </c>
      <c r="Z773" s="11" t="str">
        <f>VLOOKUP(L773,'[1]singkron data'!D:I,6,FALSE)</f>
        <v>Offline</v>
      </c>
      <c r="AA773" s="11" t="str">
        <f>VLOOKUP(L773,'[1]singkron data'!D:L,9,FALSE)</f>
        <v>082183648885/anggadewa</v>
      </c>
      <c r="AB773" s="11" t="s">
        <v>54</v>
      </c>
      <c r="AC773" s="11" t="str">
        <f>VLOOKUP(L773,'[1]singkron data'!D:M,10,FALSE)</f>
        <v>aufar</v>
      </c>
      <c r="AD773" s="11" t="str">
        <f>VLOOKUP(L773,'[1]data 1129'!F:O,10,FALSE)</f>
        <v>Tahap II 146</v>
      </c>
      <c r="AE773" s="11">
        <f>VLOOKUP(L773,'[1]singkron data'!D:P,13,FALSE)</f>
        <v>0</v>
      </c>
      <c r="AF773" s="11" t="s">
        <v>55</v>
      </c>
      <c r="AG773" s="11" t="e">
        <f>VLOOKUP(L773,'[1]update kontrak'!E:K,6,FALSE)</f>
        <v>#N/A</v>
      </c>
      <c r="AH773" s="11" t="e">
        <f>VLOOKUP(L773,'[1]update kontrak'!E:K,7,FALSE)</f>
        <v>#N/A</v>
      </c>
      <c r="AI773" s="11"/>
      <c r="AJ773" s="11" t="str">
        <f>VLOOKUP(L773,[1]rekap!D:M,1,FALSE)</f>
        <v>Pasar Palik</v>
      </c>
      <c r="AK773" s="11" t="str">
        <f>VLOOKUP(L773,'[1]singkron data'!D:E,2,FALSE)</f>
        <v>PT. Aruna Karya Bangunindo</v>
      </c>
      <c r="AL773" s="11" t="str">
        <f>VLOOKUP(L773,'[1]update 521'!D:D,1,FALSE)</f>
        <v>Pasar Palik</v>
      </c>
      <c r="AM773" s="11" t="s">
        <v>57</v>
      </c>
      <c r="AN773" s="11" t="e">
        <f>VLOOKUP(L773,[1]Sheet19!E:L,8,FALSE)</f>
        <v>#N/A</v>
      </c>
      <c r="AO773" s="11" t="s">
        <v>58</v>
      </c>
      <c r="AP773" s="12"/>
    </row>
    <row r="774" spans="1:42" ht="15" x14ac:dyDescent="0.2">
      <c r="A774" s="8" t="s">
        <v>42</v>
      </c>
      <c r="B774" s="9" t="s">
        <v>43</v>
      </c>
      <c r="C774" s="9">
        <v>371</v>
      </c>
      <c r="D774" s="9" t="s">
        <v>1631</v>
      </c>
      <c r="E774" s="9">
        <v>158</v>
      </c>
      <c r="F774" s="9" t="s">
        <v>1911</v>
      </c>
      <c r="G774" s="9" t="s">
        <v>1854</v>
      </c>
      <c r="H774" s="9" t="s">
        <v>47</v>
      </c>
      <c r="I774" s="9" t="s">
        <v>1915</v>
      </c>
      <c r="J774" s="9" t="s">
        <v>1916</v>
      </c>
      <c r="K774" s="9" t="s">
        <v>1917</v>
      </c>
      <c r="L774" s="10" t="s">
        <v>1917</v>
      </c>
      <c r="M774" s="9" t="s">
        <v>51</v>
      </c>
      <c r="N774" s="9">
        <v>255</v>
      </c>
      <c r="O774" s="9">
        <v>4</v>
      </c>
      <c r="P774" s="9">
        <v>42</v>
      </c>
      <c r="Q774" s="9">
        <v>46</v>
      </c>
      <c r="R774" s="9">
        <v>1.4</v>
      </c>
      <c r="S774" s="9">
        <v>-3.7398799999999999</v>
      </c>
      <c r="T774" s="9">
        <v>102.252905</v>
      </c>
      <c r="U774" s="9" t="s">
        <v>52</v>
      </c>
      <c r="V774" s="11" t="str">
        <f>VLOOKUP(L774,'[1]singkron data'!D:E,2,FALSE)</f>
        <v>PT. Aruna Karya Bangunindo</v>
      </c>
      <c r="W774" s="13">
        <f>VLOOKUP(L774,'[1]update tim 2'!D:F,3,FALSE)</f>
        <v>6204226000</v>
      </c>
      <c r="X774" s="11" t="s">
        <v>55</v>
      </c>
      <c r="Y774" s="11" t="str">
        <f>VLOOKUP(L774,'[1]singkron data'!D:H,5,FALSE)</f>
        <v>Kota Bengkulu</v>
      </c>
      <c r="Z774" s="11" t="str">
        <f>VLOOKUP(L774,'[1]singkron data'!D:I,6,FALSE)</f>
        <v>Offline</v>
      </c>
      <c r="AA774" s="11" t="str">
        <f>VLOOKUP(L774,'[1]singkron data'!D:L,9,FALSE)</f>
        <v>082183648885/anggadewa</v>
      </c>
      <c r="AB774" s="11" t="s">
        <v>54</v>
      </c>
      <c r="AC774" s="11" t="str">
        <f>VLOOKUP(L774,'[1]singkron data'!D:M,10,FALSE)</f>
        <v>aufar</v>
      </c>
      <c r="AD774" s="11" t="str">
        <f>VLOOKUP(L774,'[1]data 1129'!F:O,10,FALSE)</f>
        <v>Tahap II 146</v>
      </c>
      <c r="AE774" s="11">
        <f>VLOOKUP(L774,'[1]singkron data'!D:P,13,FALSE)</f>
        <v>0</v>
      </c>
      <c r="AF774" s="11" t="s">
        <v>55</v>
      </c>
      <c r="AG774" s="11" t="e">
        <f>VLOOKUP(L774,'[1]update kontrak'!E:K,6,FALSE)</f>
        <v>#N/A</v>
      </c>
      <c r="AH774" s="11" t="e">
        <f>VLOOKUP(L774,'[1]update kontrak'!E:K,7,FALSE)</f>
        <v>#N/A</v>
      </c>
      <c r="AI774" s="11"/>
      <c r="AJ774" s="11" t="str">
        <f>VLOOKUP(L774,[1]rekap!D:M,1,FALSE)</f>
        <v>Pekik Nyaring</v>
      </c>
      <c r="AK774" s="11" t="str">
        <f>VLOOKUP(L774,'[1]singkron data'!D:E,2,FALSE)</f>
        <v>PT. Aruna Karya Bangunindo</v>
      </c>
      <c r="AL774" s="11" t="str">
        <f>VLOOKUP(L774,'[1]update 521'!D:D,1,FALSE)</f>
        <v>Pekik Nyaring</v>
      </c>
      <c r="AM774" s="11" t="s">
        <v>57</v>
      </c>
      <c r="AN774" s="11" t="e">
        <f>VLOOKUP(L774,[1]Sheet19!E:L,8,FALSE)</f>
        <v>#N/A</v>
      </c>
      <c r="AO774" s="11" t="s">
        <v>58</v>
      </c>
      <c r="AP774" s="12"/>
    </row>
    <row r="775" spans="1:42" ht="15" x14ac:dyDescent="0.2">
      <c r="A775" s="8" t="s">
        <v>42</v>
      </c>
      <c r="B775" s="9" t="s">
        <v>43</v>
      </c>
      <c r="C775" s="9">
        <v>372</v>
      </c>
      <c r="D775" s="9" t="s">
        <v>1631</v>
      </c>
      <c r="E775" s="9">
        <v>159</v>
      </c>
      <c r="F775" s="9" t="s">
        <v>1911</v>
      </c>
      <c r="G775" s="9" t="s">
        <v>1854</v>
      </c>
      <c r="H775" s="9" t="s">
        <v>47</v>
      </c>
      <c r="I775" s="9" t="s">
        <v>1912</v>
      </c>
      <c r="J775" s="9" t="s">
        <v>1918</v>
      </c>
      <c r="K775" s="9" t="s">
        <v>1919</v>
      </c>
      <c r="L775" s="10" t="s">
        <v>1919</v>
      </c>
      <c r="M775" s="9" t="s">
        <v>51</v>
      </c>
      <c r="N775" s="9">
        <v>58</v>
      </c>
      <c r="O775" s="9" t="s">
        <v>72</v>
      </c>
      <c r="P775" s="9">
        <v>60</v>
      </c>
      <c r="Q775" s="9">
        <v>60</v>
      </c>
      <c r="R775" s="9">
        <v>1</v>
      </c>
      <c r="S775" s="9">
        <v>-3.4305751</v>
      </c>
      <c r="T775" s="9">
        <v>101.9017949</v>
      </c>
      <c r="U775" s="9" t="s">
        <v>52</v>
      </c>
      <c r="V775" s="11" t="str">
        <f>VLOOKUP(L775,'[1]singkron data'!D:E,2,FALSE)</f>
        <v>PT. Aruna Karya Bangunindo</v>
      </c>
      <c r="W775" s="13">
        <f>VLOOKUP(L775,'[1]update tim 2'!D:F,3,FALSE)</f>
        <v>5000894000</v>
      </c>
      <c r="X775" s="11" t="s">
        <v>55</v>
      </c>
      <c r="Y775" s="11" t="str">
        <f>VLOOKUP(L775,'[1]singkron data'!D:H,5,FALSE)</f>
        <v>Kota Bengkulu</v>
      </c>
      <c r="Z775" s="11" t="str">
        <f>VLOOKUP(L775,'[1]singkron data'!D:I,6,FALSE)</f>
        <v>Offline</v>
      </c>
      <c r="AA775" s="11" t="str">
        <f>VLOOKUP(L775,'[1]singkron data'!D:L,9,FALSE)</f>
        <v>082183648885/anggadewa</v>
      </c>
      <c r="AB775" s="11" t="s">
        <v>54</v>
      </c>
      <c r="AC775" s="11" t="str">
        <f>VLOOKUP(L775,'[1]singkron data'!D:M,10,FALSE)</f>
        <v>aufar</v>
      </c>
      <c r="AD775" s="11" t="str">
        <f>VLOOKUP(L775,'[1]data 1129'!F:O,10,FALSE)</f>
        <v>Tahap II 146</v>
      </c>
      <c r="AE775" s="11">
        <f>VLOOKUP(L775,'[1]singkron data'!D:P,13,FALSE)</f>
        <v>0</v>
      </c>
      <c r="AF775" s="11" t="s">
        <v>55</v>
      </c>
      <c r="AG775" s="11" t="e">
        <f>VLOOKUP(L775,'[1]update kontrak'!E:K,6,FALSE)</f>
        <v>#N/A</v>
      </c>
      <c r="AH775" s="11" t="e">
        <f>VLOOKUP(L775,'[1]update kontrak'!E:K,7,FALSE)</f>
        <v>#N/A</v>
      </c>
      <c r="AI775" s="11"/>
      <c r="AJ775" s="11" t="str">
        <f>VLOOKUP(L775,[1]rekap!D:M,1,FALSE)</f>
        <v>Serangai</v>
      </c>
      <c r="AK775" s="11" t="str">
        <f>VLOOKUP(L775,'[1]singkron data'!D:E,2,FALSE)</f>
        <v>PT. Aruna Karya Bangunindo</v>
      </c>
      <c r="AL775" s="11" t="str">
        <f>VLOOKUP(L775,'[1]update 521'!D:D,1,FALSE)</f>
        <v>Serangai</v>
      </c>
      <c r="AM775" s="11" t="s">
        <v>57</v>
      </c>
      <c r="AN775" s="11" t="e">
        <f>VLOOKUP(L775,[1]Sheet19!E:L,8,FALSE)</f>
        <v>#N/A</v>
      </c>
      <c r="AO775" s="11" t="s">
        <v>58</v>
      </c>
      <c r="AP775" s="12"/>
    </row>
    <row r="776" spans="1:42" ht="15" x14ac:dyDescent="0.2">
      <c r="A776" s="8" t="s">
        <v>42</v>
      </c>
      <c r="B776" s="9" t="s">
        <v>43</v>
      </c>
      <c r="C776" s="9">
        <v>373</v>
      </c>
      <c r="D776" s="9" t="s">
        <v>1631</v>
      </c>
      <c r="E776" s="9">
        <v>160</v>
      </c>
      <c r="F776" s="9" t="s">
        <v>1911</v>
      </c>
      <c r="G776" s="9" t="s">
        <v>1854</v>
      </c>
      <c r="H776" s="9" t="s">
        <v>47</v>
      </c>
      <c r="I776" s="9" t="s">
        <v>1912</v>
      </c>
      <c r="J776" s="9" t="s">
        <v>1920</v>
      </c>
      <c r="K776" s="9" t="s">
        <v>1921</v>
      </c>
      <c r="L776" s="10" t="s">
        <v>1921</v>
      </c>
      <c r="M776" s="9" t="s">
        <v>51</v>
      </c>
      <c r="N776" s="9">
        <v>81</v>
      </c>
      <c r="O776" s="9" t="s">
        <v>72</v>
      </c>
      <c r="P776" s="9">
        <v>54</v>
      </c>
      <c r="Q776" s="9">
        <v>54</v>
      </c>
      <c r="R776" s="9">
        <v>1</v>
      </c>
      <c r="S776" s="9">
        <v>-3.2371159999999999</v>
      </c>
      <c r="T776" s="9">
        <v>101.618532</v>
      </c>
      <c r="U776" s="9" t="s">
        <v>52</v>
      </c>
      <c r="V776" s="11" t="str">
        <f>VLOOKUP(L776,'[1]singkron data'!D:E,2,FALSE)</f>
        <v>PT. Aruna Karya Bangunindo</v>
      </c>
      <c r="W776" s="13">
        <f>VLOOKUP(L776,'[1]update tim 2'!D:F,3,FALSE)</f>
        <v>3389843000</v>
      </c>
      <c r="X776" s="11" t="s">
        <v>55</v>
      </c>
      <c r="Y776" s="11" t="str">
        <f>VLOOKUP(L776,'[1]singkron data'!D:H,5,FALSE)</f>
        <v>Kota Bengkulu</v>
      </c>
      <c r="Z776" s="11" t="str">
        <f>VLOOKUP(L776,'[1]singkron data'!D:I,6,FALSE)</f>
        <v>Offline</v>
      </c>
      <c r="AA776" s="11" t="str">
        <f>VLOOKUP(L776,'[1]singkron data'!D:L,9,FALSE)</f>
        <v>082183648885/anggadewa</v>
      </c>
      <c r="AB776" s="11" t="s">
        <v>54</v>
      </c>
      <c r="AC776" s="11" t="str">
        <f>VLOOKUP(L776,'[1]singkron data'!D:M,10,FALSE)</f>
        <v>aufar</v>
      </c>
      <c r="AD776" s="11" t="str">
        <f>VLOOKUP(L776,'[1]data 1129'!F:O,10,FALSE)</f>
        <v>Tahap II 146</v>
      </c>
      <c r="AE776" s="11">
        <f>VLOOKUP(L776,'[1]singkron data'!D:P,13,FALSE)</f>
        <v>0</v>
      </c>
      <c r="AF776" s="11" t="s">
        <v>55</v>
      </c>
      <c r="AG776" s="11" t="e">
        <f>VLOOKUP(L776,'[1]update kontrak'!E:K,6,FALSE)</f>
        <v>#N/A</v>
      </c>
      <c r="AH776" s="11" t="e">
        <f>VLOOKUP(L776,'[1]update kontrak'!E:K,7,FALSE)</f>
        <v>#N/A</v>
      </c>
      <c r="AI776" s="11"/>
      <c r="AJ776" s="11" t="str">
        <f>VLOOKUP(L776,[1]rekap!D:M,1,FALSE)</f>
        <v>Pasar Sebelat</v>
      </c>
      <c r="AK776" s="11" t="str">
        <f>VLOOKUP(L776,'[1]singkron data'!D:E,2,FALSE)</f>
        <v>PT. Aruna Karya Bangunindo</v>
      </c>
      <c r="AL776" s="11" t="str">
        <f>VLOOKUP(L776,'[1]update 521'!D:D,1,FALSE)</f>
        <v>Pasar Sebelat</v>
      </c>
      <c r="AM776" s="11" t="s">
        <v>57</v>
      </c>
      <c r="AN776" s="11" t="e">
        <f>VLOOKUP(L776,[1]Sheet19!E:L,8,FALSE)</f>
        <v>#N/A</v>
      </c>
      <c r="AO776" s="11" t="s">
        <v>58</v>
      </c>
      <c r="AP776" s="12"/>
    </row>
    <row r="777" spans="1:42" ht="15" x14ac:dyDescent="0.2">
      <c r="A777" s="8" t="s">
        <v>42</v>
      </c>
      <c r="B777" s="9" t="s">
        <v>43</v>
      </c>
      <c r="C777" s="9">
        <v>374</v>
      </c>
      <c r="D777" s="9" t="s">
        <v>1631</v>
      </c>
      <c r="E777" s="9">
        <v>161</v>
      </c>
      <c r="F777" s="9" t="s">
        <v>1911</v>
      </c>
      <c r="G777" s="9" t="s">
        <v>1854</v>
      </c>
      <c r="H777" s="9" t="s">
        <v>47</v>
      </c>
      <c r="I777" s="9" t="s">
        <v>1922</v>
      </c>
      <c r="J777" s="9" t="s">
        <v>1923</v>
      </c>
      <c r="K777" s="9" t="s">
        <v>1924</v>
      </c>
      <c r="L777" s="10" t="s">
        <v>1924</v>
      </c>
      <c r="M777" s="9" t="s">
        <v>51</v>
      </c>
      <c r="N777" s="9">
        <v>174</v>
      </c>
      <c r="O777" s="9" t="s">
        <v>72</v>
      </c>
      <c r="P777" s="9">
        <v>127</v>
      </c>
      <c r="Q777" s="9">
        <v>127</v>
      </c>
      <c r="R777" s="9">
        <v>2</v>
      </c>
      <c r="S777" s="9">
        <v>-3.0117362999999999</v>
      </c>
      <c r="T777" s="9">
        <v>101.48230239999999</v>
      </c>
      <c r="U777" s="9" t="s">
        <v>52</v>
      </c>
      <c r="V777" s="11" t="str">
        <f>VLOOKUP(L777,'[1]singkron data'!D:E,2,FALSE)</f>
        <v>PT. Aruna Karya Bangunindo</v>
      </c>
      <c r="W777" s="13">
        <f>VLOOKUP(L777,'[1]update tim 2'!D:F,3,FALSE)</f>
        <v>4929839000</v>
      </c>
      <c r="X777" s="11" t="s">
        <v>55</v>
      </c>
      <c r="Y777" s="11" t="str">
        <f>VLOOKUP(L777,'[1]singkron data'!D:H,5,FALSE)</f>
        <v>Kota Bengkulu</v>
      </c>
      <c r="Z777" s="11" t="str">
        <f>VLOOKUP(L777,'[1]singkron data'!D:I,6,FALSE)</f>
        <v>Offline</v>
      </c>
      <c r="AA777" s="11" t="str">
        <f>VLOOKUP(L777,'[1]singkron data'!D:L,9,FALSE)</f>
        <v>082183648885/anggadewa</v>
      </c>
      <c r="AB777" s="11" t="s">
        <v>54</v>
      </c>
      <c r="AC777" s="11" t="str">
        <f>VLOOKUP(L777,'[1]singkron data'!D:M,10,FALSE)</f>
        <v>aufar</v>
      </c>
      <c r="AD777" s="11" t="str">
        <f>VLOOKUP(L777,'[1]data 1129'!F:O,10,FALSE)</f>
        <v>Tahap II 146</v>
      </c>
      <c r="AE777" s="11">
        <f>VLOOKUP(L777,'[1]singkron data'!D:P,13,FALSE)</f>
        <v>0</v>
      </c>
      <c r="AF777" s="11" t="s">
        <v>55</v>
      </c>
      <c r="AG777" s="11" t="e">
        <f>VLOOKUP(L777,'[1]update kontrak'!E:K,6,FALSE)</f>
        <v>#N/A</v>
      </c>
      <c r="AH777" s="11" t="e">
        <f>VLOOKUP(L777,'[1]update kontrak'!E:K,7,FALSE)</f>
        <v>#N/A</v>
      </c>
      <c r="AI777" s="11"/>
      <c r="AJ777" s="11" t="str">
        <f>VLOOKUP(L777,[1]rekap!D:M,1,FALSE)</f>
        <v>Pasar Ipuh</v>
      </c>
      <c r="AK777" s="11" t="str">
        <f>VLOOKUP(L777,'[1]singkron data'!D:E,2,FALSE)</f>
        <v>PT. Aruna Karya Bangunindo</v>
      </c>
      <c r="AL777" s="11" t="str">
        <f>VLOOKUP(L777,'[1]update 521'!D:D,1,FALSE)</f>
        <v>Pasar Ipuh</v>
      </c>
      <c r="AM777" s="11" t="s">
        <v>57</v>
      </c>
      <c r="AN777" s="11" t="e">
        <f>VLOOKUP(L777,[1]Sheet19!E:L,8,FALSE)</f>
        <v>#N/A</v>
      </c>
      <c r="AO777" s="11" t="s">
        <v>58</v>
      </c>
      <c r="AP777" s="12"/>
    </row>
    <row r="778" spans="1:42" ht="15" x14ac:dyDescent="0.2">
      <c r="A778" s="8" t="s">
        <v>42</v>
      </c>
      <c r="B778" s="9" t="s">
        <v>43</v>
      </c>
      <c r="C778" s="9">
        <v>375</v>
      </c>
      <c r="D778" s="9" t="s">
        <v>1631</v>
      </c>
      <c r="E778" s="9">
        <v>162</v>
      </c>
      <c r="F778" s="9" t="s">
        <v>1902</v>
      </c>
      <c r="G778" s="9" t="s">
        <v>1724</v>
      </c>
      <c r="H778" s="9" t="s">
        <v>47</v>
      </c>
      <c r="I778" s="9" t="s">
        <v>1925</v>
      </c>
      <c r="J778" s="9" t="s">
        <v>1926</v>
      </c>
      <c r="K778" s="9" t="s">
        <v>1927</v>
      </c>
      <c r="L778" s="10" t="s">
        <v>1927</v>
      </c>
      <c r="M778" s="9" t="s">
        <v>51</v>
      </c>
      <c r="N778" s="9">
        <v>120</v>
      </c>
      <c r="O778" s="9">
        <v>15</v>
      </c>
      <c r="P778" s="9">
        <v>100</v>
      </c>
      <c r="Q778" s="9">
        <v>115</v>
      </c>
      <c r="R778" s="9">
        <v>0.56999999999999995</v>
      </c>
      <c r="S778" s="9">
        <v>1.129564</v>
      </c>
      <c r="T778" s="9">
        <v>97.817625000000007</v>
      </c>
      <c r="U778" s="9" t="s">
        <v>52</v>
      </c>
      <c r="V778" s="11" t="str">
        <f>VLOOKUP(L778,'[1]singkron data'!D:E,2,FALSE)</f>
        <v>CV. Ridho Pratama (Kecil)</v>
      </c>
      <c r="W778" s="11"/>
      <c r="X778" s="11"/>
      <c r="Y778" s="11" t="str">
        <f>VLOOKUP(L778,'[1]singkron data'!D:H,5,FALSE)</f>
        <v>Jakarta</v>
      </c>
      <c r="Z778" s="11" t="str">
        <f>VLOOKUP(L778,'[1]singkron data'!D:I,6,FALSE)</f>
        <v>Online</v>
      </c>
      <c r="AA778" s="11" t="str">
        <f>VLOOKUP(L778,'[1]singkron data'!D:L,9,FALSE)</f>
        <v>081261605171/yadi susanto</v>
      </c>
      <c r="AB778" s="11" t="s">
        <v>54</v>
      </c>
      <c r="AC778" s="11" t="str">
        <f>VLOOKUP(L778,'[1]singkron data'!D:M,10,FALSE)</f>
        <v>Dedd</v>
      </c>
      <c r="AD778" s="11" t="str">
        <f>VLOOKUP(L778,'[1]data 1129'!F:O,10,FALSE)</f>
        <v>Tahap III 166</v>
      </c>
      <c r="AE778" s="11">
        <f>VLOOKUP(L778,'[1]singkron data'!D:P,13,FALSE)</f>
        <v>0</v>
      </c>
      <c r="AF778" s="11" t="s">
        <v>55</v>
      </c>
      <c r="AG778" s="11" t="e">
        <f>VLOOKUP(L778,'[1]update kontrak'!E:K,6,FALSE)</f>
        <v>#N/A</v>
      </c>
      <c r="AH778" s="11" t="e">
        <f>VLOOKUP(L778,'[1]update kontrak'!E:K,7,FALSE)</f>
        <v>#N/A</v>
      </c>
      <c r="AI778" s="11"/>
      <c r="AJ778" s="11" t="str">
        <f>VLOOKUP(L778,[1]rekap!D:M,1,FALSE)</f>
        <v>Laira</v>
      </c>
      <c r="AK778" s="11" t="str">
        <f>VLOOKUP(L778,'[1]singkron data'!D:E,2,FALSE)</f>
        <v>CV. Ridho Pratama (Kecil)</v>
      </c>
      <c r="AL778" s="11" t="str">
        <f>VLOOKUP(L778,'[1]update 521'!D:D,1,FALSE)</f>
        <v>Laira</v>
      </c>
      <c r="AM778" s="11" t="s">
        <v>96</v>
      </c>
      <c r="AN778" s="11" t="e">
        <f>VLOOKUP(L778,[1]Sheet19!E:L,8,FALSE)</f>
        <v>#N/A</v>
      </c>
      <c r="AO778" s="11" t="e">
        <f>VLOOKUP(L778,[1]Sheet19!E:K,7,FALSE)</f>
        <v>#N/A</v>
      </c>
      <c r="AP778" s="12"/>
    </row>
    <row r="779" spans="1:42" ht="15" x14ac:dyDescent="0.2">
      <c r="A779" s="8" t="s">
        <v>42</v>
      </c>
      <c r="B779" s="9" t="s">
        <v>43</v>
      </c>
      <c r="C779" s="9">
        <v>376</v>
      </c>
      <c r="D779" s="9" t="s">
        <v>1631</v>
      </c>
      <c r="E779" s="9">
        <v>163</v>
      </c>
      <c r="F779" s="9" t="s">
        <v>1902</v>
      </c>
      <c r="G779" s="9" t="s">
        <v>1724</v>
      </c>
      <c r="H779" s="9" t="s">
        <v>47</v>
      </c>
      <c r="I779" s="9" t="s">
        <v>1790</v>
      </c>
      <c r="J779" s="9" t="s">
        <v>1827</v>
      </c>
      <c r="K779" s="9" t="s">
        <v>1928</v>
      </c>
      <c r="L779" s="10" t="s">
        <v>1928</v>
      </c>
      <c r="M779" s="9" t="s">
        <v>51</v>
      </c>
      <c r="N779" s="9">
        <v>115</v>
      </c>
      <c r="O779" s="9" t="s">
        <v>72</v>
      </c>
      <c r="P779" s="9">
        <v>70</v>
      </c>
      <c r="Q779" s="9">
        <v>70</v>
      </c>
      <c r="R779" s="9">
        <v>0.66</v>
      </c>
      <c r="S779" s="9">
        <v>0.56464000000000003</v>
      </c>
      <c r="T779" s="9">
        <v>97.826507000000007</v>
      </c>
      <c r="U779" s="9" t="s">
        <v>52</v>
      </c>
      <c r="V779" s="11" t="str">
        <f>VLOOKUP(L779,'[1]singkron data'!D:E,2,FALSE)</f>
        <v>PT. Bukit Zaitun (Menengah)</v>
      </c>
      <c r="W779" s="11"/>
      <c r="X779" s="11"/>
      <c r="Y779" s="11" t="str">
        <f>VLOOKUP(L779,'[1]singkron data'!D:H,5,FALSE)</f>
        <v>Jakarta</v>
      </c>
      <c r="Z779" s="11" t="str">
        <f>VLOOKUP(L779,'[1]singkron data'!D:I,6,FALSE)</f>
        <v>Online</v>
      </c>
      <c r="AA779" s="11" t="str">
        <f>VLOOKUP(L779,'[1]singkron data'!D:L,9,FALSE)</f>
        <v>082267333341/rizki ulfa</v>
      </c>
      <c r="AB779" s="11" t="s">
        <v>54</v>
      </c>
      <c r="AC779" s="11" t="str">
        <f>VLOOKUP(L779,'[1]singkron data'!D:M,10,FALSE)</f>
        <v>Dedd</v>
      </c>
      <c r="AD779" s="11" t="str">
        <f>VLOOKUP(L779,'[1]data 1129'!F:O,10,FALSE)</f>
        <v>Tahap III 166</v>
      </c>
      <c r="AE779" s="11">
        <f>VLOOKUP(L779,'[1]singkron data'!D:P,13,FALSE)</f>
        <v>0</v>
      </c>
      <c r="AF779" s="11" t="s">
        <v>55</v>
      </c>
      <c r="AG779" s="11" t="e">
        <f>VLOOKUP(L779,'[1]update kontrak'!E:K,6,FALSE)</f>
        <v>#N/A</v>
      </c>
      <c r="AH779" s="11" t="e">
        <f>VLOOKUP(L779,'[1]update kontrak'!E:K,7,FALSE)</f>
        <v>#N/A</v>
      </c>
      <c r="AI779" s="11"/>
      <c r="AJ779" s="11" t="str">
        <f>VLOOKUP(L779,[1]rekap!D:M,1,FALSE)</f>
        <v>Pasar Teluk Dalam</v>
      </c>
      <c r="AK779" s="11" t="str">
        <f>VLOOKUP(L779,'[1]singkron data'!D:E,2,FALSE)</f>
        <v>PT. Bukit Zaitun (Menengah)</v>
      </c>
      <c r="AL779" s="11" t="str">
        <f>VLOOKUP(L779,'[1]update 521'!D:D,1,FALSE)</f>
        <v>Pasar Teluk Dalam</v>
      </c>
      <c r="AM779" s="11" t="s">
        <v>96</v>
      </c>
      <c r="AN779" s="11" t="e">
        <f>VLOOKUP(L779,[1]Sheet19!E:L,8,FALSE)</f>
        <v>#N/A</v>
      </c>
      <c r="AO779" s="11" t="e">
        <f>VLOOKUP(L779,[1]Sheet19!E:K,7,FALSE)</f>
        <v>#N/A</v>
      </c>
      <c r="AP779" s="12"/>
    </row>
    <row r="780" spans="1:42" ht="15" x14ac:dyDescent="0.2">
      <c r="A780" s="8" t="s">
        <v>42</v>
      </c>
      <c r="B780" s="9" t="s">
        <v>43</v>
      </c>
      <c r="C780" s="9">
        <v>377</v>
      </c>
      <c r="D780" s="9" t="s">
        <v>1631</v>
      </c>
      <c r="E780" s="9">
        <v>164</v>
      </c>
      <c r="F780" s="9" t="s">
        <v>1929</v>
      </c>
      <c r="G780" s="9" t="s">
        <v>1724</v>
      </c>
      <c r="H780" s="9" t="s">
        <v>47</v>
      </c>
      <c r="I780" s="9" t="s">
        <v>1930</v>
      </c>
      <c r="J780" s="9" t="s">
        <v>1931</v>
      </c>
      <c r="K780" s="9" t="s">
        <v>1932</v>
      </c>
      <c r="L780" s="10" t="s">
        <v>1932</v>
      </c>
      <c r="M780" s="9" t="s">
        <v>51</v>
      </c>
      <c r="N780" s="14">
        <v>1050</v>
      </c>
      <c r="O780" s="9" t="s">
        <v>72</v>
      </c>
      <c r="P780" s="9">
        <v>345</v>
      </c>
      <c r="Q780" s="9">
        <v>345</v>
      </c>
      <c r="R780" s="9">
        <v>0.17</v>
      </c>
      <c r="S780" s="9">
        <v>2.9674019999999999</v>
      </c>
      <c r="T780" s="9">
        <v>99.812708000000001</v>
      </c>
      <c r="U780" s="9" t="s">
        <v>52</v>
      </c>
      <c r="V780" s="11" t="str">
        <f>VLOOKUP(L780,'[1]singkron data'!D:E,2,FALSE)</f>
        <v>CV. Mahanaim</v>
      </c>
      <c r="W780" s="11"/>
      <c r="X780" s="11"/>
      <c r="Y780" s="11">
        <f>VLOOKUP(L780,'[1]singkron data'!D:H,5,FALSE)</f>
        <v>0</v>
      </c>
      <c r="Z780" s="11">
        <f>VLOOKUP(L780,'[1]singkron data'!D:I,6,FALSE)</f>
        <v>0</v>
      </c>
      <c r="AA780" s="11">
        <v>81369625211</v>
      </c>
      <c r="AB780" s="11" t="s">
        <v>54</v>
      </c>
      <c r="AC780" s="11" t="s">
        <v>1933</v>
      </c>
      <c r="AD780" s="11" t="str">
        <f>VLOOKUP(L780,'[1]data 1129'!F:O,10,FALSE)</f>
        <v>Tahap IV 200</v>
      </c>
      <c r="AE780" s="11">
        <f>VLOOKUP(L780,'[1]singkron data'!D:P,13,FALSE)</f>
        <v>0</v>
      </c>
      <c r="AF780" s="11" t="s">
        <v>55</v>
      </c>
      <c r="AG780" s="11" t="e">
        <f>VLOOKUP(L780,'[1]update kontrak'!E:K,6,FALSE)</f>
        <v>#N/A</v>
      </c>
      <c r="AH780" s="11" t="e">
        <f>VLOOKUP(L780,'[1]update kontrak'!E:K,7,FALSE)</f>
        <v>#N/A</v>
      </c>
      <c r="AI780" s="11"/>
      <c r="AJ780" s="11" t="str">
        <f>VLOOKUP(L780,[1]rekap!D:M,1,FALSE)</f>
        <v>Sei Jawi-Jawi</v>
      </c>
      <c r="AK780" s="11" t="str">
        <f>VLOOKUP(L780,'[1]singkron data'!D:E,2,FALSE)</f>
        <v>CV. Mahanaim</v>
      </c>
      <c r="AL780" s="11" t="str">
        <f>VLOOKUP(L780,'[1]update 521'!D:D,1,FALSE)</f>
        <v>Sei Jawi-Jawi</v>
      </c>
      <c r="AM780" s="11" t="s">
        <v>96</v>
      </c>
      <c r="AN780" s="11" t="e">
        <f>VLOOKUP(L780,[1]Sheet19!E:L,8,FALSE)</f>
        <v>#N/A</v>
      </c>
      <c r="AO780" s="11" t="e">
        <f>VLOOKUP(L780,[1]Sheet19!E:K,7,FALSE)</f>
        <v>#N/A</v>
      </c>
      <c r="AP780" s="12"/>
    </row>
    <row r="781" spans="1:42" ht="15" x14ac:dyDescent="0.2">
      <c r="A781" s="8" t="s">
        <v>42</v>
      </c>
      <c r="B781" s="9" t="s">
        <v>43</v>
      </c>
      <c r="C781" s="9">
        <v>378</v>
      </c>
      <c r="D781" s="9" t="s">
        <v>1631</v>
      </c>
      <c r="E781" s="9">
        <v>165</v>
      </c>
      <c r="F781" s="9" t="s">
        <v>1929</v>
      </c>
      <c r="G781" s="9" t="s">
        <v>1724</v>
      </c>
      <c r="H781" s="9" t="s">
        <v>47</v>
      </c>
      <c r="I781" s="9" t="s">
        <v>1930</v>
      </c>
      <c r="J781" s="9" t="s">
        <v>1934</v>
      </c>
      <c r="K781" s="9" t="s">
        <v>1935</v>
      </c>
      <c r="L781" s="10" t="s">
        <v>1935</v>
      </c>
      <c r="M781" s="9" t="s">
        <v>51</v>
      </c>
      <c r="N781" s="14">
        <v>1238</v>
      </c>
      <c r="O781" s="9" t="s">
        <v>72</v>
      </c>
      <c r="P781" s="9">
        <v>643</v>
      </c>
      <c r="Q781" s="9">
        <v>643</v>
      </c>
      <c r="R781" s="9">
        <v>1</v>
      </c>
      <c r="S781" s="9">
        <v>3.0123829999999998</v>
      </c>
      <c r="T781" s="9">
        <v>99.859817000000007</v>
      </c>
      <c r="U781" s="9" t="s">
        <v>52</v>
      </c>
      <c r="V781" s="11" t="str">
        <f>VLOOKUP(L781,'[1]singkron data'!D:E,2,FALSE)</f>
        <v>CV. Mahanaim</v>
      </c>
      <c r="W781" s="11"/>
      <c r="X781" s="11"/>
      <c r="Y781" s="11">
        <f>VLOOKUP(L781,'[1]singkron data'!D:H,5,FALSE)</f>
        <v>0</v>
      </c>
      <c r="Z781" s="11">
        <f>VLOOKUP(L781,'[1]singkron data'!D:I,6,FALSE)</f>
        <v>0</v>
      </c>
      <c r="AA781" s="11">
        <v>81369625211</v>
      </c>
      <c r="AB781" s="11" t="s">
        <v>54</v>
      </c>
      <c r="AC781" s="11" t="s">
        <v>1933</v>
      </c>
      <c r="AD781" s="11" t="str">
        <f>VLOOKUP(L781,'[1]data 1129'!F:O,10,FALSE)</f>
        <v>Tahap II 146</v>
      </c>
      <c r="AE781" s="11">
        <f>VLOOKUP(L781,'[1]singkron data'!D:P,13,FALSE)</f>
        <v>0</v>
      </c>
      <c r="AF781" s="11" t="s">
        <v>55</v>
      </c>
      <c r="AG781" s="11" t="e">
        <f>VLOOKUP(L781,'[1]update kontrak'!E:K,6,FALSE)</f>
        <v>#N/A</v>
      </c>
      <c r="AH781" s="11" t="e">
        <f>VLOOKUP(L781,'[1]update kontrak'!E:K,7,FALSE)</f>
        <v>#N/A</v>
      </c>
      <c r="AI781" s="11"/>
      <c r="AJ781" s="11" t="str">
        <f>VLOOKUP(L781,[1]rekap!D:M,1,FALSE)</f>
        <v>Bagan Asahan Baru</v>
      </c>
      <c r="AK781" s="11" t="str">
        <f>VLOOKUP(L781,'[1]singkron data'!D:E,2,FALSE)</f>
        <v>CV. Mahanaim</v>
      </c>
      <c r="AL781" s="11" t="str">
        <f>VLOOKUP(L781,'[1]update 521'!D:D,1,FALSE)</f>
        <v>Bagan Asahan Baru</v>
      </c>
      <c r="AM781" s="11" t="s">
        <v>96</v>
      </c>
      <c r="AN781" s="11" t="e">
        <f>VLOOKUP(L781,[1]Sheet19!E:L,8,FALSE)</f>
        <v>#N/A</v>
      </c>
      <c r="AO781" s="11" t="e">
        <f>VLOOKUP(L781,[1]Sheet19!E:K,7,FALSE)</f>
        <v>#N/A</v>
      </c>
      <c r="AP781" s="12"/>
    </row>
    <row r="782" spans="1:42" ht="15" x14ac:dyDescent="0.2">
      <c r="A782" s="8" t="s">
        <v>42</v>
      </c>
      <c r="B782" s="9" t="s">
        <v>43</v>
      </c>
      <c r="C782" s="9">
        <v>379</v>
      </c>
      <c r="D782" s="9" t="s">
        <v>1631</v>
      </c>
      <c r="E782" s="9">
        <v>166</v>
      </c>
      <c r="F782" s="9" t="s">
        <v>1929</v>
      </c>
      <c r="G782" s="9" t="s">
        <v>1724</v>
      </c>
      <c r="H782" s="9" t="s">
        <v>47</v>
      </c>
      <c r="I782" s="9" t="s">
        <v>1936</v>
      </c>
      <c r="J782" s="9" t="s">
        <v>1937</v>
      </c>
      <c r="K782" s="9" t="s">
        <v>1938</v>
      </c>
      <c r="L782" s="10" t="s">
        <v>1938</v>
      </c>
      <c r="M782" s="9" t="s">
        <v>51</v>
      </c>
      <c r="N782" s="9">
        <v>582</v>
      </c>
      <c r="O782" s="9" t="s">
        <v>72</v>
      </c>
      <c r="P782" s="9">
        <v>200</v>
      </c>
      <c r="Q782" s="9">
        <v>200</v>
      </c>
      <c r="R782" s="9">
        <v>0.5</v>
      </c>
      <c r="S782" s="9">
        <v>3.4144963000000002</v>
      </c>
      <c r="T782" s="9">
        <v>99.326279700000001</v>
      </c>
      <c r="U782" s="9" t="s">
        <v>52</v>
      </c>
      <c r="V782" s="11" t="str">
        <f>VLOOKUP(L782,'[1]singkron data'!D:E,2,FALSE)</f>
        <v>CV. Ridho Pratama (Kecil)</v>
      </c>
      <c r="W782" s="11"/>
      <c r="X782" s="11"/>
      <c r="Y782" s="11">
        <f>VLOOKUP(L782,'[1]singkron data'!D:H,5,FALSE)</f>
        <v>0</v>
      </c>
      <c r="Z782" s="11">
        <f>VLOOKUP(L782,'[1]singkron data'!D:I,6,FALSE)</f>
        <v>0</v>
      </c>
      <c r="AA782" s="11" t="str">
        <f>VLOOKUP(L782,'[1]singkron data'!D:L,9,FALSE)</f>
        <v>081261605171/yadi susanto</v>
      </c>
      <c r="AB782" s="11" t="s">
        <v>54</v>
      </c>
      <c r="AC782" s="11" t="str">
        <f>VLOOKUP(L782,'[1]singkron data'!D:M,10,FALSE)</f>
        <v>Dedd</v>
      </c>
      <c r="AD782" s="11" t="str">
        <f>VLOOKUP(L782,'[1]data 1129'!F:O,10,FALSE)</f>
        <v>Tahap III 166</v>
      </c>
      <c r="AE782" s="11">
        <f>VLOOKUP(L782,'[1]singkron data'!D:P,13,FALSE)</f>
        <v>0</v>
      </c>
      <c r="AF782" s="11" t="s">
        <v>55</v>
      </c>
      <c r="AG782" s="11" t="e">
        <f>VLOOKUP(L782,'[1]update kontrak'!E:K,6,FALSE)</f>
        <v>#N/A</v>
      </c>
      <c r="AH782" s="11" t="e">
        <f>VLOOKUP(L782,'[1]update kontrak'!E:K,7,FALSE)</f>
        <v>#N/A</v>
      </c>
      <c r="AI782" s="11"/>
      <c r="AJ782" s="11" t="str">
        <f>VLOOKUP(L782,[1]rekap!D:M,1,FALSE)</f>
        <v>Nenas Siam</v>
      </c>
      <c r="AK782" s="11" t="str">
        <f>VLOOKUP(L782,'[1]singkron data'!D:E,2,FALSE)</f>
        <v>CV. Ridho Pratama (Kecil)</v>
      </c>
      <c r="AL782" s="11" t="str">
        <f>VLOOKUP(L782,'[1]update 521'!D:D,1,FALSE)</f>
        <v>Nenas Siam</v>
      </c>
      <c r="AM782" s="11" t="s">
        <v>96</v>
      </c>
      <c r="AN782" s="11" t="e">
        <f>VLOOKUP(L782,[1]Sheet19!E:L,8,FALSE)</f>
        <v>#N/A</v>
      </c>
      <c r="AO782" s="11" t="e">
        <f>VLOOKUP(L782,[1]Sheet19!E:K,7,FALSE)</f>
        <v>#N/A</v>
      </c>
      <c r="AP782" s="12"/>
    </row>
    <row r="783" spans="1:42" ht="15" x14ac:dyDescent="0.2">
      <c r="A783" s="8" t="s">
        <v>42</v>
      </c>
      <c r="B783" s="9" t="s">
        <v>43</v>
      </c>
      <c r="C783" s="9">
        <v>380</v>
      </c>
      <c r="D783" s="9" t="s">
        <v>1631</v>
      </c>
      <c r="E783" s="9">
        <v>167</v>
      </c>
      <c r="F783" s="9" t="s">
        <v>1939</v>
      </c>
      <c r="G783" s="9" t="s">
        <v>1854</v>
      </c>
      <c r="H783" s="9" t="s">
        <v>47</v>
      </c>
      <c r="I783" s="9" t="s">
        <v>1940</v>
      </c>
      <c r="J783" s="9" t="s">
        <v>1941</v>
      </c>
      <c r="K783" s="9" t="s">
        <v>1942</v>
      </c>
      <c r="L783" s="10" t="s">
        <v>1942</v>
      </c>
      <c r="M783" s="9" t="s">
        <v>51</v>
      </c>
      <c r="N783" s="9">
        <v>470</v>
      </c>
      <c r="O783" s="9">
        <v>50</v>
      </c>
      <c r="P783" s="9">
        <v>130</v>
      </c>
      <c r="Q783" s="9">
        <v>180</v>
      </c>
      <c r="R783" s="9">
        <v>2.06</v>
      </c>
      <c r="S783" s="9">
        <v>-4.1327778000000004</v>
      </c>
      <c r="T783" s="9">
        <v>102.5105556</v>
      </c>
      <c r="U783" s="9" t="s">
        <v>52</v>
      </c>
      <c r="V783" s="11" t="str">
        <f>VLOOKUP(L783,'[1]singkron data'!D:E,2,FALSE)</f>
        <v>CV. Karya Bona Pasogit</v>
      </c>
      <c r="W783" s="13">
        <f>VLOOKUP(L783,'[1]update tim 2'!D:F,3,FALSE)</f>
        <v>4015716000</v>
      </c>
      <c r="X783" s="11" t="s">
        <v>55</v>
      </c>
      <c r="Y783" s="11" t="str">
        <f>VLOOKUP(L783,'[1]singkron data'!D:H,5,FALSE)</f>
        <v>Bengkulu</v>
      </c>
      <c r="Z783" s="11" t="str">
        <f>VLOOKUP(L783,'[1]singkron data'!D:I,6,FALSE)</f>
        <v>Online</v>
      </c>
      <c r="AA783" s="11">
        <f>VLOOKUP(L783,'[1]singkron data'!D:L,9,FALSE)</f>
        <v>85766871824</v>
      </c>
      <c r="AB783" s="11" t="s">
        <v>54</v>
      </c>
      <c r="AC783" s="11" t="str">
        <f>VLOOKUP(L783,'[1]singkron data'!D:M,10,FALSE)</f>
        <v>ulfa</v>
      </c>
      <c r="AD783" s="11" t="str">
        <f>VLOOKUP(L783,'[1]data 1129'!F:O,10,FALSE)</f>
        <v>Tahap II 146</v>
      </c>
      <c r="AE783" s="11">
        <f>VLOOKUP(L783,'[1]singkron data'!D:P,13,FALSE)</f>
        <v>0</v>
      </c>
      <c r="AF783" s="11" t="s">
        <v>55</v>
      </c>
      <c r="AG783" s="11" t="e">
        <f>VLOOKUP(L783,'[1]update kontrak'!E:K,6,FALSE)</f>
        <v>#N/A</v>
      </c>
      <c r="AH783" s="11" t="e">
        <f>VLOOKUP(L783,'[1]update kontrak'!E:K,7,FALSE)</f>
        <v>#N/A</v>
      </c>
      <c r="AI783" s="11"/>
      <c r="AJ783" s="11" t="str">
        <f>VLOOKUP(L783,[1]rekap!D:M,1,FALSE)</f>
        <v>Pasar Seluma</v>
      </c>
      <c r="AK783" s="11" t="str">
        <f>VLOOKUP(L783,'[1]singkron data'!D:E,2,FALSE)</f>
        <v>CV. Karya Bona Pasogit</v>
      </c>
      <c r="AL783" s="11" t="str">
        <f>VLOOKUP(L783,'[1]update 521'!D:D,1,FALSE)</f>
        <v>Pasar Seluma</v>
      </c>
      <c r="AM783" s="11" t="s">
        <v>57</v>
      </c>
      <c r="AN783" s="11" t="e">
        <f>VLOOKUP(L783,[1]Sheet19!E:L,8,FALSE)</f>
        <v>#N/A</v>
      </c>
      <c r="AO783" s="11" t="s">
        <v>58</v>
      </c>
      <c r="AP783" s="12"/>
    </row>
    <row r="784" spans="1:42" ht="15" x14ac:dyDescent="0.2">
      <c r="A784" s="8" t="s">
        <v>42</v>
      </c>
      <c r="B784" s="9" t="s">
        <v>43</v>
      </c>
      <c r="C784" s="9">
        <v>381</v>
      </c>
      <c r="D784" s="9" t="s">
        <v>1631</v>
      </c>
      <c r="E784" s="9">
        <v>168</v>
      </c>
      <c r="F784" s="9" t="s">
        <v>1939</v>
      </c>
      <c r="G784" s="9" t="s">
        <v>1854</v>
      </c>
      <c r="H784" s="9" t="s">
        <v>47</v>
      </c>
      <c r="I784" s="9" t="s">
        <v>1940</v>
      </c>
      <c r="J784" s="9" t="s">
        <v>1943</v>
      </c>
      <c r="K784" s="9" t="s">
        <v>1944</v>
      </c>
      <c r="L784" s="10" t="s">
        <v>1944</v>
      </c>
      <c r="M784" s="9" t="s">
        <v>51</v>
      </c>
      <c r="N784" s="9">
        <v>56</v>
      </c>
      <c r="O784" s="9">
        <v>110</v>
      </c>
      <c r="P784" s="9">
        <v>3</v>
      </c>
      <c r="Q784" s="9">
        <v>113</v>
      </c>
      <c r="R784" s="9">
        <v>1.18</v>
      </c>
      <c r="S784" s="9">
        <v>-4.0111330000000001</v>
      </c>
      <c r="T784" s="9">
        <v>102.351086</v>
      </c>
      <c r="U784" s="9" t="s">
        <v>52</v>
      </c>
      <c r="V784" s="11" t="str">
        <f>VLOOKUP(L784,'[1]singkron data'!D:E,2,FALSE)</f>
        <v>CV. Mahanaim</v>
      </c>
      <c r="W784" s="13">
        <f>VLOOKUP(L784,'[1]update tim 2'!D:F,3,FALSE)</f>
        <v>9684757000</v>
      </c>
      <c r="X784" s="11" t="s">
        <v>55</v>
      </c>
      <c r="Y784" s="11" t="str">
        <f>VLOOKUP(L784,'[1]singkron data'!D:H,5,FALSE)</f>
        <v>Seluma</v>
      </c>
      <c r="Z784" s="11" t="str">
        <f>VLOOKUP(L784,'[1]singkron data'!D:I,6,FALSE)</f>
        <v>Online</v>
      </c>
      <c r="AA784" s="11">
        <v>81369625211</v>
      </c>
      <c r="AB784" s="11" t="s">
        <v>54</v>
      </c>
      <c r="AC784" s="11" t="s">
        <v>1933</v>
      </c>
      <c r="AD784" s="11" t="str">
        <f>VLOOKUP(L784,'[1]data 1129'!F:O,10,FALSE)</f>
        <v>Tahap II 146</v>
      </c>
      <c r="AE784" s="11">
        <f>VLOOKUP(L784,'[1]singkron data'!D:P,13,FALSE)</f>
        <v>0</v>
      </c>
      <c r="AF784" s="11" t="s">
        <v>55</v>
      </c>
      <c r="AG784" s="11" t="e">
        <f>VLOOKUP(L784,'[1]update kontrak'!E:K,6,FALSE)</f>
        <v>#N/A</v>
      </c>
      <c r="AH784" s="11" t="e">
        <f>VLOOKUP(L784,'[1]update kontrak'!E:K,7,FALSE)</f>
        <v>#N/A</v>
      </c>
      <c r="AI784" s="11"/>
      <c r="AJ784" s="11" t="str">
        <f>VLOOKUP(L784,[1]rekap!D:M,1,FALSE)</f>
        <v>Kungkai Baru</v>
      </c>
      <c r="AK784" s="11" t="str">
        <f>VLOOKUP(L784,'[1]singkron data'!D:E,2,FALSE)</f>
        <v>CV. Mahanaim</v>
      </c>
      <c r="AL784" s="11" t="str">
        <f>VLOOKUP(L784,'[1]update 521'!D:D,1,FALSE)</f>
        <v>Kungkai Baru</v>
      </c>
      <c r="AM784" s="11" t="s">
        <v>57</v>
      </c>
      <c r="AN784" s="11" t="e">
        <f>VLOOKUP(L784,[1]Sheet19!E:L,8,FALSE)</f>
        <v>#N/A</v>
      </c>
      <c r="AO784" s="11" t="s">
        <v>58</v>
      </c>
      <c r="AP784" s="12"/>
    </row>
    <row r="785" spans="1:42" ht="15" x14ac:dyDescent="0.2">
      <c r="A785" s="8" t="s">
        <v>42</v>
      </c>
      <c r="B785" s="9" t="s">
        <v>43</v>
      </c>
      <c r="C785" s="9">
        <v>382</v>
      </c>
      <c r="D785" s="9" t="s">
        <v>1631</v>
      </c>
      <c r="E785" s="9">
        <v>169</v>
      </c>
      <c r="F785" s="9" t="s">
        <v>1939</v>
      </c>
      <c r="G785" s="9" t="s">
        <v>1854</v>
      </c>
      <c r="H785" s="9" t="s">
        <v>47</v>
      </c>
      <c r="I785" s="9" t="s">
        <v>1940</v>
      </c>
      <c r="J785" s="9" t="s">
        <v>1945</v>
      </c>
      <c r="K785" s="9" t="s">
        <v>1946</v>
      </c>
      <c r="L785" s="10" t="s">
        <v>1946</v>
      </c>
      <c r="M785" s="9" t="s">
        <v>51</v>
      </c>
      <c r="N785" s="9">
        <v>67</v>
      </c>
      <c r="O785" s="9" t="s">
        <v>72</v>
      </c>
      <c r="P785" s="9">
        <v>60</v>
      </c>
      <c r="Q785" s="9">
        <v>60</v>
      </c>
      <c r="R785" s="9">
        <v>0.88</v>
      </c>
      <c r="S785" s="9">
        <v>-4.3533333000000001</v>
      </c>
      <c r="T785" s="9">
        <v>102.7961111</v>
      </c>
      <c r="U785" s="9" t="s">
        <v>52</v>
      </c>
      <c r="V785" s="11" t="str">
        <f>VLOOKUP(L785,'[1]singkron data'!D:E,2,FALSE)</f>
        <v>CV. Putra Raja Parna</v>
      </c>
      <c r="W785" s="13">
        <f>VLOOKUP(L785,'[1]update tim 2'!D:F,3,FALSE)</f>
        <v>6154836000</v>
      </c>
      <c r="X785" s="11" t="s">
        <v>55</v>
      </c>
      <c r="Y785" s="11" t="str">
        <f>VLOOKUP(L785,'[1]singkron data'!D:H,5,FALSE)</f>
        <v>Bengkulu</v>
      </c>
      <c r="Z785" s="11" t="str">
        <f>VLOOKUP(L785,'[1]singkron data'!D:I,6,FALSE)</f>
        <v>Online</v>
      </c>
      <c r="AA785" s="11">
        <f>VLOOKUP(L785,'[1]singkron data'!D:L,9,FALSE)</f>
        <v>85758165571</v>
      </c>
      <c r="AB785" s="11" t="s">
        <v>54</v>
      </c>
      <c r="AC785" s="11" t="s">
        <v>1933</v>
      </c>
      <c r="AD785" s="11" t="str">
        <f>VLOOKUP(L785,'[1]data 1129'!F:O,10,FALSE)</f>
        <v>Tahap II 146</v>
      </c>
      <c r="AE785" s="11">
        <f>VLOOKUP(L785,'[1]singkron data'!D:P,13,FALSE)</f>
        <v>0</v>
      </c>
      <c r="AF785" s="11" t="s">
        <v>55</v>
      </c>
      <c r="AG785" s="11" t="e">
        <f>VLOOKUP(L785,'[1]update kontrak'!E:K,6,FALSE)</f>
        <v>#N/A</v>
      </c>
      <c r="AH785" s="11" t="e">
        <f>VLOOKUP(L785,'[1]update kontrak'!E:K,7,FALSE)</f>
        <v>#N/A</v>
      </c>
      <c r="AI785" s="11"/>
      <c r="AJ785" s="11" t="str">
        <f>VLOOKUP(L785,[1]rekap!D:M,1,FALSE)</f>
        <v>Muara Maras</v>
      </c>
      <c r="AK785" s="11" t="str">
        <f>VLOOKUP(L785,'[1]singkron data'!D:E,2,FALSE)</f>
        <v>CV. Putra Raja Parna</v>
      </c>
      <c r="AL785" s="11" t="str">
        <f>VLOOKUP(L785,'[1]update 521'!D:D,1,FALSE)</f>
        <v>Muara Maras</v>
      </c>
      <c r="AM785" s="11" t="s">
        <v>57</v>
      </c>
      <c r="AN785" s="11" t="e">
        <f>VLOOKUP(L785,[1]Sheet19!E:L,8,FALSE)</f>
        <v>#N/A</v>
      </c>
      <c r="AO785" s="11" t="s">
        <v>58</v>
      </c>
      <c r="AP785" s="12"/>
    </row>
    <row r="786" spans="1:42" ht="15" x14ac:dyDescent="0.2">
      <c r="A786" s="8" t="s">
        <v>42</v>
      </c>
      <c r="B786" s="9" t="s">
        <v>43</v>
      </c>
      <c r="C786" s="9">
        <v>383</v>
      </c>
      <c r="D786" s="9" t="s">
        <v>1631</v>
      </c>
      <c r="E786" s="9">
        <v>170</v>
      </c>
      <c r="F786" s="9" t="s">
        <v>1939</v>
      </c>
      <c r="G786" s="9" t="s">
        <v>1854</v>
      </c>
      <c r="H786" s="9" t="s">
        <v>47</v>
      </c>
      <c r="I786" s="9" t="s">
        <v>1940</v>
      </c>
      <c r="J786" s="9" t="s">
        <v>1945</v>
      </c>
      <c r="K786" s="9" t="s">
        <v>1947</v>
      </c>
      <c r="L786" s="10" t="s">
        <v>1947</v>
      </c>
      <c r="M786" s="9" t="s">
        <v>51</v>
      </c>
      <c r="N786" s="9">
        <v>64</v>
      </c>
      <c r="O786" s="9" t="s">
        <v>72</v>
      </c>
      <c r="P786" s="9">
        <v>24</v>
      </c>
      <c r="Q786" s="9">
        <v>24</v>
      </c>
      <c r="R786" s="9">
        <v>0.03</v>
      </c>
      <c r="S786" s="9">
        <v>-4.3283100000000001</v>
      </c>
      <c r="T786" s="9">
        <v>102.759073</v>
      </c>
      <c r="U786" s="9" t="s">
        <v>52</v>
      </c>
      <c r="V786" s="11" t="str">
        <f>VLOOKUP(L786,'[1]singkron data'!D:E,2,FALSE)</f>
        <v>CV. Mahanaim</v>
      </c>
      <c r="W786" s="13">
        <f>VLOOKUP(L786,'[1]update tim 2'!D:F,3,FALSE)</f>
        <v>3775059000</v>
      </c>
      <c r="X786" s="11" t="s">
        <v>55</v>
      </c>
      <c r="Y786" s="11" t="str">
        <f>VLOOKUP(L786,'[1]singkron data'!D:H,5,FALSE)</f>
        <v>Seluma</v>
      </c>
      <c r="Z786" s="11" t="str">
        <f>VLOOKUP(L786,'[1]singkron data'!D:I,6,FALSE)</f>
        <v>Online</v>
      </c>
      <c r="AA786" s="11">
        <v>81369625211</v>
      </c>
      <c r="AB786" s="11" t="s">
        <v>54</v>
      </c>
      <c r="AC786" s="11">
        <f>VLOOKUP(L786,'[1]singkron data'!D:M,10,FALSE)</f>
        <v>0</v>
      </c>
      <c r="AD786" s="11" t="str">
        <f>VLOOKUP(L786,'[1]data 1129'!F:O,10,FALSE)</f>
        <v>Tahap II 146</v>
      </c>
      <c r="AE786" s="11">
        <f>VLOOKUP(L786,'[1]singkron data'!D:P,13,FALSE)</f>
        <v>0</v>
      </c>
      <c r="AF786" s="11" t="s">
        <v>55</v>
      </c>
      <c r="AG786" s="11" t="e">
        <f>VLOOKUP(L786,'[1]update kontrak'!E:K,6,FALSE)</f>
        <v>#N/A</v>
      </c>
      <c r="AH786" s="11" t="e">
        <f>VLOOKUP(L786,'[1]update kontrak'!E:K,7,FALSE)</f>
        <v>#N/A</v>
      </c>
      <c r="AI786" s="11"/>
      <c r="AJ786" s="11" t="str">
        <f>VLOOKUP(L786,[1]rekap!D:M,1,FALSE)</f>
        <v>Ketapang Baru</v>
      </c>
      <c r="AK786" s="11" t="str">
        <f>VLOOKUP(L786,'[1]singkron data'!D:E,2,FALSE)</f>
        <v>CV. Mahanaim</v>
      </c>
      <c r="AL786" s="11" t="str">
        <f>VLOOKUP(L786,'[1]update 521'!D:D,1,FALSE)</f>
        <v>Ketapang Baru</v>
      </c>
      <c r="AM786" s="11" t="s">
        <v>57</v>
      </c>
      <c r="AN786" s="11" t="e">
        <f>VLOOKUP(L786,[1]Sheet19!E:L,8,FALSE)</f>
        <v>#N/A</v>
      </c>
      <c r="AO786" s="11" t="s">
        <v>58</v>
      </c>
      <c r="AP786" s="12"/>
    </row>
    <row r="787" spans="1:42" ht="15" x14ac:dyDescent="0.2">
      <c r="A787" s="8" t="s">
        <v>42</v>
      </c>
      <c r="B787" s="9" t="s">
        <v>43</v>
      </c>
      <c r="C787" s="9">
        <v>384</v>
      </c>
      <c r="D787" s="9" t="s">
        <v>1631</v>
      </c>
      <c r="E787" s="9">
        <v>171</v>
      </c>
      <c r="F787" s="9" t="s">
        <v>1948</v>
      </c>
      <c r="G787" s="9" t="s">
        <v>1831</v>
      </c>
      <c r="H787" s="9" t="s">
        <v>47</v>
      </c>
      <c r="I787" s="9" t="s">
        <v>1841</v>
      </c>
      <c r="J787" s="9" t="s">
        <v>1949</v>
      </c>
      <c r="K787" s="9" t="s">
        <v>1950</v>
      </c>
      <c r="L787" s="10" t="s">
        <v>1950</v>
      </c>
      <c r="M787" s="9" t="s">
        <v>65</v>
      </c>
      <c r="N787" s="9">
        <v>371</v>
      </c>
      <c r="O787" s="9" t="s">
        <v>72</v>
      </c>
      <c r="P787" s="9">
        <v>146</v>
      </c>
      <c r="Q787" s="9">
        <v>146</v>
      </c>
      <c r="R787" s="9">
        <v>1.05</v>
      </c>
      <c r="S787" s="9">
        <v>-2.0262540000000002</v>
      </c>
      <c r="T787" s="9">
        <v>100.88067599999999</v>
      </c>
      <c r="U787" s="9" t="s">
        <v>52</v>
      </c>
      <c r="V787" s="11" t="s">
        <v>1951</v>
      </c>
      <c r="W787" s="13">
        <f>VLOOKUP(L787,'[1]update tim 2'!D:F,3,FALSE)</f>
        <v>8020194000</v>
      </c>
      <c r="X787" s="11" t="s">
        <v>55</v>
      </c>
      <c r="Y787" s="11">
        <f>VLOOKUP(L787,'[1]singkron data'!D:H,5,FALSE)</f>
        <v>0</v>
      </c>
      <c r="Z787" s="11">
        <f>VLOOKUP(L787,'[1]singkron data'!D:I,6,FALSE)</f>
        <v>0</v>
      </c>
      <c r="AA787" s="11" t="s">
        <v>1952</v>
      </c>
      <c r="AB787" s="11" t="s">
        <v>54</v>
      </c>
      <c r="AC787" s="11" t="s">
        <v>1953</v>
      </c>
      <c r="AD787" s="11" t="str">
        <f>VLOOKUP(L787,'[1]data 1129'!F:O,10,FALSE)</f>
        <v>Tahap III 166</v>
      </c>
      <c r="AE787" s="11">
        <f>VLOOKUP(L787,'[1]singkron data'!D:P,13,FALSE)</f>
        <v>0</v>
      </c>
      <c r="AF787" s="11" t="s">
        <v>55</v>
      </c>
      <c r="AG787" s="11" t="e">
        <f>VLOOKUP(L787,'[1]update kontrak'!E:K,6,FALSE)</f>
        <v>#N/A</v>
      </c>
      <c r="AH787" s="11" t="e">
        <f>VLOOKUP(L787,'[1]update kontrak'!E:K,7,FALSE)</f>
        <v>#N/A</v>
      </c>
      <c r="AI787" s="11"/>
      <c r="AJ787" s="11" t="str">
        <f>VLOOKUP(L787,[1]rekap!D:M,1,FALSE)</f>
        <v>Pulau Rajo Inderapura</v>
      </c>
      <c r="AK787" s="11" t="str">
        <f>VLOOKUP(L787,'[1]singkron data'!D:E,2,FALSE)</f>
        <v>PT. Wijaya Karya Bangunan Gedung</v>
      </c>
      <c r="AL787" s="11" t="str">
        <f>VLOOKUP(L787,'[1]update 521'!D:D,1,FALSE)</f>
        <v>Pulau Rajo Inderapura</v>
      </c>
      <c r="AM787" s="11" t="s">
        <v>57</v>
      </c>
      <c r="AN787" s="11" t="e">
        <f>VLOOKUP(L787,[1]Sheet19!E:L,8,FALSE)</f>
        <v>#N/A</v>
      </c>
      <c r="AO787" s="11" t="s">
        <v>58</v>
      </c>
      <c r="AP787" s="12"/>
    </row>
    <row r="788" spans="1:42" ht="15" x14ac:dyDescent="0.2">
      <c r="A788" s="8" t="s">
        <v>42</v>
      </c>
      <c r="B788" s="9" t="s">
        <v>43</v>
      </c>
      <c r="C788" s="9">
        <v>385</v>
      </c>
      <c r="D788" s="9" t="s">
        <v>1631</v>
      </c>
      <c r="E788" s="9">
        <v>172</v>
      </c>
      <c r="F788" s="9" t="s">
        <v>1948</v>
      </c>
      <c r="G788" s="9" t="s">
        <v>1831</v>
      </c>
      <c r="H788" s="9" t="s">
        <v>47</v>
      </c>
      <c r="I788" s="9" t="s">
        <v>1841</v>
      </c>
      <c r="J788" s="9" t="s">
        <v>1954</v>
      </c>
      <c r="K788" s="9" t="s">
        <v>1955</v>
      </c>
      <c r="L788" s="10" t="s">
        <v>1955</v>
      </c>
      <c r="M788" s="9" t="s">
        <v>51</v>
      </c>
      <c r="N788" s="9">
        <v>110</v>
      </c>
      <c r="O788" s="9" t="s">
        <v>72</v>
      </c>
      <c r="P788" s="9">
        <v>73</v>
      </c>
      <c r="Q788" s="9">
        <v>73</v>
      </c>
      <c r="R788" s="9">
        <v>0.7</v>
      </c>
      <c r="S788" s="9">
        <v>-1.9528350000000001</v>
      </c>
      <c r="T788" s="9">
        <v>100.871255</v>
      </c>
      <c r="U788" s="9" t="s">
        <v>52</v>
      </c>
      <c r="V788" s="11" t="s">
        <v>1951</v>
      </c>
      <c r="W788" s="13">
        <f>VLOOKUP(L788,'[1]update tim 2'!D:F,3,FALSE)</f>
        <v>2833643000</v>
      </c>
      <c r="X788" s="11" t="s">
        <v>55</v>
      </c>
      <c r="Y788" s="11">
        <f>VLOOKUP(L788,'[1]singkron data'!D:H,5,FALSE)</f>
        <v>0</v>
      </c>
      <c r="Z788" s="11">
        <f>VLOOKUP(L788,'[1]singkron data'!D:I,6,FALSE)</f>
        <v>0</v>
      </c>
      <c r="AA788" s="11" t="s">
        <v>1952</v>
      </c>
      <c r="AB788" s="11" t="s">
        <v>54</v>
      </c>
      <c r="AC788" s="11" t="s">
        <v>1953</v>
      </c>
      <c r="AD788" s="11" t="str">
        <f>VLOOKUP(L788,'[1]data 1129'!F:O,10,FALSE)</f>
        <v>Tahap III 166</v>
      </c>
      <c r="AE788" s="11">
        <f>VLOOKUP(L788,'[1]singkron data'!D:P,13,FALSE)</f>
        <v>0</v>
      </c>
      <c r="AF788" s="11" t="s">
        <v>55</v>
      </c>
      <c r="AG788" s="11" t="e">
        <f>VLOOKUP(L788,'[1]update kontrak'!E:K,6,FALSE)</f>
        <v>#N/A</v>
      </c>
      <c r="AH788" s="11" t="e">
        <f>VLOOKUP(L788,'[1]update kontrak'!E:K,7,FALSE)</f>
        <v>#N/A</v>
      </c>
      <c r="AI788" s="11"/>
      <c r="AJ788" s="11" t="str">
        <f>VLOOKUP(L788,[1]rekap!D:M,1,FALSE)</f>
        <v>Air Haji Barat</v>
      </c>
      <c r="AK788" s="11" t="str">
        <f>VLOOKUP(L788,'[1]singkron data'!D:E,2,FALSE)</f>
        <v>PT. Wijaya Karya Bangunan Gedung</v>
      </c>
      <c r="AL788" s="11" t="str">
        <f>VLOOKUP(L788,'[1]update 521'!D:D,1,FALSE)</f>
        <v>Air Haji Barat</v>
      </c>
      <c r="AM788" s="11" t="s">
        <v>57</v>
      </c>
      <c r="AN788" s="11" t="e">
        <f>VLOOKUP(L788,[1]Sheet19!E:L,8,FALSE)</f>
        <v>#N/A</v>
      </c>
      <c r="AO788" s="11" t="s">
        <v>58</v>
      </c>
      <c r="AP788" s="12"/>
    </row>
    <row r="789" spans="1:42" ht="15" x14ac:dyDescent="0.2">
      <c r="A789" s="8" t="s">
        <v>42</v>
      </c>
      <c r="B789" s="9" t="s">
        <v>43</v>
      </c>
      <c r="C789" s="9">
        <v>386</v>
      </c>
      <c r="D789" s="9" t="s">
        <v>1631</v>
      </c>
      <c r="E789" s="9">
        <v>173</v>
      </c>
      <c r="F789" s="9" t="s">
        <v>1956</v>
      </c>
      <c r="G789" s="9" t="s">
        <v>1633</v>
      </c>
      <c r="H789" s="9" t="s">
        <v>47</v>
      </c>
      <c r="I789" s="9" t="s">
        <v>1700</v>
      </c>
      <c r="J789" s="9" t="s">
        <v>1957</v>
      </c>
      <c r="K789" s="9" t="s">
        <v>1956</v>
      </c>
      <c r="L789" s="37" t="s">
        <v>1956</v>
      </c>
      <c r="M789" s="9" t="s">
        <v>65</v>
      </c>
      <c r="N789" s="9">
        <v>453</v>
      </c>
      <c r="O789" s="9">
        <v>25</v>
      </c>
      <c r="P789" s="9">
        <v>404</v>
      </c>
      <c r="Q789" s="9">
        <v>429</v>
      </c>
      <c r="R789" s="9">
        <v>1</v>
      </c>
      <c r="S789" s="9">
        <v>3.7871670000000002</v>
      </c>
      <c r="T789" s="9">
        <v>108.033472</v>
      </c>
      <c r="U789" s="9" t="s">
        <v>52</v>
      </c>
      <c r="V789" s="31" t="s">
        <v>1709</v>
      </c>
      <c r="W789" s="31"/>
      <c r="X789" s="31"/>
      <c r="Y789" s="31">
        <f>VLOOKUP(L789,'[1]singkron data'!D:H,5,FALSE)</f>
        <v>0</v>
      </c>
      <c r="Z789" s="31" t="str">
        <f>VLOOKUP(L789,'[1]singkron data'!D:I,6,FALSE)</f>
        <v>Offline</v>
      </c>
      <c r="AA789" s="11" t="s">
        <v>1958</v>
      </c>
      <c r="AB789" s="31" t="s">
        <v>54</v>
      </c>
      <c r="AC789" s="31" t="s">
        <v>1959</v>
      </c>
      <c r="AD789" s="31" t="str">
        <f>VLOOKUP(L789,'[1]data 1129'!F:O,10,FALSE)</f>
        <v>Tahap IV 200</v>
      </c>
      <c r="AE789" s="11">
        <f>VLOOKUP(L789,'[1]singkron data'!D:P,13,FALSE)</f>
        <v>0</v>
      </c>
      <c r="AF789" s="11" t="s">
        <v>55</v>
      </c>
      <c r="AG789" s="11" t="e">
        <f>VLOOKUP(L789,'[1]update kontrak'!E:K,6,FALSE)</f>
        <v>#N/A</v>
      </c>
      <c r="AH789" s="11" t="e">
        <f>VLOOKUP(L789,'[1]update kontrak'!E:K,7,FALSE)</f>
        <v>#N/A</v>
      </c>
      <c r="AI789" s="11"/>
      <c r="AJ789" s="11" t="str">
        <f>VLOOKUP(L789,[1]rekap!D:M,1,FALSE)</f>
        <v>Sedanau</v>
      </c>
      <c r="AK789" s="11" t="str">
        <f>VLOOKUP(L789,'[1]singkron data'!D:E,2,FALSE)</f>
        <v>PT. Ibnu Munsyir Dwi Guna</v>
      </c>
      <c r="AL789" s="11" t="str">
        <f>VLOOKUP(L789,'[1]update 521'!D:D,1,FALSE)</f>
        <v>Sedanau</v>
      </c>
      <c r="AM789" s="11" t="s">
        <v>96</v>
      </c>
      <c r="AN789" s="11" t="s">
        <v>1960</v>
      </c>
      <c r="AO789" s="11" t="s">
        <v>1961</v>
      </c>
      <c r="AP789" s="12" t="s">
        <v>1959</v>
      </c>
    </row>
    <row r="790" spans="1:42" ht="15" x14ac:dyDescent="0.2">
      <c r="A790" s="8" t="s">
        <v>42</v>
      </c>
      <c r="B790" s="9" t="s">
        <v>43</v>
      </c>
      <c r="C790" s="9">
        <v>387</v>
      </c>
      <c r="D790" s="9" t="s">
        <v>1631</v>
      </c>
      <c r="E790" s="9">
        <v>174</v>
      </c>
      <c r="F790" s="9" t="s">
        <v>1956</v>
      </c>
      <c r="G790" s="9" t="s">
        <v>1633</v>
      </c>
      <c r="H790" s="9" t="s">
        <v>47</v>
      </c>
      <c r="I790" s="9" t="s">
        <v>1700</v>
      </c>
      <c r="J790" s="9" t="s">
        <v>1962</v>
      </c>
      <c r="K790" s="9" t="s">
        <v>1963</v>
      </c>
      <c r="L790" s="10" t="s">
        <v>1963</v>
      </c>
      <c r="M790" s="9" t="s">
        <v>51</v>
      </c>
      <c r="N790" s="9">
        <v>56</v>
      </c>
      <c r="O790" s="9" t="s">
        <v>72</v>
      </c>
      <c r="P790" s="9">
        <v>21</v>
      </c>
      <c r="Q790" s="9">
        <v>21</v>
      </c>
      <c r="R790" s="9">
        <v>1</v>
      </c>
      <c r="S790" s="9">
        <v>3.0194990000000002</v>
      </c>
      <c r="T790" s="9">
        <v>107.786535</v>
      </c>
      <c r="U790" s="9" t="s">
        <v>52</v>
      </c>
      <c r="V790" s="11" t="str">
        <f>VLOOKUP(L790,'[1]singkron data'!D:E,2,FALSE)</f>
        <v>PT. Duta Bangun Husaeni</v>
      </c>
      <c r="W790" s="11"/>
      <c r="X790" s="11"/>
      <c r="Y790" s="11" t="str">
        <f>VLOOKUP(L790,'[1]singkron data'!D:H,5,FALSE)</f>
        <v>Bogor</v>
      </c>
      <c r="Z790" s="11" t="str">
        <f>VLOOKUP(L790,'[1]singkron data'!D:I,6,FALSE)</f>
        <v>Online</v>
      </c>
      <c r="AA790" s="11">
        <f>VLOOKUP(L790,'[1]singkron data'!D:L,9,FALSE)</f>
        <v>82115115424</v>
      </c>
      <c r="AB790" s="11" t="s">
        <v>54</v>
      </c>
      <c r="AC790" s="11" t="str">
        <f>VLOOKUP(L790,'[1]singkron data'!D:M,10,FALSE)</f>
        <v>Galuh-G</v>
      </c>
      <c r="AD790" s="11" t="str">
        <f>VLOOKUP(L790,'[1]data 1129'!F:O,10,FALSE)</f>
        <v>Tahap IV 200</v>
      </c>
      <c r="AE790" s="11">
        <f>VLOOKUP(L790,'[1]singkron data'!D:P,13,FALSE)</f>
        <v>0</v>
      </c>
      <c r="AF790" s="11" t="s">
        <v>55</v>
      </c>
      <c r="AG790" s="11" t="e">
        <f>VLOOKUP(L790,'[1]update kontrak'!E:K,6,FALSE)</f>
        <v>#N/A</v>
      </c>
      <c r="AH790" s="11" t="e">
        <f>VLOOKUP(L790,'[1]update kontrak'!E:K,7,FALSE)</f>
        <v>#N/A</v>
      </c>
      <c r="AI790" s="11"/>
      <c r="AJ790" s="11" t="str">
        <f>VLOOKUP(L790,[1]rekap!D:M,1,FALSE)</f>
        <v>Batu Belanak</v>
      </c>
      <c r="AK790" s="11" t="str">
        <f>VLOOKUP(L790,'[1]singkron data'!D:E,2,FALSE)</f>
        <v>PT. Duta Bangun Husaeni</v>
      </c>
      <c r="AL790" s="11" t="str">
        <f>VLOOKUP(L790,'[1]update 521'!D:D,1,FALSE)</f>
        <v>Batu Belanak</v>
      </c>
      <c r="AM790" s="11" t="s">
        <v>96</v>
      </c>
      <c r="AN790" s="11" t="s">
        <v>1964</v>
      </c>
      <c r="AO790" s="11">
        <v>82115115424</v>
      </c>
      <c r="AP790" s="12" t="s">
        <v>1965</v>
      </c>
    </row>
    <row r="791" spans="1:42" ht="15" x14ac:dyDescent="0.2">
      <c r="A791" s="8" t="s">
        <v>42</v>
      </c>
      <c r="B791" s="9" t="s">
        <v>43</v>
      </c>
      <c r="C791" s="9">
        <v>388</v>
      </c>
      <c r="D791" s="9" t="s">
        <v>1631</v>
      </c>
      <c r="E791" s="9">
        <v>175</v>
      </c>
      <c r="F791" s="9" t="s">
        <v>1956</v>
      </c>
      <c r="G791" s="9" t="s">
        <v>1633</v>
      </c>
      <c r="H791" s="9" t="s">
        <v>47</v>
      </c>
      <c r="I791" s="9" t="s">
        <v>1700</v>
      </c>
      <c r="J791" s="9" t="s">
        <v>1966</v>
      </c>
      <c r="K791" s="9" t="s">
        <v>1967</v>
      </c>
      <c r="L791" s="37" t="s">
        <v>1967</v>
      </c>
      <c r="M791" s="9" t="s">
        <v>51</v>
      </c>
      <c r="N791" s="9">
        <v>114</v>
      </c>
      <c r="O791" s="9" t="s">
        <v>72</v>
      </c>
      <c r="P791" s="9">
        <v>59</v>
      </c>
      <c r="Q791" s="9">
        <v>59</v>
      </c>
      <c r="R791" s="9">
        <v>1</v>
      </c>
      <c r="S791" s="9">
        <v>3.6219440000000001</v>
      </c>
      <c r="T791" s="9">
        <v>108.12527799999999</v>
      </c>
      <c r="U791" s="9" t="s">
        <v>52</v>
      </c>
      <c r="V791" s="31" t="s">
        <v>1709</v>
      </c>
      <c r="W791" s="31"/>
      <c r="X791" s="31"/>
      <c r="Y791" s="31">
        <f>VLOOKUP(L791,'[1]singkron data'!D:H,5,FALSE)</f>
        <v>0</v>
      </c>
      <c r="Z791" s="31" t="str">
        <f>VLOOKUP(L791,'[1]singkron data'!D:I,6,FALSE)</f>
        <v>Offline</v>
      </c>
      <c r="AA791" s="11" t="s">
        <v>1958</v>
      </c>
      <c r="AB791" s="31" t="s">
        <v>54</v>
      </c>
      <c r="AC791" s="31" t="s">
        <v>1959</v>
      </c>
      <c r="AD791" s="31" t="str">
        <f>VLOOKUP(L791,'[1]data 1129'!F:O,10,FALSE)</f>
        <v>Tahap IV 200</v>
      </c>
      <c r="AE791" s="11">
        <f>VLOOKUP(L791,'[1]singkron data'!D:P,13,FALSE)</f>
        <v>0</v>
      </c>
      <c r="AF791" s="11" t="s">
        <v>55</v>
      </c>
      <c r="AG791" s="11" t="e">
        <f>VLOOKUP(L791,'[1]update kontrak'!E:K,6,FALSE)</f>
        <v>#N/A</v>
      </c>
      <c r="AH791" s="11" t="e">
        <f>VLOOKUP(L791,'[1]update kontrak'!E:K,7,FALSE)</f>
        <v>#N/A</v>
      </c>
      <c r="AI791" s="11"/>
      <c r="AJ791" s="11" t="str">
        <f>VLOOKUP(L791,[1]rekap!D:M,1,FALSE)</f>
        <v>Sabang Mawang</v>
      </c>
      <c r="AK791" s="11" t="str">
        <f>VLOOKUP(L791,'[1]singkron data'!D:E,2,FALSE)</f>
        <v>PT. Ibnu Munsyir Dwi Guna</v>
      </c>
      <c r="AL791" s="11" t="str">
        <f>VLOOKUP(L791,'[1]update 521'!D:D,1,FALSE)</f>
        <v>Sabang Mawang</v>
      </c>
      <c r="AM791" s="11" t="s">
        <v>96</v>
      </c>
      <c r="AN791" s="11" t="s">
        <v>1960</v>
      </c>
      <c r="AO791" s="11" t="s">
        <v>1961</v>
      </c>
      <c r="AP791" s="12" t="s">
        <v>1959</v>
      </c>
    </row>
    <row r="792" spans="1:42" ht="15" x14ac:dyDescent="0.2">
      <c r="A792" s="8" t="s">
        <v>42</v>
      </c>
      <c r="B792" s="9" t="s">
        <v>43</v>
      </c>
      <c r="C792" s="9">
        <v>389</v>
      </c>
      <c r="D792" s="9" t="s">
        <v>1631</v>
      </c>
      <c r="E792" s="9">
        <v>176</v>
      </c>
      <c r="F792" s="9" t="s">
        <v>1956</v>
      </c>
      <c r="G792" s="9" t="s">
        <v>1633</v>
      </c>
      <c r="H792" s="9" t="s">
        <v>47</v>
      </c>
      <c r="I792" s="9" t="s">
        <v>1700</v>
      </c>
      <c r="J792" s="9" t="s">
        <v>1966</v>
      </c>
      <c r="K792" s="9" t="s">
        <v>1968</v>
      </c>
      <c r="L792" s="37" t="s">
        <v>1968</v>
      </c>
      <c r="M792" s="9" t="s">
        <v>51</v>
      </c>
      <c r="N792" s="9">
        <v>73</v>
      </c>
      <c r="O792" s="9" t="s">
        <v>72</v>
      </c>
      <c r="P792" s="9">
        <v>49</v>
      </c>
      <c r="Q792" s="9">
        <v>49</v>
      </c>
      <c r="R792" s="9">
        <v>1</v>
      </c>
      <c r="S792" s="9">
        <v>3.5797340000000002</v>
      </c>
      <c r="T792" s="9">
        <v>108.04818400000001</v>
      </c>
      <c r="U792" s="9" t="s">
        <v>52</v>
      </c>
      <c r="V792" s="31" t="s">
        <v>1709</v>
      </c>
      <c r="W792" s="31"/>
      <c r="X792" s="31"/>
      <c r="Y792" s="31">
        <f>VLOOKUP(L792,'[1]singkron data'!D:H,5,FALSE)</f>
        <v>0</v>
      </c>
      <c r="Z792" s="31" t="str">
        <f>VLOOKUP(L792,'[1]singkron data'!D:I,6,FALSE)</f>
        <v>Offline</v>
      </c>
      <c r="AA792" s="11" t="s">
        <v>1958</v>
      </c>
      <c r="AB792" s="31" t="s">
        <v>54</v>
      </c>
      <c r="AC792" s="31" t="s">
        <v>1959</v>
      </c>
      <c r="AD792" s="31" t="str">
        <f>VLOOKUP(L792,'[1]data 1129'!F:O,10,FALSE)</f>
        <v>Tahap IV 200</v>
      </c>
      <c r="AE792" s="11">
        <f>VLOOKUP(L792,'[1]singkron data'!D:P,13,FALSE)</f>
        <v>0</v>
      </c>
      <c r="AF792" s="11" t="s">
        <v>55</v>
      </c>
      <c r="AG792" s="11" t="e">
        <f>VLOOKUP(L792,'[1]update kontrak'!E:K,6,FALSE)</f>
        <v>#N/A</v>
      </c>
      <c r="AH792" s="11" t="e">
        <f>VLOOKUP(L792,'[1]update kontrak'!E:K,7,FALSE)</f>
        <v>#N/A</v>
      </c>
      <c r="AI792" s="11"/>
      <c r="AJ792" s="11" t="str">
        <f>VLOOKUP(L792,[1]rekap!D:M,1,FALSE)</f>
        <v>Sededap</v>
      </c>
      <c r="AK792" s="11" t="str">
        <f>VLOOKUP(L792,'[1]singkron data'!D:E,2,FALSE)</f>
        <v>PT. Ibnu Munsyir Dwi Guna</v>
      </c>
      <c r="AL792" s="11" t="str">
        <f>VLOOKUP(L792,'[1]update 521'!D:D,1,FALSE)</f>
        <v>Sededap</v>
      </c>
      <c r="AM792" s="11" t="s">
        <v>96</v>
      </c>
      <c r="AN792" s="11" t="s">
        <v>1960</v>
      </c>
      <c r="AO792" s="11" t="s">
        <v>1961</v>
      </c>
      <c r="AP792" s="12" t="s">
        <v>1959</v>
      </c>
    </row>
    <row r="793" spans="1:42" ht="15" x14ac:dyDescent="0.2">
      <c r="A793" s="8" t="s">
        <v>42</v>
      </c>
      <c r="B793" s="9" t="s">
        <v>43</v>
      </c>
      <c r="C793" s="9">
        <v>390</v>
      </c>
      <c r="D793" s="9" t="s">
        <v>1631</v>
      </c>
      <c r="E793" s="9">
        <v>177</v>
      </c>
      <c r="F793" s="9" t="s">
        <v>1956</v>
      </c>
      <c r="G793" s="9" t="s">
        <v>1633</v>
      </c>
      <c r="H793" s="9" t="s">
        <v>47</v>
      </c>
      <c r="I793" s="9" t="s">
        <v>1700</v>
      </c>
      <c r="J793" s="9" t="s">
        <v>1969</v>
      </c>
      <c r="K793" s="9" t="s">
        <v>1970</v>
      </c>
      <c r="L793" s="10" t="s">
        <v>1970</v>
      </c>
      <c r="M793" s="9" t="s">
        <v>51</v>
      </c>
      <c r="N793" s="9">
        <v>194</v>
      </c>
      <c r="O793" s="9" t="s">
        <v>72</v>
      </c>
      <c r="P793" s="9">
        <v>90</v>
      </c>
      <c r="Q793" s="9">
        <v>90</v>
      </c>
      <c r="R793" s="9">
        <v>1</v>
      </c>
      <c r="S793" s="9">
        <v>3.6316109999999999</v>
      </c>
      <c r="T793" s="9">
        <v>108.054222</v>
      </c>
      <c r="U793" s="9" t="s">
        <v>52</v>
      </c>
      <c r="V793" s="11" t="str">
        <f>VLOOKUP(L793,'[1]singkron data'!D:E,2,FALSE)</f>
        <v>PT. Duta Bangun Husaeni</v>
      </c>
      <c r="W793" s="11"/>
      <c r="X793" s="11"/>
      <c r="Y793" s="11" t="str">
        <f>VLOOKUP(L793,'[1]singkron data'!D:H,5,FALSE)</f>
        <v>Bogor</v>
      </c>
      <c r="Z793" s="11" t="str">
        <f>VLOOKUP(L793,'[1]singkron data'!D:I,6,FALSE)</f>
        <v>Online</v>
      </c>
      <c r="AA793" s="11">
        <f>VLOOKUP(L793,'[1]singkron data'!D:L,9,FALSE)</f>
        <v>82115115424</v>
      </c>
      <c r="AB793" s="11" t="s">
        <v>54</v>
      </c>
      <c r="AC793" s="11" t="str">
        <f>VLOOKUP(L793,'[1]singkron data'!D:M,10,FALSE)</f>
        <v>Galuh-G</v>
      </c>
      <c r="AD793" s="11" t="str">
        <f>VLOOKUP(L793,'[1]data 1129'!F:O,10,FALSE)</f>
        <v>Tahap IV 200</v>
      </c>
      <c r="AE793" s="11">
        <f>VLOOKUP(L793,'[1]singkron data'!D:P,13,FALSE)</f>
        <v>0</v>
      </c>
      <c r="AF793" s="11" t="s">
        <v>55</v>
      </c>
      <c r="AG793" s="11" t="e">
        <f>VLOOKUP(L793,'[1]update kontrak'!E:K,6,FALSE)</f>
        <v>#N/A</v>
      </c>
      <c r="AH793" s="11" t="e">
        <f>VLOOKUP(L793,'[1]update kontrak'!E:K,7,FALSE)</f>
        <v>#N/A</v>
      </c>
      <c r="AI793" s="11"/>
      <c r="AJ793" s="11" t="str">
        <f>VLOOKUP(L793,[1]rekap!D:M,1,FALSE)</f>
        <v>Selading</v>
      </c>
      <c r="AK793" s="11" t="str">
        <f>VLOOKUP(L793,'[1]singkron data'!D:E,2,FALSE)</f>
        <v>PT. Duta Bangun Husaeni</v>
      </c>
      <c r="AL793" s="11" t="str">
        <f>VLOOKUP(L793,'[1]update 521'!D:D,1,FALSE)</f>
        <v>Selading</v>
      </c>
      <c r="AM793" s="11" t="s">
        <v>96</v>
      </c>
      <c r="AN793" s="11" t="s">
        <v>1964</v>
      </c>
      <c r="AO793" s="11">
        <v>82115115424</v>
      </c>
      <c r="AP793" s="12" t="s">
        <v>1965</v>
      </c>
    </row>
    <row r="794" spans="1:42" ht="15" x14ac:dyDescent="0.2">
      <c r="A794" s="8" t="s">
        <v>42</v>
      </c>
      <c r="B794" s="9" t="s">
        <v>43</v>
      </c>
      <c r="C794" s="9">
        <v>391</v>
      </c>
      <c r="D794" s="9" t="s">
        <v>1631</v>
      </c>
      <c r="E794" s="9">
        <v>178</v>
      </c>
      <c r="F794" s="9" t="s">
        <v>1971</v>
      </c>
      <c r="G794" s="9" t="s">
        <v>1633</v>
      </c>
      <c r="H794" s="9" t="s">
        <v>47</v>
      </c>
      <c r="I794" s="9" t="s">
        <v>1634</v>
      </c>
      <c r="J794" s="9" t="s">
        <v>1972</v>
      </c>
      <c r="K794" s="9" t="s">
        <v>1973</v>
      </c>
      <c r="L794" s="10" t="s">
        <v>1973</v>
      </c>
      <c r="M794" s="9" t="s">
        <v>51</v>
      </c>
      <c r="N794" s="9">
        <v>410</v>
      </c>
      <c r="O794" s="9">
        <v>15</v>
      </c>
      <c r="P794" s="9">
        <v>56</v>
      </c>
      <c r="Q794" s="9">
        <v>71</v>
      </c>
      <c r="R794" s="9">
        <v>0.11</v>
      </c>
      <c r="S794" s="9">
        <v>1.013012</v>
      </c>
      <c r="T794" s="9">
        <v>104.33559700000001</v>
      </c>
      <c r="U794" s="9" t="s">
        <v>52</v>
      </c>
      <c r="V794" s="11" t="s">
        <v>1737</v>
      </c>
      <c r="W794" s="11"/>
      <c r="X794" s="11"/>
      <c r="Y794" s="11">
        <f>VLOOKUP(L794,'[1]singkron data'!D:H,5,FALSE)</f>
        <v>0</v>
      </c>
      <c r="Z794" s="11">
        <f>VLOOKUP(L794,'[1]singkron data'!D:I,6,FALSE)</f>
        <v>0</v>
      </c>
      <c r="AA794" s="11" t="s">
        <v>1738</v>
      </c>
      <c r="AB794" s="11" t="s">
        <v>54</v>
      </c>
      <c r="AC794" s="11" t="s">
        <v>1739</v>
      </c>
      <c r="AD794" s="11" t="str">
        <f>VLOOKUP(L794,'[1]data 1129'!F:O,10,FALSE)</f>
        <v>Tahap IV 200</v>
      </c>
      <c r="AE794" s="11">
        <f>VLOOKUP(L794,'[1]singkron data'!D:P,13,FALSE)</f>
        <v>0</v>
      </c>
      <c r="AF794" s="11" t="s">
        <v>55</v>
      </c>
      <c r="AG794" s="11" t="e">
        <f>VLOOKUP(L794,'[1]update kontrak'!E:K,6,FALSE)</f>
        <v>#N/A</v>
      </c>
      <c r="AH794" s="11" t="e">
        <f>VLOOKUP(L794,'[1]update kontrak'!E:K,7,FALSE)</f>
        <v>#N/A</v>
      </c>
      <c r="AI794" s="11"/>
      <c r="AJ794" s="11" t="str">
        <f>VLOOKUP(L794,[1]rekap!D:M,1,FALSE)</f>
        <v>Busung</v>
      </c>
      <c r="AK794" s="11" t="str">
        <f>VLOOKUP(L794,'[1]singkron data'!D:E,2,FALSE)</f>
        <v>PT. Agung Kuck Lom Grub</v>
      </c>
      <c r="AL794" s="11" t="str">
        <f>VLOOKUP(L794,'[1]update 521'!D:D,1,FALSE)</f>
        <v>Busung</v>
      </c>
      <c r="AM794" s="11" t="s">
        <v>96</v>
      </c>
      <c r="AN794" s="11" t="s">
        <v>1640</v>
      </c>
      <c r="AO794" s="11" t="s">
        <v>1641</v>
      </c>
      <c r="AP794" s="12" t="s">
        <v>1175</v>
      </c>
    </row>
    <row r="795" spans="1:42" ht="15" x14ac:dyDescent="0.2">
      <c r="A795" s="8" t="s">
        <v>42</v>
      </c>
      <c r="B795" s="9" t="s">
        <v>43</v>
      </c>
      <c r="C795" s="9">
        <v>392</v>
      </c>
      <c r="D795" s="9" t="s">
        <v>1631</v>
      </c>
      <c r="E795" s="9">
        <v>179</v>
      </c>
      <c r="F795" s="9" t="s">
        <v>1971</v>
      </c>
      <c r="G795" s="9" t="s">
        <v>1633</v>
      </c>
      <c r="H795" s="9" t="s">
        <v>47</v>
      </c>
      <c r="I795" s="9" t="s">
        <v>1634</v>
      </c>
      <c r="J795" s="9" t="s">
        <v>1972</v>
      </c>
      <c r="K795" s="9" t="s">
        <v>1974</v>
      </c>
      <c r="L795" s="10" t="s">
        <v>1974</v>
      </c>
      <c r="M795" s="9" t="s">
        <v>51</v>
      </c>
      <c r="N795" s="9">
        <v>75</v>
      </c>
      <c r="O795" s="9">
        <v>27</v>
      </c>
      <c r="P795" s="9">
        <v>17</v>
      </c>
      <c r="Q795" s="9">
        <v>44</v>
      </c>
      <c r="R795" s="9">
        <v>0.7</v>
      </c>
      <c r="S795" s="9">
        <v>1.027633</v>
      </c>
      <c r="T795" s="9">
        <v>104.339467</v>
      </c>
      <c r="U795" s="9" t="s">
        <v>52</v>
      </c>
      <c r="V795" s="11" t="s">
        <v>1737</v>
      </c>
      <c r="W795" s="11"/>
      <c r="X795" s="11"/>
      <c r="Y795" s="11">
        <f>VLOOKUP(L795,'[1]singkron data'!D:H,5,FALSE)</f>
        <v>0</v>
      </c>
      <c r="Z795" s="11">
        <f>VLOOKUP(L795,'[1]singkron data'!D:I,6,FALSE)</f>
        <v>0</v>
      </c>
      <c r="AA795" s="11" t="s">
        <v>1738</v>
      </c>
      <c r="AB795" s="11" t="s">
        <v>54</v>
      </c>
      <c r="AC795" s="11" t="s">
        <v>1739</v>
      </c>
      <c r="AD795" s="11" t="str">
        <f>VLOOKUP(L795,'[1]data 1129'!F:O,10,FALSE)</f>
        <v>Tahap IV 200</v>
      </c>
      <c r="AE795" s="11">
        <f>VLOOKUP(L795,'[1]singkron data'!D:P,13,FALSE)</f>
        <v>0</v>
      </c>
      <c r="AF795" s="11" t="s">
        <v>55</v>
      </c>
      <c r="AG795" s="11" t="e">
        <f>VLOOKUP(L795,'[1]update kontrak'!E:K,6,FALSE)</f>
        <v>#N/A</v>
      </c>
      <c r="AH795" s="11" t="e">
        <f>VLOOKUP(L795,'[1]update kontrak'!E:K,7,FALSE)</f>
        <v>#N/A</v>
      </c>
      <c r="AI795" s="11"/>
      <c r="AJ795" s="11" t="str">
        <f>VLOOKUP(L795,[1]rekap!D:M,1,FALSE)</f>
        <v>Kuala Sempang</v>
      </c>
      <c r="AK795" s="11" t="str">
        <f>VLOOKUP(L795,'[1]singkron data'!D:E,2,FALSE)</f>
        <v>PT. Agung Kuck Lom Grub</v>
      </c>
      <c r="AL795" s="11" t="str">
        <f>VLOOKUP(L795,'[1]update 521'!D:D,1,FALSE)</f>
        <v>Kuala Sempang</v>
      </c>
      <c r="AM795" s="11" t="s">
        <v>96</v>
      </c>
      <c r="AN795" s="11" t="s">
        <v>1640</v>
      </c>
      <c r="AO795" s="11" t="s">
        <v>1641</v>
      </c>
      <c r="AP795" s="12" t="s">
        <v>1175</v>
      </c>
    </row>
    <row r="796" spans="1:42" ht="15" x14ac:dyDescent="0.2">
      <c r="A796" s="8" t="s">
        <v>42</v>
      </c>
      <c r="B796" s="9" t="s">
        <v>43</v>
      </c>
      <c r="C796" s="9">
        <v>393</v>
      </c>
      <c r="D796" s="9" t="s">
        <v>1631</v>
      </c>
      <c r="E796" s="9">
        <v>180</v>
      </c>
      <c r="F796" s="9" t="s">
        <v>1971</v>
      </c>
      <c r="G796" s="9" t="s">
        <v>1633</v>
      </c>
      <c r="H796" s="9" t="s">
        <v>47</v>
      </c>
      <c r="I796" s="9" t="s">
        <v>1975</v>
      </c>
      <c r="J796" s="9" t="s">
        <v>1976</v>
      </c>
      <c r="K796" s="9" t="s">
        <v>1977</v>
      </c>
      <c r="L796" s="37" t="s">
        <v>1977</v>
      </c>
      <c r="M796" s="9" t="s">
        <v>51</v>
      </c>
      <c r="N796" s="9">
        <v>336</v>
      </c>
      <c r="O796" s="9">
        <v>52</v>
      </c>
      <c r="P796" s="9">
        <v>284</v>
      </c>
      <c r="Q796" s="9">
        <v>336</v>
      </c>
      <c r="R796" s="9">
        <v>0.41</v>
      </c>
      <c r="S796" s="9">
        <v>0.94455299999999998</v>
      </c>
      <c r="T796" s="9">
        <v>104.444355</v>
      </c>
      <c r="U796" s="9" t="s">
        <v>52</v>
      </c>
      <c r="V796" s="20" t="s">
        <v>1704</v>
      </c>
      <c r="W796" s="11"/>
      <c r="X796" s="11"/>
      <c r="Y796" s="11">
        <f>VLOOKUP(L796,'[1]singkron data'!D:H,5,FALSE)</f>
        <v>0</v>
      </c>
      <c r="Z796" s="11">
        <f>VLOOKUP(L796,'[1]singkron data'!D:I,6,FALSE)</f>
        <v>0</v>
      </c>
      <c r="AA796" s="11" t="s">
        <v>1702</v>
      </c>
      <c r="AB796" s="11" t="s">
        <v>54</v>
      </c>
      <c r="AC796" s="11" t="s">
        <v>1639</v>
      </c>
      <c r="AD796" s="11" t="str">
        <f>VLOOKUP(L796,'[1]data 1129'!F:O,10,FALSE)</f>
        <v>Tahap IV 200</v>
      </c>
      <c r="AE796" s="11">
        <f>VLOOKUP(L796,'[1]singkron data'!D:P,13,FALSE)</f>
        <v>0</v>
      </c>
      <c r="AF796" s="11" t="s">
        <v>55</v>
      </c>
      <c r="AG796" s="11" t="e">
        <f>VLOOKUP(L796,'[1]update kontrak'!E:K,6,FALSE)</f>
        <v>#N/A</v>
      </c>
      <c r="AH796" s="11" t="e">
        <f>VLOOKUP(L796,'[1]update kontrak'!E:K,7,FALSE)</f>
        <v>#N/A</v>
      </c>
      <c r="AI796" s="11"/>
      <c r="AJ796" s="11" t="str">
        <f>VLOOKUP(L796,[1]rekap!D:M,1,FALSE)</f>
        <v>Kampung Bugis</v>
      </c>
      <c r="AK796" s="11" t="str">
        <f>VLOOKUP(L796,'[1]singkron data'!D:E,2,FALSE)</f>
        <v>PT. Ibnu Munsyir Dwi Guna</v>
      </c>
      <c r="AL796" s="11" t="str">
        <f>VLOOKUP(L796,'[1]update 521'!D:D,1,FALSE)</f>
        <v>Kampung Bugis</v>
      </c>
      <c r="AM796" s="11" t="s">
        <v>96</v>
      </c>
      <c r="AN796" s="11" t="s">
        <v>1704</v>
      </c>
      <c r="AO796" s="11" t="s">
        <v>1702</v>
      </c>
      <c r="AP796" s="12" t="s">
        <v>1978</v>
      </c>
    </row>
    <row r="797" spans="1:42" ht="15" x14ac:dyDescent="0.2">
      <c r="A797" s="8" t="s">
        <v>42</v>
      </c>
      <c r="B797" s="9" t="s">
        <v>43</v>
      </c>
      <c r="C797" s="9">
        <v>394</v>
      </c>
      <c r="D797" s="9" t="s">
        <v>1631</v>
      </c>
      <c r="E797" s="9">
        <v>181</v>
      </c>
      <c r="F797" s="9" t="s">
        <v>1979</v>
      </c>
      <c r="G797" s="9" t="s">
        <v>1980</v>
      </c>
      <c r="H797" s="9" t="s">
        <v>47</v>
      </c>
      <c r="I797" s="9" t="s">
        <v>1981</v>
      </c>
      <c r="J797" s="9" t="s">
        <v>1982</v>
      </c>
      <c r="K797" s="9" t="s">
        <v>1983</v>
      </c>
      <c r="L797" s="10" t="s">
        <v>1983</v>
      </c>
      <c r="M797" s="9" t="s">
        <v>51</v>
      </c>
      <c r="N797" s="9">
        <v>120</v>
      </c>
      <c r="O797" s="9">
        <v>60</v>
      </c>
      <c r="P797" s="9">
        <v>60</v>
      </c>
      <c r="Q797" s="9">
        <v>120</v>
      </c>
      <c r="R797" s="9">
        <v>0.41</v>
      </c>
      <c r="S797" s="9">
        <v>-3.6293600000000001</v>
      </c>
      <c r="T797" s="9">
        <v>104.57738000000001</v>
      </c>
      <c r="U797" s="9" t="s">
        <v>52</v>
      </c>
      <c r="V797" s="11" t="str">
        <f>VLOOKUP(L797,'[1]singkron data'!D:E,2,FALSE)</f>
        <v>PT. Karang Baru Pratama</v>
      </c>
      <c r="W797" s="13">
        <f>VLOOKUP(L797,'[1]update tim 2'!D:F,3,FALSE)</f>
        <v>2978057000</v>
      </c>
      <c r="X797" s="11" t="s">
        <v>55</v>
      </c>
      <c r="Y797" s="11">
        <f>VLOOKUP(L797,'[1]singkron data'!D:H,5,FALSE)</f>
        <v>0</v>
      </c>
      <c r="Z797" s="11">
        <f>VLOOKUP(L797,'[1]singkron data'!D:I,6,FALSE)</f>
        <v>0</v>
      </c>
      <c r="AA797" s="11" t="str">
        <f>VLOOKUP(L797,'[1]singkron data'!D:L,9,FALSE)</f>
        <v>082175189977/ Ferial</v>
      </c>
      <c r="AB797" s="11" t="s">
        <v>54</v>
      </c>
      <c r="AC797" s="11" t="str">
        <f>VLOOKUP(L797,'[1]singkron data'!D:M,10,FALSE)</f>
        <v>Usulan pak arlan-rid</v>
      </c>
      <c r="AD797" s="11" t="str">
        <f>VLOOKUP(L797,'[1]data 1129'!F:O,10,FALSE)</f>
        <v>Tahap II 146</v>
      </c>
      <c r="AE797" s="11">
        <f>VLOOKUP(L797,'[1]singkron data'!D:P,13,FALSE)</f>
        <v>0</v>
      </c>
      <c r="AF797" s="11" t="s">
        <v>55</v>
      </c>
      <c r="AG797" s="11" t="e">
        <f>VLOOKUP(L797,'[1]update kontrak'!E:K,6,FALSE)</f>
        <v>#N/A</v>
      </c>
      <c r="AH797" s="11" t="e">
        <f>VLOOKUP(L797,'[1]update kontrak'!E:K,7,FALSE)</f>
        <v>#N/A</v>
      </c>
      <c r="AI797" s="11"/>
      <c r="AJ797" s="11" t="str">
        <f>VLOOKUP(L797,[1]rekap!D:M,1,FALSE)</f>
        <v>Seri Kembang</v>
      </c>
      <c r="AK797" s="11" t="str">
        <f>VLOOKUP(L797,'[1]singkron data'!D:E,2,FALSE)</f>
        <v>PT. Karang Baru Pratama</v>
      </c>
      <c r="AL797" s="11" t="str">
        <f>VLOOKUP(L797,'[1]update 521'!D:D,1,FALSE)</f>
        <v>Seri Kembang</v>
      </c>
      <c r="AM797" s="11" t="s">
        <v>57</v>
      </c>
      <c r="AN797" s="11" t="e">
        <f>VLOOKUP(L797,[1]Sheet19!E:L,8,FALSE)</f>
        <v>#N/A</v>
      </c>
      <c r="AO797" s="11" t="s">
        <v>58</v>
      </c>
      <c r="AP797" s="12"/>
    </row>
    <row r="798" spans="1:42" ht="15" x14ac:dyDescent="0.2">
      <c r="A798" s="8" t="s">
        <v>42</v>
      </c>
      <c r="B798" s="9" t="s">
        <v>43</v>
      </c>
      <c r="C798" s="9">
        <v>395</v>
      </c>
      <c r="D798" s="9" t="s">
        <v>1631</v>
      </c>
      <c r="E798" s="9">
        <v>182</v>
      </c>
      <c r="F798" s="9" t="s">
        <v>1979</v>
      </c>
      <c r="G798" s="9" t="s">
        <v>1980</v>
      </c>
      <c r="H798" s="9" t="s">
        <v>47</v>
      </c>
      <c r="I798" s="9" t="s">
        <v>1981</v>
      </c>
      <c r="J798" s="9" t="s">
        <v>1984</v>
      </c>
      <c r="K798" s="9" t="s">
        <v>1985</v>
      </c>
      <c r="L798" s="10" t="s">
        <v>1985</v>
      </c>
      <c r="M798" s="9" t="s">
        <v>51</v>
      </c>
      <c r="N798" s="9">
        <v>220</v>
      </c>
      <c r="O798" s="9">
        <v>10</v>
      </c>
      <c r="P798" s="9">
        <v>30</v>
      </c>
      <c r="Q798" s="9">
        <v>40</v>
      </c>
      <c r="R798" s="9">
        <v>1.99</v>
      </c>
      <c r="S798" s="9">
        <v>-3.2800500000000001</v>
      </c>
      <c r="T798" s="9">
        <v>104.59738</v>
      </c>
      <c r="U798" s="9" t="s">
        <v>52</v>
      </c>
      <c r="V798" s="11" t="str">
        <f>VLOOKUP(L798,'[1]singkron data'!D:E,2,FALSE)</f>
        <v>PT. Karang Baru Pratama</v>
      </c>
      <c r="W798" s="13">
        <f>VLOOKUP(L798,'[1]update tim 2'!D:F,3,FALSE)</f>
        <v>2275238000</v>
      </c>
      <c r="X798" s="11" t="s">
        <v>55</v>
      </c>
      <c r="Y798" s="11">
        <f>VLOOKUP(L798,'[1]singkron data'!D:H,5,FALSE)</f>
        <v>0</v>
      </c>
      <c r="Z798" s="11">
        <f>VLOOKUP(L798,'[1]singkron data'!D:I,6,FALSE)</f>
        <v>0</v>
      </c>
      <c r="AA798" s="11" t="str">
        <f>VLOOKUP(L798,'[1]singkron data'!D:L,9,FALSE)</f>
        <v>082175189977/ Ferial</v>
      </c>
      <c r="AB798" s="11" t="s">
        <v>54</v>
      </c>
      <c r="AC798" s="11" t="str">
        <f>VLOOKUP(L798,'[1]singkron data'!D:M,10,FALSE)</f>
        <v>Usulan pak arlan-rid</v>
      </c>
      <c r="AD798" s="11" t="str">
        <f>VLOOKUP(L798,'[1]data 1129'!F:O,10,FALSE)</f>
        <v>Tahap II 146</v>
      </c>
      <c r="AE798" s="11">
        <f>VLOOKUP(L798,'[1]singkron data'!D:P,13,FALSE)</f>
        <v>0</v>
      </c>
      <c r="AF798" s="11" t="s">
        <v>55</v>
      </c>
      <c r="AG798" s="11" t="e">
        <f>VLOOKUP(L798,'[1]update kontrak'!E:K,6,FALSE)</f>
        <v>#N/A</v>
      </c>
      <c r="AH798" s="11" t="e">
        <f>VLOOKUP(L798,'[1]update kontrak'!E:K,7,FALSE)</f>
        <v>#N/A</v>
      </c>
      <c r="AI798" s="11"/>
      <c r="AJ798" s="11" t="str">
        <f>VLOOKUP(L798,[1]rekap!D:M,1,FALSE)</f>
        <v>Burai</v>
      </c>
      <c r="AK798" s="11" t="str">
        <f>VLOOKUP(L798,'[1]singkron data'!D:E,2,FALSE)</f>
        <v>PT. Karang Baru Pratama</v>
      </c>
      <c r="AL798" s="11" t="str">
        <f>VLOOKUP(L798,'[1]update 521'!D:D,1,FALSE)</f>
        <v>Burai</v>
      </c>
      <c r="AM798" s="11" t="s">
        <v>57</v>
      </c>
      <c r="AN798" s="11" t="e">
        <f>VLOOKUP(L798,[1]Sheet19!E:L,8,FALSE)</f>
        <v>#N/A</v>
      </c>
      <c r="AO798" s="11" t="s">
        <v>58</v>
      </c>
      <c r="AP798" s="12"/>
    </row>
    <row r="799" spans="1:42" ht="15" x14ac:dyDescent="0.2">
      <c r="A799" s="8" t="s">
        <v>42</v>
      </c>
      <c r="B799" s="9" t="s">
        <v>43</v>
      </c>
      <c r="C799" s="9">
        <v>396</v>
      </c>
      <c r="D799" s="9" t="s">
        <v>1631</v>
      </c>
      <c r="E799" s="9">
        <v>183</v>
      </c>
      <c r="F799" s="9" t="s">
        <v>1986</v>
      </c>
      <c r="G799" s="9" t="s">
        <v>1656</v>
      </c>
      <c r="H799" s="9" t="s">
        <v>47</v>
      </c>
      <c r="I799" s="9" t="s">
        <v>1987</v>
      </c>
      <c r="J799" s="9" t="s">
        <v>1988</v>
      </c>
      <c r="K799" s="9" t="s">
        <v>1989</v>
      </c>
      <c r="L799" s="9" t="s">
        <v>1989</v>
      </c>
      <c r="M799" s="9" t="s">
        <v>51</v>
      </c>
      <c r="N799" s="9">
        <v>65</v>
      </c>
      <c r="O799" s="9">
        <v>8</v>
      </c>
      <c r="P799" s="9">
        <v>34</v>
      </c>
      <c r="Q799" s="9">
        <v>42</v>
      </c>
      <c r="R799" s="9">
        <v>1</v>
      </c>
      <c r="S799" s="9">
        <v>5.7943920000000002</v>
      </c>
      <c r="T799" s="9">
        <v>95.343457999999998</v>
      </c>
      <c r="U799" s="9"/>
      <c r="V799" s="11" t="e">
        <f>VLOOKUP(L799,'[1]singkron data'!D:E,2,FALSE)</f>
        <v>#N/A</v>
      </c>
      <c r="W799" s="11" t="e">
        <f>VLOOKUP(L799,'[1]update tim 2'!D:F,3,FALSE)</f>
        <v>#N/A</v>
      </c>
      <c r="X799" s="11" t="s">
        <v>55</v>
      </c>
      <c r="Y799" s="11" t="e">
        <f>VLOOKUP(L799,'[1]singkron data'!D:H,5,FALSE)</f>
        <v>#N/A</v>
      </c>
      <c r="Z799" s="11" t="e">
        <f>VLOOKUP(L799,'[1]singkron data'!D:I,6,FALSE)</f>
        <v>#N/A</v>
      </c>
      <c r="AA799" s="11" t="e">
        <f>VLOOKUP(L799,'[1]singkron data'!D:L,9,FALSE)</f>
        <v>#N/A</v>
      </c>
      <c r="AB799" s="11" t="s">
        <v>694</v>
      </c>
      <c r="AC799" s="11" t="e">
        <f>VLOOKUP(L799,'[1]singkron data'!D:M,10,FALSE)</f>
        <v>#N/A</v>
      </c>
      <c r="AD799" s="11" t="s">
        <v>364</v>
      </c>
      <c r="AE799" s="11" t="e">
        <f>VLOOKUP(L799,'[1]singkron data'!D:P,13,FALSE)</f>
        <v>#N/A</v>
      </c>
      <c r="AF799" s="11" t="s">
        <v>55</v>
      </c>
      <c r="AG799" s="11" t="e">
        <f>VLOOKUP(L799,'[1]update kontrak'!E:K,6,FALSE)</f>
        <v>#N/A</v>
      </c>
      <c r="AH799" s="11" t="e">
        <f>VLOOKUP(L799,'[1]update kontrak'!E:K,7,FALSE)</f>
        <v>#N/A</v>
      </c>
      <c r="AI799" s="11"/>
      <c r="AJ799" s="11" t="str">
        <f>VLOOKUP(L799,[1]rekap!D:M,1,FALSE)</f>
        <v>Jaboi</v>
      </c>
      <c r="AK799" s="11" t="e">
        <f>VLOOKUP(L799,'[1]singkron data'!D:E,2,FALSE)</f>
        <v>#N/A</v>
      </c>
      <c r="AL799" s="11" t="str">
        <f>VLOOKUP(L799,'[1]update 521'!D:D,1,FALSE)</f>
        <v>Jaboi</v>
      </c>
      <c r="AM799" s="11" t="s">
        <v>57</v>
      </c>
      <c r="AN799" s="11" t="e">
        <f>VLOOKUP(L799,[1]Sheet19!E:L,8,FALSE)</f>
        <v>#N/A</v>
      </c>
      <c r="AO799" s="11" t="s">
        <v>1129</v>
      </c>
      <c r="AP799" s="12"/>
    </row>
    <row r="800" spans="1:42" ht="15" x14ac:dyDescent="0.2">
      <c r="A800" s="8" t="s">
        <v>42</v>
      </c>
      <c r="B800" s="9" t="s">
        <v>43</v>
      </c>
      <c r="C800" s="9">
        <v>397</v>
      </c>
      <c r="D800" s="9" t="s">
        <v>1631</v>
      </c>
      <c r="E800" s="9">
        <v>184</v>
      </c>
      <c r="F800" s="9" t="s">
        <v>1986</v>
      </c>
      <c r="G800" s="9" t="s">
        <v>1656</v>
      </c>
      <c r="H800" s="9" t="s">
        <v>47</v>
      </c>
      <c r="I800" s="9" t="s">
        <v>1987</v>
      </c>
      <c r="J800" s="9" t="s">
        <v>1990</v>
      </c>
      <c r="K800" s="9" t="s">
        <v>1991</v>
      </c>
      <c r="L800" s="9" t="s">
        <v>1991</v>
      </c>
      <c r="M800" s="9" t="s">
        <v>51</v>
      </c>
      <c r="N800" s="9">
        <v>71</v>
      </c>
      <c r="O800" s="9">
        <v>2</v>
      </c>
      <c r="P800" s="9">
        <v>28</v>
      </c>
      <c r="Q800" s="9">
        <v>30</v>
      </c>
      <c r="R800" s="9">
        <v>0.34</v>
      </c>
      <c r="S800" s="9">
        <v>5.7767600000000003</v>
      </c>
      <c r="T800" s="9">
        <v>95.312960000000004</v>
      </c>
      <c r="U800" s="9"/>
      <c r="V800" s="11" t="e">
        <f>VLOOKUP(L800,'[1]singkron data'!D:E,2,FALSE)</f>
        <v>#N/A</v>
      </c>
      <c r="W800" s="11" t="e">
        <f>VLOOKUP(L800,'[1]update tim 2'!D:F,3,FALSE)</f>
        <v>#N/A</v>
      </c>
      <c r="X800" s="11" t="s">
        <v>55</v>
      </c>
      <c r="Y800" s="11" t="e">
        <f>VLOOKUP(L800,'[1]singkron data'!D:H,5,FALSE)</f>
        <v>#N/A</v>
      </c>
      <c r="Z800" s="11" t="e">
        <f>VLOOKUP(L800,'[1]singkron data'!D:I,6,FALSE)</f>
        <v>#N/A</v>
      </c>
      <c r="AA800" s="11" t="e">
        <f>VLOOKUP(L800,'[1]singkron data'!D:L,9,FALSE)</f>
        <v>#N/A</v>
      </c>
      <c r="AB800" s="11" t="s">
        <v>694</v>
      </c>
      <c r="AC800" s="11" t="e">
        <f>VLOOKUP(L800,'[1]singkron data'!D:M,10,FALSE)</f>
        <v>#N/A</v>
      </c>
      <c r="AD800" s="11" t="s">
        <v>364</v>
      </c>
      <c r="AE800" s="11" t="e">
        <f>VLOOKUP(L800,'[1]singkron data'!D:P,13,FALSE)</f>
        <v>#N/A</v>
      </c>
      <c r="AF800" s="11" t="s">
        <v>55</v>
      </c>
      <c r="AG800" s="11" t="e">
        <f>VLOOKUP(L800,'[1]update kontrak'!E:K,6,FALSE)</f>
        <v>#N/A</v>
      </c>
      <c r="AH800" s="11" t="e">
        <f>VLOOKUP(L800,'[1]update kontrak'!E:K,7,FALSE)</f>
        <v>#N/A</v>
      </c>
      <c r="AI800" s="11"/>
      <c r="AJ800" s="11" t="str">
        <f>VLOOKUP(L800,[1]rekap!D:M,1,FALSE)</f>
        <v>Keunekai</v>
      </c>
      <c r="AK800" s="11" t="e">
        <f>VLOOKUP(L800,'[1]singkron data'!D:E,2,FALSE)</f>
        <v>#N/A</v>
      </c>
      <c r="AL800" s="11" t="str">
        <f>VLOOKUP(L800,'[1]update 521'!D:D,1,FALSE)</f>
        <v>Keunekai</v>
      </c>
      <c r="AM800" s="11" t="s">
        <v>57</v>
      </c>
      <c r="AN800" s="11" t="e">
        <f>VLOOKUP(L800,[1]Sheet19!E:L,8,FALSE)</f>
        <v>#N/A</v>
      </c>
      <c r="AO800" s="11" t="s">
        <v>1129</v>
      </c>
      <c r="AP800" s="12"/>
    </row>
    <row r="801" spans="1:42" ht="15" x14ac:dyDescent="0.2">
      <c r="A801" s="8" t="s">
        <v>42</v>
      </c>
      <c r="B801" s="9" t="s">
        <v>43</v>
      </c>
      <c r="C801" s="9">
        <v>398</v>
      </c>
      <c r="D801" s="9" t="s">
        <v>1631</v>
      </c>
      <c r="E801" s="9">
        <v>185</v>
      </c>
      <c r="F801" s="9" t="s">
        <v>1986</v>
      </c>
      <c r="G801" s="9" t="s">
        <v>1656</v>
      </c>
      <c r="H801" s="9" t="s">
        <v>47</v>
      </c>
      <c r="I801" s="9" t="s">
        <v>1987</v>
      </c>
      <c r="J801" s="9" t="s">
        <v>1990</v>
      </c>
      <c r="K801" s="9" t="s">
        <v>1992</v>
      </c>
      <c r="L801" s="9" t="s">
        <v>1992</v>
      </c>
      <c r="M801" s="9" t="s">
        <v>51</v>
      </c>
      <c r="N801" s="9">
        <v>79</v>
      </c>
      <c r="O801" s="9">
        <v>14</v>
      </c>
      <c r="P801" s="9">
        <v>90</v>
      </c>
      <c r="Q801" s="9">
        <v>104</v>
      </c>
      <c r="R801" s="9">
        <v>4.8</v>
      </c>
      <c r="S801" s="9">
        <v>5.8385360000000004</v>
      </c>
      <c r="T801" s="9">
        <v>95.298844000000003</v>
      </c>
      <c r="U801" s="9"/>
      <c r="V801" s="11" t="e">
        <f>VLOOKUP(L801,'[1]singkron data'!D:E,2,FALSE)</f>
        <v>#N/A</v>
      </c>
      <c r="W801" s="11" t="e">
        <f>VLOOKUP(L801,'[1]update tim 2'!D:F,3,FALSE)</f>
        <v>#N/A</v>
      </c>
      <c r="X801" s="11" t="s">
        <v>55</v>
      </c>
      <c r="Y801" s="11" t="e">
        <f>VLOOKUP(L801,'[1]singkron data'!D:H,5,FALSE)</f>
        <v>#N/A</v>
      </c>
      <c r="Z801" s="11" t="e">
        <f>VLOOKUP(L801,'[1]singkron data'!D:I,6,FALSE)</f>
        <v>#N/A</v>
      </c>
      <c r="AA801" s="11" t="e">
        <f>VLOOKUP(L801,'[1]singkron data'!D:L,9,FALSE)</f>
        <v>#N/A</v>
      </c>
      <c r="AB801" s="11" t="s">
        <v>694</v>
      </c>
      <c r="AC801" s="11" t="s">
        <v>1660</v>
      </c>
      <c r="AD801" s="11" t="s">
        <v>364</v>
      </c>
      <c r="AE801" s="11" t="e">
        <f>VLOOKUP(L801,'[1]singkron data'!D:P,13,FALSE)</f>
        <v>#N/A</v>
      </c>
      <c r="AF801" s="11" t="s">
        <v>55</v>
      </c>
      <c r="AG801" s="11" t="e">
        <f>VLOOKUP(L801,'[1]update kontrak'!E:K,6,FALSE)</f>
        <v>#N/A</v>
      </c>
      <c r="AH801" s="11" t="e">
        <f>VLOOKUP(L801,'[1]update kontrak'!E:K,7,FALSE)</f>
        <v>#N/A</v>
      </c>
      <c r="AI801" s="11"/>
      <c r="AJ801" s="11" t="str">
        <f>VLOOKUP(L801,[1]rekap!D:M,1,FALSE)</f>
        <v>Batee Shok</v>
      </c>
      <c r="AK801" s="11" t="e">
        <f>VLOOKUP(L801,'[1]singkron data'!D:E,2,FALSE)</f>
        <v>#N/A</v>
      </c>
      <c r="AL801" s="11" t="str">
        <f>VLOOKUP(L801,'[1]update 521'!D:D,1,FALSE)</f>
        <v>Batee Shok</v>
      </c>
      <c r="AM801" s="11" t="s">
        <v>57</v>
      </c>
      <c r="AN801" s="11" t="e">
        <f>VLOOKUP(L801,[1]Sheet19!E:L,8,FALSE)</f>
        <v>#N/A</v>
      </c>
      <c r="AO801" s="11" t="s">
        <v>1129</v>
      </c>
      <c r="AP801" s="12"/>
    </row>
    <row r="802" spans="1:42" ht="15" x14ac:dyDescent="0.2">
      <c r="A802" s="8" t="s">
        <v>42</v>
      </c>
      <c r="B802" s="9" t="s">
        <v>43</v>
      </c>
      <c r="C802" s="9">
        <v>399</v>
      </c>
      <c r="D802" s="9" t="s">
        <v>1631</v>
      </c>
      <c r="E802" s="9">
        <v>186</v>
      </c>
      <c r="F802" s="9" t="s">
        <v>1993</v>
      </c>
      <c r="G802" s="9" t="s">
        <v>1656</v>
      </c>
      <c r="H802" s="9" t="s">
        <v>47</v>
      </c>
      <c r="I802" s="9" t="s">
        <v>1809</v>
      </c>
      <c r="J802" s="9" t="s">
        <v>1994</v>
      </c>
      <c r="K802" s="9" t="s">
        <v>1995</v>
      </c>
      <c r="L802" s="9" t="s">
        <v>1995</v>
      </c>
      <c r="M802" s="9" t="s">
        <v>51</v>
      </c>
      <c r="N802" s="9">
        <v>87</v>
      </c>
      <c r="O802" s="9">
        <v>50</v>
      </c>
      <c r="P802" s="9">
        <v>25</v>
      </c>
      <c r="Q802" s="9">
        <v>75</v>
      </c>
      <c r="R802" s="9">
        <v>0.6</v>
      </c>
      <c r="S802" s="9">
        <v>2.3445170000000002</v>
      </c>
      <c r="T802" s="9">
        <v>96.468005000000005</v>
      </c>
      <c r="U802" s="9"/>
      <c r="V802" s="11" t="e">
        <f>VLOOKUP(L802,'[1]singkron data'!D:E,2,FALSE)</f>
        <v>#N/A</v>
      </c>
      <c r="W802" s="11"/>
      <c r="X802" s="11"/>
      <c r="Y802" s="11" t="e">
        <f>VLOOKUP(L802,'[1]singkron data'!D:H,5,FALSE)</f>
        <v>#N/A</v>
      </c>
      <c r="Z802" s="11" t="e">
        <f>VLOOKUP(L802,'[1]singkron data'!D:I,6,FALSE)</f>
        <v>#N/A</v>
      </c>
      <c r="AA802" s="11" t="e">
        <f>VLOOKUP(L802,'[1]singkron data'!D:L,9,FALSE)</f>
        <v>#N/A</v>
      </c>
      <c r="AB802" s="11" t="s">
        <v>694</v>
      </c>
      <c r="AC802" s="11" t="e">
        <f>VLOOKUP(L802,'[1]singkron data'!D:M,10,FALSE)</f>
        <v>#N/A</v>
      </c>
      <c r="AD802" s="11" t="s">
        <v>364</v>
      </c>
      <c r="AE802" s="11" t="e">
        <f>VLOOKUP(L802,'[1]singkron data'!D:P,13,FALSE)</f>
        <v>#N/A</v>
      </c>
      <c r="AF802" s="11" t="s">
        <v>55</v>
      </c>
      <c r="AG802" s="11" t="e">
        <f>VLOOKUP(L802,'[1]update kontrak'!E:K,6,FALSE)</f>
        <v>#N/A</v>
      </c>
      <c r="AH802" s="11" t="e">
        <f>VLOOKUP(L802,'[1]update kontrak'!E:K,7,FALSE)</f>
        <v>#N/A</v>
      </c>
      <c r="AI802" s="11"/>
      <c r="AJ802" s="11" t="str">
        <f>VLOOKUP(L802,[1]rekap!D:M,1,FALSE)</f>
        <v>Latiung</v>
      </c>
      <c r="AK802" s="11" t="e">
        <f>VLOOKUP(L802,'[1]singkron data'!D:E,2,FALSE)</f>
        <v>#N/A</v>
      </c>
      <c r="AL802" s="11" t="str">
        <f>VLOOKUP(L802,'[1]update 521'!D:D,1,FALSE)</f>
        <v>Latiung</v>
      </c>
      <c r="AM802" s="11" t="s">
        <v>96</v>
      </c>
      <c r="AN802" s="11" t="e">
        <f>VLOOKUP(L802,[1]Sheet19!E:L,8,FALSE)</f>
        <v>#N/A</v>
      </c>
      <c r="AO802" s="11" t="e">
        <f>VLOOKUP(L802,[1]Sheet19!E:K,7,FALSE)</f>
        <v>#N/A</v>
      </c>
      <c r="AP802" s="12"/>
    </row>
    <row r="803" spans="1:42" ht="15" x14ac:dyDescent="0.2">
      <c r="A803" s="8" t="s">
        <v>42</v>
      </c>
      <c r="B803" s="9" t="s">
        <v>43</v>
      </c>
      <c r="C803" s="9">
        <v>400</v>
      </c>
      <c r="D803" s="9" t="s">
        <v>1631</v>
      </c>
      <c r="E803" s="9">
        <v>187</v>
      </c>
      <c r="F803" s="9" t="s">
        <v>1993</v>
      </c>
      <c r="G803" s="9" t="s">
        <v>1656</v>
      </c>
      <c r="H803" s="9" t="s">
        <v>47</v>
      </c>
      <c r="I803" s="9" t="s">
        <v>1809</v>
      </c>
      <c r="J803" s="9" t="s">
        <v>1996</v>
      </c>
      <c r="K803" s="9" t="s">
        <v>1997</v>
      </c>
      <c r="L803" s="9" t="s">
        <v>1997</v>
      </c>
      <c r="M803" s="9" t="s">
        <v>51</v>
      </c>
      <c r="N803" s="9">
        <v>200</v>
      </c>
      <c r="O803" s="9">
        <v>10</v>
      </c>
      <c r="P803" s="9">
        <v>50</v>
      </c>
      <c r="Q803" s="9">
        <v>60</v>
      </c>
      <c r="R803" s="9">
        <v>0.28000000000000003</v>
      </c>
      <c r="S803" s="9">
        <v>2.3705569999999998</v>
      </c>
      <c r="T803" s="9">
        <v>96.333085999999994</v>
      </c>
      <c r="U803" s="9"/>
      <c r="V803" s="11" t="e">
        <f>VLOOKUP(L803,'[1]singkron data'!D:E,2,FALSE)</f>
        <v>#N/A</v>
      </c>
      <c r="W803" s="11"/>
      <c r="X803" s="11"/>
      <c r="Y803" s="11" t="e">
        <f>VLOOKUP(L803,'[1]singkron data'!D:H,5,FALSE)</f>
        <v>#N/A</v>
      </c>
      <c r="Z803" s="11" t="e">
        <f>VLOOKUP(L803,'[1]singkron data'!D:I,6,FALSE)</f>
        <v>#N/A</v>
      </c>
      <c r="AA803" s="11" t="e">
        <f>VLOOKUP(L803,'[1]singkron data'!D:L,9,FALSE)</f>
        <v>#N/A</v>
      </c>
      <c r="AB803" s="11" t="s">
        <v>694</v>
      </c>
      <c r="AC803" s="11" t="e">
        <f>VLOOKUP(L803,'[1]singkron data'!D:M,10,FALSE)</f>
        <v>#N/A</v>
      </c>
      <c r="AD803" s="11" t="s">
        <v>364</v>
      </c>
      <c r="AE803" s="11" t="e">
        <f>VLOOKUP(L803,'[1]singkron data'!D:P,13,FALSE)</f>
        <v>#N/A</v>
      </c>
      <c r="AF803" s="11" t="s">
        <v>55</v>
      </c>
      <c r="AG803" s="11" t="e">
        <f>VLOOKUP(L803,'[1]update kontrak'!E:K,6,FALSE)</f>
        <v>#N/A</v>
      </c>
      <c r="AH803" s="11" t="e">
        <f>VLOOKUP(L803,'[1]update kontrak'!E:K,7,FALSE)</f>
        <v>#N/A</v>
      </c>
      <c r="AI803" s="11"/>
      <c r="AJ803" s="11" t="str">
        <f>VLOOKUP(L803,[1]rekap!D:M,1,FALSE)</f>
        <v>Kahad</v>
      </c>
      <c r="AK803" s="11" t="e">
        <f>VLOOKUP(L803,'[1]singkron data'!D:E,2,FALSE)</f>
        <v>#N/A</v>
      </c>
      <c r="AL803" s="11" t="str">
        <f>VLOOKUP(L803,'[1]update 521'!D:D,1,FALSE)</f>
        <v>Kahad</v>
      </c>
      <c r="AM803" s="11" t="s">
        <v>96</v>
      </c>
      <c r="AN803" s="11" t="e">
        <f>VLOOKUP(L803,[1]Sheet19!E:L,8,FALSE)</f>
        <v>#N/A</v>
      </c>
      <c r="AO803" s="11" t="e">
        <f>VLOOKUP(L803,[1]Sheet19!E:K,7,FALSE)</f>
        <v>#N/A</v>
      </c>
      <c r="AP803" s="12"/>
    </row>
    <row r="804" spans="1:42" ht="15" x14ac:dyDescent="0.2">
      <c r="A804" s="8" t="s">
        <v>42</v>
      </c>
      <c r="B804" s="9" t="s">
        <v>43</v>
      </c>
      <c r="C804" s="9">
        <v>401</v>
      </c>
      <c r="D804" s="9" t="s">
        <v>1631</v>
      </c>
      <c r="E804" s="9">
        <v>188</v>
      </c>
      <c r="F804" s="9" t="s">
        <v>1998</v>
      </c>
      <c r="G804" s="9" t="s">
        <v>1882</v>
      </c>
      <c r="H804" s="9" t="s">
        <v>47</v>
      </c>
      <c r="I804" s="9" t="s">
        <v>1999</v>
      </c>
      <c r="J804" s="9" t="s">
        <v>2000</v>
      </c>
      <c r="K804" s="9" t="s">
        <v>2001</v>
      </c>
      <c r="L804" s="10" t="s">
        <v>2001</v>
      </c>
      <c r="M804" s="9" t="s">
        <v>65</v>
      </c>
      <c r="N804" s="9">
        <v>821</v>
      </c>
      <c r="O804" s="9">
        <v>76</v>
      </c>
      <c r="P804" s="9">
        <v>686</v>
      </c>
      <c r="Q804" s="9">
        <v>762</v>
      </c>
      <c r="R804" s="9">
        <v>0.81</v>
      </c>
      <c r="S804" s="9">
        <v>-0.41424850000000002</v>
      </c>
      <c r="T804" s="9">
        <v>103.5982415</v>
      </c>
      <c r="U804" s="9" t="s">
        <v>52</v>
      </c>
      <c r="V804" s="11" t="str">
        <f>VLOOKUP(L804,'[1]singkron data'!D:E,2,FALSE)</f>
        <v>PT. Multi Gapura Pembangunan Semesta</v>
      </c>
      <c r="W804" s="11"/>
      <c r="X804" s="11"/>
      <c r="Y804" s="11">
        <f>VLOOKUP(L804,'[1]singkron data'!D:H,5,FALSE)</f>
        <v>0</v>
      </c>
      <c r="Z804" s="11">
        <f>VLOOKUP(L804,'[1]singkron data'!D:I,6,FALSE)</f>
        <v>0</v>
      </c>
      <c r="AA804" s="11">
        <f>VLOOKUP(L804,'[1]singkron data'!D:L,9,FALSE)</f>
        <v>0</v>
      </c>
      <c r="AB804" s="11" t="s">
        <v>54</v>
      </c>
      <c r="AC804" s="11" t="s">
        <v>268</v>
      </c>
      <c r="AD804" s="11" t="str">
        <f>VLOOKUP(L804,'[1]data 1129'!F:O,10,FALSE)</f>
        <v>Tahap IV 200</v>
      </c>
      <c r="AE804" s="11">
        <f>VLOOKUP(L804,'[1]singkron data'!D:P,13,FALSE)</f>
        <v>0</v>
      </c>
      <c r="AF804" s="11" t="s">
        <v>55</v>
      </c>
      <c r="AG804" s="11" t="e">
        <f>VLOOKUP(L804,'[1]update kontrak'!E:K,6,FALSE)</f>
        <v>#N/A</v>
      </c>
      <c r="AH804" s="11" t="e">
        <f>VLOOKUP(L804,'[1]update kontrak'!E:K,7,FALSE)</f>
        <v>#N/A</v>
      </c>
      <c r="AI804" s="11"/>
      <c r="AJ804" s="11" t="str">
        <f>VLOOKUP(L804,[1]rekap!D:M,1,FALSE)</f>
        <v>Sungaibuluh</v>
      </c>
      <c r="AK804" s="11" t="str">
        <f>VLOOKUP(L804,'[1]singkron data'!D:E,2,FALSE)</f>
        <v>PT. Multi Gapura Pembangunan Semesta</v>
      </c>
      <c r="AL804" s="11" t="str">
        <f>VLOOKUP(L804,'[1]update 521'!D:D,1,FALSE)</f>
        <v>Sungaibuluh</v>
      </c>
      <c r="AM804" s="11" t="s">
        <v>57</v>
      </c>
      <c r="AN804" s="11" t="e">
        <f>VLOOKUP(L804,[1]Sheet19!E:L,8,FALSE)</f>
        <v>#N/A</v>
      </c>
      <c r="AO804" s="11" t="s">
        <v>58</v>
      </c>
      <c r="AP804" s="12"/>
    </row>
    <row r="805" spans="1:42" ht="15" x14ac:dyDescent="0.2">
      <c r="A805" s="8" t="s">
        <v>42</v>
      </c>
      <c r="B805" s="9" t="s">
        <v>43</v>
      </c>
      <c r="C805" s="9">
        <v>402</v>
      </c>
      <c r="D805" s="9" t="s">
        <v>1631</v>
      </c>
      <c r="E805" s="9">
        <v>189</v>
      </c>
      <c r="F805" s="9" t="s">
        <v>1998</v>
      </c>
      <c r="G805" s="9" t="s">
        <v>1882</v>
      </c>
      <c r="H805" s="9" t="s">
        <v>47</v>
      </c>
      <c r="I805" s="9" t="s">
        <v>1999</v>
      </c>
      <c r="J805" s="9" t="s">
        <v>2002</v>
      </c>
      <c r="K805" s="9" t="s">
        <v>2003</v>
      </c>
      <c r="L805" s="10" t="s">
        <v>2003</v>
      </c>
      <c r="M805" s="9" t="s">
        <v>51</v>
      </c>
      <c r="N805" s="14">
        <v>1180</v>
      </c>
      <c r="O805" s="9" t="s">
        <v>72</v>
      </c>
      <c r="P805" s="9">
        <v>500</v>
      </c>
      <c r="Q805" s="9">
        <v>500</v>
      </c>
      <c r="R805" s="9">
        <v>0.21</v>
      </c>
      <c r="S805" s="9">
        <v>-0.24473600000000001</v>
      </c>
      <c r="T805" s="9">
        <v>103.632092</v>
      </c>
      <c r="U805" s="9" t="s">
        <v>52</v>
      </c>
      <c r="V805" s="11" t="str">
        <f>VLOOKUP(L805,'[1]singkron data'!D:E,2,FALSE)</f>
        <v>PT. Sadatai Jaya Tama</v>
      </c>
      <c r="W805" s="13">
        <f>VLOOKUP(L805,'[1]update tim 2'!D:F,3,FALSE)</f>
        <v>4547714000</v>
      </c>
      <c r="X805" s="11" t="s">
        <v>55</v>
      </c>
      <c r="Y805" s="11">
        <f>VLOOKUP(L805,'[1]singkron data'!D:H,5,FALSE)</f>
        <v>0</v>
      </c>
      <c r="Z805" s="11">
        <f>VLOOKUP(L805,'[1]singkron data'!D:I,6,FALSE)</f>
        <v>0</v>
      </c>
      <c r="AA805" s="11">
        <f>VLOOKUP(L805,'[1]singkron data'!D:L,9,FALSE)</f>
        <v>81385036212</v>
      </c>
      <c r="AB805" s="11" t="s">
        <v>54</v>
      </c>
      <c r="AC805" s="11" t="str">
        <f>VLOOKUP(L805,'[1]singkron data'!D:M,10,FALSE)</f>
        <v>galuh</v>
      </c>
      <c r="AD805" s="11" t="str">
        <f>VLOOKUP(L805,'[1]data 1129'!F:O,10,FALSE)</f>
        <v>Tahap IV 200</v>
      </c>
      <c r="AE805" s="11">
        <f>VLOOKUP(L805,'[1]singkron data'!D:P,13,FALSE)</f>
        <v>0</v>
      </c>
      <c r="AF805" s="11" t="s">
        <v>55</v>
      </c>
      <c r="AG805" s="11" t="e">
        <f>VLOOKUP(L805,'[1]update kontrak'!E:K,6,FALSE)</f>
        <v>#N/A</v>
      </c>
      <c r="AH805" s="11" t="e">
        <f>VLOOKUP(L805,'[1]update kontrak'!E:K,7,FALSE)</f>
        <v>#N/A</v>
      </c>
      <c r="AI805" s="11"/>
      <c r="AJ805" s="11" t="str">
        <f>VLOOKUP(L805,[1]rekap!D:M,1,FALSE)</f>
        <v>Panglima Raja</v>
      </c>
      <c r="AK805" s="11" t="str">
        <f>VLOOKUP(L805,'[1]singkron data'!D:E,2,FALSE)</f>
        <v>PT. Sadatai Jaya Tama</v>
      </c>
      <c r="AL805" s="11" t="str">
        <f>VLOOKUP(L805,'[1]update 521'!D:D,1,FALSE)</f>
        <v>Panglima Raja</v>
      </c>
      <c r="AM805" s="11" t="s">
        <v>57</v>
      </c>
      <c r="AN805" s="11" t="e">
        <f>VLOOKUP(L805,[1]Sheet19!E:L,8,FALSE)</f>
        <v>#N/A</v>
      </c>
      <c r="AO805" s="11" t="s">
        <v>58</v>
      </c>
      <c r="AP805" s="12"/>
    </row>
    <row r="806" spans="1:42" ht="15" x14ac:dyDescent="0.2">
      <c r="A806" s="8" t="s">
        <v>42</v>
      </c>
      <c r="B806" s="9" t="s">
        <v>43</v>
      </c>
      <c r="C806" s="9">
        <v>403</v>
      </c>
      <c r="D806" s="9" t="s">
        <v>1631</v>
      </c>
      <c r="E806" s="9">
        <v>190</v>
      </c>
      <c r="F806" s="9" t="s">
        <v>1998</v>
      </c>
      <c r="G806" s="9" t="s">
        <v>1882</v>
      </c>
      <c r="H806" s="9" t="s">
        <v>47</v>
      </c>
      <c r="I806" s="9" t="s">
        <v>1999</v>
      </c>
      <c r="J806" s="9" t="s">
        <v>2004</v>
      </c>
      <c r="K806" s="9" t="s">
        <v>2005</v>
      </c>
      <c r="L806" s="10" t="s">
        <v>2005</v>
      </c>
      <c r="M806" s="9" t="s">
        <v>51</v>
      </c>
      <c r="N806" s="9">
        <v>230</v>
      </c>
      <c r="O806" s="9">
        <v>30</v>
      </c>
      <c r="P806" s="9">
        <v>111</v>
      </c>
      <c r="Q806" s="9">
        <v>141</v>
      </c>
      <c r="R806" s="9">
        <v>7.0000000000000007E-2</v>
      </c>
      <c r="S806" s="9">
        <v>-1.38481E-2</v>
      </c>
      <c r="T806" s="9">
        <v>103.74684569999999</v>
      </c>
      <c r="U806" s="9" t="s">
        <v>52</v>
      </c>
      <c r="V806" s="11" t="str">
        <f>VLOOKUP(L806,'[1]singkron data'!D:E,2,FALSE)</f>
        <v>PT. Multi Gapura Pembangunan Semesta</v>
      </c>
      <c r="W806" s="13">
        <f>VLOOKUP(L806,'[1]update tim 2'!D:F,3,FALSE)</f>
        <v>2698645000</v>
      </c>
      <c r="X806" s="11" t="s">
        <v>55</v>
      </c>
      <c r="Y806" s="11">
        <f>VLOOKUP(L806,'[1]singkron data'!D:H,5,FALSE)</f>
        <v>0</v>
      </c>
      <c r="Z806" s="11">
        <f>VLOOKUP(L806,'[1]singkron data'!D:I,6,FALSE)</f>
        <v>0</v>
      </c>
      <c r="AA806" s="11">
        <f>VLOOKUP(L806,'[1]singkron data'!D:L,9,FALSE)</f>
        <v>0</v>
      </c>
      <c r="AB806" s="11" t="s">
        <v>54</v>
      </c>
      <c r="AC806" s="11" t="s">
        <v>268</v>
      </c>
      <c r="AD806" s="11" t="str">
        <f>VLOOKUP(L806,'[1]data 1129'!F:O,10,FALSE)</f>
        <v>Tahap IV 200</v>
      </c>
      <c r="AE806" s="11">
        <f>VLOOKUP(L806,'[1]singkron data'!D:P,13,FALSE)</f>
        <v>0</v>
      </c>
      <c r="AF806" s="11" t="s">
        <v>55</v>
      </c>
      <c r="AG806" s="11" t="e">
        <f>VLOOKUP(L806,'[1]update kontrak'!E:K,6,FALSE)</f>
        <v>#N/A</v>
      </c>
      <c r="AH806" s="11" t="e">
        <f>VLOOKUP(L806,'[1]update kontrak'!E:K,7,FALSE)</f>
        <v>#N/A</v>
      </c>
      <c r="AI806" s="11"/>
      <c r="AJ806" s="11" t="str">
        <f>VLOOKUP(L806,[1]rekap!D:M,1,FALSE)</f>
        <v>Bekawan</v>
      </c>
      <c r="AK806" s="11" t="str">
        <f>VLOOKUP(L806,'[1]singkron data'!D:E,2,FALSE)</f>
        <v>PT. Multi Gapura Pembangunan Semesta</v>
      </c>
      <c r="AL806" s="11" t="str">
        <f>VLOOKUP(L806,'[1]update 521'!D:D,1,FALSE)</f>
        <v>Bekawan</v>
      </c>
      <c r="AM806" s="11" t="s">
        <v>57</v>
      </c>
      <c r="AN806" s="11" t="e">
        <f>VLOOKUP(L806,[1]Sheet19!E:L,8,FALSE)</f>
        <v>#N/A</v>
      </c>
      <c r="AO806" s="11" t="s">
        <v>58</v>
      </c>
      <c r="AP806" s="12"/>
    </row>
    <row r="807" spans="1:42" ht="15" x14ac:dyDescent="0.2">
      <c r="A807" s="8" t="s">
        <v>42</v>
      </c>
      <c r="B807" s="9" t="s">
        <v>43</v>
      </c>
      <c r="C807" s="9">
        <v>404</v>
      </c>
      <c r="D807" s="9" t="s">
        <v>1631</v>
      </c>
      <c r="E807" s="9">
        <v>191</v>
      </c>
      <c r="F807" s="9" t="s">
        <v>1998</v>
      </c>
      <c r="G807" s="9" t="s">
        <v>1882</v>
      </c>
      <c r="H807" s="9" t="s">
        <v>47</v>
      </c>
      <c r="I807" s="9" t="s">
        <v>1999</v>
      </c>
      <c r="J807" s="9" t="s">
        <v>2006</v>
      </c>
      <c r="K807" s="9" t="s">
        <v>2007</v>
      </c>
      <c r="L807" s="10" t="s">
        <v>2007</v>
      </c>
      <c r="M807" s="9" t="s">
        <v>81</v>
      </c>
      <c r="N807" s="14">
        <v>1420</v>
      </c>
      <c r="O807" s="9">
        <v>50</v>
      </c>
      <c r="P807" s="9">
        <v>167</v>
      </c>
      <c r="Q807" s="9">
        <v>217</v>
      </c>
      <c r="R807" s="9">
        <v>0.82</v>
      </c>
      <c r="S807" s="9">
        <v>-0.60211700000000001</v>
      </c>
      <c r="T807" s="9">
        <v>103.4085</v>
      </c>
      <c r="U807" s="9" t="s">
        <v>52</v>
      </c>
      <c r="V807" s="11" t="str">
        <f>VLOOKUP(L807,'[1]singkron data'!D:E,2,FALSE)</f>
        <v>PT. Sadatai Jaya Tama</v>
      </c>
      <c r="W807" s="13">
        <f>VLOOKUP(L807,'[1]update tim 2'!D:F,3,FALSE)</f>
        <v>4164863000</v>
      </c>
      <c r="X807" s="11" t="s">
        <v>55</v>
      </c>
      <c r="Y807" s="11">
        <f>VLOOKUP(L807,'[1]singkron data'!D:H,5,FALSE)</f>
        <v>0</v>
      </c>
      <c r="Z807" s="11">
        <f>VLOOKUP(L807,'[1]singkron data'!D:I,6,FALSE)</f>
        <v>0</v>
      </c>
      <c r="AA807" s="11">
        <f>VLOOKUP(L807,'[1]singkron data'!D:L,9,FALSE)</f>
        <v>81385036212</v>
      </c>
      <c r="AB807" s="11" t="s">
        <v>54</v>
      </c>
      <c r="AC807" s="11" t="str">
        <f>VLOOKUP(L807,'[1]singkron data'!D:M,10,FALSE)</f>
        <v>galuh</v>
      </c>
      <c r="AD807" s="11" t="str">
        <f>VLOOKUP(L807,'[1]data 1129'!F:O,10,FALSE)</f>
        <v>Tahap IV 200</v>
      </c>
      <c r="AE807" s="11">
        <f>VLOOKUP(L807,'[1]singkron data'!D:P,13,FALSE)</f>
        <v>0</v>
      </c>
      <c r="AF807" s="11" t="s">
        <v>55</v>
      </c>
      <c r="AG807" s="11" t="e">
        <f>VLOOKUP(L807,'[1]update kontrak'!E:K,6,FALSE)</f>
        <v>#N/A</v>
      </c>
      <c r="AH807" s="11" t="e">
        <f>VLOOKUP(L807,'[1]update kontrak'!E:K,7,FALSE)</f>
        <v>#N/A</v>
      </c>
      <c r="AI807" s="11"/>
      <c r="AJ807" s="11" t="str">
        <f>VLOOKUP(L807,[1]rekap!D:M,1,FALSE)</f>
        <v>Kuala Patah Parang</v>
      </c>
      <c r="AK807" s="11" t="str">
        <f>VLOOKUP(L807,'[1]singkron data'!D:E,2,FALSE)</f>
        <v>PT. Sadatai Jaya Tama</v>
      </c>
      <c r="AL807" s="11" t="str">
        <f>VLOOKUP(L807,'[1]update 521'!D:D,1,FALSE)</f>
        <v>Kuala Patah Parang</v>
      </c>
      <c r="AM807" s="11" t="s">
        <v>57</v>
      </c>
      <c r="AN807" s="11" t="e">
        <f>VLOOKUP(L807,[1]Sheet19!E:L,8,FALSE)</f>
        <v>#N/A</v>
      </c>
      <c r="AO807" s="11" t="s">
        <v>58</v>
      </c>
      <c r="AP807" s="12"/>
    </row>
    <row r="808" spans="1:42" ht="15" x14ac:dyDescent="0.2">
      <c r="A808" s="8" t="s">
        <v>42</v>
      </c>
      <c r="B808" s="9" t="s">
        <v>43</v>
      </c>
      <c r="C808" s="9">
        <v>405</v>
      </c>
      <c r="D808" s="9" t="s">
        <v>1631</v>
      </c>
      <c r="E808" s="9">
        <v>192</v>
      </c>
      <c r="F808" s="9" t="s">
        <v>2008</v>
      </c>
      <c r="G808" s="9" t="s">
        <v>1980</v>
      </c>
      <c r="H808" s="9" t="s">
        <v>47</v>
      </c>
      <c r="I808" s="9" t="s">
        <v>2009</v>
      </c>
      <c r="J808" s="9" t="s">
        <v>2010</v>
      </c>
      <c r="K808" s="9" t="s">
        <v>2011</v>
      </c>
      <c r="L808" s="10" t="s">
        <v>2011</v>
      </c>
      <c r="M808" s="9" t="s">
        <v>65</v>
      </c>
      <c r="N808" s="14">
        <v>1956</v>
      </c>
      <c r="O808" s="9" t="s">
        <v>72</v>
      </c>
      <c r="P808" s="9">
        <v>503</v>
      </c>
      <c r="Q808" s="9">
        <v>503</v>
      </c>
      <c r="R808" s="9">
        <v>1</v>
      </c>
      <c r="S808" s="9">
        <v>-3.418056</v>
      </c>
      <c r="T808" s="9">
        <v>105.880556</v>
      </c>
      <c r="U808" s="9" t="s">
        <v>52</v>
      </c>
      <c r="V808" s="11" t="str">
        <f>VLOOKUP(L808,'[1]singkron data'!D:E,2,FALSE)</f>
        <v>CV. Syeren Indah (Kecil)</v>
      </c>
      <c r="W808" s="13">
        <f>VLOOKUP(L808,'[1]update tim 2'!D:F,3,FALSE)</f>
        <v>2935958000</v>
      </c>
      <c r="X808" s="11" t="s">
        <v>55</v>
      </c>
      <c r="Y808" s="11">
        <f>VLOOKUP(L808,'[1]singkron data'!D:H,5,FALSE)</f>
        <v>0</v>
      </c>
      <c r="Z808" s="11">
        <f>VLOOKUP(L808,'[1]singkron data'!D:I,6,FALSE)</f>
        <v>0</v>
      </c>
      <c r="AA808" s="11" t="str">
        <f>VLOOKUP(L808,'[1]singkron data'!D:L,9,FALSE)</f>
        <v>081310405652/rukmana</v>
      </c>
      <c r="AB808" s="11" t="s">
        <v>54</v>
      </c>
      <c r="AC808" s="11" t="str">
        <f>VLOOKUP(L808,'[1]singkron data'!D:M,10,FALSE)</f>
        <v>Iqbal/AM</v>
      </c>
      <c r="AD808" s="11" t="str">
        <f>VLOOKUP(L808,'[1]data 1129'!F:O,10,FALSE)</f>
        <v>Tahap II 146</v>
      </c>
      <c r="AE808" s="11">
        <f>VLOOKUP(L808,'[1]singkron data'!D:P,13,FALSE)</f>
        <v>0</v>
      </c>
      <c r="AF808" s="11" t="s">
        <v>55</v>
      </c>
      <c r="AG808" s="11" t="e">
        <f>VLOOKUP(L808,'[1]update kontrak'!E:K,6,FALSE)</f>
        <v>#N/A</v>
      </c>
      <c r="AH808" s="11" t="e">
        <f>VLOOKUP(L808,'[1]update kontrak'!E:K,7,FALSE)</f>
        <v>#N/A</v>
      </c>
      <c r="AI808" s="11"/>
      <c r="AJ808" s="11" t="str">
        <f>VLOOKUP(L808,[1]rekap!D:M,1,FALSE)</f>
        <v>Sungai Lumpur</v>
      </c>
      <c r="AK808" s="11" t="str">
        <f>VLOOKUP(L808,'[1]singkron data'!D:E,2,FALSE)</f>
        <v>CV. Syeren Indah (Kecil)</v>
      </c>
      <c r="AL808" s="11" t="str">
        <f>VLOOKUP(L808,'[1]update 521'!D:D,1,FALSE)</f>
        <v>Sungai Lumpur</v>
      </c>
      <c r="AM808" s="11" t="s">
        <v>57</v>
      </c>
      <c r="AN808" s="11" t="e">
        <f>VLOOKUP(L808,[1]Sheet19!E:L,8,FALSE)</f>
        <v>#N/A</v>
      </c>
      <c r="AO808" s="11" t="s">
        <v>58</v>
      </c>
      <c r="AP808" s="12"/>
    </row>
    <row r="809" spans="1:42" ht="15" x14ac:dyDescent="0.2">
      <c r="A809" s="8" t="s">
        <v>42</v>
      </c>
      <c r="B809" s="9" t="s">
        <v>43</v>
      </c>
      <c r="C809" s="9">
        <v>406</v>
      </c>
      <c r="D809" s="9" t="s">
        <v>1631</v>
      </c>
      <c r="E809" s="9">
        <v>193</v>
      </c>
      <c r="F809" s="9" t="s">
        <v>2008</v>
      </c>
      <c r="G809" s="9" t="s">
        <v>1980</v>
      </c>
      <c r="H809" s="9" t="s">
        <v>47</v>
      </c>
      <c r="I809" s="9" t="s">
        <v>2009</v>
      </c>
      <c r="J809" s="9" t="s">
        <v>2010</v>
      </c>
      <c r="K809" s="9" t="s">
        <v>2012</v>
      </c>
      <c r="L809" s="10" t="s">
        <v>2012</v>
      </c>
      <c r="M809" s="9" t="s">
        <v>51</v>
      </c>
      <c r="N809" s="14">
        <v>1835</v>
      </c>
      <c r="O809" s="9">
        <v>9</v>
      </c>
      <c r="P809" s="9">
        <v>453</v>
      </c>
      <c r="Q809" s="9">
        <v>462</v>
      </c>
      <c r="R809" s="9">
        <v>1</v>
      </c>
      <c r="S809" s="9">
        <v>-3.5942500000000002</v>
      </c>
      <c r="T809" s="9">
        <v>105.823583</v>
      </c>
      <c r="U809" s="9" t="s">
        <v>52</v>
      </c>
      <c r="V809" s="11" t="str">
        <f>VLOOKUP(L809,'[1]singkron data'!D:E,2,FALSE)</f>
        <v>CV. Syeren Indah (Kecil)</v>
      </c>
      <c r="W809" s="13">
        <f>VLOOKUP(L809,'[1]update tim 2'!D:F,3,FALSE)</f>
        <v>3131678000</v>
      </c>
      <c r="X809" s="11" t="s">
        <v>55</v>
      </c>
      <c r="Y809" s="11">
        <f>VLOOKUP(L809,'[1]singkron data'!D:H,5,FALSE)</f>
        <v>0</v>
      </c>
      <c r="Z809" s="11">
        <f>VLOOKUP(L809,'[1]singkron data'!D:I,6,FALSE)</f>
        <v>0</v>
      </c>
      <c r="AA809" s="11" t="str">
        <f>VLOOKUP(L809,'[1]singkron data'!D:L,9,FALSE)</f>
        <v>081310405652/rukmana</v>
      </c>
      <c r="AB809" s="11" t="s">
        <v>54</v>
      </c>
      <c r="AC809" s="11" t="str">
        <f>VLOOKUP(L809,'[1]singkron data'!D:M,10,FALSE)</f>
        <v>Iqbal/AM</v>
      </c>
      <c r="AD809" s="11" t="str">
        <f>VLOOKUP(L809,'[1]data 1129'!F:O,10,FALSE)</f>
        <v>Tahap II 146</v>
      </c>
      <c r="AE809" s="11">
        <f>VLOOKUP(L809,'[1]singkron data'!D:P,13,FALSE)</f>
        <v>0</v>
      </c>
      <c r="AF809" s="11" t="s">
        <v>55</v>
      </c>
      <c r="AG809" s="11" t="e">
        <f>VLOOKUP(L809,'[1]update kontrak'!E:K,6,FALSE)</f>
        <v>#N/A</v>
      </c>
      <c r="AH809" s="11" t="e">
        <f>VLOOKUP(L809,'[1]update kontrak'!E:K,7,FALSE)</f>
        <v>#N/A</v>
      </c>
      <c r="AI809" s="11"/>
      <c r="AJ809" s="11" t="str">
        <f>VLOOKUP(L809,[1]rekap!D:M,1,FALSE)</f>
        <v>Kuala Sungai Pasir</v>
      </c>
      <c r="AK809" s="11" t="str">
        <f>VLOOKUP(L809,'[1]singkron data'!D:E,2,FALSE)</f>
        <v>CV. Syeren Indah (Kecil)</v>
      </c>
      <c r="AL809" s="11" t="str">
        <f>VLOOKUP(L809,'[1]update 521'!D:D,1,FALSE)</f>
        <v>Kuala Sungai Pasir</v>
      </c>
      <c r="AM809" s="11" t="s">
        <v>57</v>
      </c>
      <c r="AN809" s="11" t="e">
        <f>VLOOKUP(L809,[1]Sheet19!E:L,8,FALSE)</f>
        <v>#N/A</v>
      </c>
      <c r="AO809" s="11" t="s">
        <v>58</v>
      </c>
      <c r="AP809" s="12"/>
    </row>
    <row r="810" spans="1:42" ht="15" x14ac:dyDescent="0.2">
      <c r="A810" s="8" t="s">
        <v>42</v>
      </c>
      <c r="B810" s="9" t="s">
        <v>43</v>
      </c>
      <c r="C810" s="9">
        <v>407</v>
      </c>
      <c r="D810" s="9" t="s">
        <v>1631</v>
      </c>
      <c r="E810" s="9">
        <v>194</v>
      </c>
      <c r="F810" s="9" t="s">
        <v>2008</v>
      </c>
      <c r="G810" s="9" t="s">
        <v>1980</v>
      </c>
      <c r="H810" s="9" t="s">
        <v>47</v>
      </c>
      <c r="I810" s="9" t="s">
        <v>2009</v>
      </c>
      <c r="J810" s="9" t="s">
        <v>2013</v>
      </c>
      <c r="K810" s="9" t="s">
        <v>2014</v>
      </c>
      <c r="L810" s="10" t="s">
        <v>2014</v>
      </c>
      <c r="M810" s="9" t="s">
        <v>51</v>
      </c>
      <c r="N810" s="9">
        <v>50</v>
      </c>
      <c r="O810" s="9" t="s">
        <v>72</v>
      </c>
      <c r="P810" s="9">
        <v>50</v>
      </c>
      <c r="Q810" s="9">
        <v>50</v>
      </c>
      <c r="R810" s="9">
        <v>0.1</v>
      </c>
      <c r="S810" s="9">
        <v>-3.349361</v>
      </c>
      <c r="T810" s="9">
        <v>105.921555</v>
      </c>
      <c r="U810" s="9" t="s">
        <v>52</v>
      </c>
      <c r="V810" s="11" t="str">
        <f>VLOOKUP(L810,'[1]singkron data'!D:E,2,FALSE)</f>
        <v>CV. Syeren Indah (Kecil)</v>
      </c>
      <c r="W810" s="13">
        <f>VLOOKUP(L810,'[1]update tim 2'!D:F,3,FALSE)</f>
        <v>2229156000</v>
      </c>
      <c r="X810" s="11" t="s">
        <v>55</v>
      </c>
      <c r="Y810" s="11">
        <f>VLOOKUP(L810,'[1]singkron data'!D:H,5,FALSE)</f>
        <v>0</v>
      </c>
      <c r="Z810" s="11">
        <f>VLOOKUP(L810,'[1]singkron data'!D:I,6,FALSE)</f>
        <v>0</v>
      </c>
      <c r="AA810" s="11" t="str">
        <f>VLOOKUP(L810,'[1]singkron data'!D:L,9,FALSE)</f>
        <v>081310405652/rukmana</v>
      </c>
      <c r="AB810" s="11" t="s">
        <v>54</v>
      </c>
      <c r="AC810" s="11" t="str">
        <f>VLOOKUP(L810,'[1]singkron data'!D:M,10,FALSE)</f>
        <v>Iqbal/AM</v>
      </c>
      <c r="AD810" s="11" t="str">
        <f>VLOOKUP(L810,'[1]data 1129'!F:O,10,FALSE)</f>
        <v>Tahap II 146</v>
      </c>
      <c r="AE810" s="11">
        <f>VLOOKUP(L810,'[1]singkron data'!D:P,13,FALSE)</f>
        <v>0</v>
      </c>
      <c r="AF810" s="11" t="s">
        <v>55</v>
      </c>
      <c r="AG810" s="11" t="e">
        <f>VLOOKUP(L810,'[1]update kontrak'!E:K,6,FALSE)</f>
        <v>#N/A</v>
      </c>
      <c r="AH810" s="11" t="e">
        <f>VLOOKUP(L810,'[1]update kontrak'!E:K,7,FALSE)</f>
        <v>#N/A</v>
      </c>
      <c r="AI810" s="11"/>
      <c r="AJ810" s="11" t="str">
        <f>VLOOKUP(L810,[1]rekap!D:M,1,FALSE)</f>
        <v>Simpang Tiga Makmur</v>
      </c>
      <c r="AK810" s="11" t="str">
        <f>VLOOKUP(L810,'[1]singkron data'!D:E,2,FALSE)</f>
        <v>CV. Syeren Indah (Kecil)</v>
      </c>
      <c r="AL810" s="11" t="str">
        <f>VLOOKUP(L810,'[1]update 521'!D:D,1,FALSE)</f>
        <v>Simpang Tiga Makmur</v>
      </c>
      <c r="AM810" s="11" t="s">
        <v>57</v>
      </c>
      <c r="AN810" s="11" t="e">
        <f>VLOOKUP(L810,[1]Sheet19!E:L,8,FALSE)</f>
        <v>#N/A</v>
      </c>
      <c r="AO810" s="11" t="s">
        <v>58</v>
      </c>
      <c r="AP810" s="12"/>
    </row>
    <row r="811" spans="1:42" ht="15" x14ac:dyDescent="0.2">
      <c r="A811" s="8" t="s">
        <v>42</v>
      </c>
      <c r="B811" s="9" t="s">
        <v>43</v>
      </c>
      <c r="C811" s="9">
        <v>408</v>
      </c>
      <c r="D811" s="9" t="s">
        <v>1631</v>
      </c>
      <c r="E811" s="9">
        <v>195</v>
      </c>
      <c r="F811" s="9" t="s">
        <v>2008</v>
      </c>
      <c r="G811" s="9" t="s">
        <v>1980</v>
      </c>
      <c r="H811" s="9" t="s">
        <v>47</v>
      </c>
      <c r="I811" s="9" t="s">
        <v>2009</v>
      </c>
      <c r="J811" s="9" t="s">
        <v>2013</v>
      </c>
      <c r="K811" s="9" t="s">
        <v>2015</v>
      </c>
      <c r="L811" s="10" t="s">
        <v>2015</v>
      </c>
      <c r="M811" s="9" t="s">
        <v>51</v>
      </c>
      <c r="N811" s="14">
        <v>2746</v>
      </c>
      <c r="O811" s="9" t="s">
        <v>72</v>
      </c>
      <c r="P811" s="14">
        <v>2000</v>
      </c>
      <c r="Q811" s="14">
        <v>2000</v>
      </c>
      <c r="R811" s="9">
        <v>0.09</v>
      </c>
      <c r="S811" s="9">
        <v>-3.3078590000000001</v>
      </c>
      <c r="T811" s="9">
        <v>105.978054</v>
      </c>
      <c r="U811" s="9" t="s">
        <v>52</v>
      </c>
      <c r="V811" s="11" t="str">
        <f>VLOOKUP(L811,'[1]singkron data'!D:E,2,FALSE)</f>
        <v>CV. Syeren Indah (Kecil)</v>
      </c>
      <c r="W811" s="13">
        <f>VLOOKUP(L811,'[1]update tim 2'!D:F,3,FALSE)</f>
        <v>2194456000</v>
      </c>
      <c r="X811" s="11" t="s">
        <v>55</v>
      </c>
      <c r="Y811" s="11">
        <f>VLOOKUP(L811,'[1]singkron data'!D:H,5,FALSE)</f>
        <v>0</v>
      </c>
      <c r="Z811" s="11">
        <f>VLOOKUP(L811,'[1]singkron data'!D:I,6,FALSE)</f>
        <v>0</v>
      </c>
      <c r="AA811" s="11" t="str">
        <f>VLOOKUP(L811,'[1]singkron data'!D:L,9,FALSE)</f>
        <v>081310405652/rukmana</v>
      </c>
      <c r="AB811" s="11" t="s">
        <v>54</v>
      </c>
      <c r="AC811" s="11" t="str">
        <f>VLOOKUP(L811,'[1]singkron data'!D:M,10,FALSE)</f>
        <v>Iqbal/AM</v>
      </c>
      <c r="AD811" s="11" t="str">
        <f>VLOOKUP(L811,'[1]data 1129'!F:O,10,FALSE)</f>
        <v>Tahap IV 200</v>
      </c>
      <c r="AE811" s="11">
        <f>VLOOKUP(L811,'[1]singkron data'!D:P,13,FALSE)</f>
        <v>0</v>
      </c>
      <c r="AF811" s="11" t="s">
        <v>55</v>
      </c>
      <c r="AG811" s="11" t="e">
        <f>VLOOKUP(L811,'[1]update kontrak'!E:K,6,FALSE)</f>
        <v>#N/A</v>
      </c>
      <c r="AH811" s="11" t="e">
        <f>VLOOKUP(L811,'[1]update kontrak'!E:K,7,FALSE)</f>
        <v>#N/A</v>
      </c>
      <c r="AI811" s="11"/>
      <c r="AJ811" s="11" t="str">
        <f>VLOOKUP(L811,[1]rekap!D:M,1,FALSE)</f>
        <v>Simpang Tiga Jaya</v>
      </c>
      <c r="AK811" s="11" t="str">
        <f>VLOOKUP(L811,'[1]singkron data'!D:E,2,FALSE)</f>
        <v>CV. Syeren Indah (Kecil)</v>
      </c>
      <c r="AL811" s="11" t="str">
        <f>VLOOKUP(L811,'[1]update 521'!D:D,1,FALSE)</f>
        <v>Simpang Tiga Jaya</v>
      </c>
      <c r="AM811" s="11" t="s">
        <v>57</v>
      </c>
      <c r="AN811" s="11" t="e">
        <f>VLOOKUP(L811,[1]Sheet19!E:L,8,FALSE)</f>
        <v>#N/A</v>
      </c>
      <c r="AO811" s="11" t="s">
        <v>58</v>
      </c>
      <c r="AP811" s="12"/>
    </row>
    <row r="812" spans="1:42" ht="15" x14ac:dyDescent="0.2">
      <c r="A812" s="8" t="s">
        <v>42</v>
      </c>
      <c r="B812" s="9" t="s">
        <v>43</v>
      </c>
      <c r="C812" s="9">
        <v>409</v>
      </c>
      <c r="D812" s="9" t="s">
        <v>1631</v>
      </c>
      <c r="E812" s="9">
        <v>196</v>
      </c>
      <c r="F812" s="9" t="s">
        <v>2016</v>
      </c>
      <c r="G812" s="9" t="s">
        <v>1647</v>
      </c>
      <c r="H812" s="9" t="s">
        <v>47</v>
      </c>
      <c r="I812" s="9" t="s">
        <v>2017</v>
      </c>
      <c r="J812" s="9" t="s">
        <v>2018</v>
      </c>
      <c r="K812" s="9" t="s">
        <v>2019</v>
      </c>
      <c r="L812" s="10" t="s">
        <v>2019</v>
      </c>
      <c r="M812" s="9" t="s">
        <v>51</v>
      </c>
      <c r="N812" s="9">
        <v>274</v>
      </c>
      <c r="O812" s="9" t="s">
        <v>72</v>
      </c>
      <c r="P812" s="9">
        <v>41</v>
      </c>
      <c r="Q812" s="9">
        <v>41</v>
      </c>
      <c r="R812" s="9">
        <v>1.42</v>
      </c>
      <c r="S812" s="9">
        <v>-2.671951</v>
      </c>
      <c r="T812" s="9">
        <v>108.14726</v>
      </c>
      <c r="U812" s="9" t="s">
        <v>52</v>
      </c>
      <c r="V812" s="11" t="str">
        <f>VLOOKUP(L812,'[1]singkron data'!D:E,2,FALSE)</f>
        <v>CV. Ardis</v>
      </c>
      <c r="W812" s="13">
        <f>VLOOKUP(L812,'[1]update tim 2'!D:F,3,FALSE)</f>
        <v>3750024000</v>
      </c>
      <c r="X812" s="11" t="s">
        <v>55</v>
      </c>
      <c r="Y812" s="11">
        <f>VLOOKUP(L812,'[1]singkron data'!D:H,5,FALSE)</f>
        <v>0</v>
      </c>
      <c r="Z812" s="11">
        <f>VLOOKUP(L812,'[1]singkron data'!D:I,6,FALSE)</f>
        <v>0</v>
      </c>
      <c r="AA812" s="11" t="str">
        <f>VLOOKUP(L812,'[1]singkron data'!D:L,9,FALSE)</f>
        <v>081293305027/iqbal</v>
      </c>
      <c r="AB812" s="11" t="s">
        <v>54</v>
      </c>
      <c r="AC812" s="11" t="str">
        <f>VLOOKUP(L812,'[1]singkron data'!D:M,10,FALSE)</f>
        <v>Iqbal/AM</v>
      </c>
      <c r="AD812" s="11" t="str">
        <f>VLOOKUP(L812,'[1]data 1129'!F:O,10,FALSE)</f>
        <v>Tahap IV 200</v>
      </c>
      <c r="AE812" s="11">
        <f>VLOOKUP(L812,'[1]singkron data'!D:P,13,FALSE)</f>
        <v>0</v>
      </c>
      <c r="AF812" s="11" t="s">
        <v>55</v>
      </c>
      <c r="AG812" s="11" t="e">
        <f>VLOOKUP(L812,'[1]update kontrak'!E:K,6,FALSE)</f>
        <v>#N/A</v>
      </c>
      <c r="AH812" s="11" t="e">
        <f>VLOOKUP(L812,'[1]update kontrak'!E:K,7,FALSE)</f>
        <v>#N/A</v>
      </c>
      <c r="AI812" s="11"/>
      <c r="AJ812" s="11" t="str">
        <f>VLOOKUP(L812,[1]rekap!D:M,1,FALSE)</f>
        <v>Mayang</v>
      </c>
      <c r="AK812" s="11" t="str">
        <f>VLOOKUP(L812,'[1]singkron data'!D:E,2,FALSE)</f>
        <v>CV. Ardis</v>
      </c>
      <c r="AL812" s="11" t="str">
        <f>VLOOKUP(L812,'[1]update 521'!D:D,1,FALSE)</f>
        <v>Mayang</v>
      </c>
      <c r="AM812" s="11" t="s">
        <v>57</v>
      </c>
      <c r="AN812" s="11" t="e">
        <f>VLOOKUP(L812,[1]Sheet19!E:L,8,FALSE)</f>
        <v>#N/A</v>
      </c>
      <c r="AO812" s="11" t="s">
        <v>58</v>
      </c>
      <c r="AP812" s="12"/>
    </row>
    <row r="813" spans="1:42" ht="15" x14ac:dyDescent="0.2">
      <c r="A813" s="8" t="s">
        <v>42</v>
      </c>
      <c r="B813" s="9" t="s">
        <v>43</v>
      </c>
      <c r="C813" s="9">
        <v>410</v>
      </c>
      <c r="D813" s="9" t="s">
        <v>1631</v>
      </c>
      <c r="E813" s="9">
        <v>197</v>
      </c>
      <c r="F813" s="9" t="s">
        <v>2016</v>
      </c>
      <c r="G813" s="9" t="s">
        <v>1647</v>
      </c>
      <c r="H813" s="9" t="s">
        <v>47</v>
      </c>
      <c r="I813" s="9" t="s">
        <v>2017</v>
      </c>
      <c r="J813" s="9" t="s">
        <v>2020</v>
      </c>
      <c r="K813" s="9" t="s">
        <v>2021</v>
      </c>
      <c r="L813" s="10" t="s">
        <v>2021</v>
      </c>
      <c r="M813" s="9" t="s">
        <v>51</v>
      </c>
      <c r="N813" s="9">
        <v>731</v>
      </c>
      <c r="O813" s="9" t="s">
        <v>72</v>
      </c>
      <c r="P813" s="9">
        <v>476</v>
      </c>
      <c r="Q813" s="9">
        <v>476</v>
      </c>
      <c r="R813" s="9">
        <v>1</v>
      </c>
      <c r="S813" s="9">
        <v>-2.858851</v>
      </c>
      <c r="T813" s="9">
        <v>108.296871</v>
      </c>
      <c r="U813" s="9" t="s">
        <v>52</v>
      </c>
      <c r="V813" s="11" t="str">
        <f>VLOOKUP(L813,'[1]singkron data'!D:E,2,FALSE)</f>
        <v>CV. Ardis</v>
      </c>
      <c r="W813" s="13">
        <f>VLOOKUP(L813,'[1]update tim 2'!D:F,3,FALSE)</f>
        <v>3790353000</v>
      </c>
      <c r="X813" s="11" t="s">
        <v>55</v>
      </c>
      <c r="Y813" s="11">
        <f>VLOOKUP(L813,'[1]singkron data'!D:H,5,FALSE)</f>
        <v>0</v>
      </c>
      <c r="Z813" s="11">
        <f>VLOOKUP(L813,'[1]singkron data'!D:I,6,FALSE)</f>
        <v>0</v>
      </c>
      <c r="AA813" s="11" t="str">
        <f>VLOOKUP(L813,'[1]singkron data'!D:L,9,FALSE)</f>
        <v>081293305027/iqbal</v>
      </c>
      <c r="AB813" s="11" t="s">
        <v>54</v>
      </c>
      <c r="AC813" s="11" t="str">
        <f>VLOOKUP(L813,'[1]singkron data'!D:M,10,FALSE)</f>
        <v>Iqbal/AM</v>
      </c>
      <c r="AD813" s="11" t="str">
        <f>VLOOKUP(L813,'[1]data 1129'!F:O,10,FALSE)</f>
        <v>Tahap IV 200</v>
      </c>
      <c r="AE813" s="11">
        <f>VLOOKUP(L813,'[1]singkron data'!D:P,13,FALSE)</f>
        <v>0</v>
      </c>
      <c r="AF813" s="11" t="s">
        <v>55</v>
      </c>
      <c r="AG813" s="11" t="e">
        <f>VLOOKUP(L813,'[1]update kontrak'!E:K,6,FALSE)</f>
        <v>#N/A</v>
      </c>
      <c r="AH813" s="11" t="e">
        <f>VLOOKUP(L813,'[1]update kontrak'!E:K,7,FALSE)</f>
        <v>#N/A</v>
      </c>
      <c r="AI813" s="11"/>
      <c r="AJ813" s="11" t="str">
        <f>VLOOKUP(L813,[1]rekap!D:M,1,FALSE)</f>
        <v>Baru</v>
      </c>
      <c r="AK813" s="11" t="str">
        <f>VLOOKUP(L813,'[1]singkron data'!D:E,2,FALSE)</f>
        <v>CV. Ardis</v>
      </c>
      <c r="AL813" s="11" t="str">
        <f>VLOOKUP(L813,'[1]update 521'!D:D,1,FALSE)</f>
        <v>Baru</v>
      </c>
      <c r="AM813" s="11" t="s">
        <v>57</v>
      </c>
      <c r="AN813" s="11" t="e">
        <f>VLOOKUP(L813,[1]Sheet19!E:L,8,FALSE)</f>
        <v>#N/A</v>
      </c>
      <c r="AO813" s="11" t="s">
        <v>58</v>
      </c>
      <c r="AP813" s="12"/>
    </row>
    <row r="814" spans="1:42" ht="15" x14ac:dyDescent="0.2">
      <c r="A814" s="8" t="s">
        <v>42</v>
      </c>
      <c r="B814" s="9" t="s">
        <v>43</v>
      </c>
      <c r="C814" s="9">
        <v>411</v>
      </c>
      <c r="D814" s="9" t="s">
        <v>1631</v>
      </c>
      <c r="E814" s="9">
        <v>198</v>
      </c>
      <c r="F814" s="9" t="s">
        <v>2022</v>
      </c>
      <c r="G814" s="9" t="s">
        <v>1980</v>
      </c>
      <c r="H814" s="9" t="s">
        <v>47</v>
      </c>
      <c r="I814" s="9" t="s">
        <v>2009</v>
      </c>
      <c r="J814" s="9" t="s">
        <v>2023</v>
      </c>
      <c r="K814" s="9" t="s">
        <v>2024</v>
      </c>
      <c r="L814" s="10" t="s">
        <v>2024</v>
      </c>
      <c r="M814" s="9" t="s">
        <v>65</v>
      </c>
      <c r="N814" s="14">
        <v>1631</v>
      </c>
      <c r="O814" s="9" t="s">
        <v>72</v>
      </c>
      <c r="P814" s="14">
        <v>1631</v>
      </c>
      <c r="Q814" s="14">
        <v>1631</v>
      </c>
      <c r="R814" s="9">
        <v>1</v>
      </c>
      <c r="S814" s="9">
        <v>-3.9717699999999998</v>
      </c>
      <c r="T814" s="9">
        <v>105.883608</v>
      </c>
      <c r="U814" s="9" t="s">
        <v>52</v>
      </c>
      <c r="V814" s="11" t="str">
        <f>VLOOKUP(L814,'[1]singkron data'!D:E,2,FALSE)</f>
        <v>PT. Karang Baru Pratama</v>
      </c>
      <c r="W814" s="13">
        <f>VLOOKUP(L814,'[1]update tim 2'!D:F,3,FALSE)</f>
        <v>8378684000</v>
      </c>
      <c r="X814" s="11" t="s">
        <v>55</v>
      </c>
      <c r="Y814" s="11">
        <f>VLOOKUP(L814,'[1]singkron data'!D:H,5,FALSE)</f>
        <v>0</v>
      </c>
      <c r="Z814" s="11">
        <f>VLOOKUP(L814,'[1]singkron data'!D:I,6,FALSE)</f>
        <v>0</v>
      </c>
      <c r="AA814" s="11" t="str">
        <f>VLOOKUP(L814,'[1]singkron data'!D:L,9,FALSE)</f>
        <v>082175189977/ Ferial</v>
      </c>
      <c r="AB814" s="11" t="s">
        <v>54</v>
      </c>
      <c r="AC814" s="11" t="str">
        <f>VLOOKUP(L814,'[1]singkron data'!D:M,10,FALSE)</f>
        <v>Usulan pak arlan-rid</v>
      </c>
      <c r="AD814" s="11" t="str">
        <f>VLOOKUP(L814,'[1]data 1129'!F:O,10,FALSE)</f>
        <v>Tahap IV 200</v>
      </c>
      <c r="AE814" s="11">
        <f>VLOOKUP(L814,'[1]singkron data'!D:P,13,FALSE)</f>
        <v>0</v>
      </c>
      <c r="AF814" s="11" t="s">
        <v>55</v>
      </c>
      <c r="AG814" s="11" t="e">
        <f>VLOOKUP(L814,'[1]update kontrak'!E:K,6,FALSE)</f>
        <v>#N/A</v>
      </c>
      <c r="AH814" s="11" t="e">
        <f>VLOOKUP(L814,'[1]update kontrak'!E:K,7,FALSE)</f>
        <v>#N/A</v>
      </c>
      <c r="AI814" s="11"/>
      <c r="AJ814" s="11" t="str">
        <f>VLOOKUP(L814,[1]rekap!D:M,1,FALSE)</f>
        <v>Sungai Sibur</v>
      </c>
      <c r="AK814" s="11" t="str">
        <f>VLOOKUP(L814,'[1]singkron data'!D:E,2,FALSE)</f>
        <v>PT. Karang Baru Pratama</v>
      </c>
      <c r="AL814" s="11" t="str">
        <f>VLOOKUP(L814,'[1]update 521'!D:D,1,FALSE)</f>
        <v>Sungai Sibur</v>
      </c>
      <c r="AM814" s="11" t="s">
        <v>57</v>
      </c>
      <c r="AN814" s="11" t="e">
        <f>VLOOKUP(L814,[1]Sheet19!E:L,8,FALSE)</f>
        <v>#N/A</v>
      </c>
      <c r="AO814" s="11" t="s">
        <v>58</v>
      </c>
      <c r="AP814" s="12"/>
    </row>
    <row r="815" spans="1:42" ht="15" x14ac:dyDescent="0.2">
      <c r="A815" s="8" t="s">
        <v>42</v>
      </c>
      <c r="B815" s="9" t="s">
        <v>43</v>
      </c>
      <c r="C815" s="9">
        <v>412</v>
      </c>
      <c r="D815" s="9" t="s">
        <v>1631</v>
      </c>
      <c r="E815" s="9">
        <v>199</v>
      </c>
      <c r="F815" s="9" t="s">
        <v>2022</v>
      </c>
      <c r="G815" s="9" t="s">
        <v>1668</v>
      </c>
      <c r="H815" s="9" t="s">
        <v>47</v>
      </c>
      <c r="I815" s="9" t="s">
        <v>2025</v>
      </c>
      <c r="J815" s="9" t="s">
        <v>2026</v>
      </c>
      <c r="K815" s="9" t="s">
        <v>2027</v>
      </c>
      <c r="L815" s="10" t="s">
        <v>2027</v>
      </c>
      <c r="M815" s="9" t="s">
        <v>51</v>
      </c>
      <c r="N815" s="9">
        <v>275</v>
      </c>
      <c r="O815" s="9">
        <v>20</v>
      </c>
      <c r="P815" s="9">
        <v>150</v>
      </c>
      <c r="Q815" s="9">
        <v>170</v>
      </c>
      <c r="R815" s="9">
        <v>2</v>
      </c>
      <c r="S815" s="9">
        <v>-4.1410099999999996</v>
      </c>
      <c r="T815" s="9">
        <v>105.73303</v>
      </c>
      <c r="U815" s="9" t="s">
        <v>52</v>
      </c>
      <c r="V815" s="11" t="s">
        <v>1747</v>
      </c>
      <c r="W815" s="11"/>
      <c r="X815" s="11"/>
      <c r="Y815" s="11">
        <f>VLOOKUP(L815,'[1]singkron data'!D:H,5,FALSE)</f>
        <v>0</v>
      </c>
      <c r="Z815" s="11">
        <f>VLOOKUP(L815,'[1]singkron data'!D:I,6,FALSE)</f>
        <v>0</v>
      </c>
      <c r="AA815" s="11" t="s">
        <v>1748</v>
      </c>
      <c r="AB815" s="11" t="s">
        <v>54</v>
      </c>
      <c r="AC815" s="11" t="s">
        <v>322</v>
      </c>
      <c r="AD815" s="11" t="str">
        <f>VLOOKUP(L815,'[1]data 1129'!F:O,10,FALSE)</f>
        <v>Tahap II 146</v>
      </c>
      <c r="AE815" s="11">
        <f>VLOOKUP(L815,'[1]singkron data'!D:P,13,FALSE)</f>
        <v>0</v>
      </c>
      <c r="AF815" s="11" t="s">
        <v>55</v>
      </c>
      <c r="AG815" s="11" t="e">
        <f>VLOOKUP(L815,'[1]update kontrak'!E:K,6,FALSE)</f>
        <v>#N/A</v>
      </c>
      <c r="AH815" s="11" t="e">
        <f>VLOOKUP(L815,'[1]update kontrak'!E:K,7,FALSE)</f>
        <v>#N/A</v>
      </c>
      <c r="AI815" s="11"/>
      <c r="AJ815" s="11" t="str">
        <f>VLOOKUP(L815,[1]rekap!D:M,1,FALSE)</f>
        <v>Sidang Muara Jaya</v>
      </c>
      <c r="AK815" s="11" t="str">
        <f>VLOOKUP(L815,'[1]singkron data'!D:E,2,FALSE)</f>
        <v>PT. Hage Primadi Konstruksi (Menengah)</v>
      </c>
      <c r="AL815" s="11" t="str">
        <f>VLOOKUP(L815,'[1]update 521'!D:D,1,FALSE)</f>
        <v>Sidang Muara Jaya</v>
      </c>
      <c r="AM815" s="11" t="e">
        <v>#N/A</v>
      </c>
      <c r="AN815" s="11" t="e">
        <f>VLOOKUP(L815,[1]Sheet19!E:L,8,FALSE)</f>
        <v>#N/A</v>
      </c>
      <c r="AO815" s="11" t="e">
        <f>VLOOKUP(L815,[1]Sheet19!E:K,7,FALSE)</f>
        <v>#N/A</v>
      </c>
      <c r="AP815" s="12"/>
    </row>
    <row r="816" spans="1:42" ht="15" x14ac:dyDescent="0.2">
      <c r="A816" s="8" t="s">
        <v>42</v>
      </c>
      <c r="B816" s="9" t="s">
        <v>43</v>
      </c>
      <c r="C816" s="9">
        <v>413</v>
      </c>
      <c r="D816" s="9" t="s">
        <v>1631</v>
      </c>
      <c r="E816" s="9">
        <v>200</v>
      </c>
      <c r="F816" s="9" t="s">
        <v>2022</v>
      </c>
      <c r="G816" s="9" t="s">
        <v>1668</v>
      </c>
      <c r="H816" s="9" t="s">
        <v>47</v>
      </c>
      <c r="I816" s="9" t="s">
        <v>1694</v>
      </c>
      <c r="J816" s="9" t="s">
        <v>1695</v>
      </c>
      <c r="K816" s="9" t="s">
        <v>2028</v>
      </c>
      <c r="L816" s="10" t="s">
        <v>2028</v>
      </c>
      <c r="M816" s="9" t="s">
        <v>51</v>
      </c>
      <c r="N816" s="9">
        <v>702</v>
      </c>
      <c r="O816" s="9" t="s">
        <v>72</v>
      </c>
      <c r="P816" s="9">
        <v>291</v>
      </c>
      <c r="Q816" s="9">
        <v>291</v>
      </c>
      <c r="R816" s="9">
        <v>0.34</v>
      </c>
      <c r="S816" s="9">
        <v>-4.4114899000000003</v>
      </c>
      <c r="T816" s="9">
        <v>105.84847329999999</v>
      </c>
      <c r="U816" s="9" t="s">
        <v>52</v>
      </c>
      <c r="V816" s="11" t="s">
        <v>1747</v>
      </c>
      <c r="W816" s="13">
        <f>VLOOKUP(L816,'[1]update tim 2'!D:F,3,FALSE)</f>
        <v>4646819000</v>
      </c>
      <c r="X816" s="11" t="s">
        <v>55</v>
      </c>
      <c r="Y816" s="11">
        <f>VLOOKUP(L816,'[1]singkron data'!D:H,5,FALSE)</f>
        <v>0</v>
      </c>
      <c r="Z816" s="11">
        <f>VLOOKUP(L816,'[1]singkron data'!D:I,6,FALSE)</f>
        <v>0</v>
      </c>
      <c r="AA816" s="11" t="s">
        <v>1748</v>
      </c>
      <c r="AB816" s="11" t="s">
        <v>54</v>
      </c>
      <c r="AC816" s="11" t="s">
        <v>322</v>
      </c>
      <c r="AD816" s="11" t="str">
        <f>VLOOKUP(L816,'[1]data 1129'!F:O,10,FALSE)</f>
        <v>Tahap II 146</v>
      </c>
      <c r="AE816" s="11">
        <f>VLOOKUP(L816,'[1]singkron data'!D:P,13,FALSE)</f>
        <v>0</v>
      </c>
      <c r="AF816" s="11" t="s">
        <v>55</v>
      </c>
      <c r="AG816" s="11" t="e">
        <f>VLOOKUP(L816,'[1]update kontrak'!E:K,6,FALSE)</f>
        <v>#N/A</v>
      </c>
      <c r="AH816" s="11" t="e">
        <f>VLOOKUP(L816,'[1]update kontrak'!E:K,7,FALSE)</f>
        <v>#N/A</v>
      </c>
      <c r="AI816" s="11"/>
      <c r="AJ816" s="11" t="str">
        <f>VLOOKUP(L816,[1]rekap!D:M,1,FALSE)</f>
        <v>Kuala Teladas</v>
      </c>
      <c r="AK816" s="11" t="str">
        <f>VLOOKUP(L816,'[1]singkron data'!D:E,2,FALSE)</f>
        <v>PT. Hage Primadi Konstruksi (Menengah)</v>
      </c>
      <c r="AL816" s="11" t="str">
        <f>VLOOKUP(L816,'[1]update 521'!D:D,1,FALSE)</f>
        <v>Kuala Teladas</v>
      </c>
      <c r="AM816" s="11" t="s">
        <v>57</v>
      </c>
      <c r="AN816" s="11" t="e">
        <f>VLOOKUP(L816,[1]Sheet19!E:L,8,FALSE)</f>
        <v>#N/A</v>
      </c>
      <c r="AO816" s="11" t="s">
        <v>58</v>
      </c>
      <c r="AP816" s="12"/>
    </row>
    <row r="817" spans="1:42" ht="15" x14ac:dyDescent="0.2">
      <c r="A817" s="8" t="s">
        <v>42</v>
      </c>
      <c r="B817" s="9" t="s">
        <v>43</v>
      </c>
      <c r="C817" s="9">
        <v>414</v>
      </c>
      <c r="D817" s="9" t="s">
        <v>1631</v>
      </c>
      <c r="E817" s="9">
        <v>201</v>
      </c>
      <c r="F817" s="9" t="s">
        <v>2029</v>
      </c>
      <c r="G817" s="9" t="s">
        <v>1980</v>
      </c>
      <c r="H817" s="9" t="s">
        <v>47</v>
      </c>
      <c r="I817" s="9" t="s">
        <v>2030</v>
      </c>
      <c r="J817" s="9" t="s">
        <v>2031</v>
      </c>
      <c r="K817" s="9" t="s">
        <v>2032</v>
      </c>
      <c r="L817" s="10" t="s">
        <v>2032</v>
      </c>
      <c r="M817" s="9" t="s">
        <v>51</v>
      </c>
      <c r="N817" s="9">
        <v>314</v>
      </c>
      <c r="O817" s="9">
        <v>50</v>
      </c>
      <c r="P817" s="9">
        <v>250</v>
      </c>
      <c r="Q817" s="9">
        <v>300</v>
      </c>
      <c r="R817" s="9">
        <v>7.0000000000000007E-2</v>
      </c>
      <c r="S817" s="9">
        <v>-2.5246400000000002</v>
      </c>
      <c r="T817" s="9">
        <v>104.99252</v>
      </c>
      <c r="U817" s="9" t="s">
        <v>52</v>
      </c>
      <c r="V817" s="11" t="str">
        <f>VLOOKUP(L817,'[1]singkron data'!D:E,2,FALSE)</f>
        <v>PT. Cahaya Sriwijaya Abadi</v>
      </c>
      <c r="W817" s="13">
        <f>VLOOKUP(L817,'[1]update tim 2'!D:F,3,FALSE)</f>
        <v>3048915000</v>
      </c>
      <c r="X817" s="11" t="s">
        <v>55</v>
      </c>
      <c r="Y817" s="11" t="str">
        <f>VLOOKUP(L817,'[1]singkron data'!D:H,5,FALSE)</f>
        <v>Palembang</v>
      </c>
      <c r="Z817" s="11" t="str">
        <f>VLOOKUP(L817,'[1]singkron data'!D:I,6,FALSE)</f>
        <v>Online</v>
      </c>
      <c r="AA817" s="11">
        <f>VLOOKUP(L817,'[1]singkron data'!D:L,9,FALSE)</f>
        <v>819686116</v>
      </c>
      <c r="AB817" s="11" t="s">
        <v>54</v>
      </c>
      <c r="AC817" s="11" t="s">
        <v>520</v>
      </c>
      <c r="AD817" s="11" t="str">
        <f>VLOOKUP(L817,'[1]data 1129'!F:O,10,FALSE)</f>
        <v>Tahap II 146</v>
      </c>
      <c r="AE817" s="11">
        <f>VLOOKUP(L817,'[1]singkron data'!D:P,13,FALSE)</f>
        <v>0</v>
      </c>
      <c r="AF817" s="11" t="s">
        <v>55</v>
      </c>
      <c r="AG817" s="11" t="e">
        <f>VLOOKUP(L817,'[1]update kontrak'!E:K,6,FALSE)</f>
        <v>#N/A</v>
      </c>
      <c r="AH817" s="11" t="e">
        <f>VLOOKUP(L817,'[1]update kontrak'!E:K,7,FALSE)</f>
        <v>#N/A</v>
      </c>
      <c r="AI817" s="11"/>
      <c r="AJ817" s="11" t="str">
        <f>VLOOKUP(L817,[1]rekap!D:M,1,FALSE)</f>
        <v>Upang Makmur</v>
      </c>
      <c r="AK817" s="11" t="str">
        <f>VLOOKUP(L817,'[1]singkron data'!D:E,2,FALSE)</f>
        <v>PT. Cahaya Sriwijaya Abadi</v>
      </c>
      <c r="AL817" s="11" t="str">
        <f>VLOOKUP(L817,'[1]update 521'!D:D,1,FALSE)</f>
        <v>Upang Makmur</v>
      </c>
      <c r="AM817" s="11" t="s">
        <v>57</v>
      </c>
      <c r="AN817" s="11" t="e">
        <f>VLOOKUP(L817,[1]Sheet19!E:L,8,FALSE)</f>
        <v>#N/A</v>
      </c>
      <c r="AO817" s="11" t="s">
        <v>58</v>
      </c>
      <c r="AP817" s="12"/>
    </row>
    <row r="818" spans="1:42" ht="15" x14ac:dyDescent="0.2">
      <c r="A818" s="8" t="s">
        <v>42</v>
      </c>
      <c r="B818" s="9" t="s">
        <v>43</v>
      </c>
      <c r="C818" s="9">
        <v>415</v>
      </c>
      <c r="D818" s="9" t="s">
        <v>1631</v>
      </c>
      <c r="E818" s="9">
        <v>202</v>
      </c>
      <c r="F818" s="9" t="s">
        <v>2029</v>
      </c>
      <c r="G818" s="9" t="s">
        <v>1980</v>
      </c>
      <c r="H818" s="9" t="s">
        <v>47</v>
      </c>
      <c r="I818" s="9" t="s">
        <v>2030</v>
      </c>
      <c r="J818" s="9" t="s">
        <v>2033</v>
      </c>
      <c r="K818" s="9" t="s">
        <v>2034</v>
      </c>
      <c r="L818" s="10" t="s">
        <v>2034</v>
      </c>
      <c r="M818" s="9" t="s">
        <v>51</v>
      </c>
      <c r="N818" s="9">
        <v>129</v>
      </c>
      <c r="O818" s="9" t="s">
        <v>72</v>
      </c>
      <c r="P818" s="9">
        <v>183</v>
      </c>
      <c r="Q818" s="9">
        <v>183</v>
      </c>
      <c r="R818" s="9">
        <v>0.67</v>
      </c>
      <c r="S818" s="9">
        <v>-2.3950100000000001</v>
      </c>
      <c r="T818" s="9">
        <v>105.11687000000001</v>
      </c>
      <c r="U818" s="9" t="s">
        <v>52</v>
      </c>
      <c r="V818" s="11" t="str">
        <f>VLOOKUP(L818,'[1]singkron data'!D:E,2,FALSE)</f>
        <v>PT. Cahaya Sriwijaya Abadi</v>
      </c>
      <c r="W818" s="13">
        <f>VLOOKUP(L818,'[1]update tim 2'!D:F,3,FALSE)</f>
        <v>2281869000</v>
      </c>
      <c r="X818" s="11" t="s">
        <v>55</v>
      </c>
      <c r="Y818" s="11" t="str">
        <f>VLOOKUP(L818,'[1]singkron data'!D:H,5,FALSE)</f>
        <v>Palembang</v>
      </c>
      <c r="Z818" s="11" t="str">
        <f>VLOOKUP(L818,'[1]singkron data'!D:I,6,FALSE)</f>
        <v>Online</v>
      </c>
      <c r="AA818" s="11">
        <f>VLOOKUP(L818,'[1]singkron data'!D:L,9,FALSE)</f>
        <v>819686116</v>
      </c>
      <c r="AB818" s="11" t="s">
        <v>54</v>
      </c>
      <c r="AC818" s="11" t="s">
        <v>520</v>
      </c>
      <c r="AD818" s="11" t="str">
        <f>VLOOKUP(L818,'[1]data 1129'!F:O,10,FALSE)</f>
        <v>Tahap II 146</v>
      </c>
      <c r="AE818" s="11">
        <f>VLOOKUP(L818,'[1]singkron data'!D:P,13,FALSE)</f>
        <v>0</v>
      </c>
      <c r="AF818" s="11" t="s">
        <v>55</v>
      </c>
      <c r="AG818" s="11" t="e">
        <f>VLOOKUP(L818,'[1]update kontrak'!E:K,6,FALSE)</f>
        <v>#N/A</v>
      </c>
      <c r="AH818" s="11" t="e">
        <f>VLOOKUP(L818,'[1]update kontrak'!E:K,7,FALSE)</f>
        <v>#N/A</v>
      </c>
      <c r="AI818" s="11"/>
      <c r="AJ818" s="11" t="str">
        <f>VLOOKUP(L818,[1]rekap!D:M,1,FALSE)</f>
        <v>Juru Taro</v>
      </c>
      <c r="AK818" s="11" t="str">
        <f>VLOOKUP(L818,'[1]singkron data'!D:E,2,FALSE)</f>
        <v>PT. Cahaya Sriwijaya Abadi</v>
      </c>
      <c r="AL818" s="11" t="str">
        <f>VLOOKUP(L818,'[1]update 521'!D:D,1,FALSE)</f>
        <v>Juru Taro</v>
      </c>
      <c r="AM818" s="11" t="s">
        <v>57</v>
      </c>
      <c r="AN818" s="11" t="e">
        <f>VLOOKUP(L818,[1]Sheet19!E:L,8,FALSE)</f>
        <v>#N/A</v>
      </c>
      <c r="AO818" s="11" t="s">
        <v>58</v>
      </c>
      <c r="AP818" s="12"/>
    </row>
    <row r="819" spans="1:42" ht="15" x14ac:dyDescent="0.2">
      <c r="A819" s="8" t="s">
        <v>42</v>
      </c>
      <c r="B819" s="9" t="s">
        <v>43</v>
      </c>
      <c r="C819" s="9">
        <v>416</v>
      </c>
      <c r="D819" s="9" t="s">
        <v>1631</v>
      </c>
      <c r="E819" s="9">
        <v>203</v>
      </c>
      <c r="F819" s="9" t="s">
        <v>2029</v>
      </c>
      <c r="G819" s="9" t="s">
        <v>1980</v>
      </c>
      <c r="H819" s="9" t="s">
        <v>47</v>
      </c>
      <c r="I819" s="9" t="s">
        <v>2035</v>
      </c>
      <c r="J819" s="9" t="s">
        <v>2036</v>
      </c>
      <c r="K819" s="9" t="s">
        <v>2037</v>
      </c>
      <c r="L819" s="10" t="s">
        <v>2037</v>
      </c>
      <c r="M819" s="9" t="s">
        <v>51</v>
      </c>
      <c r="N819" s="9">
        <v>95</v>
      </c>
      <c r="O819" s="9">
        <v>18</v>
      </c>
      <c r="P819" s="9">
        <v>100</v>
      </c>
      <c r="Q819" s="9">
        <v>118</v>
      </c>
      <c r="R819" s="9">
        <v>1.5</v>
      </c>
      <c r="S819" s="9">
        <v>-2.23115</v>
      </c>
      <c r="T819" s="9">
        <v>104.47507</v>
      </c>
      <c r="U819" s="9" t="s">
        <v>52</v>
      </c>
      <c r="V819" s="20" t="s">
        <v>2038</v>
      </c>
      <c r="W819" s="13">
        <f>VLOOKUP(L819,'[1]update tim 2'!D:F,3,FALSE)</f>
        <v>2762580000</v>
      </c>
      <c r="X819" s="11" t="s">
        <v>55</v>
      </c>
      <c r="Y819" s="11">
        <f>VLOOKUP(L819,'[1]singkron data'!D:H,5,FALSE)</f>
        <v>0</v>
      </c>
      <c r="Z819" s="11">
        <f>VLOOKUP(L819,'[1]singkron data'!D:I,6,FALSE)</f>
        <v>0</v>
      </c>
      <c r="AA819" s="11" t="str">
        <f>VLOOKUP(L819,'[1]singkron data'!D:L,9,FALSE)</f>
        <v>Febri /082281315200</v>
      </c>
      <c r="AB819" s="11" t="s">
        <v>54</v>
      </c>
      <c r="AC819" s="11" t="str">
        <f>VLOOKUP(L819,'[1]singkron data'!D:M,10,FALSE)</f>
        <v>aufar</v>
      </c>
      <c r="AD819" s="11" t="str">
        <f>VLOOKUP(L819,'[1]data 1129'!F:O,10,FALSE)</f>
        <v>Tahap II 146</v>
      </c>
      <c r="AE819" s="11">
        <f>VLOOKUP(L819,'[1]singkron data'!D:P,13,FALSE)</f>
        <v>0</v>
      </c>
      <c r="AF819" s="11" t="s">
        <v>55</v>
      </c>
      <c r="AG819" s="11" t="e">
        <f>VLOOKUP(L819,'[1]update kontrak'!E:K,6,FALSE)</f>
        <v>#N/A</v>
      </c>
      <c r="AH819" s="11" t="e">
        <f>VLOOKUP(L819,'[1]update kontrak'!E:K,7,FALSE)</f>
        <v>#N/A</v>
      </c>
      <c r="AI819" s="11"/>
      <c r="AJ819" s="11" t="str">
        <f>VLOOKUP(L819,[1]rekap!D:M,1,FALSE)</f>
        <v>Ringin Agung</v>
      </c>
      <c r="AK819" s="11" t="str">
        <f>VLOOKUP(L819,'[1]singkron data'!D:E,2,FALSE)</f>
        <v>CV. Rayhan Aditya</v>
      </c>
      <c r="AL819" s="11" t="str">
        <f>VLOOKUP(L819,'[1]update 521'!D:D,1,FALSE)</f>
        <v>Ringin Agung</v>
      </c>
      <c r="AM819" s="11" t="s">
        <v>57</v>
      </c>
      <c r="AN819" s="11" t="e">
        <f>VLOOKUP(L819,[1]Sheet19!E:L,8,FALSE)</f>
        <v>#N/A</v>
      </c>
      <c r="AO819" s="11" t="s">
        <v>58</v>
      </c>
      <c r="AP819" s="12" t="s">
        <v>1858</v>
      </c>
    </row>
    <row r="820" spans="1:42" ht="15" x14ac:dyDescent="0.2">
      <c r="A820" s="8" t="s">
        <v>42</v>
      </c>
      <c r="B820" s="9" t="s">
        <v>43</v>
      </c>
      <c r="C820" s="9">
        <v>417</v>
      </c>
      <c r="D820" s="9" t="s">
        <v>1631</v>
      </c>
      <c r="E820" s="9">
        <v>204</v>
      </c>
      <c r="F820" s="9" t="s">
        <v>2029</v>
      </c>
      <c r="G820" s="9" t="s">
        <v>1980</v>
      </c>
      <c r="H820" s="9" t="s">
        <v>47</v>
      </c>
      <c r="I820" s="9" t="s">
        <v>2009</v>
      </c>
      <c r="J820" s="9" t="s">
        <v>2039</v>
      </c>
      <c r="K820" s="9" t="s">
        <v>2006</v>
      </c>
      <c r="L820" s="10" t="s">
        <v>2006</v>
      </c>
      <c r="M820" s="9" t="s">
        <v>51</v>
      </c>
      <c r="N820" s="9">
        <v>100</v>
      </c>
      <c r="O820" s="9">
        <v>40</v>
      </c>
      <c r="P820" s="9">
        <v>94</v>
      </c>
      <c r="Q820" s="9">
        <v>134</v>
      </c>
      <c r="R820" s="9">
        <v>1</v>
      </c>
      <c r="S820" s="9">
        <v>-2.6497299999999999</v>
      </c>
      <c r="T820" s="9">
        <v>105.63200000000001</v>
      </c>
      <c r="U820" s="9" t="s">
        <v>52</v>
      </c>
      <c r="V820" s="11" t="str">
        <f>VLOOKUP(L820,'[1]singkron data'!D:E,2,FALSE)</f>
        <v>PT. Cahaya Sriwijaya Abadi</v>
      </c>
      <c r="W820" s="13">
        <f>VLOOKUP(L820,'[1]update tim 2'!D:F,3,FALSE)</f>
        <v>2290492000</v>
      </c>
      <c r="X820" s="11" t="s">
        <v>55</v>
      </c>
      <c r="Y820" s="11" t="str">
        <f>VLOOKUP(L820,'[1]singkron data'!D:H,5,FALSE)</f>
        <v>Palembang</v>
      </c>
      <c r="Z820" s="11" t="str">
        <f>VLOOKUP(L820,'[1]singkron data'!D:I,6,FALSE)</f>
        <v>Online</v>
      </c>
      <c r="AA820" s="11">
        <f>VLOOKUP(L820,'[1]singkron data'!D:L,9,FALSE)</f>
        <v>819686116</v>
      </c>
      <c r="AB820" s="11" t="s">
        <v>54</v>
      </c>
      <c r="AC820" s="11" t="s">
        <v>520</v>
      </c>
      <c r="AD820" s="11" t="str">
        <f>VLOOKUP(L820,'[1]data 1129'!F:O,10,FALSE)</f>
        <v>Tahap II 146</v>
      </c>
      <c r="AE820" s="11">
        <f>VLOOKUP(L820,'[1]singkron data'!D:P,13,FALSE)</f>
        <v>0</v>
      </c>
      <c r="AF820" s="11" t="s">
        <v>55</v>
      </c>
      <c r="AG820" s="11" t="e">
        <f>VLOOKUP(L820,'[1]update kontrak'!E:K,6,FALSE)</f>
        <v>#N/A</v>
      </c>
      <c r="AH820" s="11" t="e">
        <f>VLOOKUP(L820,'[1]update kontrak'!E:K,7,FALSE)</f>
        <v>#N/A</v>
      </c>
      <c r="AI820" s="11"/>
      <c r="AJ820" s="11" t="str">
        <f>VLOOKUP(L820,[1]rekap!D:M,1,FALSE)</f>
        <v>Sungai Batang</v>
      </c>
      <c r="AK820" s="11" t="str">
        <f>VLOOKUP(L820,'[1]singkron data'!D:E,2,FALSE)</f>
        <v>PT. Cahaya Sriwijaya Abadi</v>
      </c>
      <c r="AL820" s="11" t="str">
        <f>VLOOKUP(L820,'[1]update 521'!D:D,1,FALSE)</f>
        <v>Sungai Batang</v>
      </c>
      <c r="AM820" s="11" t="s">
        <v>57</v>
      </c>
      <c r="AN820" s="11" t="e">
        <f>VLOOKUP(L820,[1]Sheet19!E:L,8,FALSE)</f>
        <v>#N/A</v>
      </c>
      <c r="AO820" s="11" t="s">
        <v>58</v>
      </c>
      <c r="AP820" s="12"/>
    </row>
    <row r="821" spans="1:42" ht="15" x14ac:dyDescent="0.2">
      <c r="A821" s="8" t="s">
        <v>42</v>
      </c>
      <c r="B821" s="9" t="s">
        <v>43</v>
      </c>
      <c r="C821" s="9">
        <v>418</v>
      </c>
      <c r="D821" s="9" t="s">
        <v>1631</v>
      </c>
      <c r="E821" s="9">
        <v>205</v>
      </c>
      <c r="F821" s="9" t="s">
        <v>2040</v>
      </c>
      <c r="G821" s="9" t="s">
        <v>1656</v>
      </c>
      <c r="H821" s="9" t="s">
        <v>47</v>
      </c>
      <c r="I821" s="9" t="s">
        <v>2041</v>
      </c>
      <c r="J821" s="9" t="s">
        <v>2042</v>
      </c>
      <c r="K821" s="9" t="s">
        <v>2043</v>
      </c>
      <c r="L821" s="9" t="s">
        <v>2043</v>
      </c>
      <c r="M821" s="9" t="s">
        <v>65</v>
      </c>
      <c r="N821" s="9">
        <v>43</v>
      </c>
      <c r="O821" s="9" t="s">
        <v>72</v>
      </c>
      <c r="P821" s="9">
        <v>140</v>
      </c>
      <c r="Q821" s="9">
        <v>140</v>
      </c>
      <c r="R821" s="9">
        <v>0.53</v>
      </c>
      <c r="S821" s="9">
        <v>5.3253320000000004</v>
      </c>
      <c r="T821" s="9">
        <v>96.043615000000003</v>
      </c>
      <c r="U821" s="9"/>
      <c r="V821" s="11" t="e">
        <f>VLOOKUP(L821,'[1]singkron data'!D:E,2,FALSE)</f>
        <v>#N/A</v>
      </c>
      <c r="W821" s="11"/>
      <c r="X821" s="11"/>
      <c r="Y821" s="11" t="e">
        <f>VLOOKUP(L821,'[1]singkron data'!D:H,5,FALSE)</f>
        <v>#N/A</v>
      </c>
      <c r="Z821" s="11" t="e">
        <f>VLOOKUP(L821,'[1]singkron data'!D:I,6,FALSE)</f>
        <v>#N/A</v>
      </c>
      <c r="AA821" s="11" t="e">
        <f>VLOOKUP(L821,'[1]singkron data'!D:L,9,FALSE)</f>
        <v>#N/A</v>
      </c>
      <c r="AB821" s="11" t="s">
        <v>694</v>
      </c>
      <c r="AC821" s="11" t="e">
        <f>VLOOKUP(L821,'[1]singkron data'!D:M,10,FALSE)</f>
        <v>#N/A</v>
      </c>
      <c r="AD821" s="11" t="s">
        <v>364</v>
      </c>
      <c r="AE821" s="11" t="e">
        <f>VLOOKUP(L821,'[1]singkron data'!D:P,13,FALSE)</f>
        <v>#N/A</v>
      </c>
      <c r="AF821" s="11" t="s">
        <v>55</v>
      </c>
      <c r="AG821" s="11" t="e">
        <f>VLOOKUP(L821,'[1]update kontrak'!E:K,6,FALSE)</f>
        <v>#N/A</v>
      </c>
      <c r="AH821" s="11" t="e">
        <f>VLOOKUP(L821,'[1]update kontrak'!E:K,7,FALSE)</f>
        <v>#N/A</v>
      </c>
      <c r="AI821" s="11"/>
      <c r="AJ821" s="11" t="str">
        <f>VLOOKUP(L821,[1]rekap!D:M,1,FALSE)</f>
        <v>Tanjong Krueng</v>
      </c>
      <c r="AK821" s="11" t="e">
        <f>VLOOKUP(L821,'[1]singkron data'!D:E,2,FALSE)</f>
        <v>#N/A</v>
      </c>
      <c r="AL821" s="11" t="str">
        <f>VLOOKUP(L821,'[1]update 521'!D:D,1,FALSE)</f>
        <v>Tanjong Krueng</v>
      </c>
      <c r="AM821" s="11" t="e">
        <v>#N/A</v>
      </c>
      <c r="AN821" s="11" t="e">
        <f>VLOOKUP(L821,[1]Sheet19!E:L,8,FALSE)</f>
        <v>#N/A</v>
      </c>
      <c r="AO821" s="11" t="e">
        <f>VLOOKUP(L821,[1]Sheet19!E:K,7,FALSE)</f>
        <v>#N/A</v>
      </c>
      <c r="AP821" s="12"/>
    </row>
    <row r="822" spans="1:42" ht="15" x14ac:dyDescent="0.2">
      <c r="A822" s="8" t="s">
        <v>42</v>
      </c>
      <c r="B822" s="9" t="s">
        <v>43</v>
      </c>
      <c r="C822" s="9">
        <v>419</v>
      </c>
      <c r="D822" s="9" t="s">
        <v>1631</v>
      </c>
      <c r="E822" s="9">
        <v>206</v>
      </c>
      <c r="F822" s="9" t="s">
        <v>2040</v>
      </c>
      <c r="G822" s="9" t="s">
        <v>1656</v>
      </c>
      <c r="H822" s="9" t="s">
        <v>47</v>
      </c>
      <c r="I822" s="9" t="s">
        <v>2044</v>
      </c>
      <c r="J822" s="9" t="s">
        <v>2045</v>
      </c>
      <c r="K822" s="9" t="s">
        <v>2046</v>
      </c>
      <c r="L822" s="9" t="s">
        <v>2046</v>
      </c>
      <c r="M822" s="9" t="s">
        <v>51</v>
      </c>
      <c r="N822" s="9">
        <v>150</v>
      </c>
      <c r="O822" s="9" t="s">
        <v>72</v>
      </c>
      <c r="P822" s="9">
        <v>108</v>
      </c>
      <c r="Q822" s="9">
        <v>108</v>
      </c>
      <c r="R822" s="9">
        <v>0.32</v>
      </c>
      <c r="S822" s="9">
        <v>5.2524439999999997</v>
      </c>
      <c r="T822" s="9">
        <v>96.253497999999993</v>
      </c>
      <c r="U822" s="9"/>
      <c r="V822" s="11" t="e">
        <f>VLOOKUP(L822,'[1]singkron data'!D:E,2,FALSE)</f>
        <v>#N/A</v>
      </c>
      <c r="W822" s="11" t="e">
        <f>VLOOKUP(L822,'[1]update tim 2'!D:F,3,FALSE)</f>
        <v>#N/A</v>
      </c>
      <c r="X822" s="11" t="s">
        <v>55</v>
      </c>
      <c r="Y822" s="11" t="e">
        <f>VLOOKUP(L822,'[1]singkron data'!D:H,5,FALSE)</f>
        <v>#N/A</v>
      </c>
      <c r="Z822" s="11" t="e">
        <f>VLOOKUP(L822,'[1]singkron data'!D:I,6,FALSE)</f>
        <v>#N/A</v>
      </c>
      <c r="AA822" s="11" t="e">
        <f>VLOOKUP(L822,'[1]singkron data'!D:L,9,FALSE)</f>
        <v>#N/A</v>
      </c>
      <c r="AB822" s="11" t="s">
        <v>694</v>
      </c>
      <c r="AC822" s="11" t="e">
        <f>VLOOKUP(L822,'[1]singkron data'!D:M,10,FALSE)</f>
        <v>#N/A</v>
      </c>
      <c r="AD822" s="11" t="s">
        <v>364</v>
      </c>
      <c r="AE822" s="11" t="e">
        <f>VLOOKUP(L822,'[1]singkron data'!D:P,13,FALSE)</f>
        <v>#N/A</v>
      </c>
      <c r="AF822" s="11" t="s">
        <v>55</v>
      </c>
      <c r="AG822" s="11" t="e">
        <f>VLOOKUP(L822,'[1]update kontrak'!E:K,6,FALSE)</f>
        <v>#N/A</v>
      </c>
      <c r="AH822" s="11" t="e">
        <f>VLOOKUP(L822,'[1]update kontrak'!E:K,7,FALSE)</f>
        <v>#N/A</v>
      </c>
      <c r="AI822" s="11"/>
      <c r="AJ822" s="11" t="str">
        <f>VLOOKUP(L822,[1]rekap!D:M,1,FALSE)</f>
        <v>Meunasah Jurong</v>
      </c>
      <c r="AK822" s="11" t="e">
        <f>VLOOKUP(L822,'[1]singkron data'!D:E,2,FALSE)</f>
        <v>#N/A</v>
      </c>
      <c r="AL822" s="11" t="str">
        <f>VLOOKUP(L822,'[1]update 521'!D:D,1,FALSE)</f>
        <v>Meunasah Jurong</v>
      </c>
      <c r="AM822" s="11" t="s">
        <v>57</v>
      </c>
      <c r="AN822" s="11" t="e">
        <f>VLOOKUP(L822,[1]Sheet19!E:L,8,FALSE)</f>
        <v>#N/A</v>
      </c>
      <c r="AO822" s="11" t="s">
        <v>1129</v>
      </c>
      <c r="AP822" s="12"/>
    </row>
    <row r="823" spans="1:42" ht="15" x14ac:dyDescent="0.2">
      <c r="A823" s="8" t="s">
        <v>42</v>
      </c>
      <c r="B823" s="9" t="s">
        <v>43</v>
      </c>
      <c r="C823" s="9">
        <v>420</v>
      </c>
      <c r="D823" s="9" t="s">
        <v>1631</v>
      </c>
      <c r="E823" s="9">
        <v>207</v>
      </c>
      <c r="F823" s="9" t="s">
        <v>2040</v>
      </c>
      <c r="G823" s="9" t="s">
        <v>1656</v>
      </c>
      <c r="H823" s="9" t="s">
        <v>47</v>
      </c>
      <c r="I823" s="9" t="s">
        <v>1661</v>
      </c>
      <c r="J823" s="9" t="s">
        <v>2047</v>
      </c>
      <c r="K823" s="9" t="s">
        <v>2048</v>
      </c>
      <c r="L823" s="9" t="s">
        <v>2048</v>
      </c>
      <c r="M823" s="9" t="s">
        <v>51</v>
      </c>
      <c r="N823" s="9">
        <v>35</v>
      </c>
      <c r="O823" s="9" t="s">
        <v>72</v>
      </c>
      <c r="P823" s="9">
        <v>35</v>
      </c>
      <c r="Q823" s="9">
        <v>35</v>
      </c>
      <c r="R823" s="9">
        <v>1.79</v>
      </c>
      <c r="S823" s="9">
        <v>5.5780409999999998</v>
      </c>
      <c r="T823" s="9">
        <v>95.713423000000006</v>
      </c>
      <c r="U823" s="9"/>
      <c r="V823" s="11" t="e">
        <f>VLOOKUP(L823,'[1]singkron data'!D:E,2,FALSE)</f>
        <v>#N/A</v>
      </c>
      <c r="W823" s="11" t="e">
        <f>VLOOKUP(L823,'[1]update tim 2'!D:F,3,FALSE)</f>
        <v>#N/A</v>
      </c>
      <c r="X823" s="11" t="s">
        <v>55</v>
      </c>
      <c r="Y823" s="11" t="e">
        <f>VLOOKUP(L823,'[1]singkron data'!D:H,5,FALSE)</f>
        <v>#N/A</v>
      </c>
      <c r="Z823" s="11" t="e">
        <f>VLOOKUP(L823,'[1]singkron data'!D:I,6,FALSE)</f>
        <v>#N/A</v>
      </c>
      <c r="AA823" s="11" t="e">
        <f>VLOOKUP(L823,'[1]singkron data'!D:L,9,FALSE)</f>
        <v>#N/A</v>
      </c>
      <c r="AB823" s="11" t="s">
        <v>694</v>
      </c>
      <c r="AC823" s="11" t="s">
        <v>1660</v>
      </c>
      <c r="AD823" s="11" t="s">
        <v>364</v>
      </c>
      <c r="AE823" s="11" t="e">
        <f>VLOOKUP(L823,'[1]singkron data'!D:P,13,FALSE)</f>
        <v>#N/A</v>
      </c>
      <c r="AF823" s="11" t="s">
        <v>55</v>
      </c>
      <c r="AG823" s="11" t="e">
        <f>VLOOKUP(L823,'[1]update kontrak'!E:K,6,FALSE)</f>
        <v>#N/A</v>
      </c>
      <c r="AH823" s="11" t="e">
        <f>VLOOKUP(L823,'[1]update kontrak'!E:K,7,FALSE)</f>
        <v>#N/A</v>
      </c>
      <c r="AI823" s="11"/>
      <c r="AJ823" s="11" t="str">
        <f>VLOOKUP(L823,[1]rekap!D:M,1,FALSE)</f>
        <v>Leungah</v>
      </c>
      <c r="AK823" s="11" t="e">
        <f>VLOOKUP(L823,'[1]singkron data'!D:E,2,FALSE)</f>
        <v>#N/A</v>
      </c>
      <c r="AL823" s="11" t="str">
        <f>VLOOKUP(L823,'[1]update 521'!D:D,1,FALSE)</f>
        <v>Leungah</v>
      </c>
      <c r="AM823" s="11" t="s">
        <v>57</v>
      </c>
      <c r="AN823" s="11" t="e">
        <f>VLOOKUP(L823,[1]Sheet19!E:L,8,FALSE)</f>
        <v>#N/A</v>
      </c>
      <c r="AO823" s="11" t="s">
        <v>1129</v>
      </c>
      <c r="AP823" s="12"/>
    </row>
    <row r="824" spans="1:42" ht="15" x14ac:dyDescent="0.2">
      <c r="A824" s="8" t="s">
        <v>42</v>
      </c>
      <c r="B824" s="9" t="s">
        <v>43</v>
      </c>
      <c r="C824" s="9">
        <v>421</v>
      </c>
      <c r="D824" s="9" t="s">
        <v>1631</v>
      </c>
      <c r="E824" s="9">
        <v>208</v>
      </c>
      <c r="F824" s="9" t="s">
        <v>2040</v>
      </c>
      <c r="G824" s="9" t="s">
        <v>1656</v>
      </c>
      <c r="H824" s="9" t="s">
        <v>47</v>
      </c>
      <c r="I824" s="9" t="s">
        <v>2041</v>
      </c>
      <c r="J824" s="9" t="s">
        <v>2049</v>
      </c>
      <c r="K824" s="9" t="s">
        <v>2050</v>
      </c>
      <c r="L824" s="9" t="s">
        <v>2050</v>
      </c>
      <c r="M824" s="9" t="s">
        <v>51</v>
      </c>
      <c r="N824" s="9">
        <v>55</v>
      </c>
      <c r="O824" s="9" t="s">
        <v>72</v>
      </c>
      <c r="P824" s="9">
        <v>10</v>
      </c>
      <c r="Q824" s="9">
        <v>10</v>
      </c>
      <c r="R824" s="9">
        <v>3.5</v>
      </c>
      <c r="S824" s="9">
        <v>5.3899660000000003</v>
      </c>
      <c r="T824" s="9">
        <v>95.961718000000005</v>
      </c>
      <c r="U824" s="9"/>
      <c r="V824" s="11" t="e">
        <f>VLOOKUP(L824,'[1]singkron data'!D:E,2,FALSE)</f>
        <v>#N/A</v>
      </c>
      <c r="W824" s="11"/>
      <c r="X824" s="11"/>
      <c r="Y824" s="11" t="e">
        <f>VLOOKUP(L824,'[1]singkron data'!D:H,5,FALSE)</f>
        <v>#N/A</v>
      </c>
      <c r="Z824" s="11" t="e">
        <f>VLOOKUP(L824,'[1]singkron data'!D:I,6,FALSE)</f>
        <v>#N/A</v>
      </c>
      <c r="AA824" s="11" t="e">
        <f>VLOOKUP(L824,'[1]singkron data'!D:L,9,FALSE)</f>
        <v>#N/A</v>
      </c>
      <c r="AB824" s="11" t="s">
        <v>694</v>
      </c>
      <c r="AC824" s="11" t="e">
        <f>VLOOKUP(L824,'[1]singkron data'!D:M,10,FALSE)</f>
        <v>#N/A</v>
      </c>
      <c r="AD824" s="11" t="s">
        <v>364</v>
      </c>
      <c r="AE824" s="11" t="e">
        <f>VLOOKUP(L824,'[1]singkron data'!D:P,13,FALSE)</f>
        <v>#N/A</v>
      </c>
      <c r="AF824" s="11" t="s">
        <v>55</v>
      </c>
      <c r="AG824" s="11" t="e">
        <f>VLOOKUP(L824,'[1]update kontrak'!E:K,6,FALSE)</f>
        <v>#N/A</v>
      </c>
      <c r="AH824" s="11" t="e">
        <f>VLOOKUP(L824,'[1]update kontrak'!E:K,7,FALSE)</f>
        <v>#N/A</v>
      </c>
      <c r="AI824" s="11"/>
      <c r="AJ824" s="11" t="str">
        <f>VLOOKUP(L824,[1]rekap!D:M,1,FALSE)</f>
        <v>Kuala Pidie</v>
      </c>
      <c r="AK824" s="11" t="e">
        <f>VLOOKUP(L824,'[1]singkron data'!D:E,2,FALSE)</f>
        <v>#N/A</v>
      </c>
      <c r="AL824" s="11" t="str">
        <f>VLOOKUP(L824,'[1]update 521'!D:D,1,FALSE)</f>
        <v>Kuala Pidie</v>
      </c>
      <c r="AM824" s="11" t="e">
        <v>#N/A</v>
      </c>
      <c r="AN824" s="11" t="e">
        <f>VLOOKUP(L824,[1]Sheet19!E:L,8,FALSE)</f>
        <v>#N/A</v>
      </c>
      <c r="AO824" s="11" t="e">
        <f>VLOOKUP(L824,[1]Sheet19!E:K,7,FALSE)</f>
        <v>#N/A</v>
      </c>
      <c r="AP824" s="12"/>
    </row>
    <row r="825" spans="1:42" ht="15" x14ac:dyDescent="0.2">
      <c r="A825" s="8" t="s">
        <v>42</v>
      </c>
      <c r="B825" s="9" t="s">
        <v>43</v>
      </c>
      <c r="C825" s="9">
        <v>422</v>
      </c>
      <c r="D825" s="9" t="s">
        <v>1631</v>
      </c>
      <c r="E825" s="9">
        <v>209</v>
      </c>
      <c r="F825" s="9" t="s">
        <v>2040</v>
      </c>
      <c r="G825" s="9" t="s">
        <v>1656</v>
      </c>
      <c r="H825" s="9" t="s">
        <v>47</v>
      </c>
      <c r="I825" s="9" t="s">
        <v>2044</v>
      </c>
      <c r="J825" s="9" t="s">
        <v>2051</v>
      </c>
      <c r="K825" s="9" t="s">
        <v>2052</v>
      </c>
      <c r="L825" s="9" t="s">
        <v>2052</v>
      </c>
      <c r="M825" s="9" t="s">
        <v>51</v>
      </c>
      <c r="N825" s="9">
        <v>205</v>
      </c>
      <c r="O825" s="9" t="s">
        <v>72</v>
      </c>
      <c r="P825" s="9">
        <v>96</v>
      </c>
      <c r="Q825" s="9">
        <v>96</v>
      </c>
      <c r="R825" s="9">
        <v>1.02</v>
      </c>
      <c r="S825" s="9">
        <v>5.2291230000000004</v>
      </c>
      <c r="T825" s="9">
        <v>96.331847999999994</v>
      </c>
      <c r="U825" s="9"/>
      <c r="V825" s="11" t="e">
        <f>VLOOKUP(L825,'[1]singkron data'!D:E,2,FALSE)</f>
        <v>#N/A</v>
      </c>
      <c r="W825" s="11" t="e">
        <f>VLOOKUP(L825,'[1]update tim 2'!D:F,3,FALSE)</f>
        <v>#N/A</v>
      </c>
      <c r="X825" s="11" t="s">
        <v>55</v>
      </c>
      <c r="Y825" s="11" t="e">
        <f>VLOOKUP(L825,'[1]singkron data'!D:H,5,FALSE)</f>
        <v>#N/A</v>
      </c>
      <c r="Z825" s="11" t="e">
        <f>VLOOKUP(L825,'[1]singkron data'!D:I,6,FALSE)</f>
        <v>#N/A</v>
      </c>
      <c r="AA825" s="11" t="e">
        <f>VLOOKUP(L825,'[1]singkron data'!D:L,9,FALSE)</f>
        <v>#N/A</v>
      </c>
      <c r="AB825" s="11" t="s">
        <v>694</v>
      </c>
      <c r="AC825" s="11" t="e">
        <f>VLOOKUP(L825,'[1]singkron data'!D:M,10,FALSE)</f>
        <v>#N/A</v>
      </c>
      <c r="AD825" s="11" t="s">
        <v>364</v>
      </c>
      <c r="AE825" s="11" t="e">
        <f>VLOOKUP(L825,'[1]singkron data'!D:P,13,FALSE)</f>
        <v>#N/A</v>
      </c>
      <c r="AF825" s="11" t="s">
        <v>55</v>
      </c>
      <c r="AG825" s="11" t="e">
        <f>VLOOKUP(L825,'[1]update kontrak'!E:K,6,FALSE)</f>
        <v>#N/A</v>
      </c>
      <c r="AH825" s="11" t="e">
        <f>VLOOKUP(L825,'[1]update kontrak'!E:K,7,FALSE)</f>
        <v>#N/A</v>
      </c>
      <c r="AI825" s="11"/>
      <c r="AJ825" s="11" t="str">
        <f>VLOOKUP(L825,[1]rekap!D:M,1,FALSE)</f>
        <v>Keurisi Meunasah Beurembang</v>
      </c>
      <c r="AK825" s="11" t="e">
        <f>VLOOKUP(L825,'[1]singkron data'!D:E,2,FALSE)</f>
        <v>#N/A</v>
      </c>
      <c r="AL825" s="11" t="str">
        <f>VLOOKUP(L825,'[1]update 521'!D:D,1,FALSE)</f>
        <v>Keurisi Meunasah Beurembang</v>
      </c>
      <c r="AM825" s="11" t="s">
        <v>57</v>
      </c>
      <c r="AN825" s="11" t="e">
        <f>VLOOKUP(L825,[1]Sheet19!E:L,8,FALSE)</f>
        <v>#N/A</v>
      </c>
      <c r="AO825" s="11" t="s">
        <v>1129</v>
      </c>
      <c r="AP825" s="12"/>
    </row>
    <row r="826" spans="1:42" ht="15" x14ac:dyDescent="0.2">
      <c r="A826" s="8" t="s">
        <v>42</v>
      </c>
      <c r="B826" s="9" t="s">
        <v>43</v>
      </c>
      <c r="C826" s="9">
        <v>423</v>
      </c>
      <c r="D826" s="9" t="s">
        <v>1631</v>
      </c>
      <c r="E826" s="9">
        <v>210</v>
      </c>
      <c r="F826" s="9" t="s">
        <v>2040</v>
      </c>
      <c r="G826" s="9" t="s">
        <v>1656</v>
      </c>
      <c r="H826" s="9" t="s">
        <v>47</v>
      </c>
      <c r="I826" s="9" t="s">
        <v>2041</v>
      </c>
      <c r="J826" s="9" t="s">
        <v>2053</v>
      </c>
      <c r="K826" s="9" t="s">
        <v>2054</v>
      </c>
      <c r="L826" s="9" t="s">
        <v>2054</v>
      </c>
      <c r="M826" s="9" t="s">
        <v>51</v>
      </c>
      <c r="N826" s="9">
        <v>300</v>
      </c>
      <c r="O826" s="9">
        <v>5</v>
      </c>
      <c r="P826" s="9">
        <v>28</v>
      </c>
      <c r="Q826" s="9">
        <v>33</v>
      </c>
      <c r="R826" s="9">
        <v>2</v>
      </c>
      <c r="S826" s="9">
        <v>5.4327930000000002</v>
      </c>
      <c r="T826" s="9">
        <v>95.910186999999993</v>
      </c>
      <c r="U826" s="9"/>
      <c r="V826" s="11" t="e">
        <f>VLOOKUP(L826,'[1]singkron data'!D:E,2,FALSE)</f>
        <v>#N/A</v>
      </c>
      <c r="W826" s="11"/>
      <c r="X826" s="11"/>
      <c r="Y826" s="11" t="e">
        <f>VLOOKUP(L826,'[1]singkron data'!D:H,5,FALSE)</f>
        <v>#N/A</v>
      </c>
      <c r="Z826" s="11" t="e">
        <f>VLOOKUP(L826,'[1]singkron data'!D:I,6,FALSE)</f>
        <v>#N/A</v>
      </c>
      <c r="AA826" s="11" t="e">
        <f>VLOOKUP(L826,'[1]singkron data'!D:L,9,FALSE)</f>
        <v>#N/A</v>
      </c>
      <c r="AB826" s="11" t="s">
        <v>694</v>
      </c>
      <c r="AC826" s="11" t="e">
        <f>VLOOKUP(L826,'[1]singkron data'!D:M,10,FALSE)</f>
        <v>#N/A</v>
      </c>
      <c r="AD826" s="11" t="s">
        <v>364</v>
      </c>
      <c r="AE826" s="11" t="e">
        <f>VLOOKUP(L826,'[1]singkron data'!D:P,13,FALSE)</f>
        <v>#N/A</v>
      </c>
      <c r="AF826" s="11" t="s">
        <v>55</v>
      </c>
      <c r="AG826" s="11" t="e">
        <f>VLOOKUP(L826,'[1]update kontrak'!E:K,6,FALSE)</f>
        <v>#N/A</v>
      </c>
      <c r="AH826" s="11" t="e">
        <f>VLOOKUP(L826,'[1]update kontrak'!E:K,7,FALSE)</f>
        <v>#N/A</v>
      </c>
      <c r="AI826" s="11"/>
      <c r="AJ826" s="11" t="str">
        <f>VLOOKUP(L826,[1]rekap!D:M,1,FALSE)</f>
        <v>Pasi Beurandeh</v>
      </c>
      <c r="AK826" s="11" t="e">
        <f>VLOOKUP(L826,'[1]singkron data'!D:E,2,FALSE)</f>
        <v>#N/A</v>
      </c>
      <c r="AL826" s="11" t="str">
        <f>VLOOKUP(L826,'[1]update 521'!D:D,1,FALSE)</f>
        <v>Pasi Beurandeh</v>
      </c>
      <c r="AM826" s="11" t="s">
        <v>96</v>
      </c>
      <c r="AN826" s="11" t="e">
        <f>VLOOKUP(L826,[1]Sheet19!E:L,8,FALSE)</f>
        <v>#N/A</v>
      </c>
      <c r="AO826" s="11" t="e">
        <f>VLOOKUP(L826,[1]Sheet19!E:K,7,FALSE)</f>
        <v>#N/A</v>
      </c>
      <c r="AP826" s="12"/>
    </row>
    <row r="827" spans="1:42" ht="15" x14ac:dyDescent="0.2">
      <c r="A827" s="8" t="s">
        <v>42</v>
      </c>
      <c r="B827" s="9" t="s">
        <v>43</v>
      </c>
      <c r="C827" s="9">
        <v>424</v>
      </c>
      <c r="D827" s="9" t="s">
        <v>1631</v>
      </c>
      <c r="E827" s="9">
        <v>211</v>
      </c>
      <c r="F827" s="9" t="s">
        <v>2040</v>
      </c>
      <c r="G827" s="9" t="s">
        <v>1656</v>
      </c>
      <c r="H827" s="9" t="s">
        <v>47</v>
      </c>
      <c r="I827" s="9" t="s">
        <v>2041</v>
      </c>
      <c r="J827" s="9" t="s">
        <v>2042</v>
      </c>
      <c r="K827" s="9" t="s">
        <v>2055</v>
      </c>
      <c r="L827" s="9" t="s">
        <v>2055</v>
      </c>
      <c r="M827" s="9" t="s">
        <v>51</v>
      </c>
      <c r="N827" s="9">
        <v>600</v>
      </c>
      <c r="O827" s="9" t="s">
        <v>72</v>
      </c>
      <c r="P827" s="9">
        <v>100</v>
      </c>
      <c r="Q827" s="9">
        <v>100</v>
      </c>
      <c r="R827" s="9">
        <v>3.2</v>
      </c>
      <c r="S827" s="9">
        <v>5.2954030000000003</v>
      </c>
      <c r="T827" s="9">
        <v>96.074813000000006</v>
      </c>
      <c r="U827" s="9"/>
      <c r="V827" s="11" t="e">
        <f>VLOOKUP(L827,'[1]singkron data'!D:E,2,FALSE)</f>
        <v>#N/A</v>
      </c>
      <c r="W827" s="11"/>
      <c r="X827" s="11"/>
      <c r="Y827" s="11" t="e">
        <f>VLOOKUP(L827,'[1]singkron data'!D:H,5,FALSE)</f>
        <v>#N/A</v>
      </c>
      <c r="Z827" s="11" t="e">
        <f>VLOOKUP(L827,'[1]singkron data'!D:I,6,FALSE)</f>
        <v>#N/A</v>
      </c>
      <c r="AA827" s="11" t="e">
        <f>VLOOKUP(L827,'[1]singkron data'!D:L,9,FALSE)</f>
        <v>#N/A</v>
      </c>
      <c r="AB827" s="11" t="s">
        <v>694</v>
      </c>
      <c r="AC827" s="11" t="e">
        <f>VLOOKUP(L827,'[1]singkron data'!D:M,10,FALSE)</f>
        <v>#N/A</v>
      </c>
      <c r="AD827" s="11" t="s">
        <v>364</v>
      </c>
      <c r="AE827" s="11" t="e">
        <f>VLOOKUP(L827,'[1]singkron data'!D:P,13,FALSE)</f>
        <v>#N/A</v>
      </c>
      <c r="AF827" s="11" t="s">
        <v>55</v>
      </c>
      <c r="AG827" s="11" t="e">
        <f>VLOOKUP(L827,'[1]update kontrak'!E:K,6,FALSE)</f>
        <v>#N/A</v>
      </c>
      <c r="AH827" s="11" t="e">
        <f>VLOOKUP(L827,'[1]update kontrak'!E:K,7,FALSE)</f>
        <v>#N/A</v>
      </c>
      <c r="AI827" s="11"/>
      <c r="AJ827" s="11" t="str">
        <f>VLOOKUP(L827,[1]rekap!D:M,1,FALSE)</f>
        <v>Jeumeurang</v>
      </c>
      <c r="AK827" s="11" t="e">
        <f>VLOOKUP(L827,'[1]singkron data'!D:E,2,FALSE)</f>
        <v>#N/A</v>
      </c>
      <c r="AL827" s="11" t="str">
        <f>VLOOKUP(L827,'[1]update 521'!D:D,1,FALSE)</f>
        <v>Jeumeurang</v>
      </c>
      <c r="AM827" s="11" t="s">
        <v>96</v>
      </c>
      <c r="AN827" s="11" t="e">
        <f>VLOOKUP(L827,[1]Sheet19!E:L,8,FALSE)</f>
        <v>#N/A</v>
      </c>
      <c r="AO827" s="11" t="e">
        <f>VLOOKUP(L827,[1]Sheet19!E:K,7,FALSE)</f>
        <v>#N/A</v>
      </c>
      <c r="AP827" s="12"/>
    </row>
    <row r="828" spans="1:42" ht="15" x14ac:dyDescent="0.2">
      <c r="A828" s="8" t="s">
        <v>42</v>
      </c>
      <c r="B828" s="9" t="s">
        <v>43</v>
      </c>
      <c r="C828" s="9">
        <v>425</v>
      </c>
      <c r="D828" s="9" t="s">
        <v>1631</v>
      </c>
      <c r="E828" s="9">
        <v>212</v>
      </c>
      <c r="F828" s="9" t="s">
        <v>2056</v>
      </c>
      <c r="G828" s="9" t="s">
        <v>1633</v>
      </c>
      <c r="H828" s="9" t="s">
        <v>47</v>
      </c>
      <c r="I828" s="9" t="s">
        <v>1673</v>
      </c>
      <c r="J828" s="9" t="s">
        <v>2057</v>
      </c>
      <c r="K828" s="9" t="s">
        <v>2058</v>
      </c>
      <c r="L828" s="37" t="s">
        <v>2058</v>
      </c>
      <c r="M828" s="9" t="s">
        <v>65</v>
      </c>
      <c r="N828" s="9">
        <v>438</v>
      </c>
      <c r="O828" s="9">
        <v>126</v>
      </c>
      <c r="P828" s="9">
        <v>207</v>
      </c>
      <c r="Q828" s="9">
        <v>333</v>
      </c>
      <c r="R828" s="9">
        <v>1</v>
      </c>
      <c r="S828" s="9">
        <v>1.7077999999999999E-2</v>
      </c>
      <c r="T828" s="9">
        <v>104.49034399999999</v>
      </c>
      <c r="U828" s="9" t="s">
        <v>52</v>
      </c>
      <c r="V828" s="11"/>
      <c r="W828" s="11"/>
      <c r="X828" s="11"/>
      <c r="Y828" s="11">
        <f>VLOOKUP(L828,'[1]singkron data'!D:H,5,FALSE)</f>
        <v>0</v>
      </c>
      <c r="Z828" s="11">
        <f>VLOOKUP(L828,'[1]singkron data'!D:I,6,FALSE)</f>
        <v>0</v>
      </c>
      <c r="AA828" s="11" t="s">
        <v>1702</v>
      </c>
      <c r="AB828" s="11" t="s">
        <v>54</v>
      </c>
      <c r="AC828" s="11" t="s">
        <v>1703</v>
      </c>
      <c r="AD828" s="11" t="str">
        <f>VLOOKUP(L828,'[1]data 1129'!F:O,10,FALSE)</f>
        <v>Tahap III 166</v>
      </c>
      <c r="AE828" s="11">
        <f>VLOOKUP(L828,'[1]singkron data'!D:P,13,FALSE)</f>
        <v>0</v>
      </c>
      <c r="AF828" s="11" t="s">
        <v>55</v>
      </c>
      <c r="AG828" s="11" t="e">
        <f>VLOOKUP(L828,'[1]update kontrak'!E:K,6,FALSE)</f>
        <v>#N/A</v>
      </c>
      <c r="AH828" s="11" t="e">
        <f>VLOOKUP(L828,'[1]update kontrak'!E:K,7,FALSE)</f>
        <v>#N/A</v>
      </c>
      <c r="AI828" s="11"/>
      <c r="AJ828" s="11" t="str">
        <f>VLOOKUP(L828,[1]rekap!D:M,1,FALSE)</f>
        <v>Tanjung Kelit</v>
      </c>
      <c r="AK828" s="11" t="str">
        <f>VLOOKUP(L828,'[1]singkron data'!D:E,2,FALSE)</f>
        <v>PT. Ibnu Munsyir Dwi Guna</v>
      </c>
      <c r="AL828" s="11" t="str">
        <f>VLOOKUP(L828,'[1]update 521'!D:D,1,FALSE)</f>
        <v>Tanjung Kelit</v>
      </c>
      <c r="AM828" s="11" t="s">
        <v>96</v>
      </c>
      <c r="AN828" s="11" t="s">
        <v>1704</v>
      </c>
      <c r="AO828" s="11" t="s">
        <v>1702</v>
      </c>
      <c r="AP828" s="12" t="s">
        <v>268</v>
      </c>
    </row>
    <row r="829" spans="1:42" ht="15" x14ac:dyDescent="0.2">
      <c r="A829" s="8" t="s">
        <v>42</v>
      </c>
      <c r="B829" s="9" t="s">
        <v>43</v>
      </c>
      <c r="C829" s="9">
        <v>426</v>
      </c>
      <c r="D829" s="9" t="s">
        <v>1631</v>
      </c>
      <c r="E829" s="9">
        <v>213</v>
      </c>
      <c r="F829" s="9" t="s">
        <v>2056</v>
      </c>
      <c r="G829" s="9" t="s">
        <v>1633</v>
      </c>
      <c r="H829" s="9" t="s">
        <v>47</v>
      </c>
      <c r="I829" s="9" t="s">
        <v>1673</v>
      </c>
      <c r="J829" s="9" t="s">
        <v>2059</v>
      </c>
      <c r="K829" s="9" t="s">
        <v>2060</v>
      </c>
      <c r="L829" s="37" t="s">
        <v>2060</v>
      </c>
      <c r="M829" s="9" t="s">
        <v>51</v>
      </c>
      <c r="N829" s="9">
        <v>519</v>
      </c>
      <c r="O829" s="9">
        <v>50</v>
      </c>
      <c r="P829" s="9">
        <v>250</v>
      </c>
      <c r="Q829" s="9">
        <v>300</v>
      </c>
      <c r="R829" s="9">
        <v>0.85</v>
      </c>
      <c r="S829" s="9">
        <v>-7.7071000000000001E-2</v>
      </c>
      <c r="T829" s="9">
        <v>104.850407</v>
      </c>
      <c r="U829" s="9" t="s">
        <v>52</v>
      </c>
      <c r="V829" s="11"/>
      <c r="W829" s="11"/>
      <c r="X829" s="11"/>
      <c r="Y829" s="11">
        <f>VLOOKUP(L829,'[1]singkron data'!D:H,5,FALSE)</f>
        <v>0</v>
      </c>
      <c r="Z829" s="11">
        <f>VLOOKUP(L829,'[1]singkron data'!D:I,6,FALSE)</f>
        <v>0</v>
      </c>
      <c r="AA829" s="11" t="s">
        <v>1702</v>
      </c>
      <c r="AB829" s="11" t="s">
        <v>54</v>
      </c>
      <c r="AC829" s="11" t="s">
        <v>1703</v>
      </c>
      <c r="AD829" s="11" t="str">
        <f>VLOOKUP(L829,'[1]data 1129'!F:O,10,FALSE)</f>
        <v>Tahap III 166</v>
      </c>
      <c r="AE829" s="11">
        <f>VLOOKUP(L829,'[1]singkron data'!D:P,13,FALSE)</f>
        <v>0</v>
      </c>
      <c r="AF829" s="11" t="s">
        <v>55</v>
      </c>
      <c r="AG829" s="11" t="e">
        <f>VLOOKUP(L829,'[1]update kontrak'!E:K,6,FALSE)</f>
        <v>#N/A</v>
      </c>
      <c r="AH829" s="11" t="e">
        <f>VLOOKUP(L829,'[1]update kontrak'!E:K,7,FALSE)</f>
        <v>#N/A</v>
      </c>
      <c r="AI829" s="11"/>
      <c r="AJ829" s="11" t="str">
        <f>VLOOKUP(L829,[1]rekap!D:M,1,FALSE)</f>
        <v>Sekanah</v>
      </c>
      <c r="AK829" s="11" t="str">
        <f>VLOOKUP(L829,'[1]singkron data'!D:E,2,FALSE)</f>
        <v>PT. Ibnu Munsyir Dwi Guna</v>
      </c>
      <c r="AL829" s="11" t="str">
        <f>VLOOKUP(L829,'[1]update 521'!D:D,1,FALSE)</f>
        <v>Sekanah</v>
      </c>
      <c r="AM829" s="11" t="s">
        <v>96</v>
      </c>
      <c r="AN829" s="11" t="s">
        <v>1704</v>
      </c>
      <c r="AO829" s="11" t="s">
        <v>1702</v>
      </c>
      <c r="AP829" s="12" t="s">
        <v>268</v>
      </c>
    </row>
    <row r="830" spans="1:42" ht="15" x14ac:dyDescent="0.2">
      <c r="A830" s="8" t="s">
        <v>42</v>
      </c>
      <c r="B830" s="9" t="s">
        <v>43</v>
      </c>
      <c r="C830" s="9">
        <v>427</v>
      </c>
      <c r="D830" s="9" t="s">
        <v>1631</v>
      </c>
      <c r="E830" s="9">
        <v>214</v>
      </c>
      <c r="F830" s="9" t="s">
        <v>2056</v>
      </c>
      <c r="G830" s="9" t="s">
        <v>1633</v>
      </c>
      <c r="H830" s="9" t="s">
        <v>47</v>
      </c>
      <c r="I830" s="9" t="s">
        <v>1673</v>
      </c>
      <c r="J830" s="9" t="s">
        <v>2059</v>
      </c>
      <c r="K830" s="9" t="s">
        <v>2061</v>
      </c>
      <c r="L830" s="37" t="s">
        <v>2061</v>
      </c>
      <c r="M830" s="9" t="s">
        <v>51</v>
      </c>
      <c r="N830" s="9">
        <v>153</v>
      </c>
      <c r="O830" s="9" t="s">
        <v>72</v>
      </c>
      <c r="P830" s="9">
        <v>153</v>
      </c>
      <c r="Q830" s="9">
        <v>153</v>
      </c>
      <c r="R830" s="9">
        <v>1</v>
      </c>
      <c r="S830" s="9">
        <v>-7.8498899999999996E-2</v>
      </c>
      <c r="T830" s="9">
        <v>104.6367195</v>
      </c>
      <c r="U830" s="9" t="s">
        <v>52</v>
      </c>
      <c r="V830" s="11"/>
      <c r="W830" s="11"/>
      <c r="X830" s="11"/>
      <c r="Y830" s="11">
        <f>VLOOKUP(L830,'[1]singkron data'!D:H,5,FALSE)</f>
        <v>0</v>
      </c>
      <c r="Z830" s="11">
        <f>VLOOKUP(L830,'[1]singkron data'!D:I,6,FALSE)</f>
        <v>0</v>
      </c>
      <c r="AA830" s="11" t="s">
        <v>1702</v>
      </c>
      <c r="AB830" s="11" t="s">
        <v>54</v>
      </c>
      <c r="AC830" s="11" t="s">
        <v>1703</v>
      </c>
      <c r="AD830" s="11" t="str">
        <f>VLOOKUP(L830,'[1]data 1129'!F:O,10,FALSE)</f>
        <v>Tahap III 166</v>
      </c>
      <c r="AE830" s="11">
        <f>VLOOKUP(L830,'[1]singkron data'!D:P,13,FALSE)</f>
        <v>0</v>
      </c>
      <c r="AF830" s="11" t="s">
        <v>55</v>
      </c>
      <c r="AG830" s="11" t="e">
        <f>VLOOKUP(L830,'[1]update kontrak'!E:K,6,FALSE)</f>
        <v>#N/A</v>
      </c>
      <c r="AH830" s="11" t="e">
        <f>VLOOKUP(L830,'[1]update kontrak'!E:K,7,FALSE)</f>
        <v>#N/A</v>
      </c>
      <c r="AI830" s="11"/>
      <c r="AJ830" s="11" t="str">
        <f>VLOOKUP(L830,[1]rekap!D:M,1,FALSE)</f>
        <v>Pancur</v>
      </c>
      <c r="AK830" s="11" t="str">
        <f>VLOOKUP(L830,'[1]singkron data'!D:E,2,FALSE)</f>
        <v>PT. Ibnu Munsyir Dwi Guna</v>
      </c>
      <c r="AL830" s="11" t="str">
        <f>VLOOKUP(L830,'[1]update 521'!D:D,1,FALSE)</f>
        <v>Pancur</v>
      </c>
      <c r="AM830" s="11" t="s">
        <v>96</v>
      </c>
      <c r="AN830" s="11" t="s">
        <v>1704</v>
      </c>
      <c r="AO830" s="11" t="s">
        <v>1702</v>
      </c>
      <c r="AP830" s="12" t="s">
        <v>268</v>
      </c>
    </row>
    <row r="831" spans="1:42" ht="15" x14ac:dyDescent="0.2">
      <c r="A831" s="8" t="s">
        <v>42</v>
      </c>
      <c r="B831" s="9" t="s">
        <v>43</v>
      </c>
      <c r="C831" s="9">
        <v>428</v>
      </c>
      <c r="D831" s="9" t="s">
        <v>1631</v>
      </c>
      <c r="E831" s="9">
        <v>215</v>
      </c>
      <c r="F831" s="9" t="s">
        <v>2056</v>
      </c>
      <c r="G831" s="9" t="s">
        <v>1633</v>
      </c>
      <c r="H831" s="9" t="s">
        <v>47</v>
      </c>
      <c r="I831" s="9" t="s">
        <v>1673</v>
      </c>
      <c r="J831" s="9" t="s">
        <v>2062</v>
      </c>
      <c r="K831" s="9" t="s">
        <v>2063</v>
      </c>
      <c r="L831" s="37" t="s">
        <v>2063</v>
      </c>
      <c r="M831" s="9" t="s">
        <v>51</v>
      </c>
      <c r="N831" s="9">
        <v>273</v>
      </c>
      <c r="O831" s="9">
        <v>12</v>
      </c>
      <c r="P831" s="9">
        <v>105</v>
      </c>
      <c r="Q831" s="9">
        <v>117</v>
      </c>
      <c r="R831" s="9">
        <v>0.25</v>
      </c>
      <c r="S831" s="9">
        <v>-4.1364999999999999E-2</v>
      </c>
      <c r="T831" s="9">
        <v>104.63985099999999</v>
      </c>
      <c r="U831" s="9" t="s">
        <v>52</v>
      </c>
      <c r="V831" s="11"/>
      <c r="W831" s="11"/>
      <c r="X831" s="11"/>
      <c r="Y831" s="11">
        <f>VLOOKUP(L831,'[1]singkron data'!D:H,5,FALSE)</f>
        <v>0</v>
      </c>
      <c r="Z831" s="11">
        <f>VLOOKUP(L831,'[1]singkron data'!D:I,6,FALSE)</f>
        <v>0</v>
      </c>
      <c r="AA831" s="11" t="s">
        <v>1702</v>
      </c>
      <c r="AB831" s="11" t="s">
        <v>54</v>
      </c>
      <c r="AC831" s="11" t="s">
        <v>1703</v>
      </c>
      <c r="AD831" s="11" t="str">
        <f>VLOOKUP(L831,'[1]data 1129'!F:O,10,FALSE)</f>
        <v>Tahap III 166</v>
      </c>
      <c r="AE831" s="11">
        <f>VLOOKUP(L831,'[1]singkron data'!D:P,13,FALSE)</f>
        <v>0</v>
      </c>
      <c r="AF831" s="11" t="s">
        <v>55</v>
      </c>
      <c r="AG831" s="11" t="e">
        <f>VLOOKUP(L831,'[1]update kontrak'!E:K,6,FALSE)</f>
        <v>#N/A</v>
      </c>
      <c r="AH831" s="11" t="e">
        <f>VLOOKUP(L831,'[1]update kontrak'!E:K,7,FALSE)</f>
        <v>#N/A</v>
      </c>
      <c r="AI831" s="11"/>
      <c r="AJ831" s="11" t="str">
        <f>VLOOKUP(L831,[1]rekap!D:M,1,FALSE)</f>
        <v>Penaah</v>
      </c>
      <c r="AK831" s="11" t="str">
        <f>VLOOKUP(L831,'[1]singkron data'!D:E,2,FALSE)</f>
        <v>PT. Ibnu Munsyir Dwi Guna</v>
      </c>
      <c r="AL831" s="11" t="str">
        <f>VLOOKUP(L831,'[1]update 521'!D:D,1,FALSE)</f>
        <v>Penaah</v>
      </c>
      <c r="AM831" s="11" t="s">
        <v>96</v>
      </c>
      <c r="AN831" s="11" t="s">
        <v>1704</v>
      </c>
      <c r="AO831" s="11" t="s">
        <v>1702</v>
      </c>
      <c r="AP831" s="12" t="s">
        <v>268</v>
      </c>
    </row>
    <row r="832" spans="1:42" ht="15" x14ac:dyDescent="0.2">
      <c r="A832" s="8" t="s">
        <v>42</v>
      </c>
      <c r="B832" s="9" t="s">
        <v>43</v>
      </c>
      <c r="C832" s="9">
        <v>429</v>
      </c>
      <c r="D832" s="9" t="s">
        <v>1631</v>
      </c>
      <c r="E832" s="9">
        <v>216</v>
      </c>
      <c r="F832" s="9" t="s">
        <v>2064</v>
      </c>
      <c r="G832" s="9" t="s">
        <v>1647</v>
      </c>
      <c r="H832" s="9" t="s">
        <v>47</v>
      </c>
      <c r="I832" s="9" t="s">
        <v>2065</v>
      </c>
      <c r="J832" s="9" t="s">
        <v>2066</v>
      </c>
      <c r="K832" s="9" t="s">
        <v>2067</v>
      </c>
      <c r="L832" s="10" t="s">
        <v>2067</v>
      </c>
      <c r="M832" s="9" t="s">
        <v>65</v>
      </c>
      <c r="N832" s="9">
        <v>567</v>
      </c>
      <c r="O832" s="9">
        <v>50</v>
      </c>
      <c r="P832" s="9">
        <v>203</v>
      </c>
      <c r="Q832" s="9">
        <v>253</v>
      </c>
      <c r="R832" s="9">
        <v>1.23</v>
      </c>
      <c r="S832" s="9">
        <v>-3.1592256999999999</v>
      </c>
      <c r="T832" s="9">
        <v>107.834864</v>
      </c>
      <c r="U832" s="9" t="s">
        <v>52</v>
      </c>
      <c r="V832" s="11" t="str">
        <f>VLOOKUP(L832,'[1]singkron data'!D:E,2,FALSE)</f>
        <v>PT. Maharani Citra Persada Indonesia</v>
      </c>
      <c r="W832" s="13">
        <f>VLOOKUP(L832,'[1]update tim 2'!D:F,3,FALSE)</f>
        <v>7054952000</v>
      </c>
      <c r="X832" s="11" t="s">
        <v>55</v>
      </c>
      <c r="Y832" s="11" t="str">
        <f>VLOOKUP(L832,'[1]singkron data'!D:H,5,FALSE)</f>
        <v>Pangkal Pinang</v>
      </c>
      <c r="Z832" s="11" t="str">
        <f>VLOOKUP(L832,'[1]singkron data'!D:I,6,FALSE)</f>
        <v>Online</v>
      </c>
      <c r="AA832" s="11">
        <f>VLOOKUP(L832,'[1]singkron data'!D:L,9,FALSE)</f>
        <v>0</v>
      </c>
      <c r="AB832" s="11" t="s">
        <v>54</v>
      </c>
      <c r="AC832" s="11" t="s">
        <v>520</v>
      </c>
      <c r="AD832" s="11" t="str">
        <f>VLOOKUP(L832,'[1]data 1129'!F:O,10,FALSE)</f>
        <v>Tahap IV 200</v>
      </c>
      <c r="AE832" s="11">
        <f>VLOOKUP(L832,'[1]singkron data'!D:P,13,FALSE)</f>
        <v>0</v>
      </c>
      <c r="AF832" s="11" t="s">
        <v>55</v>
      </c>
      <c r="AG832" s="11" t="e">
        <f>VLOOKUP(L832,'[1]update kontrak'!E:K,6,FALSE)</f>
        <v>#N/A</v>
      </c>
      <c r="AH832" s="11" t="e">
        <f>VLOOKUP(L832,'[1]update kontrak'!E:K,7,FALSE)</f>
        <v>#N/A</v>
      </c>
      <c r="AI832" s="11"/>
      <c r="AJ832" s="11" t="str">
        <f>VLOOKUP(L832,[1]rekap!D:M,1,FALSE)</f>
        <v>Tanjungrusa</v>
      </c>
      <c r="AK832" s="11" t="str">
        <f>VLOOKUP(L832,'[1]singkron data'!D:E,2,FALSE)</f>
        <v>PT. Maharani Citra Persada Indonesia</v>
      </c>
      <c r="AL832" s="11" t="str">
        <f>VLOOKUP(L832,'[1]update 521'!D:D,1,FALSE)</f>
        <v>Tanjungrusa</v>
      </c>
      <c r="AM832" s="11" t="s">
        <v>57</v>
      </c>
      <c r="AN832" s="11" t="e">
        <f>VLOOKUP(L832,[1]Sheet19!E:L,8,FALSE)</f>
        <v>#N/A</v>
      </c>
      <c r="AO832" s="11" t="s">
        <v>58</v>
      </c>
      <c r="AP832" s="12"/>
    </row>
    <row r="833" spans="1:42" ht="15" x14ac:dyDescent="0.2">
      <c r="A833" s="8" t="s">
        <v>42</v>
      </c>
      <c r="B833" s="9" t="s">
        <v>43</v>
      </c>
      <c r="C833" s="9">
        <v>430</v>
      </c>
      <c r="D833" s="9" t="s">
        <v>1631</v>
      </c>
      <c r="E833" s="9">
        <v>217</v>
      </c>
      <c r="F833" s="9" t="s">
        <v>2064</v>
      </c>
      <c r="G833" s="9" t="s">
        <v>1647</v>
      </c>
      <c r="H833" s="9" t="s">
        <v>47</v>
      </c>
      <c r="I833" s="9" t="s">
        <v>2065</v>
      </c>
      <c r="J833" s="9" t="s">
        <v>2066</v>
      </c>
      <c r="K833" s="9" t="s">
        <v>2068</v>
      </c>
      <c r="L833" s="10" t="s">
        <v>2068</v>
      </c>
      <c r="M833" s="9" t="s">
        <v>51</v>
      </c>
      <c r="N833" s="9">
        <v>291</v>
      </c>
      <c r="O833" s="9">
        <v>10</v>
      </c>
      <c r="P833" s="9">
        <v>120</v>
      </c>
      <c r="Q833" s="9">
        <v>130</v>
      </c>
      <c r="R833" s="9">
        <v>0.25</v>
      </c>
      <c r="S833" s="9">
        <v>-3.2010242</v>
      </c>
      <c r="T833" s="9">
        <v>107.5450343</v>
      </c>
      <c r="U833" s="9" t="s">
        <v>52</v>
      </c>
      <c r="V833" s="11" t="str">
        <f>VLOOKUP(L833,'[1]singkron data'!D:E,2,FALSE)</f>
        <v>PT. Maharani Citra Persada Indonesia</v>
      </c>
      <c r="W833" s="13">
        <f>VLOOKUP(L833,'[1]update tim 2'!D:F,3,FALSE)</f>
        <v>4325542000</v>
      </c>
      <c r="X833" s="11" t="s">
        <v>55</v>
      </c>
      <c r="Y833" s="11" t="str">
        <f>VLOOKUP(L833,'[1]singkron data'!D:H,5,FALSE)</f>
        <v>Pangkal Pinang</v>
      </c>
      <c r="Z833" s="11" t="str">
        <f>VLOOKUP(L833,'[1]singkron data'!D:I,6,FALSE)</f>
        <v>Online</v>
      </c>
      <c r="AA833" s="11">
        <f>VLOOKUP(L833,'[1]singkron data'!D:L,9,FALSE)</f>
        <v>0</v>
      </c>
      <c r="AB833" s="11" t="s">
        <v>54</v>
      </c>
      <c r="AC833" s="11" t="s">
        <v>520</v>
      </c>
      <c r="AD833" s="11" t="str">
        <f>VLOOKUP(L833,'[1]data 1129'!F:O,10,FALSE)</f>
        <v>Tahap IV 200</v>
      </c>
      <c r="AE833" s="11">
        <f>VLOOKUP(L833,'[1]singkron data'!D:P,13,FALSE)</f>
        <v>0</v>
      </c>
      <c r="AF833" s="11" t="s">
        <v>55</v>
      </c>
      <c r="AG833" s="11" t="e">
        <f>VLOOKUP(L833,'[1]update kontrak'!E:K,6,FALSE)</f>
        <v>#N/A</v>
      </c>
      <c r="AH833" s="11" t="e">
        <f>VLOOKUP(L833,'[1]update kontrak'!E:K,7,FALSE)</f>
        <v>#N/A</v>
      </c>
      <c r="AI833" s="11"/>
      <c r="AJ833" s="11" t="str">
        <f>VLOOKUP(L833,[1]rekap!D:M,1,FALSE)</f>
        <v>Pulau Seliu</v>
      </c>
      <c r="AK833" s="11" t="str">
        <f>VLOOKUP(L833,'[1]singkron data'!D:E,2,FALSE)</f>
        <v>PT. Maharani Citra Persada Indonesia</v>
      </c>
      <c r="AL833" s="11" t="str">
        <f>VLOOKUP(L833,'[1]update 521'!D:D,1,FALSE)</f>
        <v>Pulau Seliu</v>
      </c>
      <c r="AM833" s="11" t="s">
        <v>57</v>
      </c>
      <c r="AN833" s="11" t="e">
        <f>VLOOKUP(L833,[1]Sheet19!E:L,8,FALSE)</f>
        <v>#N/A</v>
      </c>
      <c r="AO833" s="11" t="s">
        <v>58</v>
      </c>
      <c r="AP833" s="12"/>
    </row>
    <row r="834" spans="1:42" ht="15" x14ac:dyDescent="0.2">
      <c r="A834" s="8" t="s">
        <v>42</v>
      </c>
      <c r="B834" s="9" t="s">
        <v>43</v>
      </c>
      <c r="C834" s="9">
        <v>431</v>
      </c>
      <c r="D834" s="9" t="s">
        <v>1631</v>
      </c>
      <c r="E834" s="9">
        <v>218</v>
      </c>
      <c r="F834" s="9" t="s">
        <v>2069</v>
      </c>
      <c r="G834" s="9" t="s">
        <v>1668</v>
      </c>
      <c r="H834" s="9" t="s">
        <v>47</v>
      </c>
      <c r="I834" s="9" t="s">
        <v>1719</v>
      </c>
      <c r="J834" s="9" t="s">
        <v>2070</v>
      </c>
      <c r="K834" s="9" t="s">
        <v>2071</v>
      </c>
      <c r="L834" s="10" t="s">
        <v>2071</v>
      </c>
      <c r="M834" s="9" t="s">
        <v>51</v>
      </c>
      <c r="N834" s="9">
        <v>210</v>
      </c>
      <c r="O834" s="9" t="s">
        <v>72</v>
      </c>
      <c r="P834" s="9">
        <v>145</v>
      </c>
      <c r="Q834" s="9">
        <v>145</v>
      </c>
      <c r="R834" s="9">
        <v>1.4</v>
      </c>
      <c r="S834" s="9">
        <v>-5.5592370000000004</v>
      </c>
      <c r="T834" s="9">
        <v>104.545284</v>
      </c>
      <c r="U834" s="9" t="s">
        <v>52</v>
      </c>
      <c r="V834" s="11" t="str">
        <f>VLOOKUP(L834,'[1]singkron data'!D:E,2,FALSE)</f>
        <v>PT. Yuniarto Sejahtera Abadi</v>
      </c>
      <c r="W834" s="11"/>
      <c r="X834" s="11"/>
      <c r="Y834" s="11">
        <f>VLOOKUP(L834,'[1]singkron data'!D:H,5,FALSE)</f>
        <v>0</v>
      </c>
      <c r="Z834" s="11">
        <f>VLOOKUP(L834,'[1]singkron data'!D:I,6,FALSE)</f>
        <v>0</v>
      </c>
      <c r="AA834" s="11" t="str">
        <f>VLOOKUP(L834,'[1]singkron data'!D:L,9,FALSE)</f>
        <v>089663591345/soleh</v>
      </c>
      <c r="AB834" s="11" t="s">
        <v>54</v>
      </c>
      <c r="AC834" s="11" t="str">
        <f>VLOOKUP(L834,'[1]singkron data'!D:M,10,FALSE)</f>
        <v>aufar</v>
      </c>
      <c r="AD834" s="11" t="str">
        <f>VLOOKUP(L834,'[1]data 1129'!F:O,10,FALSE)</f>
        <v>Tahap II 146</v>
      </c>
      <c r="AE834" s="11">
        <f>VLOOKUP(L834,'[1]singkron data'!D:P,13,FALSE)</f>
        <v>0</v>
      </c>
      <c r="AF834" s="11" t="s">
        <v>55</v>
      </c>
      <c r="AG834" s="11" t="e">
        <f>VLOOKUP(L834,'[1]update kontrak'!E:K,6,FALSE)</f>
        <v>#N/A</v>
      </c>
      <c r="AH834" s="11" t="e">
        <f>VLOOKUP(L834,'[1]update kontrak'!E:K,7,FALSE)</f>
        <v>#N/A</v>
      </c>
      <c r="AI834" s="11"/>
      <c r="AJ834" s="11" t="str">
        <f>VLOOKUP(L834,[1]rekap!D:M,1,FALSE)</f>
        <v>Betung</v>
      </c>
      <c r="AK834" s="11" t="str">
        <f>VLOOKUP(L834,'[1]singkron data'!D:E,2,FALSE)</f>
        <v>PT. Yuniarto Sejahtera Abadi</v>
      </c>
      <c r="AL834" s="11" t="str">
        <f>VLOOKUP(L834,'[1]update 521'!D:D,1,FALSE)</f>
        <v>Betung</v>
      </c>
      <c r="AM834" s="11" t="e">
        <v>#N/A</v>
      </c>
      <c r="AN834" s="11" t="e">
        <f>VLOOKUP(L834,[1]Sheet19!E:L,8,FALSE)</f>
        <v>#N/A</v>
      </c>
      <c r="AO834" s="11" t="e">
        <f>VLOOKUP(L834,[1]Sheet19!E:K,7,FALSE)</f>
        <v>#N/A</v>
      </c>
      <c r="AP834" s="12"/>
    </row>
    <row r="835" spans="1:42" ht="15" x14ac:dyDescent="0.2">
      <c r="A835" s="8" t="s">
        <v>42</v>
      </c>
      <c r="B835" s="9" t="s">
        <v>43</v>
      </c>
      <c r="C835" s="9">
        <v>432</v>
      </c>
      <c r="D835" s="9" t="s">
        <v>1631</v>
      </c>
      <c r="E835" s="9">
        <v>219</v>
      </c>
      <c r="F835" s="9" t="s">
        <v>2069</v>
      </c>
      <c r="G835" s="9" t="s">
        <v>1668</v>
      </c>
      <c r="H835" s="9" t="s">
        <v>47</v>
      </c>
      <c r="I835" s="9" t="s">
        <v>1719</v>
      </c>
      <c r="J835" s="9" t="s">
        <v>2072</v>
      </c>
      <c r="K835" s="9" t="s">
        <v>2073</v>
      </c>
      <c r="L835" s="10" t="s">
        <v>2073</v>
      </c>
      <c r="M835" s="9" t="s">
        <v>51</v>
      </c>
      <c r="N835" s="9">
        <v>60</v>
      </c>
      <c r="O835" s="9">
        <v>1</v>
      </c>
      <c r="P835" s="9">
        <v>59</v>
      </c>
      <c r="Q835" s="9">
        <v>60</v>
      </c>
      <c r="R835" s="9">
        <v>1</v>
      </c>
      <c r="S835" s="9">
        <v>-5.5299265000000002</v>
      </c>
      <c r="T835" s="9">
        <v>104.5462402</v>
      </c>
      <c r="U835" s="9" t="s">
        <v>52</v>
      </c>
      <c r="V835" s="11" t="s">
        <v>1722</v>
      </c>
      <c r="W835" s="13">
        <f>VLOOKUP(L835,'[1]update tim 2'!D:F,3,FALSE)</f>
        <v>5278938000</v>
      </c>
      <c r="X835" s="11" t="s">
        <v>55</v>
      </c>
      <c r="Y835" s="11" t="str">
        <f>VLOOKUP(L835,'[1]singkron data'!D:H,5,FALSE)</f>
        <v>Palembang</v>
      </c>
      <c r="Z835" s="11" t="str">
        <f>VLOOKUP(L835,'[1]singkron data'!D:I,6,FALSE)</f>
        <v>Online</v>
      </c>
      <c r="AA835" s="11" t="s">
        <v>2074</v>
      </c>
      <c r="AB835" s="11" t="s">
        <v>54</v>
      </c>
      <c r="AC835" s="11" t="s">
        <v>1716</v>
      </c>
      <c r="AD835" s="11" t="str">
        <f>VLOOKUP(L835,'[1]data 1129'!F:O,10,FALSE)</f>
        <v>Tahap II 146</v>
      </c>
      <c r="AE835" s="11">
        <f>VLOOKUP(L835,'[1]singkron data'!D:P,13,FALSE)</f>
        <v>0</v>
      </c>
      <c r="AF835" s="11" t="s">
        <v>55</v>
      </c>
      <c r="AG835" s="11" t="e">
        <f>VLOOKUP(L835,'[1]update kontrak'!E:K,6,FALSE)</f>
        <v>#N/A</v>
      </c>
      <c r="AH835" s="11" t="e">
        <f>VLOOKUP(L835,'[1]update kontrak'!E:K,7,FALSE)</f>
        <v>#N/A</v>
      </c>
      <c r="AI835" s="11"/>
      <c r="AJ835" s="11" t="str">
        <f>VLOOKUP(L835,[1]rekap!D:M,1,FALSE)</f>
        <v>Karang Anyar</v>
      </c>
      <c r="AK835" s="11" t="str">
        <f>VLOOKUP(L835,'[1]singkron data'!D:E,2,FALSE)</f>
        <v>PT. Cahaya Sriwijaya Abadi</v>
      </c>
      <c r="AL835" s="11" t="str">
        <f>VLOOKUP(L835,'[1]update 521'!D:D,1,FALSE)</f>
        <v>Karang Anyar</v>
      </c>
      <c r="AM835" s="11" t="s">
        <v>57</v>
      </c>
      <c r="AN835" s="11" t="e">
        <f>VLOOKUP(L835,[1]Sheet19!E:L,8,FALSE)</f>
        <v>#N/A</v>
      </c>
      <c r="AO835" s="11" t="s">
        <v>58</v>
      </c>
      <c r="AP835" s="12"/>
    </row>
    <row r="836" spans="1:42" ht="15" x14ac:dyDescent="0.2">
      <c r="A836" s="8" t="s">
        <v>42</v>
      </c>
      <c r="B836" s="9" t="s">
        <v>43</v>
      </c>
      <c r="C836" s="9">
        <v>433</v>
      </c>
      <c r="D836" s="9" t="s">
        <v>1631</v>
      </c>
      <c r="E836" s="9">
        <v>220</v>
      </c>
      <c r="F836" s="9" t="s">
        <v>2069</v>
      </c>
      <c r="G836" s="9" t="s">
        <v>1668</v>
      </c>
      <c r="H836" s="9" t="s">
        <v>47</v>
      </c>
      <c r="I836" s="9" t="s">
        <v>1719</v>
      </c>
      <c r="J836" s="9" t="s">
        <v>2075</v>
      </c>
      <c r="K836" s="9" t="s">
        <v>2076</v>
      </c>
      <c r="L836" s="10" t="s">
        <v>2076</v>
      </c>
      <c r="M836" s="9" t="s">
        <v>51</v>
      </c>
      <c r="N836" s="9">
        <v>480</v>
      </c>
      <c r="O836" s="9" t="s">
        <v>72</v>
      </c>
      <c r="P836" s="9">
        <v>238</v>
      </c>
      <c r="Q836" s="9">
        <v>238</v>
      </c>
      <c r="R836" s="9">
        <v>0.7</v>
      </c>
      <c r="S836" s="9">
        <v>-5.5133049999999999</v>
      </c>
      <c r="T836" s="9">
        <v>104.559922</v>
      </c>
      <c r="U836" s="9" t="s">
        <v>52</v>
      </c>
      <c r="V836" s="11" t="str">
        <f>VLOOKUP(L836,'[1]singkron data'!D:E,2,FALSE)</f>
        <v>PT. Hage Primadi Konstruksi (Menengah)</v>
      </c>
      <c r="W836" s="11"/>
      <c r="X836" s="11"/>
      <c r="Y836" s="11" t="str">
        <f>VLOOKUP(L836,'[1]singkron data'!D:H,5,FALSE)</f>
        <v>Jakarta</v>
      </c>
      <c r="Z836" s="11" t="str">
        <f>VLOOKUP(L836,'[1]singkron data'!D:I,6,FALSE)</f>
        <v>Online</v>
      </c>
      <c r="AA836" s="11" t="s">
        <v>2077</v>
      </c>
      <c r="AB836" s="11" t="s">
        <v>54</v>
      </c>
      <c r="AC836" s="11" t="str">
        <f>VLOOKUP(L836,'[1]singkron data'!D:M,10,FALSE)</f>
        <v>damar</v>
      </c>
      <c r="AD836" s="11" t="str">
        <f>VLOOKUP(L836,'[1]data 1129'!F:O,10,FALSE)</f>
        <v>Tahap II 146</v>
      </c>
      <c r="AE836" s="11">
        <f>VLOOKUP(L836,'[1]singkron data'!D:P,13,FALSE)</f>
        <v>0</v>
      </c>
      <c r="AF836" s="11" t="s">
        <v>55</v>
      </c>
      <c r="AG836" s="11" t="e">
        <f>VLOOKUP(L836,'[1]update kontrak'!E:K,6,FALSE)</f>
        <v>#N/A</v>
      </c>
      <c r="AH836" s="11" t="e">
        <f>VLOOKUP(L836,'[1]update kontrak'!E:K,7,FALSE)</f>
        <v>#N/A</v>
      </c>
      <c r="AI836" s="11"/>
      <c r="AJ836" s="11" t="str">
        <f>VLOOKUP(L836,[1]rekap!D:M,1,FALSE)</f>
        <v>Tanjung Agung</v>
      </c>
      <c r="AK836" s="11" t="str">
        <f>VLOOKUP(L836,'[1]singkron data'!D:E,2,FALSE)</f>
        <v>PT. Hage Primadi Konstruksi (Menengah)</v>
      </c>
      <c r="AL836" s="11" t="str">
        <f>VLOOKUP(L836,'[1]update 521'!D:D,1,FALSE)</f>
        <v>Tanjung Agung</v>
      </c>
      <c r="AM836" s="11" t="e">
        <v>#N/A</v>
      </c>
      <c r="AN836" s="11" t="e">
        <f>VLOOKUP(L836,[1]Sheet19!E:L,8,FALSE)</f>
        <v>#N/A</v>
      </c>
      <c r="AO836" s="11" t="e">
        <f>VLOOKUP(L836,[1]Sheet19!E:K,7,FALSE)</f>
        <v>#N/A</v>
      </c>
      <c r="AP836" s="12"/>
    </row>
    <row r="837" spans="1:42" ht="15" x14ac:dyDescent="0.2">
      <c r="A837" s="8" t="s">
        <v>42</v>
      </c>
      <c r="B837" s="9" t="s">
        <v>43</v>
      </c>
      <c r="C837" s="9">
        <v>434</v>
      </c>
      <c r="D837" s="9" t="s">
        <v>1631</v>
      </c>
      <c r="E837" s="9">
        <v>221</v>
      </c>
      <c r="F837" s="9" t="s">
        <v>2069</v>
      </c>
      <c r="G837" s="9" t="s">
        <v>1668</v>
      </c>
      <c r="H837" s="9" t="s">
        <v>47</v>
      </c>
      <c r="I837" s="9" t="s">
        <v>1719</v>
      </c>
      <c r="J837" s="9" t="s">
        <v>2075</v>
      </c>
      <c r="K837" s="9" t="s">
        <v>2078</v>
      </c>
      <c r="L837" s="10" t="s">
        <v>2078</v>
      </c>
      <c r="M837" s="9" t="s">
        <v>51</v>
      </c>
      <c r="N837" s="9">
        <v>89</v>
      </c>
      <c r="O837" s="9" t="s">
        <v>72</v>
      </c>
      <c r="P837" s="9">
        <v>70</v>
      </c>
      <c r="Q837" s="9">
        <v>70</v>
      </c>
      <c r="R837" s="9">
        <v>1.9</v>
      </c>
      <c r="S837" s="9">
        <v>-5.4978389999999999</v>
      </c>
      <c r="T837" s="9">
        <v>104.59719699999999</v>
      </c>
      <c r="U837" s="9" t="s">
        <v>52</v>
      </c>
      <c r="V837" s="11" t="str">
        <f>VLOOKUP(L837,'[1]singkron data'!D:E,2,FALSE)</f>
        <v>PT. Hage Primadi Konstruksi (Menengah)</v>
      </c>
      <c r="W837" s="13">
        <f>VLOOKUP(L837,'[1]update tim 2'!D:F,3,FALSE)</f>
        <v>4284126000</v>
      </c>
      <c r="X837" s="11" t="s">
        <v>55</v>
      </c>
      <c r="Y837" s="11" t="str">
        <f>VLOOKUP(L837,'[1]singkron data'!D:H,5,FALSE)</f>
        <v>Jakarta</v>
      </c>
      <c r="Z837" s="11" t="str">
        <f>VLOOKUP(L837,'[1]singkron data'!D:I,6,FALSE)</f>
        <v>Online</v>
      </c>
      <c r="AA837" s="11" t="s">
        <v>2077</v>
      </c>
      <c r="AB837" s="11" t="s">
        <v>54</v>
      </c>
      <c r="AC837" s="11" t="str">
        <f>VLOOKUP(L837,'[1]singkron data'!D:M,10,FALSE)</f>
        <v>damar</v>
      </c>
      <c r="AD837" s="11" t="str">
        <f>VLOOKUP(L837,'[1]data 1129'!F:O,10,FALSE)</f>
        <v>Tahap II 146</v>
      </c>
      <c r="AE837" s="11">
        <f>VLOOKUP(L837,'[1]singkron data'!D:P,13,FALSE)</f>
        <v>0</v>
      </c>
      <c r="AF837" s="11" t="s">
        <v>55</v>
      </c>
      <c r="AG837" s="11" t="e">
        <f>VLOOKUP(L837,'[1]update kontrak'!E:K,6,FALSE)</f>
        <v>#N/A</v>
      </c>
      <c r="AH837" s="11" t="e">
        <f>VLOOKUP(L837,'[1]update kontrak'!E:K,7,FALSE)</f>
        <v>#N/A</v>
      </c>
      <c r="AI837" s="11"/>
      <c r="AJ837" s="11" t="str">
        <f>VLOOKUP(L837,[1]rekap!D:M,1,FALSE)</f>
        <v>Tala Gening</v>
      </c>
      <c r="AK837" s="11" t="str">
        <f>VLOOKUP(L837,'[1]singkron data'!D:E,2,FALSE)</f>
        <v>PT. Hage Primadi Konstruksi (Menengah)</v>
      </c>
      <c r="AL837" s="11" t="str">
        <f>VLOOKUP(L837,'[1]update 521'!D:D,1,FALSE)</f>
        <v>Tala Gening</v>
      </c>
      <c r="AM837" s="11" t="s">
        <v>57</v>
      </c>
      <c r="AN837" s="11" t="e">
        <f>VLOOKUP(L837,[1]Sheet19!E:L,8,FALSE)</f>
        <v>#N/A</v>
      </c>
      <c r="AO837" s="11" t="s">
        <v>58</v>
      </c>
      <c r="AP837" s="12"/>
    </row>
    <row r="838" spans="1:42" ht="15" x14ac:dyDescent="0.2">
      <c r="A838" s="8" t="s">
        <v>42</v>
      </c>
      <c r="B838" s="9" t="s">
        <v>43</v>
      </c>
      <c r="C838" s="9">
        <v>435</v>
      </c>
      <c r="D838" s="9" t="s">
        <v>1631</v>
      </c>
      <c r="E838" s="9">
        <v>222</v>
      </c>
      <c r="F838" s="9" t="s">
        <v>2069</v>
      </c>
      <c r="G838" s="9" t="s">
        <v>1668</v>
      </c>
      <c r="H838" s="9" t="s">
        <v>47</v>
      </c>
      <c r="I838" s="9" t="s">
        <v>1719</v>
      </c>
      <c r="J838" s="9" t="s">
        <v>2070</v>
      </c>
      <c r="K838" s="9" t="s">
        <v>2079</v>
      </c>
      <c r="L838" s="10" t="s">
        <v>2079</v>
      </c>
      <c r="M838" s="9" t="s">
        <v>51</v>
      </c>
      <c r="N838" s="9">
        <v>130</v>
      </c>
      <c r="O838" s="9">
        <v>70</v>
      </c>
      <c r="P838" s="9">
        <v>131</v>
      </c>
      <c r="Q838" s="9">
        <v>201</v>
      </c>
      <c r="R838" s="9">
        <v>1</v>
      </c>
      <c r="S838" s="9">
        <v>-5.7306030000000003</v>
      </c>
      <c r="T838" s="9">
        <v>104.645</v>
      </c>
      <c r="U838" s="9" t="s">
        <v>52</v>
      </c>
      <c r="V838" s="11" t="str">
        <f>VLOOKUP(L838,'[1]singkron data'!D:E,2,FALSE)</f>
        <v>PT. Yuniarto Sejahtera Abadi</v>
      </c>
      <c r="W838" s="13">
        <f>VLOOKUP(L838,'[1]update tim 2'!D:F,3,FALSE)</f>
        <v>4421396000</v>
      </c>
      <c r="X838" s="11" t="s">
        <v>55</v>
      </c>
      <c r="Y838" s="11">
        <f>VLOOKUP(L838,'[1]singkron data'!D:H,5,FALSE)</f>
        <v>0</v>
      </c>
      <c r="Z838" s="11">
        <f>VLOOKUP(L838,'[1]singkron data'!D:I,6,FALSE)</f>
        <v>0</v>
      </c>
      <c r="AA838" s="11" t="str">
        <f>VLOOKUP(L838,'[1]singkron data'!D:L,9,FALSE)</f>
        <v>089663591345/soleh</v>
      </c>
      <c r="AB838" s="11" t="s">
        <v>54</v>
      </c>
      <c r="AC838" s="11" t="str">
        <f>VLOOKUP(L838,'[1]singkron data'!D:M,10,FALSE)</f>
        <v>aufar</v>
      </c>
      <c r="AD838" s="11" t="str">
        <f>VLOOKUP(L838,'[1]data 1129'!F:O,10,FALSE)</f>
        <v>Tahap IV 200</v>
      </c>
      <c r="AE838" s="11">
        <f>VLOOKUP(L838,'[1]singkron data'!D:P,13,FALSE)</f>
        <v>0</v>
      </c>
      <c r="AF838" s="11" t="s">
        <v>55</v>
      </c>
      <c r="AG838" s="11" t="e">
        <f>VLOOKUP(L838,'[1]update kontrak'!E:K,6,FALSE)</f>
        <v>#N/A</v>
      </c>
      <c r="AH838" s="11" t="e">
        <f>VLOOKUP(L838,'[1]update kontrak'!E:K,7,FALSE)</f>
        <v>#N/A</v>
      </c>
      <c r="AI838" s="11"/>
      <c r="AJ838" s="11" t="str">
        <f>VLOOKUP(L838,[1]rekap!D:M,1,FALSE)</f>
        <v>Karang Brak</v>
      </c>
      <c r="AK838" s="11" t="str">
        <f>VLOOKUP(L838,'[1]singkron data'!D:E,2,FALSE)</f>
        <v>PT. Yuniarto Sejahtera Abadi</v>
      </c>
      <c r="AL838" s="11" t="str">
        <f>VLOOKUP(L838,'[1]update 521'!D:D,1,FALSE)</f>
        <v>Karang Brak</v>
      </c>
      <c r="AM838" s="11" t="s">
        <v>57</v>
      </c>
      <c r="AN838" s="11" t="e">
        <f>VLOOKUP(L838,[1]Sheet19!E:L,8,FALSE)</f>
        <v>#N/A</v>
      </c>
      <c r="AO838" s="11" t="s">
        <v>58</v>
      </c>
      <c r="AP838" s="12"/>
    </row>
    <row r="839" spans="1:42" ht="15" x14ac:dyDescent="0.2">
      <c r="A839" s="8" t="s">
        <v>42</v>
      </c>
      <c r="B839" s="9" t="s">
        <v>43</v>
      </c>
      <c r="C839" s="9">
        <v>436</v>
      </c>
      <c r="D839" s="9" t="s">
        <v>1631</v>
      </c>
      <c r="E839" s="9">
        <v>223</v>
      </c>
      <c r="F839" s="9" t="s">
        <v>2069</v>
      </c>
      <c r="G839" s="9" t="s">
        <v>1668</v>
      </c>
      <c r="H839" s="9" t="s">
        <v>47</v>
      </c>
      <c r="I839" s="9" t="s">
        <v>1719</v>
      </c>
      <c r="J839" s="9" t="s">
        <v>2070</v>
      </c>
      <c r="K839" s="9" t="s">
        <v>2080</v>
      </c>
      <c r="L839" s="10" t="s">
        <v>2080</v>
      </c>
      <c r="M839" s="9" t="s">
        <v>51</v>
      </c>
      <c r="N839" s="9">
        <v>250</v>
      </c>
      <c r="O839" s="9">
        <v>25</v>
      </c>
      <c r="P839" s="9">
        <v>293</v>
      </c>
      <c r="Q839" s="9">
        <v>318</v>
      </c>
      <c r="R839" s="9">
        <v>0.51</v>
      </c>
      <c r="S839" s="9">
        <v>-5.5967989999999999</v>
      </c>
      <c r="T839" s="9">
        <v>104.561002</v>
      </c>
      <c r="U839" s="9" t="s">
        <v>52</v>
      </c>
      <c r="V839" s="11" t="str">
        <f>VLOOKUP(L839,'[1]singkron data'!D:E,2,FALSE)</f>
        <v>PT. Yuniarto Sejahtera Abadi</v>
      </c>
      <c r="W839" s="11"/>
      <c r="X839" s="11"/>
      <c r="Y839" s="11">
        <f>VLOOKUP(L839,'[1]singkron data'!D:H,5,FALSE)</f>
        <v>0</v>
      </c>
      <c r="Z839" s="11">
        <f>VLOOKUP(L839,'[1]singkron data'!D:I,6,FALSE)</f>
        <v>0</v>
      </c>
      <c r="AA839" s="11" t="str">
        <f>VLOOKUP(L839,'[1]singkron data'!D:L,9,FALSE)</f>
        <v>089663591345/soleh</v>
      </c>
      <c r="AB839" s="11" t="s">
        <v>54</v>
      </c>
      <c r="AC839" s="11" t="str">
        <f>VLOOKUP(L839,'[1]singkron data'!D:M,10,FALSE)</f>
        <v>aufar</v>
      </c>
      <c r="AD839" s="11" t="str">
        <f>VLOOKUP(L839,'[1]data 1129'!F:O,10,FALSE)</f>
        <v>Tahap II 146</v>
      </c>
      <c r="AE839" s="11">
        <f>VLOOKUP(L839,'[1]singkron data'!D:P,13,FALSE)</f>
        <v>0</v>
      </c>
      <c r="AF839" s="11" t="s">
        <v>55</v>
      </c>
      <c r="AG839" s="11" t="e">
        <f>VLOOKUP(L839,'[1]update kontrak'!E:K,6,FALSE)</f>
        <v>#N/A</v>
      </c>
      <c r="AH839" s="11" t="e">
        <f>VLOOKUP(L839,'[1]update kontrak'!E:K,7,FALSE)</f>
        <v>#N/A</v>
      </c>
      <c r="AI839" s="11"/>
      <c r="AJ839" s="11" t="str">
        <f>VLOOKUP(L839,[1]rekap!D:M,1,FALSE)</f>
        <v>Way Nipah</v>
      </c>
      <c r="AK839" s="11" t="str">
        <f>VLOOKUP(L839,'[1]singkron data'!D:E,2,FALSE)</f>
        <v>PT. Yuniarto Sejahtera Abadi</v>
      </c>
      <c r="AL839" s="11" t="str">
        <f>VLOOKUP(L839,'[1]update 521'!D:D,1,FALSE)</f>
        <v>Way Nipah</v>
      </c>
      <c r="AM839" s="11" t="e">
        <v>#N/A</v>
      </c>
      <c r="AN839" s="11" t="e">
        <f>VLOOKUP(L839,[1]Sheet19!E:L,8,FALSE)</f>
        <v>#N/A</v>
      </c>
      <c r="AO839" s="11" t="e">
        <f>VLOOKUP(L839,[1]Sheet19!E:K,7,FALSE)</f>
        <v>#N/A</v>
      </c>
      <c r="AP839" s="12"/>
    </row>
    <row r="840" spans="1:42" ht="15" x14ac:dyDescent="0.2">
      <c r="A840" s="8" t="s">
        <v>42</v>
      </c>
      <c r="B840" s="9" t="s">
        <v>43</v>
      </c>
      <c r="C840" s="9">
        <v>437</v>
      </c>
      <c r="D840" s="9" t="s">
        <v>1631</v>
      </c>
      <c r="E840" s="9">
        <v>224</v>
      </c>
      <c r="F840" s="9" t="s">
        <v>2069</v>
      </c>
      <c r="G840" s="9" t="s">
        <v>1668</v>
      </c>
      <c r="H840" s="9" t="s">
        <v>47</v>
      </c>
      <c r="I840" s="9" t="s">
        <v>1719</v>
      </c>
      <c r="J840" s="9" t="s">
        <v>2070</v>
      </c>
      <c r="K840" s="9" t="s">
        <v>2081</v>
      </c>
      <c r="L840" s="10" t="s">
        <v>2081</v>
      </c>
      <c r="M840" s="9" t="s">
        <v>51</v>
      </c>
      <c r="N840" s="9">
        <v>451</v>
      </c>
      <c r="O840" s="9">
        <v>30</v>
      </c>
      <c r="P840" s="9">
        <v>120</v>
      </c>
      <c r="Q840" s="9">
        <v>150</v>
      </c>
      <c r="R840" s="9">
        <v>0.96</v>
      </c>
      <c r="S840" s="9">
        <v>-5.5472409999999996</v>
      </c>
      <c r="T840" s="9">
        <v>104.528656</v>
      </c>
      <c r="U840" s="9" t="s">
        <v>52</v>
      </c>
      <c r="V840" s="11" t="str">
        <f>VLOOKUP(L840,'[1]singkron data'!D:E,2,FALSE)</f>
        <v>PT. Yuniarto Sejahtera Abadi</v>
      </c>
      <c r="W840" s="13">
        <f>VLOOKUP(L840,'[1]update tim 2'!D:F,3,FALSE)</f>
        <v>4906379000</v>
      </c>
      <c r="X840" s="11" t="s">
        <v>55</v>
      </c>
      <c r="Y840" s="11">
        <f>VLOOKUP(L840,'[1]singkron data'!D:H,5,FALSE)</f>
        <v>0</v>
      </c>
      <c r="Z840" s="11">
        <f>VLOOKUP(L840,'[1]singkron data'!D:I,6,FALSE)</f>
        <v>0</v>
      </c>
      <c r="AA840" s="11" t="str">
        <f>VLOOKUP(L840,'[1]singkron data'!D:L,9,FALSE)</f>
        <v>089663591345/soleh</v>
      </c>
      <c r="AB840" s="11" t="s">
        <v>54</v>
      </c>
      <c r="AC840" s="11" t="str">
        <f>VLOOKUP(L840,'[1]singkron data'!D:M,10,FALSE)</f>
        <v>aufar</v>
      </c>
      <c r="AD840" s="11" t="str">
        <f>VLOOKUP(L840,'[1]data 1129'!F:O,10,FALSE)</f>
        <v>Tahap II 146</v>
      </c>
      <c r="AE840" s="11">
        <f>VLOOKUP(L840,'[1]singkron data'!D:P,13,FALSE)</f>
        <v>0</v>
      </c>
      <c r="AF840" s="11" t="s">
        <v>55</v>
      </c>
      <c r="AG840" s="11" t="e">
        <f>VLOOKUP(L840,'[1]update kontrak'!E:K,6,FALSE)</f>
        <v>#N/A</v>
      </c>
      <c r="AH840" s="11" t="e">
        <f>VLOOKUP(L840,'[1]update kontrak'!E:K,7,FALSE)</f>
        <v>#N/A</v>
      </c>
      <c r="AI840" s="11"/>
      <c r="AJ840" s="11" t="str">
        <f>VLOOKUP(L840,[1]rekap!D:M,1,FALSE)</f>
        <v>Tanjungan</v>
      </c>
      <c r="AK840" s="11" t="str">
        <f>VLOOKUP(L840,'[1]singkron data'!D:E,2,FALSE)</f>
        <v>PT. Yuniarto Sejahtera Abadi</v>
      </c>
      <c r="AL840" s="11" t="str">
        <f>VLOOKUP(L840,'[1]update 521'!D:D,1,FALSE)</f>
        <v>Tanjungan</v>
      </c>
      <c r="AM840" s="11" t="s">
        <v>57</v>
      </c>
      <c r="AN840" s="11" t="e">
        <f>VLOOKUP(L840,[1]Sheet19!E:L,8,FALSE)</f>
        <v>#N/A</v>
      </c>
      <c r="AO840" s="11" t="s">
        <v>58</v>
      </c>
      <c r="AP840" s="12"/>
    </row>
    <row r="841" spans="1:42" ht="15" x14ac:dyDescent="0.2">
      <c r="A841" s="8" t="s">
        <v>42</v>
      </c>
      <c r="B841" s="9" t="s">
        <v>43</v>
      </c>
      <c r="C841" s="9">
        <v>438</v>
      </c>
      <c r="D841" s="9" t="s">
        <v>1631</v>
      </c>
      <c r="E841" s="9">
        <v>225</v>
      </c>
      <c r="F841" s="9" t="s">
        <v>2082</v>
      </c>
      <c r="G841" s="9" t="s">
        <v>1831</v>
      </c>
      <c r="H841" s="9" t="s">
        <v>47</v>
      </c>
      <c r="I841" s="9" t="s">
        <v>2083</v>
      </c>
      <c r="J841" s="9" t="s">
        <v>2084</v>
      </c>
      <c r="K841" s="9" t="s">
        <v>2085</v>
      </c>
      <c r="L841" s="10" t="s">
        <v>2085</v>
      </c>
      <c r="M841" s="9" t="s">
        <v>65</v>
      </c>
      <c r="N841" s="9">
        <v>80</v>
      </c>
      <c r="O841" s="9" t="s">
        <v>72</v>
      </c>
      <c r="P841" s="9">
        <v>95</v>
      </c>
      <c r="Q841" s="9">
        <v>95</v>
      </c>
      <c r="R841" s="9">
        <v>1.2</v>
      </c>
      <c r="S841" s="9">
        <v>-1.117264</v>
      </c>
      <c r="T841" s="9">
        <v>100.387176</v>
      </c>
      <c r="U841" s="9" t="s">
        <v>52</v>
      </c>
      <c r="V841" s="11" t="s">
        <v>2086</v>
      </c>
      <c r="W841" s="11"/>
      <c r="X841" s="11"/>
      <c r="Y841" s="11">
        <f>VLOOKUP(L841,'[1]singkron data'!D:H,5,FALSE)</f>
        <v>0</v>
      </c>
      <c r="Z841" s="11">
        <f>VLOOKUP(L841,'[1]singkron data'!D:I,6,FALSE)</f>
        <v>0</v>
      </c>
      <c r="AA841" s="11" t="s">
        <v>2087</v>
      </c>
      <c r="AB841" s="11" t="s">
        <v>54</v>
      </c>
      <c r="AC841" s="11" t="s">
        <v>1199</v>
      </c>
      <c r="AD841" s="11" t="str">
        <f>VLOOKUP(L841,'[1]data 1129'!F:O,10,FALSE)</f>
        <v>Tahap III 166</v>
      </c>
      <c r="AE841" s="11">
        <f>VLOOKUP(L841,'[1]singkron data'!D:P,13,FALSE)</f>
        <v>0</v>
      </c>
      <c r="AF841" s="11" t="s">
        <v>55</v>
      </c>
      <c r="AG841" s="11" t="e">
        <f>VLOOKUP(L841,'[1]update kontrak'!E:K,6,FALSE)</f>
        <v>#N/A</v>
      </c>
      <c r="AH841" s="11" t="e">
        <f>VLOOKUP(L841,'[1]update kontrak'!E:K,7,FALSE)</f>
        <v>#N/A</v>
      </c>
      <c r="AI841" s="11"/>
      <c r="AJ841" s="11" t="str">
        <f>VLOOKUP(L841,[1]rekap!D:M,1,FALSE)</f>
        <v>Teluk Kabung Selatan</v>
      </c>
      <c r="AK841" s="11" t="str">
        <f>VLOOKUP(L841,'[1]singkron data'!D:E,2,FALSE)</f>
        <v>PT. Wijaya Karya Bangunan Gedung</v>
      </c>
      <c r="AL841" s="11" t="str">
        <f>VLOOKUP(L841,'[1]update 521'!D:D,1,FALSE)</f>
        <v>Teluk Kabung Selatan</v>
      </c>
      <c r="AM841" s="11" t="e">
        <v>#N/A</v>
      </c>
      <c r="AN841" s="11" t="e">
        <f>VLOOKUP(L841,[1]Sheet19!E:L,8,FALSE)</f>
        <v>#N/A</v>
      </c>
      <c r="AO841" s="11" t="e">
        <f>VLOOKUP(L841,[1]Sheet19!E:K,7,FALSE)</f>
        <v>#N/A</v>
      </c>
      <c r="AP841" s="12"/>
    </row>
    <row r="842" spans="1:42" ht="15" x14ac:dyDescent="0.2">
      <c r="A842" s="8" t="s">
        <v>42</v>
      </c>
      <c r="B842" s="9" t="s">
        <v>43</v>
      </c>
      <c r="C842" s="9">
        <v>439</v>
      </c>
      <c r="D842" s="9" t="s">
        <v>1631</v>
      </c>
      <c r="E842" s="9">
        <v>226</v>
      </c>
      <c r="F842" s="9" t="s">
        <v>2088</v>
      </c>
      <c r="G842" s="9" t="s">
        <v>1831</v>
      </c>
      <c r="H842" s="9" t="s">
        <v>47</v>
      </c>
      <c r="I842" s="9" t="s">
        <v>2089</v>
      </c>
      <c r="J842" s="9" t="s">
        <v>2090</v>
      </c>
      <c r="K842" s="9" t="s">
        <v>2091</v>
      </c>
      <c r="L842" s="10" t="s">
        <v>2091</v>
      </c>
      <c r="M842" s="9" t="s">
        <v>51</v>
      </c>
      <c r="N842" s="9">
        <v>170</v>
      </c>
      <c r="O842" s="9">
        <v>20</v>
      </c>
      <c r="P842" s="9">
        <v>60</v>
      </c>
      <c r="Q842" s="9">
        <v>80</v>
      </c>
      <c r="R842" s="9">
        <v>0.3</v>
      </c>
      <c r="S842" s="9">
        <v>-1.575472</v>
      </c>
      <c r="T842" s="9">
        <v>99.195971999999998</v>
      </c>
      <c r="U842" s="9" t="s">
        <v>52</v>
      </c>
      <c r="V842" s="11" t="s">
        <v>2086</v>
      </c>
      <c r="W842" s="13">
        <f>VLOOKUP(L842,'[1]update tim 2'!D:F,3,FALSE)</f>
        <v>4574811000</v>
      </c>
      <c r="X842" s="11" t="s">
        <v>55</v>
      </c>
      <c r="Y842" s="11">
        <f>VLOOKUP(L842,'[1]singkron data'!D:H,5,FALSE)</f>
        <v>0</v>
      </c>
      <c r="Z842" s="11">
        <f>VLOOKUP(L842,'[1]singkron data'!D:I,6,FALSE)</f>
        <v>0</v>
      </c>
      <c r="AA842" s="11" t="s">
        <v>2087</v>
      </c>
      <c r="AB842" s="11" t="s">
        <v>54</v>
      </c>
      <c r="AC842" s="11" t="s">
        <v>1199</v>
      </c>
      <c r="AD842" s="11" t="str">
        <f>VLOOKUP(L842,'[1]data 1129'!F:O,10,FALSE)</f>
        <v>Tahap III 166</v>
      </c>
      <c r="AE842" s="11">
        <f>VLOOKUP(L842,'[1]singkron data'!D:P,13,FALSE)</f>
        <v>0</v>
      </c>
      <c r="AF842" s="11" t="s">
        <v>55</v>
      </c>
      <c r="AG842" s="11" t="e">
        <f>VLOOKUP(L842,'[1]update kontrak'!E:K,6,FALSE)</f>
        <v>#N/A</v>
      </c>
      <c r="AH842" s="11" t="e">
        <f>VLOOKUP(L842,'[1]update kontrak'!E:K,7,FALSE)</f>
        <v>#N/A</v>
      </c>
      <c r="AI842" s="11"/>
      <c r="AJ842" s="11" t="str">
        <f>VLOOKUP(L842,[1]rekap!D:M,1,FALSE)</f>
        <v>Maileppet</v>
      </c>
      <c r="AK842" s="11" t="str">
        <f>VLOOKUP(L842,'[1]singkron data'!D:E,2,FALSE)</f>
        <v>PT. Wijaya Karya Bangunan Gedung</v>
      </c>
      <c r="AL842" s="11" t="str">
        <f>VLOOKUP(L842,'[1]update 521'!D:D,1,FALSE)</f>
        <v>Maileppet</v>
      </c>
      <c r="AM842" s="11" t="s">
        <v>57</v>
      </c>
      <c r="AN842" s="11" t="e">
        <f>VLOOKUP(L842,[1]Sheet19!E:L,8,FALSE)</f>
        <v>#N/A</v>
      </c>
      <c r="AO842" s="11" t="s">
        <v>58</v>
      </c>
      <c r="AP842" s="12"/>
    </row>
    <row r="843" spans="1:42" ht="15" x14ac:dyDescent="0.2">
      <c r="A843" s="8" t="s">
        <v>42</v>
      </c>
      <c r="B843" s="9" t="s">
        <v>43</v>
      </c>
      <c r="C843" s="9">
        <v>440</v>
      </c>
      <c r="D843" s="9" t="s">
        <v>1631</v>
      </c>
      <c r="E843" s="9">
        <v>227</v>
      </c>
      <c r="F843" s="9" t="s">
        <v>2082</v>
      </c>
      <c r="G843" s="9" t="s">
        <v>1831</v>
      </c>
      <c r="H843" s="9" t="s">
        <v>47</v>
      </c>
      <c r="I843" s="9" t="s">
        <v>1841</v>
      </c>
      <c r="J843" s="9" t="s">
        <v>2092</v>
      </c>
      <c r="K843" s="9" t="s">
        <v>2093</v>
      </c>
      <c r="L843" s="10" t="s">
        <v>2093</v>
      </c>
      <c r="M843" s="9" t="s">
        <v>51</v>
      </c>
      <c r="N843" s="9">
        <v>328</v>
      </c>
      <c r="O843" s="9">
        <v>31</v>
      </c>
      <c r="P843" s="9">
        <v>35</v>
      </c>
      <c r="Q843" s="9">
        <v>66</v>
      </c>
      <c r="R843" s="9">
        <v>0.43</v>
      </c>
      <c r="S843" s="9">
        <v>-1.145759</v>
      </c>
      <c r="T843" s="9">
        <v>100.380916</v>
      </c>
      <c r="U843" s="9" t="s">
        <v>52</v>
      </c>
      <c r="V843" s="11" t="s">
        <v>2086</v>
      </c>
      <c r="W843" s="11"/>
      <c r="X843" s="11"/>
      <c r="Y843" s="11">
        <f>VLOOKUP(L843,'[1]singkron data'!D:H,5,FALSE)</f>
        <v>0</v>
      </c>
      <c r="Z843" s="11">
        <f>VLOOKUP(L843,'[1]singkron data'!D:I,6,FALSE)</f>
        <v>0</v>
      </c>
      <c r="AA843" s="11" t="s">
        <v>2087</v>
      </c>
      <c r="AB843" s="11" t="s">
        <v>54</v>
      </c>
      <c r="AC843" s="11" t="s">
        <v>1199</v>
      </c>
      <c r="AD843" s="11" t="str">
        <f>VLOOKUP(L843,'[1]data 1129'!F:O,10,FALSE)</f>
        <v>Tahap III 166</v>
      </c>
      <c r="AE843" s="11">
        <f>VLOOKUP(L843,'[1]singkron data'!D:P,13,FALSE)</f>
        <v>0</v>
      </c>
      <c r="AF843" s="11" t="s">
        <v>55</v>
      </c>
      <c r="AG843" s="11" t="e">
        <f>VLOOKUP(L843,'[1]update kontrak'!E:K,6,FALSE)</f>
        <v>#N/A</v>
      </c>
      <c r="AH843" s="11" t="e">
        <f>VLOOKUP(L843,'[1]update kontrak'!E:K,7,FALSE)</f>
        <v>#N/A</v>
      </c>
      <c r="AI843" s="11"/>
      <c r="AJ843" s="11" t="str">
        <f>VLOOKUP(L843,[1]rekap!D:M,1,FALSE)</f>
        <v>Sungai Pinang</v>
      </c>
      <c r="AK843" s="11" t="str">
        <f>VLOOKUP(L843,'[1]singkron data'!D:E,2,FALSE)</f>
        <v>PT. Wijaya Karya Bangunan Gedung</v>
      </c>
      <c r="AL843" s="11" t="str">
        <f>VLOOKUP(L843,'[1]update 521'!D:D,1,FALSE)</f>
        <v>Sungai Pinang</v>
      </c>
      <c r="AM843" s="11" t="s">
        <v>57</v>
      </c>
      <c r="AN843" s="11" t="e">
        <f>VLOOKUP(L843,[1]Sheet19!E:L,8,FALSE)</f>
        <v>#N/A</v>
      </c>
      <c r="AO843" s="11" t="s">
        <v>58</v>
      </c>
      <c r="AP843" s="12"/>
    </row>
    <row r="844" spans="1:42" ht="15" x14ac:dyDescent="0.2">
      <c r="A844" s="8" t="s">
        <v>42</v>
      </c>
      <c r="B844" s="9" t="s">
        <v>43</v>
      </c>
      <c r="C844" s="9">
        <v>441</v>
      </c>
      <c r="D844" s="9" t="s">
        <v>1631</v>
      </c>
      <c r="E844" s="9">
        <v>228</v>
      </c>
      <c r="F844" s="9" t="s">
        <v>2094</v>
      </c>
      <c r="G844" s="9" t="s">
        <v>1647</v>
      </c>
      <c r="H844" s="9" t="s">
        <v>47</v>
      </c>
      <c r="I844" s="9" t="s">
        <v>2095</v>
      </c>
      <c r="J844" s="9" t="s">
        <v>2096</v>
      </c>
      <c r="K844" s="9" t="s">
        <v>2097</v>
      </c>
      <c r="L844" s="10" t="s">
        <v>2097</v>
      </c>
      <c r="M844" s="9" t="s">
        <v>65</v>
      </c>
      <c r="N844" s="9">
        <v>337</v>
      </c>
      <c r="O844" s="9" t="s">
        <v>72</v>
      </c>
      <c r="P844" s="9">
        <v>228</v>
      </c>
      <c r="Q844" s="9">
        <v>228</v>
      </c>
      <c r="R844" s="9">
        <v>0.2</v>
      </c>
      <c r="S844" s="9">
        <v>-1.5553129999999999</v>
      </c>
      <c r="T844" s="9">
        <v>105.60252199999999</v>
      </c>
      <c r="U844" s="9" t="s">
        <v>52</v>
      </c>
      <c r="V844" s="31" t="s">
        <v>2098</v>
      </c>
      <c r="W844" s="11"/>
      <c r="X844" s="11"/>
      <c r="Y844" s="11">
        <f>VLOOKUP(L844,'[1]singkron data'!D:H,5,FALSE)</f>
        <v>0</v>
      </c>
      <c r="Z844" s="11">
        <f>VLOOKUP(L844,'[1]singkron data'!D:I,6,FALSE)</f>
        <v>0</v>
      </c>
      <c r="AA844" s="11" t="s">
        <v>2099</v>
      </c>
      <c r="AB844" s="11" t="s">
        <v>54</v>
      </c>
      <c r="AC844" s="11" t="s">
        <v>566</v>
      </c>
      <c r="AD844" s="11" t="str">
        <f>VLOOKUP(L844,'[1]data 1129'!F:O,10,FALSE)</f>
        <v>Tahap IV 200</v>
      </c>
      <c r="AE844" s="11">
        <f>VLOOKUP(L844,'[1]singkron data'!D:P,13,FALSE)</f>
        <v>0</v>
      </c>
      <c r="AF844" s="11" t="s">
        <v>55</v>
      </c>
      <c r="AG844" s="11" t="e">
        <f>VLOOKUP(L844,'[1]update kontrak'!E:K,6,FALSE)</f>
        <v>#N/A</v>
      </c>
      <c r="AH844" s="11" t="e">
        <f>VLOOKUP(L844,'[1]update kontrak'!E:K,7,FALSE)</f>
        <v>#N/A</v>
      </c>
      <c r="AI844" s="11"/>
      <c r="AJ844" s="11" t="str">
        <f>VLOOKUP(L844,[1]rekap!D:M,1,FALSE)</f>
        <v>Teluk Limau</v>
      </c>
      <c r="AK844" s="11" t="str">
        <f>VLOOKUP(L844,'[1]singkron data'!D:E,2,FALSE)</f>
        <v>PT. Wimala Nusantara Jaya</v>
      </c>
      <c r="AL844" s="11" t="str">
        <f>VLOOKUP(L844,'[1]update 521'!D:D,1,FALSE)</f>
        <v>Teluk Limau</v>
      </c>
      <c r="AM844" s="11" t="s">
        <v>96</v>
      </c>
      <c r="AN844" s="11" t="e">
        <f>VLOOKUP(L844,[1]Sheet19!E:L,8,FALSE)</f>
        <v>#N/A</v>
      </c>
      <c r="AO844" s="11" t="e">
        <f>VLOOKUP(L844,[1]Sheet19!E:K,7,FALSE)</f>
        <v>#N/A</v>
      </c>
      <c r="AP844" s="12"/>
    </row>
    <row r="845" spans="1:42" ht="15" x14ac:dyDescent="0.2">
      <c r="A845" s="8" t="s">
        <v>42</v>
      </c>
      <c r="B845" s="9" t="s">
        <v>43</v>
      </c>
      <c r="C845" s="9">
        <v>442</v>
      </c>
      <c r="D845" s="9" t="s">
        <v>1631</v>
      </c>
      <c r="E845" s="9">
        <v>229</v>
      </c>
      <c r="F845" s="9" t="s">
        <v>2094</v>
      </c>
      <c r="G845" s="9" t="s">
        <v>1647</v>
      </c>
      <c r="H845" s="9" t="s">
        <v>47</v>
      </c>
      <c r="I845" s="9" t="s">
        <v>2095</v>
      </c>
      <c r="J845" s="9" t="s">
        <v>2100</v>
      </c>
      <c r="K845" s="9" t="s">
        <v>2101</v>
      </c>
      <c r="L845" s="10" t="s">
        <v>2101</v>
      </c>
      <c r="M845" s="9" t="s">
        <v>51</v>
      </c>
      <c r="N845" s="9">
        <v>79</v>
      </c>
      <c r="O845" s="9">
        <v>5</v>
      </c>
      <c r="P845" s="9">
        <v>74</v>
      </c>
      <c r="Q845" s="9">
        <v>79</v>
      </c>
      <c r="R845" s="9">
        <v>0.6</v>
      </c>
      <c r="S845" s="9">
        <v>-1.899607</v>
      </c>
      <c r="T845" s="9">
        <v>105.252628</v>
      </c>
      <c r="U845" s="9" t="s">
        <v>52</v>
      </c>
      <c r="V845" s="11" t="s">
        <v>2102</v>
      </c>
      <c r="W845" s="11"/>
      <c r="X845" s="11"/>
      <c r="Y845" s="11">
        <f>VLOOKUP(L845,'[1]singkron data'!D:H,5,FALSE)</f>
        <v>0</v>
      </c>
      <c r="Z845" s="11">
        <f>VLOOKUP(L845,'[1]singkron data'!D:I,6,FALSE)</f>
        <v>0</v>
      </c>
      <c r="AA845" s="11" t="s">
        <v>2103</v>
      </c>
      <c r="AB845" s="11" t="s">
        <v>54</v>
      </c>
      <c r="AC845" s="11" t="s">
        <v>1461</v>
      </c>
      <c r="AD845" s="11" t="str">
        <f>VLOOKUP(L845,'[1]data 1129'!F:O,10,FALSE)</f>
        <v>Tahap IV 200</v>
      </c>
      <c r="AE845" s="11">
        <f>VLOOKUP(L845,'[1]singkron data'!D:P,13,FALSE)</f>
        <v>0</v>
      </c>
      <c r="AF845" s="11" t="s">
        <v>55</v>
      </c>
      <c r="AG845" s="11" t="e">
        <f>VLOOKUP(L845,'[1]update kontrak'!E:K,6,FALSE)</f>
        <v>#N/A</v>
      </c>
      <c r="AH845" s="11" t="e">
        <f>VLOOKUP(L845,'[1]update kontrak'!E:K,7,FALSE)</f>
        <v>#N/A</v>
      </c>
      <c r="AI845" s="11"/>
      <c r="AJ845" s="11" t="str">
        <f>VLOOKUP(L845,[1]rekap!D:M,1,FALSE)</f>
        <v>Rambat</v>
      </c>
      <c r="AK845" s="11" t="str">
        <f>VLOOKUP(L845,'[1]singkron data'!D:E,2,FALSE)</f>
        <v>PT. Wimala Nusantara Jaya</v>
      </c>
      <c r="AL845" s="11" t="str">
        <f>VLOOKUP(L845,'[1]update 521'!D:D,1,FALSE)</f>
        <v>Rambat</v>
      </c>
      <c r="AM845" s="11" t="s">
        <v>96</v>
      </c>
      <c r="AN845" s="11" t="e">
        <f>VLOOKUP(L845,[1]Sheet19!E:L,8,FALSE)</f>
        <v>#N/A</v>
      </c>
      <c r="AO845" s="11" t="e">
        <f>VLOOKUP(L845,[1]Sheet19!E:K,7,FALSE)</f>
        <v>#N/A</v>
      </c>
      <c r="AP845" s="12"/>
    </row>
    <row r="846" spans="1:42" ht="15" x14ac:dyDescent="0.2">
      <c r="A846" s="8" t="s">
        <v>42</v>
      </c>
      <c r="B846" s="9" t="s">
        <v>43</v>
      </c>
      <c r="C846" s="9">
        <v>443</v>
      </c>
      <c r="D846" s="9" t="s">
        <v>1631</v>
      </c>
      <c r="E846" s="9">
        <v>230</v>
      </c>
      <c r="F846" s="9" t="s">
        <v>2094</v>
      </c>
      <c r="G846" s="9" t="s">
        <v>1647</v>
      </c>
      <c r="H846" s="9" t="s">
        <v>47</v>
      </c>
      <c r="I846" s="9" t="s">
        <v>2095</v>
      </c>
      <c r="J846" s="9" t="s">
        <v>2104</v>
      </c>
      <c r="K846" s="9" t="s">
        <v>2105</v>
      </c>
      <c r="L846" s="10" t="s">
        <v>2105</v>
      </c>
      <c r="M846" s="9" t="s">
        <v>51</v>
      </c>
      <c r="N846" s="9">
        <v>118</v>
      </c>
      <c r="O846" s="9" t="s">
        <v>72</v>
      </c>
      <c r="P846" s="9">
        <v>100</v>
      </c>
      <c r="Q846" s="9">
        <v>100</v>
      </c>
      <c r="R846" s="9">
        <v>0.1</v>
      </c>
      <c r="S846" s="9">
        <v>-2.0811410000000001</v>
      </c>
      <c r="T846" s="9">
        <v>105.562573</v>
      </c>
      <c r="U846" s="9" t="s">
        <v>52</v>
      </c>
      <c r="V846" s="11" t="s">
        <v>2102</v>
      </c>
      <c r="W846" s="11"/>
      <c r="X846" s="11"/>
      <c r="Y846" s="11">
        <f>VLOOKUP(L846,'[1]singkron data'!D:H,5,FALSE)</f>
        <v>0</v>
      </c>
      <c r="Z846" s="11">
        <f>VLOOKUP(L846,'[1]singkron data'!D:I,6,FALSE)</f>
        <v>0</v>
      </c>
      <c r="AA846" s="11" t="s">
        <v>2103</v>
      </c>
      <c r="AB846" s="11" t="s">
        <v>54</v>
      </c>
      <c r="AC846" s="11" t="s">
        <v>1461</v>
      </c>
      <c r="AD846" s="11" t="str">
        <f>VLOOKUP(L846,'[1]data 1129'!F:O,10,FALSE)</f>
        <v>Tahap IV 200</v>
      </c>
      <c r="AE846" s="11">
        <f>VLOOKUP(L846,'[1]singkron data'!D:P,13,FALSE)</f>
        <v>0</v>
      </c>
      <c r="AF846" s="11" t="s">
        <v>55</v>
      </c>
      <c r="AG846" s="11" t="e">
        <f>VLOOKUP(L846,'[1]update kontrak'!E:K,6,FALSE)</f>
        <v>#N/A</v>
      </c>
      <c r="AH846" s="11" t="e">
        <f>VLOOKUP(L846,'[1]update kontrak'!E:K,7,FALSE)</f>
        <v>#N/A</v>
      </c>
      <c r="AI846" s="11"/>
      <c r="AJ846" s="11" t="str">
        <f>VLOOKUP(L846,[1]rekap!D:M,1,FALSE)</f>
        <v>Tanjung Niur</v>
      </c>
      <c r="AK846" s="11" t="str">
        <f>VLOOKUP(L846,'[1]singkron data'!D:E,2,FALSE)</f>
        <v>PT. Wimala Nusantara Jaya</v>
      </c>
      <c r="AL846" s="11" t="str">
        <f>VLOOKUP(L846,'[1]update 521'!D:D,1,FALSE)</f>
        <v>Tanjung Niur</v>
      </c>
      <c r="AM846" s="11" t="s">
        <v>96</v>
      </c>
      <c r="AN846" s="11" t="e">
        <f>VLOOKUP(L846,[1]Sheet19!E:L,8,FALSE)</f>
        <v>#N/A</v>
      </c>
      <c r="AO846" s="11" t="e">
        <f>VLOOKUP(L846,[1]Sheet19!E:K,7,FALSE)</f>
        <v>#N/A</v>
      </c>
      <c r="AP846" s="12"/>
    </row>
    <row r="847" spans="1:42" ht="15" x14ac:dyDescent="0.2">
      <c r="A847" s="8" t="s">
        <v>42</v>
      </c>
      <c r="B847" s="9" t="s">
        <v>43</v>
      </c>
      <c r="C847" s="9">
        <v>444</v>
      </c>
      <c r="D847" s="9" t="s">
        <v>1631</v>
      </c>
      <c r="E847" s="9">
        <v>231</v>
      </c>
      <c r="F847" s="9" t="s">
        <v>2106</v>
      </c>
      <c r="G847" s="9" t="s">
        <v>1656</v>
      </c>
      <c r="H847" s="9" t="s">
        <v>47</v>
      </c>
      <c r="I847" s="9" t="s">
        <v>2107</v>
      </c>
      <c r="J847" s="9" t="s">
        <v>2108</v>
      </c>
      <c r="K847" s="9" t="s">
        <v>2109</v>
      </c>
      <c r="L847" s="9" t="s">
        <v>2109</v>
      </c>
      <c r="M847" s="9" t="s">
        <v>65</v>
      </c>
      <c r="N847" s="9">
        <v>157</v>
      </c>
      <c r="O847" s="9">
        <v>3</v>
      </c>
      <c r="P847" s="9">
        <v>139</v>
      </c>
      <c r="Q847" s="9">
        <v>142</v>
      </c>
      <c r="R847" s="9">
        <v>1.22</v>
      </c>
      <c r="S847" s="9">
        <v>2.3366340000000001</v>
      </c>
      <c r="T847" s="9">
        <v>97.387923999999998</v>
      </c>
      <c r="U847" s="9"/>
      <c r="V847" s="11" t="e">
        <f>VLOOKUP(L847,'[1]singkron data'!D:E,2,FALSE)</f>
        <v>#N/A</v>
      </c>
      <c r="W847" s="11"/>
      <c r="X847" s="11"/>
      <c r="Y847" s="11" t="e">
        <f>VLOOKUP(L847,'[1]singkron data'!D:H,5,FALSE)</f>
        <v>#N/A</v>
      </c>
      <c r="Z847" s="11" t="e">
        <f>VLOOKUP(L847,'[1]singkron data'!D:I,6,FALSE)</f>
        <v>#N/A</v>
      </c>
      <c r="AA847" s="11" t="e">
        <f>VLOOKUP(L847,'[1]singkron data'!D:L,9,FALSE)</f>
        <v>#N/A</v>
      </c>
      <c r="AB847" s="11" t="s">
        <v>694</v>
      </c>
      <c r="AC847" s="11" t="e">
        <f>VLOOKUP(L847,'[1]singkron data'!D:M,10,FALSE)</f>
        <v>#N/A</v>
      </c>
      <c r="AD847" s="11" t="s">
        <v>364</v>
      </c>
      <c r="AE847" s="11" t="e">
        <f>VLOOKUP(L847,'[1]singkron data'!D:P,13,FALSE)</f>
        <v>#N/A</v>
      </c>
      <c r="AF847" s="11" t="s">
        <v>55</v>
      </c>
      <c r="AG847" s="11" t="e">
        <f>VLOOKUP(L847,'[1]update kontrak'!E:K,6,FALSE)</f>
        <v>#N/A</v>
      </c>
      <c r="AH847" s="11" t="e">
        <f>VLOOKUP(L847,'[1]update kontrak'!E:K,7,FALSE)</f>
        <v>#N/A</v>
      </c>
      <c r="AI847" s="11"/>
      <c r="AJ847" s="11" t="str">
        <f>VLOOKUP(L847,[1]rekap!D:M,1,FALSE)</f>
        <v>Teluk Nibung</v>
      </c>
      <c r="AK847" s="11" t="e">
        <f>VLOOKUP(L847,'[1]singkron data'!D:E,2,FALSE)</f>
        <v>#N/A</v>
      </c>
      <c r="AL847" s="11" t="str">
        <f>VLOOKUP(L847,'[1]update 521'!D:D,1,FALSE)</f>
        <v>Teluk Nibung</v>
      </c>
      <c r="AM847" s="11" t="s">
        <v>96</v>
      </c>
      <c r="AN847" s="11" t="e">
        <f>VLOOKUP(L847,[1]Sheet19!E:L,8,FALSE)</f>
        <v>#N/A</v>
      </c>
      <c r="AO847" s="11" t="e">
        <f>VLOOKUP(L847,[1]Sheet19!E:K,7,FALSE)</f>
        <v>#N/A</v>
      </c>
      <c r="AP847" s="12"/>
    </row>
    <row r="848" spans="1:42" ht="15" x14ac:dyDescent="0.2">
      <c r="A848" s="8" t="s">
        <v>42</v>
      </c>
      <c r="B848" s="9" t="s">
        <v>43</v>
      </c>
      <c r="C848" s="9">
        <v>445</v>
      </c>
      <c r="D848" s="9" t="s">
        <v>1631</v>
      </c>
      <c r="E848" s="9">
        <v>232</v>
      </c>
      <c r="F848" s="9" t="s">
        <v>2106</v>
      </c>
      <c r="G848" s="9" t="s">
        <v>1656</v>
      </c>
      <c r="H848" s="9" t="s">
        <v>47</v>
      </c>
      <c r="I848" s="9" t="s">
        <v>1816</v>
      </c>
      <c r="J848" s="9" t="s">
        <v>2110</v>
      </c>
      <c r="K848" s="9" t="s">
        <v>2111</v>
      </c>
      <c r="L848" s="9" t="s">
        <v>2111</v>
      </c>
      <c r="M848" s="9" t="s">
        <v>51</v>
      </c>
      <c r="N848" s="9">
        <v>623</v>
      </c>
      <c r="O848" s="9">
        <v>7</v>
      </c>
      <c r="P848" s="9">
        <v>110</v>
      </c>
      <c r="Q848" s="9">
        <v>117</v>
      </c>
      <c r="R848" s="9">
        <v>1.22</v>
      </c>
      <c r="S848" s="9">
        <v>2.8914</v>
      </c>
      <c r="T848" s="9">
        <v>97.525239999999997</v>
      </c>
      <c r="U848" s="9"/>
      <c r="V848" s="11" t="e">
        <f>VLOOKUP(L848,'[1]singkron data'!D:E,2,FALSE)</f>
        <v>#N/A</v>
      </c>
      <c r="W848" s="11"/>
      <c r="X848" s="11"/>
      <c r="Y848" s="11" t="e">
        <f>VLOOKUP(L848,'[1]singkron data'!D:H,5,FALSE)</f>
        <v>#N/A</v>
      </c>
      <c r="Z848" s="11" t="e">
        <f>VLOOKUP(L848,'[1]singkron data'!D:I,6,FALSE)</f>
        <v>#N/A</v>
      </c>
      <c r="AA848" s="11" t="e">
        <f>VLOOKUP(L848,'[1]singkron data'!D:L,9,FALSE)</f>
        <v>#N/A</v>
      </c>
      <c r="AB848" s="11" t="s">
        <v>694</v>
      </c>
      <c r="AC848" s="11" t="e">
        <f>VLOOKUP(L848,'[1]singkron data'!D:M,10,FALSE)</f>
        <v>#N/A</v>
      </c>
      <c r="AD848" s="11" t="s">
        <v>364</v>
      </c>
      <c r="AE848" s="11" t="e">
        <f>VLOOKUP(L848,'[1]singkron data'!D:P,13,FALSE)</f>
        <v>#N/A</v>
      </c>
      <c r="AF848" s="11" t="s">
        <v>55</v>
      </c>
      <c r="AG848" s="11" t="e">
        <f>VLOOKUP(L848,'[1]update kontrak'!E:K,6,FALSE)</f>
        <v>#N/A</v>
      </c>
      <c r="AH848" s="11" t="e">
        <f>VLOOKUP(L848,'[1]update kontrak'!E:K,7,FALSE)</f>
        <v>#N/A</v>
      </c>
      <c r="AI848" s="11"/>
      <c r="AJ848" s="11" t="str">
        <f>VLOOKUP(L848,[1]rekap!D:M,1,FALSE)</f>
        <v>Ujong Pulo Rayeuk</v>
      </c>
      <c r="AK848" s="11" t="e">
        <f>VLOOKUP(L848,'[1]singkron data'!D:E,2,FALSE)</f>
        <v>#N/A</v>
      </c>
      <c r="AL848" s="11" t="str">
        <f>VLOOKUP(L848,'[1]update 521'!D:D,1,FALSE)</f>
        <v>Ujong Pulo Rayeuk</v>
      </c>
      <c r="AM848" s="11" t="s">
        <v>96</v>
      </c>
      <c r="AN848" s="11" t="e">
        <f>VLOOKUP(L848,[1]Sheet19!E:L,8,FALSE)</f>
        <v>#N/A</v>
      </c>
      <c r="AO848" s="11" t="e">
        <f>VLOOKUP(L848,[1]Sheet19!E:K,7,FALSE)</f>
        <v>#N/A</v>
      </c>
      <c r="AP848" s="12"/>
    </row>
    <row r="849" spans="1:42" ht="15" x14ac:dyDescent="0.2">
      <c r="A849" s="8" t="s">
        <v>42</v>
      </c>
      <c r="B849" s="9" t="s">
        <v>43</v>
      </c>
      <c r="C849" s="9">
        <v>446</v>
      </c>
      <c r="D849" s="9" t="s">
        <v>1631</v>
      </c>
      <c r="E849" s="9">
        <v>233</v>
      </c>
      <c r="F849" s="9" t="s">
        <v>2106</v>
      </c>
      <c r="G849" s="9" t="s">
        <v>1656</v>
      </c>
      <c r="H849" s="9" t="s">
        <v>47</v>
      </c>
      <c r="I849" s="9" t="s">
        <v>1816</v>
      </c>
      <c r="J849" s="9" t="s">
        <v>2112</v>
      </c>
      <c r="K849" s="9" t="s">
        <v>2113</v>
      </c>
      <c r="L849" s="9" t="s">
        <v>2113</v>
      </c>
      <c r="M849" s="9" t="s">
        <v>51</v>
      </c>
      <c r="N849" s="9">
        <v>682</v>
      </c>
      <c r="O849" s="9" t="s">
        <v>72</v>
      </c>
      <c r="P849" s="9">
        <v>87</v>
      </c>
      <c r="Q849" s="9">
        <v>87</v>
      </c>
      <c r="R849" s="9">
        <v>0.47</v>
      </c>
      <c r="S849" s="9">
        <v>2.920204</v>
      </c>
      <c r="T849" s="9">
        <v>97.486266999999998</v>
      </c>
      <c r="U849" s="9"/>
      <c r="V849" s="11" t="e">
        <f>VLOOKUP(L849,'[1]singkron data'!D:E,2,FALSE)</f>
        <v>#N/A</v>
      </c>
      <c r="W849" s="11"/>
      <c r="X849" s="11"/>
      <c r="Y849" s="11" t="e">
        <f>VLOOKUP(L849,'[1]singkron data'!D:H,5,FALSE)</f>
        <v>#N/A</v>
      </c>
      <c r="Z849" s="11" t="e">
        <f>VLOOKUP(L849,'[1]singkron data'!D:I,6,FALSE)</f>
        <v>#N/A</v>
      </c>
      <c r="AA849" s="11" t="e">
        <f>VLOOKUP(L849,'[1]singkron data'!D:L,9,FALSE)</f>
        <v>#N/A</v>
      </c>
      <c r="AB849" s="11" t="s">
        <v>694</v>
      </c>
      <c r="AC849" s="11" t="e">
        <f>VLOOKUP(L849,'[1]singkron data'!D:M,10,FALSE)</f>
        <v>#N/A</v>
      </c>
      <c r="AD849" s="11" t="s">
        <v>364</v>
      </c>
      <c r="AE849" s="11" t="e">
        <f>VLOOKUP(L849,'[1]singkron data'!D:P,13,FALSE)</f>
        <v>#N/A</v>
      </c>
      <c r="AF849" s="11" t="s">
        <v>55</v>
      </c>
      <c r="AG849" s="11" t="e">
        <f>VLOOKUP(L849,'[1]update kontrak'!E:K,6,FALSE)</f>
        <v>#N/A</v>
      </c>
      <c r="AH849" s="11" t="e">
        <f>VLOOKUP(L849,'[1]update kontrak'!E:K,7,FALSE)</f>
        <v>#N/A</v>
      </c>
      <c r="AI849" s="11"/>
      <c r="AJ849" s="11" t="str">
        <f>VLOOKUP(L849,[1]rekap!D:M,1,FALSE)</f>
        <v>Darul Ikhsan</v>
      </c>
      <c r="AK849" s="11" t="e">
        <f>VLOOKUP(L849,'[1]singkron data'!D:E,2,FALSE)</f>
        <v>#N/A</v>
      </c>
      <c r="AL849" s="11" t="str">
        <f>VLOOKUP(L849,'[1]update 521'!D:D,1,FALSE)</f>
        <v>Darul Ikhsan</v>
      </c>
      <c r="AM849" s="11" t="s">
        <v>96</v>
      </c>
      <c r="AN849" s="11" t="e">
        <f>VLOOKUP(L849,[1]Sheet19!E:L,8,FALSE)</f>
        <v>#N/A</v>
      </c>
      <c r="AO849" s="11" t="e">
        <f>VLOOKUP(L849,[1]Sheet19!E:K,7,FALSE)</f>
        <v>#N/A</v>
      </c>
      <c r="AP849" s="12"/>
    </row>
    <row r="850" spans="1:42" ht="15" x14ac:dyDescent="0.2">
      <c r="A850" s="8" t="s">
        <v>42</v>
      </c>
      <c r="B850" s="9" t="s">
        <v>43</v>
      </c>
      <c r="C850" s="9">
        <v>447</v>
      </c>
      <c r="D850" s="9" t="s">
        <v>1631</v>
      </c>
      <c r="E850" s="9">
        <v>234</v>
      </c>
      <c r="F850" s="9" t="s">
        <v>2114</v>
      </c>
      <c r="G850" s="9" t="s">
        <v>1882</v>
      </c>
      <c r="H850" s="9" t="s">
        <v>47</v>
      </c>
      <c r="I850" s="9" t="s">
        <v>2115</v>
      </c>
      <c r="J850" s="9" t="s">
        <v>2116</v>
      </c>
      <c r="K850" s="9" t="s">
        <v>2117</v>
      </c>
      <c r="L850" s="10" t="s">
        <v>2117</v>
      </c>
      <c r="M850" s="9" t="s">
        <v>65</v>
      </c>
      <c r="N850" s="14">
        <v>1025</v>
      </c>
      <c r="O850" s="9" t="s">
        <v>72</v>
      </c>
      <c r="P850" s="14">
        <v>1075</v>
      </c>
      <c r="Q850" s="14">
        <v>1075</v>
      </c>
      <c r="R850" s="9">
        <v>1</v>
      </c>
      <c r="S850" s="9">
        <v>2.4808780000000001</v>
      </c>
      <c r="T850" s="9">
        <v>100.334881</v>
      </c>
      <c r="U850" s="9" t="s">
        <v>52</v>
      </c>
      <c r="V850" s="11" t="str">
        <f>VLOOKUP(L850,'[1]singkron data'!D:E,2,FALSE)</f>
        <v>PT. Ganesha Jaya</v>
      </c>
      <c r="W850" s="11"/>
      <c r="X850" s="11"/>
      <c r="Y850" s="11">
        <f>VLOOKUP(L850,'[1]singkron data'!D:H,5,FALSE)</f>
        <v>0</v>
      </c>
      <c r="Z850" s="11">
        <f>VLOOKUP(L850,'[1]singkron data'!D:I,6,FALSE)</f>
        <v>0</v>
      </c>
      <c r="AA850" s="11" t="str">
        <f>VLOOKUP(L850,'[1]singkron data'!D:L,9,FALSE)</f>
        <v>081283064488/eko</v>
      </c>
      <c r="AB850" s="11" t="s">
        <v>54</v>
      </c>
      <c r="AC850" s="11" t="str">
        <f>VLOOKUP(L850,'[1]singkron data'!D:M,10,FALSE)</f>
        <v>Dedd</v>
      </c>
      <c r="AD850" s="11" t="str">
        <f>VLOOKUP(L850,'[1]data 1129'!F:O,10,FALSE)</f>
        <v>Tahap IV 200</v>
      </c>
      <c r="AE850" s="11">
        <f>VLOOKUP(L850,'[1]singkron data'!D:P,13,FALSE)</f>
        <v>0</v>
      </c>
      <c r="AF850" s="11" t="s">
        <v>55</v>
      </c>
      <c r="AG850" s="11" t="e">
        <f>VLOOKUP(L850,'[1]update kontrak'!E:K,6,FALSE)</f>
        <v>#N/A</v>
      </c>
      <c r="AH850" s="11" t="e">
        <f>VLOOKUP(L850,'[1]update kontrak'!E:K,7,FALSE)</f>
        <v>#N/A</v>
      </c>
      <c r="AI850" s="11"/>
      <c r="AJ850" s="11" t="str">
        <f>VLOOKUP(L850,[1]rekap!D:M,1,FALSE)</f>
        <v>Telukpulai</v>
      </c>
      <c r="AK850" s="11" t="str">
        <f>VLOOKUP(L850,'[1]singkron data'!D:E,2,FALSE)</f>
        <v>PT. Ganesha Jaya</v>
      </c>
      <c r="AL850" s="11" t="str">
        <f>VLOOKUP(L850,'[1]update 521'!D:D,1,FALSE)</f>
        <v>Telukpulai</v>
      </c>
      <c r="AM850" s="11" t="s">
        <v>57</v>
      </c>
      <c r="AN850" s="11" t="e">
        <f>VLOOKUP(L850,[1]Sheet19!E:L,8,FALSE)</f>
        <v>#N/A</v>
      </c>
      <c r="AO850" s="11" t="s">
        <v>58</v>
      </c>
      <c r="AP850" s="12"/>
    </row>
    <row r="851" spans="1:42" ht="15" x14ac:dyDescent="0.2">
      <c r="A851" s="8" t="s">
        <v>42</v>
      </c>
      <c r="B851" s="9" t="s">
        <v>43</v>
      </c>
      <c r="C851" s="9">
        <v>448</v>
      </c>
      <c r="D851" s="9" t="s">
        <v>1631</v>
      </c>
      <c r="E851" s="9">
        <v>235</v>
      </c>
      <c r="F851" s="9" t="s">
        <v>2114</v>
      </c>
      <c r="G851" s="9" t="s">
        <v>1882</v>
      </c>
      <c r="H851" s="9" t="s">
        <v>47</v>
      </c>
      <c r="I851" s="9" t="s">
        <v>2115</v>
      </c>
      <c r="J851" s="9" t="s">
        <v>2116</v>
      </c>
      <c r="K851" s="9" t="s">
        <v>2118</v>
      </c>
      <c r="L851" s="10" t="s">
        <v>2118</v>
      </c>
      <c r="M851" s="9" t="s">
        <v>51</v>
      </c>
      <c r="N851" s="14">
        <v>1105</v>
      </c>
      <c r="O851" s="9">
        <v>221</v>
      </c>
      <c r="P851" s="14">
        <v>1075</v>
      </c>
      <c r="Q851" s="14">
        <v>1296</v>
      </c>
      <c r="R851" s="9">
        <v>0.1</v>
      </c>
      <c r="S851" s="9">
        <v>2.4705370000000002</v>
      </c>
      <c r="T851" s="9">
        <v>100.334254</v>
      </c>
      <c r="U851" s="9" t="s">
        <v>52</v>
      </c>
      <c r="V851" s="11" t="str">
        <f>VLOOKUP(L851,'[1]singkron data'!D:E,2,FALSE)</f>
        <v>PT. Ganesha Jaya</v>
      </c>
      <c r="W851" s="13">
        <f>VLOOKUP(L851,'[1]update tim 2'!D:F,3,FALSE)</f>
        <v>2690841000</v>
      </c>
      <c r="X851" s="11" t="s">
        <v>55</v>
      </c>
      <c r="Y851" s="11">
        <f>VLOOKUP(L851,'[1]singkron data'!D:H,5,FALSE)</f>
        <v>0</v>
      </c>
      <c r="Z851" s="11">
        <f>VLOOKUP(L851,'[1]singkron data'!D:I,6,FALSE)</f>
        <v>0</v>
      </c>
      <c r="AA851" s="11" t="str">
        <f>VLOOKUP(L851,'[1]singkron data'!D:L,9,FALSE)</f>
        <v>081283064488/eko</v>
      </c>
      <c r="AB851" s="11" t="s">
        <v>54</v>
      </c>
      <c r="AC851" s="11" t="str">
        <f>VLOOKUP(L851,'[1]singkron data'!D:M,10,FALSE)</f>
        <v>Dedd</v>
      </c>
      <c r="AD851" s="11" t="str">
        <f>VLOOKUP(L851,'[1]data 1129'!F:O,10,FALSE)</f>
        <v>Tahap IV 200</v>
      </c>
      <c r="AE851" s="11">
        <f>VLOOKUP(L851,'[1]singkron data'!D:P,13,FALSE)</f>
        <v>0</v>
      </c>
      <c r="AF851" s="11" t="s">
        <v>55</v>
      </c>
      <c r="AG851" s="11" t="e">
        <f>VLOOKUP(L851,'[1]update kontrak'!E:K,6,FALSE)</f>
        <v>#N/A</v>
      </c>
      <c r="AH851" s="11" t="e">
        <f>VLOOKUP(L851,'[1]update kontrak'!E:K,7,FALSE)</f>
        <v>#N/A</v>
      </c>
      <c r="AI851" s="11"/>
      <c r="AJ851" s="11" t="str">
        <f>VLOOKUP(L851,[1]rekap!D:M,1,FALSE)</f>
        <v>Panipahan Darat</v>
      </c>
      <c r="AK851" s="11" t="str">
        <f>VLOOKUP(L851,'[1]singkron data'!D:E,2,FALSE)</f>
        <v>PT. Ganesha Jaya</v>
      </c>
      <c r="AL851" s="11" t="str">
        <f>VLOOKUP(L851,'[1]update 521'!D:D,1,FALSE)</f>
        <v>Panipahan Darat</v>
      </c>
      <c r="AM851" s="11" t="s">
        <v>57</v>
      </c>
      <c r="AN851" s="11" t="e">
        <f>VLOOKUP(L851,[1]Sheet19!E:L,8,FALSE)</f>
        <v>#N/A</v>
      </c>
      <c r="AO851" s="11" t="s">
        <v>58</v>
      </c>
      <c r="AP851" s="12"/>
    </row>
    <row r="852" spans="1:42" ht="15" x14ac:dyDescent="0.2">
      <c r="A852" s="8" t="s">
        <v>42</v>
      </c>
      <c r="B852" s="9" t="s">
        <v>43</v>
      </c>
      <c r="C852" s="9">
        <v>450</v>
      </c>
      <c r="D852" s="9" t="s">
        <v>1631</v>
      </c>
      <c r="E852" s="9">
        <v>237</v>
      </c>
      <c r="F852" s="9" t="s">
        <v>2114</v>
      </c>
      <c r="G852" s="9" t="s">
        <v>1882</v>
      </c>
      <c r="H852" s="9" t="s">
        <v>47</v>
      </c>
      <c r="I852" s="9" t="s">
        <v>2115</v>
      </c>
      <c r="J852" s="9" t="s">
        <v>2119</v>
      </c>
      <c r="K852" s="9" t="s">
        <v>2119</v>
      </c>
      <c r="L852" s="10" t="s">
        <v>2119</v>
      </c>
      <c r="M852" s="9" t="s">
        <v>51</v>
      </c>
      <c r="N852" s="9">
        <v>508</v>
      </c>
      <c r="O852" s="9">
        <v>30</v>
      </c>
      <c r="P852" s="9">
        <v>364</v>
      </c>
      <c r="Q852" s="9">
        <v>394</v>
      </c>
      <c r="R852" s="9">
        <v>0.5</v>
      </c>
      <c r="S852" s="9">
        <v>2.2814139999999998</v>
      </c>
      <c r="T852" s="9">
        <v>101.01835</v>
      </c>
      <c r="U852" s="9" t="s">
        <v>52</v>
      </c>
      <c r="V852" s="11" t="str">
        <f>VLOOKUP(L852,'[1]singkron data'!D:E,2,FALSE)</f>
        <v>PT. Ganesha Jaya</v>
      </c>
      <c r="W852" s="13">
        <f>VLOOKUP(L852,'[1]update tim 2'!D:F,3,FALSE)</f>
        <v>3354206000</v>
      </c>
      <c r="X852" s="11" t="s">
        <v>55</v>
      </c>
      <c r="Y852" s="11">
        <f>VLOOKUP(L852,'[1]singkron data'!D:H,5,FALSE)</f>
        <v>0</v>
      </c>
      <c r="Z852" s="11">
        <f>VLOOKUP(L852,'[1]singkron data'!D:I,6,FALSE)</f>
        <v>0</v>
      </c>
      <c r="AA852" s="11" t="str">
        <f>VLOOKUP(L852,'[1]singkron data'!D:L,9,FALSE)</f>
        <v>081283064488/eko</v>
      </c>
      <c r="AB852" s="11" t="s">
        <v>54</v>
      </c>
      <c r="AC852" s="11" t="str">
        <f>VLOOKUP(L852,'[1]singkron data'!D:M,10,FALSE)</f>
        <v>Dedd</v>
      </c>
      <c r="AD852" s="11" t="str">
        <f>VLOOKUP(L852,'[1]data 1129'!F:O,10,FALSE)</f>
        <v>Tahap IV 200</v>
      </c>
      <c r="AE852" s="11">
        <f>VLOOKUP(L852,'[1]singkron data'!D:P,13,FALSE)</f>
        <v>0</v>
      </c>
      <c r="AF852" s="11" t="s">
        <v>55</v>
      </c>
      <c r="AG852" s="11" t="e">
        <f>VLOOKUP(L852,'[1]update kontrak'!E:K,6,FALSE)</f>
        <v>#N/A</v>
      </c>
      <c r="AH852" s="11" t="e">
        <f>VLOOKUP(L852,'[1]update kontrak'!E:K,7,FALSE)</f>
        <v>#N/A</v>
      </c>
      <c r="AI852" s="11"/>
      <c r="AJ852" s="11" t="str">
        <f>VLOOKUP(L852,[1]rekap!D:M,1,FALSE)</f>
        <v>Sinaboi</v>
      </c>
      <c r="AK852" s="11" t="str">
        <f>VLOOKUP(L852,'[1]singkron data'!D:E,2,FALSE)</f>
        <v>PT. Ganesha Jaya</v>
      </c>
      <c r="AL852" s="11" t="str">
        <f>VLOOKUP(L852,'[1]update 521'!D:D,1,FALSE)</f>
        <v>Sinaboi</v>
      </c>
      <c r="AM852" s="11" t="s">
        <v>57</v>
      </c>
      <c r="AN852" s="11" t="e">
        <f>VLOOKUP(L852,[1]Sheet19!E:L,8,FALSE)</f>
        <v>#N/A</v>
      </c>
      <c r="AO852" s="11" t="s">
        <v>58</v>
      </c>
      <c r="AP852" s="12"/>
    </row>
    <row r="853" spans="1:42" ht="15" x14ac:dyDescent="0.2">
      <c r="A853" s="8" t="s">
        <v>42</v>
      </c>
      <c r="B853" s="9" t="s">
        <v>43</v>
      </c>
      <c r="C853" s="9">
        <v>451</v>
      </c>
      <c r="D853" s="9" t="s">
        <v>1631</v>
      </c>
      <c r="E853" s="9">
        <v>238</v>
      </c>
      <c r="F853" s="9" t="s">
        <v>2120</v>
      </c>
      <c r="G853" s="9" t="s">
        <v>1831</v>
      </c>
      <c r="H853" s="9" t="s">
        <v>47</v>
      </c>
      <c r="I853" s="9" t="s">
        <v>2121</v>
      </c>
      <c r="J853" s="9" t="s">
        <v>2122</v>
      </c>
      <c r="K853" s="9" t="s">
        <v>2123</v>
      </c>
      <c r="L853" s="10" t="s">
        <v>2123</v>
      </c>
      <c r="M853" s="9" t="s">
        <v>65</v>
      </c>
      <c r="N853" s="14">
        <v>1068</v>
      </c>
      <c r="O853" s="9">
        <v>12</v>
      </c>
      <c r="P853" s="9">
        <v>385</v>
      </c>
      <c r="Q853" s="9">
        <v>397</v>
      </c>
      <c r="R853" s="9">
        <v>1.5</v>
      </c>
      <c r="S853" s="9">
        <v>-0.39965099999999998</v>
      </c>
      <c r="T853" s="9">
        <v>99.914798000000005</v>
      </c>
      <c r="U853" s="9" t="s">
        <v>52</v>
      </c>
      <c r="V853" s="11" t="str">
        <f>VLOOKUP(L853,'[1]singkron data'!D:E,2,FALSE)</f>
        <v>PT. Segi Tiga Tambora</v>
      </c>
      <c r="W853" s="13">
        <f>VLOOKUP(L853,'[1]update tim 2'!D:F,3,FALSE)</f>
        <v>6851724000</v>
      </c>
      <c r="X853" s="11" t="s">
        <v>55</v>
      </c>
      <c r="Y853" s="11">
        <f>VLOOKUP(L853,'[1]singkron data'!D:H,5,FALSE)</f>
        <v>0</v>
      </c>
      <c r="Z853" s="11">
        <f>VLOOKUP(L853,'[1]singkron data'!D:I,6,FALSE)</f>
        <v>0</v>
      </c>
      <c r="AA853" s="11" t="str">
        <f>VLOOKUP(L853,'[1]singkron data'!D:L,9,FALSE)</f>
        <v>anwar/082112111009</v>
      </c>
      <c r="AB853" s="11" t="s">
        <v>54</v>
      </c>
      <c r="AC853" s="11" t="str">
        <f>VLOOKUP(L853,'[1]singkron data'!D:M,10,FALSE)</f>
        <v>Usulan pak arlan-rid</v>
      </c>
      <c r="AD853" s="11" t="str">
        <f>VLOOKUP(L853,'[1]data 1129'!F:O,10,FALSE)</f>
        <v>Tahap III 166</v>
      </c>
      <c r="AE853" s="11">
        <f>VLOOKUP(L853,'[1]singkron data'!D:P,13,FALSE)</f>
        <v>0</v>
      </c>
      <c r="AF853" s="11" t="s">
        <v>55</v>
      </c>
      <c r="AG853" s="11" t="e">
        <f>VLOOKUP(L853,'[1]update kontrak'!E:K,6,FALSE)</f>
        <v>#N/A</v>
      </c>
      <c r="AH853" s="11" t="e">
        <f>VLOOKUP(L853,'[1]update kontrak'!E:K,7,FALSE)</f>
        <v>#N/A</v>
      </c>
      <c r="AI853" s="11"/>
      <c r="AJ853" s="11" t="str">
        <f>VLOOKUP(L853,[1]rekap!D:M,1,FALSE)</f>
        <v>Tiku Selatan</v>
      </c>
      <c r="AK853" s="11" t="str">
        <f>VLOOKUP(L853,'[1]singkron data'!D:E,2,FALSE)</f>
        <v>PT. Segi Tiga Tambora</v>
      </c>
      <c r="AL853" s="11" t="str">
        <f>VLOOKUP(L853,'[1]update 521'!D:D,1,FALSE)</f>
        <v>Tiku Selatan</v>
      </c>
      <c r="AM853" s="11" t="s">
        <v>57</v>
      </c>
      <c r="AN853" s="11" t="e">
        <f>VLOOKUP(L853,[1]Sheet19!E:L,8,FALSE)</f>
        <v>#N/A</v>
      </c>
      <c r="AO853" s="11" t="s">
        <v>58</v>
      </c>
      <c r="AP853" s="12"/>
    </row>
    <row r="854" spans="1:42" ht="15" x14ac:dyDescent="0.2">
      <c r="A854" s="8" t="s">
        <v>42</v>
      </c>
      <c r="B854" s="9" t="s">
        <v>43</v>
      </c>
      <c r="C854" s="9">
        <v>452</v>
      </c>
      <c r="D854" s="9" t="s">
        <v>1631</v>
      </c>
      <c r="E854" s="9">
        <v>239</v>
      </c>
      <c r="F854" s="9" t="s">
        <v>2120</v>
      </c>
      <c r="G854" s="9" t="s">
        <v>1831</v>
      </c>
      <c r="H854" s="9" t="s">
        <v>47</v>
      </c>
      <c r="I854" s="9" t="s">
        <v>2124</v>
      </c>
      <c r="J854" s="9" t="s">
        <v>2125</v>
      </c>
      <c r="K854" s="9" t="s">
        <v>2126</v>
      </c>
      <c r="L854" s="10" t="s">
        <v>2126</v>
      </c>
      <c r="M854" s="9" t="s">
        <v>51</v>
      </c>
      <c r="N854" s="9">
        <v>200</v>
      </c>
      <c r="O854" s="9" t="s">
        <v>72</v>
      </c>
      <c r="P854" s="9">
        <v>192</v>
      </c>
      <c r="Q854" s="9">
        <v>192</v>
      </c>
      <c r="R854" s="9">
        <v>1</v>
      </c>
      <c r="S854" s="9">
        <v>-0.661269</v>
      </c>
      <c r="T854" s="9">
        <v>100.145043</v>
      </c>
      <c r="U854" s="9" t="s">
        <v>52</v>
      </c>
      <c r="V854" s="11" t="str">
        <f>VLOOKUP(L854,'[1]singkron data'!D:E,2,FALSE)</f>
        <v>PT. Segi Tiga Tambora</v>
      </c>
      <c r="W854" s="13">
        <f>VLOOKUP(L854,'[1]update tim 2'!D:F,3,FALSE)</f>
        <v>4116812000</v>
      </c>
      <c r="X854" s="11" t="s">
        <v>55</v>
      </c>
      <c r="Y854" s="11">
        <f>VLOOKUP(L854,'[1]singkron data'!D:H,5,FALSE)</f>
        <v>0</v>
      </c>
      <c r="Z854" s="11">
        <f>VLOOKUP(L854,'[1]singkron data'!D:I,6,FALSE)</f>
        <v>0</v>
      </c>
      <c r="AA854" s="11" t="str">
        <f>VLOOKUP(L854,'[1]singkron data'!D:L,9,FALSE)</f>
        <v>anwar/082112111009</v>
      </c>
      <c r="AB854" s="11" t="s">
        <v>54</v>
      </c>
      <c r="AC854" s="11" t="str">
        <f>VLOOKUP(L854,'[1]singkron data'!D:M,10,FALSE)</f>
        <v>Usulan pak arlan-rid</v>
      </c>
      <c r="AD854" s="11" t="str">
        <f>VLOOKUP(L854,'[1]data 1129'!F:O,10,FALSE)</f>
        <v>Tahap III 166</v>
      </c>
      <c r="AE854" s="11">
        <f>VLOOKUP(L854,'[1]singkron data'!D:P,13,FALSE)</f>
        <v>0</v>
      </c>
      <c r="AF854" s="11" t="s">
        <v>55</v>
      </c>
      <c r="AG854" s="11" t="e">
        <f>VLOOKUP(L854,'[1]update kontrak'!E:K,6,FALSE)</f>
        <v>#N/A</v>
      </c>
      <c r="AH854" s="11" t="e">
        <f>VLOOKUP(L854,'[1]update kontrak'!E:K,7,FALSE)</f>
        <v>#N/A</v>
      </c>
      <c r="AI854" s="11"/>
      <c r="AJ854" s="11" t="str">
        <f>VLOOKUP(L854,[1]rekap!D:M,1,FALSE)</f>
        <v>Marunggi</v>
      </c>
      <c r="AK854" s="11" t="str">
        <f>VLOOKUP(L854,'[1]singkron data'!D:E,2,FALSE)</f>
        <v>PT. Segi Tiga Tambora</v>
      </c>
      <c r="AL854" s="11" t="str">
        <f>VLOOKUP(L854,'[1]update 521'!D:D,1,FALSE)</f>
        <v>Marunggi</v>
      </c>
      <c r="AM854" s="11" t="s">
        <v>57</v>
      </c>
      <c r="AN854" s="11" t="e">
        <f>VLOOKUP(L854,[1]Sheet19!E:L,8,FALSE)</f>
        <v>#N/A</v>
      </c>
      <c r="AO854" s="11" t="s">
        <v>58</v>
      </c>
      <c r="AP854" s="12"/>
    </row>
    <row r="855" spans="1:42" ht="15" x14ac:dyDescent="0.2">
      <c r="A855" s="8" t="s">
        <v>42</v>
      </c>
      <c r="B855" s="9" t="s">
        <v>43</v>
      </c>
      <c r="C855" s="9">
        <v>453</v>
      </c>
      <c r="D855" s="9" t="s">
        <v>1631</v>
      </c>
      <c r="E855" s="9">
        <v>240</v>
      </c>
      <c r="F855" s="9" t="s">
        <v>2120</v>
      </c>
      <c r="G855" s="9" t="s">
        <v>1831</v>
      </c>
      <c r="H855" s="9" t="s">
        <v>47</v>
      </c>
      <c r="I855" s="9" t="s">
        <v>2124</v>
      </c>
      <c r="J855" s="9" t="s">
        <v>2127</v>
      </c>
      <c r="K855" s="9" t="s">
        <v>2128</v>
      </c>
      <c r="L855" s="10" t="s">
        <v>2128</v>
      </c>
      <c r="M855" s="9" t="s">
        <v>51</v>
      </c>
      <c r="N855" s="9">
        <v>200</v>
      </c>
      <c r="O855" s="9" t="s">
        <v>72</v>
      </c>
      <c r="P855" s="9">
        <v>20</v>
      </c>
      <c r="Q855" s="9">
        <v>20</v>
      </c>
      <c r="R855" s="9">
        <v>8.74</v>
      </c>
      <c r="S855" s="9">
        <v>-0.60819100000000004</v>
      </c>
      <c r="T855" s="9">
        <v>100.113165</v>
      </c>
      <c r="U855" s="9" t="s">
        <v>52</v>
      </c>
      <c r="V855" s="11" t="str">
        <f>VLOOKUP(L855,'[1]singkron data'!D:E,2,FALSE)</f>
        <v>PT. Segi Tiga Tambora</v>
      </c>
      <c r="W855" s="13">
        <f>VLOOKUP(L855,'[1]update tim 2'!D:F,3,FALSE)</f>
        <v>3796232000</v>
      </c>
      <c r="X855" s="11" t="s">
        <v>55</v>
      </c>
      <c r="Y855" s="11">
        <f>VLOOKUP(L855,'[1]singkron data'!D:H,5,FALSE)</f>
        <v>0</v>
      </c>
      <c r="Z855" s="11">
        <f>VLOOKUP(L855,'[1]singkron data'!D:I,6,FALSE)</f>
        <v>0</v>
      </c>
      <c r="AA855" s="11" t="str">
        <f>VLOOKUP(L855,'[1]singkron data'!D:L,9,FALSE)</f>
        <v>anwar/082112111009</v>
      </c>
      <c r="AB855" s="11" t="s">
        <v>54</v>
      </c>
      <c r="AC855" s="11" t="str">
        <f>VLOOKUP(L855,'[1]singkron data'!D:M,10,FALSE)</f>
        <v>Usulan pak arlan-rid</v>
      </c>
      <c r="AD855" s="11" t="str">
        <f>VLOOKUP(L855,'[1]data 1129'!F:O,10,FALSE)</f>
        <v>Tahap III 166</v>
      </c>
      <c r="AE855" s="11">
        <f>VLOOKUP(L855,'[1]singkron data'!D:P,13,FALSE)</f>
        <v>0</v>
      </c>
      <c r="AF855" s="11" t="s">
        <v>55</v>
      </c>
      <c r="AG855" s="11" t="e">
        <f>VLOOKUP(L855,'[1]update kontrak'!E:K,6,FALSE)</f>
        <v>#N/A</v>
      </c>
      <c r="AH855" s="11" t="e">
        <f>VLOOKUP(L855,'[1]update kontrak'!E:K,7,FALSE)</f>
        <v>#N/A</v>
      </c>
      <c r="AI855" s="11"/>
      <c r="AJ855" s="11" t="str">
        <f>VLOOKUP(L855,[1]rekap!D:M,1,FALSE)</f>
        <v>Ampalu</v>
      </c>
      <c r="AK855" s="11" t="str">
        <f>VLOOKUP(L855,'[1]singkron data'!D:E,2,FALSE)</f>
        <v>PT. Segi Tiga Tambora</v>
      </c>
      <c r="AL855" s="11" t="str">
        <f>VLOOKUP(L855,'[1]update 521'!D:D,1,FALSE)</f>
        <v>Ampalu</v>
      </c>
      <c r="AM855" s="11" t="s">
        <v>57</v>
      </c>
      <c r="AN855" s="11" t="e">
        <f>VLOOKUP(L855,[1]Sheet19!E:L,8,FALSE)</f>
        <v>#N/A</v>
      </c>
      <c r="AO855" s="11" t="s">
        <v>58</v>
      </c>
      <c r="AP855" s="12"/>
    </row>
    <row r="856" spans="1:42" ht="15" x14ac:dyDescent="0.2">
      <c r="A856" s="8" t="s">
        <v>42</v>
      </c>
      <c r="B856" s="9" t="s">
        <v>43</v>
      </c>
      <c r="C856" s="9">
        <v>454</v>
      </c>
      <c r="D856" s="9" t="s">
        <v>1631</v>
      </c>
      <c r="E856" s="9">
        <v>241</v>
      </c>
      <c r="F856" s="9" t="s">
        <v>2120</v>
      </c>
      <c r="G856" s="9" t="s">
        <v>1831</v>
      </c>
      <c r="H856" s="9" t="s">
        <v>47</v>
      </c>
      <c r="I856" s="9" t="s">
        <v>1867</v>
      </c>
      <c r="J856" s="9" t="s">
        <v>2129</v>
      </c>
      <c r="K856" s="9" t="s">
        <v>2130</v>
      </c>
      <c r="L856" s="10" t="s">
        <v>2130</v>
      </c>
      <c r="M856" s="9" t="s">
        <v>51</v>
      </c>
      <c r="N856" s="9">
        <v>410</v>
      </c>
      <c r="O856" s="9" t="s">
        <v>72</v>
      </c>
      <c r="P856" s="9">
        <v>120</v>
      </c>
      <c r="Q856" s="9">
        <v>120</v>
      </c>
      <c r="R856" s="9">
        <v>1.3</v>
      </c>
      <c r="S856" s="9">
        <v>-0.56256399999999995</v>
      </c>
      <c r="T856" s="9">
        <v>100.09025800000001</v>
      </c>
      <c r="U856" s="9" t="s">
        <v>52</v>
      </c>
      <c r="V856" s="11" t="str">
        <f>VLOOKUP(L856,'[1]singkron data'!D:E,2,FALSE)</f>
        <v>PT. Segi Tiga Tambora</v>
      </c>
      <c r="W856" s="13">
        <f>VLOOKUP(L856,'[1]update tim 2'!D:F,3,FALSE)</f>
        <v>2850701000</v>
      </c>
      <c r="X856" s="11" t="s">
        <v>55</v>
      </c>
      <c r="Y856" s="11">
        <f>VLOOKUP(L856,'[1]singkron data'!D:H,5,FALSE)</f>
        <v>0</v>
      </c>
      <c r="Z856" s="11">
        <f>VLOOKUP(L856,'[1]singkron data'!D:I,6,FALSE)</f>
        <v>0</v>
      </c>
      <c r="AA856" s="11" t="str">
        <f>VLOOKUP(L856,'[1]singkron data'!D:L,9,FALSE)</f>
        <v>anwar/082112111009</v>
      </c>
      <c r="AB856" s="11" t="s">
        <v>54</v>
      </c>
      <c r="AC856" s="11" t="str">
        <f>VLOOKUP(L856,'[1]singkron data'!D:M,10,FALSE)</f>
        <v>Usulan pak arlan-rid</v>
      </c>
      <c r="AD856" s="11" t="str">
        <f>VLOOKUP(L856,'[1]data 1129'!F:O,10,FALSE)</f>
        <v>Tahap IV 200</v>
      </c>
      <c r="AE856" s="11">
        <f>VLOOKUP(L856,'[1]singkron data'!D:P,13,FALSE)</f>
        <v>0</v>
      </c>
      <c r="AF856" s="11" t="s">
        <v>55</v>
      </c>
      <c r="AG856" s="11" t="e">
        <f>VLOOKUP(L856,'[1]update kontrak'!E:K,6,FALSE)</f>
        <v>#N/A</v>
      </c>
      <c r="AH856" s="11" t="e">
        <f>VLOOKUP(L856,'[1]update kontrak'!E:K,7,FALSE)</f>
        <v>#N/A</v>
      </c>
      <c r="AI856" s="11"/>
      <c r="AJ856" s="11" t="str">
        <f>VLOOKUP(L856,[1]rekap!D:M,1,FALSE)</f>
        <v>Pilubang</v>
      </c>
      <c r="AK856" s="11" t="str">
        <f>VLOOKUP(L856,'[1]singkron data'!D:E,2,FALSE)</f>
        <v>PT. Segi Tiga Tambora</v>
      </c>
      <c r="AL856" s="11" t="str">
        <f>VLOOKUP(L856,'[1]update 521'!D:D,1,FALSE)</f>
        <v>Pilubang</v>
      </c>
      <c r="AM856" s="11" t="s">
        <v>57</v>
      </c>
      <c r="AN856" s="11" t="e">
        <f>VLOOKUP(L856,[1]Sheet19!E:L,8,FALSE)</f>
        <v>#N/A</v>
      </c>
      <c r="AO856" s="11" t="s">
        <v>58</v>
      </c>
      <c r="AP856" s="12"/>
    </row>
    <row r="857" spans="1:42" ht="15" x14ac:dyDescent="0.2">
      <c r="A857" s="8" t="s">
        <v>42</v>
      </c>
      <c r="B857" s="9" t="s">
        <v>43</v>
      </c>
      <c r="C857" s="9">
        <v>455</v>
      </c>
      <c r="D857" s="9" t="s">
        <v>1631</v>
      </c>
      <c r="E857" s="9">
        <v>242</v>
      </c>
      <c r="F857" s="9" t="s">
        <v>2120</v>
      </c>
      <c r="G857" s="9" t="s">
        <v>1831</v>
      </c>
      <c r="H857" s="9" t="s">
        <v>47</v>
      </c>
      <c r="I857" s="9" t="s">
        <v>1867</v>
      </c>
      <c r="J857" s="9" t="s">
        <v>2129</v>
      </c>
      <c r="K857" s="9" t="s">
        <v>2131</v>
      </c>
      <c r="L857" s="10" t="s">
        <v>2131</v>
      </c>
      <c r="M857" s="9" t="s">
        <v>51</v>
      </c>
      <c r="N857" s="9">
        <v>80</v>
      </c>
      <c r="O857" s="9" t="s">
        <v>72</v>
      </c>
      <c r="P857" s="9">
        <v>25</v>
      </c>
      <c r="Q857" s="9">
        <v>25</v>
      </c>
      <c r="R857" s="9">
        <v>1</v>
      </c>
      <c r="S857" s="9">
        <v>-0.504992</v>
      </c>
      <c r="T857" s="9">
        <v>100.040369</v>
      </c>
      <c r="U857" s="9" t="s">
        <v>52</v>
      </c>
      <c r="V857" s="11" t="s">
        <v>2132</v>
      </c>
      <c r="W857" s="13">
        <f>VLOOKUP(L857,'[1]update tim 2'!D:F,3,FALSE)</f>
        <v>4038894000</v>
      </c>
      <c r="X857" s="11" t="s">
        <v>55</v>
      </c>
      <c r="Y857" s="11">
        <f>VLOOKUP(L857,'[1]singkron data'!D:H,5,FALSE)</f>
        <v>0</v>
      </c>
      <c r="Z857" s="11">
        <f>VLOOKUP(L857,'[1]singkron data'!D:I,6,FALSE)</f>
        <v>0</v>
      </c>
      <c r="AA857" s="11" t="s">
        <v>2133</v>
      </c>
      <c r="AB857" s="11" t="s">
        <v>54</v>
      </c>
      <c r="AC857" s="11" t="s">
        <v>2134</v>
      </c>
      <c r="AD857" s="11" t="str">
        <f>VLOOKUP(L857,'[1]data 1129'!F:O,10,FALSE)</f>
        <v>Tahap III 166</v>
      </c>
      <c r="AE857" s="11">
        <f>VLOOKUP(L857,'[1]singkron data'!D:P,13,FALSE)</f>
        <v>0</v>
      </c>
      <c r="AF857" s="11" t="s">
        <v>55</v>
      </c>
      <c r="AG857" s="11" t="e">
        <f>VLOOKUP(L857,'[1]update kontrak'!E:K,6,FALSE)</f>
        <v>#N/A</v>
      </c>
      <c r="AH857" s="11" t="e">
        <f>VLOOKUP(L857,'[1]update kontrak'!E:K,7,FALSE)</f>
        <v>#N/A</v>
      </c>
      <c r="AI857" s="11"/>
      <c r="AJ857" s="11" t="str">
        <f>VLOOKUP(L857,[1]rekap!D:M,1,FALSE)</f>
        <v>Koto Tinggi Kuranji Hilir</v>
      </c>
      <c r="AK857" s="11" t="str">
        <f>VLOOKUP(L857,'[1]singkron data'!D:E,2,FALSE)</f>
        <v>PT. Satria Bumi Sukawati</v>
      </c>
      <c r="AL857" s="11" t="str">
        <f>VLOOKUP(L857,'[1]update 521'!D:D,1,FALSE)</f>
        <v>Koto Tinggi Kuranji Hilir</v>
      </c>
      <c r="AM857" s="11" t="s">
        <v>57</v>
      </c>
      <c r="AN857" s="11" t="e">
        <f>VLOOKUP(L857,[1]Sheet19!E:L,8,FALSE)</f>
        <v>#N/A</v>
      </c>
      <c r="AO857" s="11" t="s">
        <v>58</v>
      </c>
      <c r="AP857" s="12"/>
    </row>
    <row r="858" spans="1:42" ht="15" x14ac:dyDescent="0.2">
      <c r="A858" s="8" t="s">
        <v>42</v>
      </c>
      <c r="B858" s="9" t="s">
        <v>43</v>
      </c>
      <c r="C858" s="9">
        <v>456</v>
      </c>
      <c r="D858" s="9" t="s">
        <v>1631</v>
      </c>
      <c r="E858" s="9">
        <v>243</v>
      </c>
      <c r="F858" s="9" t="s">
        <v>2135</v>
      </c>
      <c r="G858" s="9" t="s">
        <v>1647</v>
      </c>
      <c r="H858" s="9" t="s">
        <v>47</v>
      </c>
      <c r="I858" s="9" t="s">
        <v>2136</v>
      </c>
      <c r="J858" s="9" t="s">
        <v>2137</v>
      </c>
      <c r="K858" s="9" t="s">
        <v>2138</v>
      </c>
      <c r="L858" s="10" t="s">
        <v>2138</v>
      </c>
      <c r="M858" s="9" t="s">
        <v>51</v>
      </c>
      <c r="N858" s="9">
        <v>800</v>
      </c>
      <c r="O858" s="9">
        <v>10</v>
      </c>
      <c r="P858" s="9">
        <v>320</v>
      </c>
      <c r="Q858" s="9">
        <v>330</v>
      </c>
      <c r="R858" s="9">
        <v>1.3</v>
      </c>
      <c r="S858" s="9">
        <v>-2.8912939999999998</v>
      </c>
      <c r="T858" s="9">
        <v>106.79727800000001</v>
      </c>
      <c r="U858" s="9" t="s">
        <v>52</v>
      </c>
      <c r="V858" s="11" t="str">
        <f>VLOOKUP(L858,'[1]singkron data'!D:E,2,FALSE)</f>
        <v>PT. Laksana Aneka Sarana</v>
      </c>
      <c r="W858" s="11"/>
      <c r="X858" s="11"/>
      <c r="Y858" s="11">
        <f>VLOOKUP(L858,'[1]singkron data'!D:H,5,FALSE)</f>
        <v>0</v>
      </c>
      <c r="Z858" s="11" t="str">
        <f>VLOOKUP(L858,'[1]singkron data'!D:I,6,FALSE)</f>
        <v>Online</v>
      </c>
      <c r="AA858" s="11" t="str">
        <f>VLOOKUP(L858,'[1]singkron data'!D:L,9,FALSE)</f>
        <v>08129674773/sidik</v>
      </c>
      <c r="AB858" s="11" t="s">
        <v>54</v>
      </c>
      <c r="AC858" s="11" t="str">
        <f>VLOOKUP(L858,'[1]singkron data'!D:M,10,FALSE)</f>
        <v>Rid-Ongen</v>
      </c>
      <c r="AD858" s="11" t="str">
        <f>VLOOKUP(L858,'[1]data 1129'!F:O,10,FALSE)</f>
        <v>Tahap IV 200</v>
      </c>
      <c r="AE858" s="11">
        <f>VLOOKUP(L858,'[1]singkron data'!D:P,13,FALSE)</f>
        <v>0</v>
      </c>
      <c r="AF858" s="11" t="s">
        <v>55</v>
      </c>
      <c r="AG858" s="11" t="e">
        <f>VLOOKUP(L858,'[1]update kontrak'!E:K,6,FALSE)</f>
        <v>#N/A</v>
      </c>
      <c r="AH858" s="11" t="e">
        <f>VLOOKUP(L858,'[1]update kontrak'!E:K,7,FALSE)</f>
        <v>#N/A</v>
      </c>
      <c r="AI858" s="11"/>
      <c r="AJ858" s="11" t="str">
        <f>VLOOKUP(L858,[1]rekap!D:M,1,FALSE)</f>
        <v>Tanjung Sangkar</v>
      </c>
      <c r="AK858" s="11" t="str">
        <f>VLOOKUP(L858,'[1]singkron data'!D:E,2,FALSE)</f>
        <v>PT. Laksana Aneka Sarana</v>
      </c>
      <c r="AL858" s="11" t="str">
        <f>VLOOKUP(L858,'[1]update 521'!D:D,1,FALSE)</f>
        <v>Tanjung Sangkar</v>
      </c>
      <c r="AM858" s="11" t="e">
        <v>#N/A</v>
      </c>
      <c r="AN858" s="11" t="e">
        <f>VLOOKUP(L858,[1]Sheet19!E:L,8,FALSE)</f>
        <v>#N/A</v>
      </c>
      <c r="AO858" s="11" t="e">
        <f>VLOOKUP(L858,[1]Sheet19!E:K,7,FALSE)</f>
        <v>#N/A</v>
      </c>
      <c r="AP858" s="12"/>
    </row>
    <row r="859" spans="1:42" ht="15" x14ac:dyDescent="0.2">
      <c r="A859" s="8" t="s">
        <v>42</v>
      </c>
      <c r="B859" s="9" t="s">
        <v>43</v>
      </c>
      <c r="C859" s="9">
        <v>457</v>
      </c>
      <c r="D859" s="9" t="s">
        <v>1631</v>
      </c>
      <c r="E859" s="9">
        <v>244</v>
      </c>
      <c r="F859" s="9" t="s">
        <v>2135</v>
      </c>
      <c r="G859" s="9" t="s">
        <v>1647</v>
      </c>
      <c r="H859" s="9" t="s">
        <v>47</v>
      </c>
      <c r="I859" s="9" t="s">
        <v>2136</v>
      </c>
      <c r="J859" s="9" t="s">
        <v>2139</v>
      </c>
      <c r="K859" s="9" t="s">
        <v>2140</v>
      </c>
      <c r="L859" s="10" t="s">
        <v>2140</v>
      </c>
      <c r="M859" s="9" t="s">
        <v>51</v>
      </c>
      <c r="N859" s="9">
        <v>500</v>
      </c>
      <c r="O859" s="9">
        <v>5</v>
      </c>
      <c r="P859" s="9">
        <v>100</v>
      </c>
      <c r="Q859" s="9">
        <v>105</v>
      </c>
      <c r="R859" s="9">
        <v>1.04</v>
      </c>
      <c r="S859" s="9">
        <v>-2.8715190000000002</v>
      </c>
      <c r="T859" s="9">
        <v>107.015891</v>
      </c>
      <c r="U859" s="9" t="s">
        <v>52</v>
      </c>
      <c r="V859" s="11" t="str">
        <f>VLOOKUP(L859,'[1]singkron data'!D:E,2,FALSE)</f>
        <v>PT. Laksana Aneka Sarana</v>
      </c>
      <c r="W859" s="13">
        <f>VLOOKUP(L859,'[1]update tim 2'!D:F,3,FALSE)</f>
        <v>4645833000</v>
      </c>
      <c r="X859" s="11" t="s">
        <v>55</v>
      </c>
      <c r="Y859" s="11">
        <f>VLOOKUP(L859,'[1]singkron data'!D:H,5,FALSE)</f>
        <v>0</v>
      </c>
      <c r="Z859" s="11" t="str">
        <f>VLOOKUP(L859,'[1]singkron data'!D:I,6,FALSE)</f>
        <v>Online</v>
      </c>
      <c r="AA859" s="11" t="str">
        <f>VLOOKUP(L859,'[1]singkron data'!D:L,9,FALSE)</f>
        <v>08129674773/sidik</v>
      </c>
      <c r="AB859" s="11" t="s">
        <v>54</v>
      </c>
      <c r="AC859" s="11" t="str">
        <f>VLOOKUP(L859,'[1]singkron data'!D:M,10,FALSE)</f>
        <v>Rid-Ongen</v>
      </c>
      <c r="AD859" s="11" t="str">
        <f>VLOOKUP(L859,'[1]data 1129'!F:O,10,FALSE)</f>
        <v>Tahap IV 200</v>
      </c>
      <c r="AE859" s="11">
        <f>VLOOKUP(L859,'[1]singkron data'!D:P,13,FALSE)</f>
        <v>0</v>
      </c>
      <c r="AF859" s="11" t="s">
        <v>55</v>
      </c>
      <c r="AG859" s="11" t="e">
        <f>VLOOKUP(L859,'[1]update kontrak'!E:K,6,FALSE)</f>
        <v>#N/A</v>
      </c>
      <c r="AH859" s="11" t="e">
        <f>VLOOKUP(L859,'[1]update kontrak'!E:K,7,FALSE)</f>
        <v>#N/A</v>
      </c>
      <c r="AI859" s="11"/>
      <c r="AJ859" s="11" t="str">
        <f>VLOOKUP(L859,[1]rekap!D:M,1,FALSE)</f>
        <v>Celagen</v>
      </c>
      <c r="AK859" s="11" t="str">
        <f>VLOOKUP(L859,'[1]singkron data'!D:E,2,FALSE)</f>
        <v>PT. Laksana Aneka Sarana</v>
      </c>
      <c r="AL859" s="11" t="str">
        <f>VLOOKUP(L859,'[1]update 521'!D:D,1,FALSE)</f>
        <v>Celagen</v>
      </c>
      <c r="AM859" s="11" t="s">
        <v>57</v>
      </c>
      <c r="AN859" s="11" t="e">
        <f>VLOOKUP(L859,[1]Sheet19!E:L,8,FALSE)</f>
        <v>#N/A</v>
      </c>
      <c r="AO859" s="11" t="s">
        <v>58</v>
      </c>
      <c r="AP859" s="12"/>
    </row>
    <row r="860" spans="1:42" ht="15" x14ac:dyDescent="0.2">
      <c r="A860" s="8" t="s">
        <v>42</v>
      </c>
      <c r="B860" s="9" t="s">
        <v>43</v>
      </c>
      <c r="C860" s="9">
        <v>458</v>
      </c>
      <c r="D860" s="9" t="s">
        <v>1631</v>
      </c>
      <c r="E860" s="9">
        <v>245</v>
      </c>
      <c r="F860" s="9" t="s">
        <v>2135</v>
      </c>
      <c r="G860" s="9" t="s">
        <v>1647</v>
      </c>
      <c r="H860" s="9" t="s">
        <v>47</v>
      </c>
      <c r="I860" s="9" t="s">
        <v>2136</v>
      </c>
      <c r="J860" s="9" t="s">
        <v>2141</v>
      </c>
      <c r="K860" s="9" t="s">
        <v>2142</v>
      </c>
      <c r="L860" s="10" t="s">
        <v>2142</v>
      </c>
      <c r="M860" s="9" t="s">
        <v>51</v>
      </c>
      <c r="N860" s="14">
        <v>1292</v>
      </c>
      <c r="O860" s="9" t="s">
        <v>72</v>
      </c>
      <c r="P860" s="9">
        <v>514</v>
      </c>
      <c r="Q860" s="9">
        <v>514</v>
      </c>
      <c r="R860" s="9">
        <v>0.96</v>
      </c>
      <c r="S860" s="9">
        <v>-3.0082469999999999</v>
      </c>
      <c r="T860" s="9">
        <v>106.742171</v>
      </c>
      <c r="U860" s="9" t="s">
        <v>52</v>
      </c>
      <c r="V860" s="11" t="str">
        <f>VLOOKUP(L860,'[1]singkron data'!D:E,2,FALSE)</f>
        <v>PT. Laksana Aneka Sarana</v>
      </c>
      <c r="W860" s="11"/>
      <c r="X860" s="11"/>
      <c r="Y860" s="11">
        <f>VLOOKUP(L860,'[1]singkron data'!D:H,5,FALSE)</f>
        <v>0</v>
      </c>
      <c r="Z860" s="11" t="str">
        <f>VLOOKUP(L860,'[1]singkron data'!D:I,6,FALSE)</f>
        <v>Online</v>
      </c>
      <c r="AA860" s="11" t="str">
        <f>VLOOKUP(L860,'[1]singkron data'!D:L,9,FALSE)</f>
        <v>08129674773/sidik</v>
      </c>
      <c r="AB860" s="11" t="s">
        <v>54</v>
      </c>
      <c r="AC860" s="11" t="str">
        <f>VLOOKUP(L860,'[1]singkron data'!D:M,10,FALSE)</f>
        <v>Rid-Ongen</v>
      </c>
      <c r="AD860" s="11" t="str">
        <f>VLOOKUP(L860,'[1]data 1129'!F:O,10,FALSE)</f>
        <v>Tahap IV 200</v>
      </c>
      <c r="AE860" s="11">
        <f>VLOOKUP(L860,'[1]singkron data'!D:P,13,FALSE)</f>
        <v>0</v>
      </c>
      <c r="AF860" s="11" t="s">
        <v>55</v>
      </c>
      <c r="AG860" s="11" t="e">
        <f>VLOOKUP(L860,'[1]update kontrak'!E:K,6,FALSE)</f>
        <v>#N/A</v>
      </c>
      <c r="AH860" s="11" t="e">
        <f>VLOOKUP(L860,'[1]update kontrak'!E:K,7,FALSE)</f>
        <v>#N/A</v>
      </c>
      <c r="AI860" s="11"/>
      <c r="AJ860" s="11" t="str">
        <f>VLOOKUP(L860,[1]rekap!D:M,1,FALSE)</f>
        <v>Sadai</v>
      </c>
      <c r="AK860" s="11" t="str">
        <f>VLOOKUP(L860,'[1]singkron data'!D:E,2,FALSE)</f>
        <v>PT. Laksana Aneka Sarana</v>
      </c>
      <c r="AL860" s="11" t="str">
        <f>VLOOKUP(L860,'[1]update 521'!D:D,1,FALSE)</f>
        <v>Sadai</v>
      </c>
      <c r="AM860" s="11" t="s">
        <v>96</v>
      </c>
      <c r="AN860" s="11" t="e">
        <f>VLOOKUP(L860,[1]Sheet19!E:L,8,FALSE)</f>
        <v>#N/A</v>
      </c>
      <c r="AO860" s="11" t="e">
        <f>VLOOKUP(L860,[1]Sheet19!E:K,7,FALSE)</f>
        <v>#N/A</v>
      </c>
      <c r="AP860" s="12"/>
    </row>
    <row r="861" spans="1:42" ht="15" x14ac:dyDescent="0.2">
      <c r="A861" s="8" t="s">
        <v>42</v>
      </c>
      <c r="B861" s="9" t="s">
        <v>43</v>
      </c>
      <c r="C861" s="9">
        <v>459</v>
      </c>
      <c r="D861" s="9" t="s">
        <v>1631</v>
      </c>
      <c r="E861" s="9">
        <v>246</v>
      </c>
      <c r="F861" s="9" t="s">
        <v>2135</v>
      </c>
      <c r="G861" s="9" t="s">
        <v>1647</v>
      </c>
      <c r="H861" s="9" t="s">
        <v>47</v>
      </c>
      <c r="I861" s="9" t="s">
        <v>2136</v>
      </c>
      <c r="J861" s="9" t="s">
        <v>2143</v>
      </c>
      <c r="K861" s="9" t="s">
        <v>2144</v>
      </c>
      <c r="L861" s="10" t="s">
        <v>2144</v>
      </c>
      <c r="M861" s="9" t="s">
        <v>51</v>
      </c>
      <c r="N861" s="9">
        <v>800</v>
      </c>
      <c r="O861" s="9" t="s">
        <v>72</v>
      </c>
      <c r="P861" s="9">
        <v>400</v>
      </c>
      <c r="Q861" s="9">
        <v>400</v>
      </c>
      <c r="R861" s="9">
        <v>0.49</v>
      </c>
      <c r="S861" s="9">
        <v>-3.0055350000000001</v>
      </c>
      <c r="T861" s="9">
        <v>106.44365500000001</v>
      </c>
      <c r="U861" s="9" t="s">
        <v>52</v>
      </c>
      <c r="V861" s="11" t="str">
        <f>VLOOKUP(L861,'[1]singkron data'!D:E,2,FALSE)</f>
        <v>PT. Laksana Aneka Sarana</v>
      </c>
      <c r="W861" s="11"/>
      <c r="X861" s="11"/>
      <c r="Y861" s="11">
        <f>VLOOKUP(L861,'[1]singkron data'!D:H,5,FALSE)</f>
        <v>0</v>
      </c>
      <c r="Z861" s="11" t="str">
        <f>VLOOKUP(L861,'[1]singkron data'!D:I,6,FALSE)</f>
        <v>Online</v>
      </c>
      <c r="AA861" s="11" t="str">
        <f>VLOOKUP(L861,'[1]singkron data'!D:L,9,FALSE)</f>
        <v>08129674773/sidik</v>
      </c>
      <c r="AB861" s="11" t="s">
        <v>54</v>
      </c>
      <c r="AC861" s="11" t="str">
        <f>VLOOKUP(L861,'[1]singkron data'!D:M,10,FALSE)</f>
        <v>Rid-Ongen</v>
      </c>
      <c r="AD861" s="11" t="str">
        <f>VLOOKUP(L861,'[1]data 1129'!F:O,10,FALSE)</f>
        <v>Tahap IV 200</v>
      </c>
      <c r="AE861" s="11">
        <f>VLOOKUP(L861,'[1]singkron data'!D:P,13,FALSE)</f>
        <v>0</v>
      </c>
      <c r="AF861" s="11" t="s">
        <v>55</v>
      </c>
      <c r="AG861" s="11" t="e">
        <f>VLOOKUP(L861,'[1]update kontrak'!E:K,6,FALSE)</f>
        <v>#N/A</v>
      </c>
      <c r="AH861" s="11" t="e">
        <f>VLOOKUP(L861,'[1]update kontrak'!E:K,7,FALSE)</f>
        <v>#N/A</v>
      </c>
      <c r="AI861" s="11"/>
      <c r="AJ861" s="11" t="str">
        <f>VLOOKUP(L861,[1]rekap!D:M,1,FALSE)</f>
        <v>Tanjung Ketapang</v>
      </c>
      <c r="AK861" s="11" t="str">
        <f>VLOOKUP(L861,'[1]singkron data'!D:E,2,FALSE)</f>
        <v>PT. Laksana Aneka Sarana</v>
      </c>
      <c r="AL861" s="11" t="str">
        <f>VLOOKUP(L861,'[1]update 521'!D:D,1,FALSE)</f>
        <v>Tanjung Ketapang</v>
      </c>
      <c r="AM861" s="11" t="s">
        <v>96</v>
      </c>
      <c r="AN861" s="11" t="e">
        <f>VLOOKUP(L861,[1]Sheet19!E:L,8,FALSE)</f>
        <v>#N/A</v>
      </c>
      <c r="AO861" s="11" t="e">
        <f>VLOOKUP(L861,[1]Sheet19!E:K,7,FALSE)</f>
        <v>#N/A</v>
      </c>
      <c r="AP861" s="12"/>
    </row>
    <row r="862" spans="1:42" ht="15" x14ac:dyDescent="0.2">
      <c r="A862" s="8" t="s">
        <v>42</v>
      </c>
      <c r="B862" s="9" t="s">
        <v>43</v>
      </c>
      <c r="C862" s="9">
        <v>460</v>
      </c>
      <c r="D862" s="9" t="s">
        <v>1631</v>
      </c>
      <c r="E862" s="9">
        <v>247</v>
      </c>
      <c r="F862" s="9" t="s">
        <v>2145</v>
      </c>
      <c r="G862" s="9" t="s">
        <v>2146</v>
      </c>
      <c r="H862" s="9" t="s">
        <v>47</v>
      </c>
      <c r="I862" s="9" t="s">
        <v>2147</v>
      </c>
      <c r="J862" s="9" t="s">
        <v>2148</v>
      </c>
      <c r="K862" s="9" t="s">
        <v>2149</v>
      </c>
      <c r="L862" s="9" t="s">
        <v>2149</v>
      </c>
      <c r="M862" s="9" t="s">
        <v>65</v>
      </c>
      <c r="N862" s="9">
        <v>660</v>
      </c>
      <c r="O862" s="9" t="s">
        <v>72</v>
      </c>
      <c r="P862" s="9">
        <v>300</v>
      </c>
      <c r="Q862" s="9">
        <v>300</v>
      </c>
      <c r="R862" s="9">
        <v>1.1000000000000001</v>
      </c>
      <c r="S862" s="9">
        <v>0.82203800000000005</v>
      </c>
      <c r="T862" s="9">
        <v>103.477327</v>
      </c>
      <c r="U862" s="9" t="s">
        <v>52</v>
      </c>
      <c r="V862" s="11" t="str">
        <f>VLOOKUP(L862,'[1]singkron data'!D:E,2,FALSE)</f>
        <v>PT. Indonesia Kerja Nyata</v>
      </c>
      <c r="W862" s="11"/>
      <c r="X862" s="11"/>
      <c r="Y862" s="11">
        <f>VLOOKUP(L862,'[1]singkron data'!D:H,5,FALSE)</f>
        <v>0</v>
      </c>
      <c r="Z862" s="11">
        <f>VLOOKUP(L862,'[1]singkron data'!D:I,6,FALSE)</f>
        <v>0</v>
      </c>
      <c r="AA862" s="11" t="str">
        <f>VLOOKUP(L862,'[1]singkron data'!D:L,9,FALSE)</f>
        <v>Yusuf</v>
      </c>
      <c r="AB862" s="11" t="s">
        <v>54</v>
      </c>
      <c r="AC862" s="11" t="str">
        <f>VLOOKUP(L862,'[1]singkron data'!D:M,10,FALSE)</f>
        <v>yusfu-rid</v>
      </c>
      <c r="AD862" s="11" t="str">
        <f>VLOOKUP(L862,'[1]data 1129'!F:O,10,FALSE)</f>
        <v>Tahap IV 200</v>
      </c>
      <c r="AE862" s="11">
        <f>VLOOKUP(L862,'[1]singkron data'!D:P,13,FALSE)</f>
        <v>0</v>
      </c>
      <c r="AF862" s="11" t="s">
        <v>55</v>
      </c>
      <c r="AG862" s="11" t="e">
        <f>VLOOKUP(L862,'[1]update kontrak'!E:K,6,FALSE)</f>
        <v>#N/A</v>
      </c>
      <c r="AH862" s="11" t="e">
        <f>VLOOKUP(L862,'[1]update kontrak'!E:K,7,FALSE)</f>
        <v>#N/A</v>
      </c>
      <c r="AI862" s="11"/>
      <c r="AJ862" s="11" t="str">
        <f>VLOOKUP(L862,[1]rekap!D:M,1,FALSE)</f>
        <v>Tungkal Ii</v>
      </c>
      <c r="AK862" s="11" t="str">
        <f>VLOOKUP(L862,'[1]singkron data'!D:E,2,FALSE)</f>
        <v>PT. Indonesia Kerja Nyata</v>
      </c>
      <c r="AL862" s="11" t="str">
        <f>VLOOKUP(L862,'[1]update 521'!D:D,1,FALSE)</f>
        <v>Tungkal Ii</v>
      </c>
      <c r="AM862" s="11" t="s">
        <v>96</v>
      </c>
      <c r="AN862" s="11" t="e">
        <f>VLOOKUP(L862,[1]Sheet19!E:L,8,FALSE)</f>
        <v>#N/A</v>
      </c>
      <c r="AO862" s="11" t="e">
        <f>VLOOKUP(L862,[1]Sheet19!E:K,7,FALSE)</f>
        <v>#N/A</v>
      </c>
      <c r="AP862" s="12"/>
    </row>
    <row r="863" spans="1:42" ht="15" x14ac:dyDescent="0.2">
      <c r="A863" s="8" t="s">
        <v>42</v>
      </c>
      <c r="B863" s="9" t="s">
        <v>43</v>
      </c>
      <c r="C863" s="9">
        <v>461</v>
      </c>
      <c r="D863" s="9" t="s">
        <v>1631</v>
      </c>
      <c r="E863" s="9">
        <v>248</v>
      </c>
      <c r="F863" s="9" t="s">
        <v>2145</v>
      </c>
      <c r="G863" s="9" t="s">
        <v>1882</v>
      </c>
      <c r="H863" s="9" t="s">
        <v>47</v>
      </c>
      <c r="I863" s="9" t="s">
        <v>2150</v>
      </c>
      <c r="J863" s="9" t="s">
        <v>2151</v>
      </c>
      <c r="K863" s="9" t="s">
        <v>2152</v>
      </c>
      <c r="L863" s="10" t="s">
        <v>2152</v>
      </c>
      <c r="M863" s="9" t="s">
        <v>51</v>
      </c>
      <c r="N863" s="9">
        <v>503</v>
      </c>
      <c r="O863" s="9">
        <v>57</v>
      </c>
      <c r="P863" s="9">
        <v>68</v>
      </c>
      <c r="Q863" s="9">
        <v>125</v>
      </c>
      <c r="R863" s="9">
        <v>0.5</v>
      </c>
      <c r="S863" s="9">
        <v>1.0403591999999999</v>
      </c>
      <c r="T863" s="9">
        <v>102.59489050000001</v>
      </c>
      <c r="U863" s="9" t="s">
        <v>52</v>
      </c>
      <c r="V863" s="11" t="str">
        <f>VLOOKUP(L863,'[1]singkron data'!D:E,2,FALSE)</f>
        <v>PT. Putra Meranti</v>
      </c>
      <c r="W863" s="13">
        <f>VLOOKUP(L863,'[1]update tim 2'!D:F,3,FALSE)</f>
        <v>4665585000</v>
      </c>
      <c r="X863" s="11" t="s">
        <v>55</v>
      </c>
      <c r="Y863" s="11">
        <f>VLOOKUP(L863,'[1]singkron data'!D:H,5,FALSE)</f>
        <v>0</v>
      </c>
      <c r="Z863" s="11">
        <f>VLOOKUP(L863,'[1]singkron data'!D:I,6,FALSE)</f>
        <v>0</v>
      </c>
      <c r="AA863" s="11" t="str">
        <f>VLOOKUP(L863,'[1]singkron data'!D:L,9,FALSE)</f>
        <v>081268231919/efendi saputra</v>
      </c>
      <c r="AB863" s="11" t="s">
        <v>54</v>
      </c>
      <c r="AC863" s="11" t="str">
        <f>VLOOKUP(L863,'[1]singkron data'!D:M,10,FALSE)</f>
        <v>Dedd</v>
      </c>
      <c r="AD863" s="11" t="str">
        <f>VLOOKUP(L863,'[1]data 1129'!F:O,10,FALSE)</f>
        <v>Tahap IV 200</v>
      </c>
      <c r="AE863" s="11">
        <f>VLOOKUP(L863,'[1]singkron data'!D:P,13,FALSE)</f>
        <v>0</v>
      </c>
      <c r="AF863" s="11" t="s">
        <v>55</v>
      </c>
      <c r="AG863" s="11" t="e">
        <f>VLOOKUP(L863,'[1]update kontrak'!E:K,6,FALSE)</f>
        <v>#N/A</v>
      </c>
      <c r="AH863" s="11" t="e">
        <f>VLOOKUP(L863,'[1]update kontrak'!E:K,7,FALSE)</f>
        <v>#N/A</v>
      </c>
      <c r="AI863" s="11"/>
      <c r="AJ863" s="11" t="str">
        <f>VLOOKUP(L863,[1]rekap!D:M,1,FALSE)</f>
        <v>Centai</v>
      </c>
      <c r="AK863" s="11" t="str">
        <f>VLOOKUP(L863,'[1]singkron data'!D:E,2,FALSE)</f>
        <v>PT. Putra Meranti</v>
      </c>
      <c r="AL863" s="11" t="str">
        <f>VLOOKUP(L863,'[1]update 521'!D:D,1,FALSE)</f>
        <v>Centai</v>
      </c>
      <c r="AM863" s="11" t="s">
        <v>57</v>
      </c>
      <c r="AN863" s="11" t="e">
        <f>VLOOKUP(L863,[1]Sheet19!E:L,8,FALSE)</f>
        <v>#N/A</v>
      </c>
      <c r="AO863" s="11" t="s">
        <v>58</v>
      </c>
      <c r="AP863" s="12"/>
    </row>
    <row r="864" spans="1:42" ht="15" x14ac:dyDescent="0.2">
      <c r="A864" s="8" t="s">
        <v>42</v>
      </c>
      <c r="B864" s="9" t="s">
        <v>43</v>
      </c>
      <c r="C864" s="9">
        <v>462</v>
      </c>
      <c r="D864" s="9" t="s">
        <v>1631</v>
      </c>
      <c r="E864" s="9">
        <v>249</v>
      </c>
      <c r="F864" s="9" t="s">
        <v>2145</v>
      </c>
      <c r="G864" s="9" t="s">
        <v>1882</v>
      </c>
      <c r="H864" s="9" t="s">
        <v>47</v>
      </c>
      <c r="I864" s="9" t="s">
        <v>2150</v>
      </c>
      <c r="J864" s="9" t="s">
        <v>2153</v>
      </c>
      <c r="K864" s="9" t="s">
        <v>2154</v>
      </c>
      <c r="L864" s="10" t="s">
        <v>2154</v>
      </c>
      <c r="M864" s="9" t="s">
        <v>51</v>
      </c>
      <c r="N864" s="9">
        <v>85</v>
      </c>
      <c r="O864" s="9">
        <v>36</v>
      </c>
      <c r="P864" s="9">
        <v>85</v>
      </c>
      <c r="Q864" s="9">
        <v>121</v>
      </c>
      <c r="R864" s="9">
        <v>1</v>
      </c>
      <c r="S864" s="9">
        <v>1.0207238999999999</v>
      </c>
      <c r="T864" s="9">
        <v>102.46063580000001</v>
      </c>
      <c r="U864" s="9" t="s">
        <v>52</v>
      </c>
      <c r="V864" s="11" t="str">
        <f>VLOOKUP(L864,'[1]singkron data'!D:E,2,FALSE)</f>
        <v>PT. Putra Meranti</v>
      </c>
      <c r="W864" s="11"/>
      <c r="X864" s="11"/>
      <c r="Y864" s="11">
        <f>VLOOKUP(L864,'[1]singkron data'!D:H,5,FALSE)</f>
        <v>0</v>
      </c>
      <c r="Z864" s="11">
        <f>VLOOKUP(L864,'[1]singkron data'!D:I,6,FALSE)</f>
        <v>0</v>
      </c>
      <c r="AA864" s="11" t="str">
        <f>VLOOKUP(L864,'[1]singkron data'!D:L,9,FALSE)</f>
        <v>081268231919/efendi saputra</v>
      </c>
      <c r="AB864" s="11" t="s">
        <v>54</v>
      </c>
      <c r="AC864" s="11" t="str">
        <f>VLOOKUP(L864,'[1]singkron data'!D:M,10,FALSE)</f>
        <v>Dedd</v>
      </c>
      <c r="AD864" s="11" t="str">
        <f>VLOOKUP(L864,'[1]data 1129'!F:O,10,FALSE)</f>
        <v>Tahap IV 200</v>
      </c>
      <c r="AE864" s="11">
        <f>VLOOKUP(L864,'[1]singkron data'!D:P,13,FALSE)</f>
        <v>0</v>
      </c>
      <c r="AF864" s="11" t="s">
        <v>55</v>
      </c>
      <c r="AG864" s="11" t="e">
        <f>VLOOKUP(L864,'[1]update kontrak'!E:K,6,FALSE)</f>
        <v>#N/A</v>
      </c>
      <c r="AH864" s="11" t="e">
        <f>VLOOKUP(L864,'[1]update kontrak'!E:K,7,FALSE)</f>
        <v>#N/A</v>
      </c>
      <c r="AI864" s="11"/>
      <c r="AJ864" s="11" t="str">
        <f>VLOOKUP(L864,[1]rekap!D:M,1,FALSE)</f>
        <v>Mekar Sari</v>
      </c>
      <c r="AK864" s="11" t="str">
        <f>VLOOKUP(L864,'[1]singkron data'!D:E,2,FALSE)</f>
        <v>PT. Putra Meranti</v>
      </c>
      <c r="AL864" s="11" t="str">
        <f>VLOOKUP(L864,'[1]update 521'!D:D,1,FALSE)</f>
        <v>Mekar Sari</v>
      </c>
      <c r="AM864" s="11" t="e">
        <v>#N/A</v>
      </c>
      <c r="AN864" s="11" t="e">
        <f>VLOOKUP(L864,[1]Sheet19!E:L,8,FALSE)</f>
        <v>#N/A</v>
      </c>
      <c r="AO864" s="11" t="e">
        <f>VLOOKUP(L864,[1]Sheet19!E:K,7,FALSE)</f>
        <v>#N/A</v>
      </c>
      <c r="AP864" s="12"/>
    </row>
    <row r="865" spans="1:42" ht="15" x14ac:dyDescent="0.2">
      <c r="A865" s="8" t="s">
        <v>42</v>
      </c>
      <c r="B865" s="9" t="s">
        <v>43</v>
      </c>
      <c r="C865" s="9">
        <v>463</v>
      </c>
      <c r="D865" s="9" t="s">
        <v>1631</v>
      </c>
      <c r="E865" s="9">
        <v>250</v>
      </c>
      <c r="F865" s="9" t="s">
        <v>2145</v>
      </c>
      <c r="G865" s="9" t="s">
        <v>1882</v>
      </c>
      <c r="H865" s="9" t="s">
        <v>47</v>
      </c>
      <c r="I865" s="9" t="s">
        <v>2155</v>
      </c>
      <c r="J865" s="9" t="s">
        <v>2156</v>
      </c>
      <c r="K865" s="9" t="s">
        <v>2157</v>
      </c>
      <c r="L865" s="10" t="s">
        <v>2157</v>
      </c>
      <c r="M865" s="9" t="s">
        <v>51</v>
      </c>
      <c r="N865" s="9">
        <v>300</v>
      </c>
      <c r="O865" s="9">
        <v>59</v>
      </c>
      <c r="P865" s="9">
        <v>241</v>
      </c>
      <c r="Q865" s="9">
        <v>300</v>
      </c>
      <c r="R865" s="9">
        <v>2.25</v>
      </c>
      <c r="S865" s="9">
        <v>0.50364969999999998</v>
      </c>
      <c r="T865" s="9">
        <v>103.17874879999999</v>
      </c>
      <c r="U865" s="9" t="s">
        <v>52</v>
      </c>
      <c r="V865" s="11" t="str">
        <f>VLOOKUP(L865,'[1]singkron data'!D:E,2,FALSE)</f>
        <v>PT. Putra Meranti</v>
      </c>
      <c r="W865" s="13">
        <f>VLOOKUP(L865,'[1]update tim 2'!D:F,3,FALSE)</f>
        <v>3880060000</v>
      </c>
      <c r="X865" s="11" t="s">
        <v>55</v>
      </c>
      <c r="Y865" s="11">
        <f>VLOOKUP(L865,'[1]singkron data'!D:H,5,FALSE)</f>
        <v>0</v>
      </c>
      <c r="Z865" s="11">
        <f>VLOOKUP(L865,'[1]singkron data'!D:I,6,FALSE)</f>
        <v>0</v>
      </c>
      <c r="AA865" s="11" t="str">
        <f>VLOOKUP(L865,'[1]singkron data'!D:L,9,FALSE)</f>
        <v>081268231919/efendi saputra</v>
      </c>
      <c r="AB865" s="11" t="s">
        <v>54</v>
      </c>
      <c r="AC865" s="11" t="str">
        <f>VLOOKUP(L865,'[1]singkron data'!D:M,10,FALSE)</f>
        <v>Dedd</v>
      </c>
      <c r="AD865" s="11" t="str">
        <f>VLOOKUP(L865,'[1]data 1129'!F:O,10,FALSE)</f>
        <v>Tahap IV 200</v>
      </c>
      <c r="AE865" s="11">
        <f>VLOOKUP(L865,'[1]singkron data'!D:P,13,FALSE)</f>
        <v>0</v>
      </c>
      <c r="AF865" s="11" t="s">
        <v>55</v>
      </c>
      <c r="AG865" s="11" t="e">
        <f>VLOOKUP(L865,'[1]update kontrak'!E:K,6,FALSE)</f>
        <v>#N/A</v>
      </c>
      <c r="AH865" s="11" t="e">
        <f>VLOOKUP(L865,'[1]update kontrak'!E:K,7,FALSE)</f>
        <v>#N/A</v>
      </c>
      <c r="AI865" s="11"/>
      <c r="AJ865" s="11" t="str">
        <f>VLOOKUP(L865,[1]rekap!D:M,1,FALSE)</f>
        <v>Teluk</v>
      </c>
      <c r="AK865" s="11" t="str">
        <f>VLOOKUP(L865,'[1]singkron data'!D:E,2,FALSE)</f>
        <v>PT. Putra Meranti</v>
      </c>
      <c r="AL865" s="11" t="str">
        <f>VLOOKUP(L865,'[1]update 521'!D:D,1,FALSE)</f>
        <v>Teluk</v>
      </c>
      <c r="AM865" s="11" t="s">
        <v>57</v>
      </c>
      <c r="AN865" s="11" t="e">
        <f>VLOOKUP(L865,[1]Sheet19!E:L,8,FALSE)</f>
        <v>#N/A</v>
      </c>
      <c r="AO865" s="11" t="s">
        <v>58</v>
      </c>
      <c r="AP865" s="12"/>
    </row>
    <row r="866" spans="1:42" ht="15" x14ac:dyDescent="0.2">
      <c r="A866" s="8" t="s">
        <v>42</v>
      </c>
      <c r="B866" s="9" t="s">
        <v>43</v>
      </c>
      <c r="C866" s="9">
        <v>464</v>
      </c>
      <c r="D866" s="9" t="s">
        <v>1631</v>
      </c>
      <c r="E866" s="9">
        <v>251</v>
      </c>
      <c r="F866" s="9" t="s">
        <v>2145</v>
      </c>
      <c r="G866" s="9" t="s">
        <v>1882</v>
      </c>
      <c r="H866" s="9" t="s">
        <v>47</v>
      </c>
      <c r="I866" s="9" t="s">
        <v>1889</v>
      </c>
      <c r="J866" s="9" t="s">
        <v>1890</v>
      </c>
      <c r="K866" s="9" t="s">
        <v>2158</v>
      </c>
      <c r="L866" s="10" t="s">
        <v>2158</v>
      </c>
      <c r="M866" s="9" t="s">
        <v>51</v>
      </c>
      <c r="N866" s="9">
        <v>300</v>
      </c>
      <c r="O866" s="9">
        <v>20</v>
      </c>
      <c r="P866" s="9">
        <v>230</v>
      </c>
      <c r="Q866" s="9">
        <v>250</v>
      </c>
      <c r="R866" s="9">
        <v>2</v>
      </c>
      <c r="S866" s="9">
        <v>0.86459699999999995</v>
      </c>
      <c r="T866" s="9">
        <v>102.36575809999999</v>
      </c>
      <c r="U866" s="9" t="s">
        <v>52</v>
      </c>
      <c r="V866" s="11"/>
      <c r="W866" s="13">
        <f>VLOOKUP(L866,'[1]update tim 2'!D:F,3,FALSE)</f>
        <v>4125130000</v>
      </c>
      <c r="X866" s="11" t="s">
        <v>55</v>
      </c>
      <c r="Y866" s="11">
        <f>VLOOKUP(L866,'[1]singkron data'!D:H,5,FALSE)</f>
        <v>0</v>
      </c>
      <c r="Z866" s="11" t="str">
        <f>VLOOKUP(L866,'[1]singkron data'!D:I,6,FALSE)</f>
        <v>Offline</v>
      </c>
      <c r="AA866" s="11" t="s">
        <v>2159</v>
      </c>
      <c r="AB866" s="11" t="s">
        <v>54</v>
      </c>
      <c r="AC866" s="11" t="s">
        <v>2160</v>
      </c>
      <c r="AD866" s="11" t="str">
        <f>VLOOKUP(L866,'[1]data 1129'!F:O,10,FALSE)</f>
        <v>Tahap IV 200</v>
      </c>
      <c r="AE866" s="11">
        <f>VLOOKUP(L866,'[1]singkron data'!D:P,13,FALSE)</f>
        <v>0</v>
      </c>
      <c r="AF866" s="11" t="s">
        <v>55</v>
      </c>
      <c r="AG866" s="11" t="e">
        <f>VLOOKUP(L866,'[1]update kontrak'!E:K,6,FALSE)</f>
        <v>#N/A</v>
      </c>
      <c r="AH866" s="11" t="e">
        <f>VLOOKUP(L866,'[1]update kontrak'!E:K,7,FALSE)</f>
        <v>#N/A</v>
      </c>
      <c r="AI866" s="11"/>
      <c r="AJ866" s="11" t="str">
        <f>VLOOKUP(L866,[1]rekap!D:M,1,FALSE)</f>
        <v>Penyengat</v>
      </c>
      <c r="AK866" s="11" t="str">
        <f>VLOOKUP(L866,'[1]singkron data'!D:E,2,FALSE)</f>
        <v>PT. Maringgerang Konstruksi Indonesia</v>
      </c>
      <c r="AL866" s="11" t="str">
        <f>VLOOKUP(L866,'[1]update 521'!D:D,1,FALSE)</f>
        <v>Penyengat</v>
      </c>
      <c r="AM866" s="11" t="s">
        <v>57</v>
      </c>
      <c r="AN866" s="11" t="e">
        <f>VLOOKUP(L866,[1]Sheet19!E:L,8,FALSE)</f>
        <v>#N/A</v>
      </c>
      <c r="AO866" s="11" t="s">
        <v>58</v>
      </c>
      <c r="AP866" s="12"/>
    </row>
    <row r="867" spans="1:42" ht="15" x14ac:dyDescent="0.2">
      <c r="A867" s="8" t="s">
        <v>42</v>
      </c>
      <c r="B867" s="9" t="s">
        <v>43</v>
      </c>
      <c r="C867" s="9">
        <v>465</v>
      </c>
      <c r="D867" s="9" t="s">
        <v>1631</v>
      </c>
      <c r="E867" s="9">
        <v>252</v>
      </c>
      <c r="F867" s="9" t="s">
        <v>2145</v>
      </c>
      <c r="G867" s="9" t="s">
        <v>1882</v>
      </c>
      <c r="H867" s="9" t="s">
        <v>47</v>
      </c>
      <c r="I867" s="9" t="s">
        <v>2150</v>
      </c>
      <c r="J867" s="9" t="s">
        <v>2161</v>
      </c>
      <c r="K867" s="9" t="s">
        <v>560</v>
      </c>
      <c r="L867" s="10" t="s">
        <v>560</v>
      </c>
      <c r="M867" s="9" t="s">
        <v>81</v>
      </c>
      <c r="N867" s="9">
        <v>256</v>
      </c>
      <c r="O867" s="9">
        <v>3</v>
      </c>
      <c r="P867" s="9">
        <v>192</v>
      </c>
      <c r="Q867" s="9">
        <v>195</v>
      </c>
      <c r="R867" s="9">
        <v>0.85</v>
      </c>
      <c r="S867" s="9">
        <v>1.1548750000000001</v>
      </c>
      <c r="T867" s="9">
        <v>102.7777133</v>
      </c>
      <c r="U867" s="9" t="s">
        <v>52</v>
      </c>
      <c r="V867" s="11" t="s">
        <v>2162</v>
      </c>
      <c r="W867" s="13">
        <f>VLOOKUP(L867,'[1]update tim 2'!D:F,3,FALSE)</f>
        <v>5076394000</v>
      </c>
      <c r="X867" s="11" t="s">
        <v>55</v>
      </c>
      <c r="Y867" s="11">
        <f>VLOOKUP(L867,'[1]singkron data'!D:H,5,FALSE)</f>
        <v>0</v>
      </c>
      <c r="Z867" s="11">
        <f>VLOOKUP(L867,'[1]singkron data'!D:I,6,FALSE)</f>
        <v>0</v>
      </c>
      <c r="AA867" s="11" t="s">
        <v>2163</v>
      </c>
      <c r="AB867" s="11" t="s">
        <v>54</v>
      </c>
      <c r="AC867" s="11" t="s">
        <v>2164</v>
      </c>
      <c r="AD867" s="11" t="str">
        <f>VLOOKUP(L867,'[1]data 1129'!F:O,10,FALSE)</f>
        <v>Tahap III 166</v>
      </c>
      <c r="AE867" s="11">
        <f>VLOOKUP(L867,'[1]singkron data'!D:P,13,FALSE)</f>
        <v>0</v>
      </c>
      <c r="AF867" s="11" t="s">
        <v>55</v>
      </c>
      <c r="AG867" s="11" t="e">
        <f>VLOOKUP(L867,'[1]update kontrak'!E:K,6,FALSE)</f>
        <v>#N/A</v>
      </c>
      <c r="AH867" s="11" t="e">
        <f>VLOOKUP(L867,'[1]update kontrak'!E:K,7,FALSE)</f>
        <v>#N/A</v>
      </c>
      <c r="AI867" s="11"/>
      <c r="AJ867" s="11" t="str">
        <f>VLOOKUP(L867,[1]rekap!D:M,1,FALSE)</f>
        <v>Tanah Merah</v>
      </c>
      <c r="AK867" s="11">
        <f>VLOOKUP(L867,'[1]singkron data'!D:E,2,FALSE)</f>
        <v>0</v>
      </c>
      <c r="AL867" s="11" t="str">
        <f>VLOOKUP(L867,'[1]update 521'!D:D,1,FALSE)</f>
        <v>Tanah Merah</v>
      </c>
      <c r="AM867" s="11" t="s">
        <v>57</v>
      </c>
      <c r="AN867" s="11" t="e">
        <f>VLOOKUP(L867,[1]Sheet19!E:L,8,FALSE)</f>
        <v>#N/A</v>
      </c>
      <c r="AO867" s="11" t="s">
        <v>58</v>
      </c>
      <c r="AP867" s="12"/>
    </row>
    <row r="868" spans="1:42" ht="15" x14ac:dyDescent="0.2">
      <c r="A868" s="8" t="s">
        <v>2165</v>
      </c>
      <c r="B868" s="9" t="s">
        <v>43</v>
      </c>
      <c r="C868" s="9">
        <v>1063</v>
      </c>
      <c r="D868" s="9" t="s">
        <v>908</v>
      </c>
      <c r="E868" s="30"/>
      <c r="F868" s="9" t="s">
        <v>968</v>
      </c>
      <c r="G868" s="9" t="s">
        <v>908</v>
      </c>
      <c r="H868" s="9" t="s">
        <v>911</v>
      </c>
      <c r="I868" s="9" t="s">
        <v>971</v>
      </c>
      <c r="J868" s="9" t="s">
        <v>972</v>
      </c>
      <c r="K868" s="9" t="s">
        <v>2166</v>
      </c>
      <c r="L868" s="9" t="s">
        <v>2166</v>
      </c>
      <c r="M868" s="9" t="s">
        <v>51</v>
      </c>
      <c r="N868" s="9">
        <v>200</v>
      </c>
      <c r="O868" s="9">
        <v>10</v>
      </c>
      <c r="P868" s="9">
        <v>15</v>
      </c>
      <c r="Q868" s="9">
        <v>25</v>
      </c>
      <c r="R868" s="9">
        <v>7.8770000000000007E-2</v>
      </c>
      <c r="S868" s="9">
        <v>-2.2087903</v>
      </c>
      <c r="T868" s="9">
        <v>136.4510521</v>
      </c>
      <c r="U868" s="9"/>
      <c r="V868" s="11" t="s">
        <v>694</v>
      </c>
      <c r="W868" s="11"/>
      <c r="X868" s="11"/>
      <c r="Y868" s="11" t="e">
        <f>VLOOKUP(L868,'[1]singkron data'!D:H,5,FALSE)</f>
        <v>#N/A</v>
      </c>
      <c r="Z868" s="11" t="e">
        <f>VLOOKUP(L868,'[1]singkron data'!D:I,6,FALSE)</f>
        <v>#N/A</v>
      </c>
      <c r="AA868" s="11" t="e">
        <f>VLOOKUP(L868,'[1]singkron data'!D:L,9,FALSE)</f>
        <v>#N/A</v>
      </c>
      <c r="AB868" s="11" t="s">
        <v>694</v>
      </c>
      <c r="AC868" s="11" t="e">
        <f>VLOOKUP(L868,'[1]singkron data'!D:M,10,FALSE)</f>
        <v>#N/A</v>
      </c>
      <c r="AD868" s="11"/>
      <c r="AE868" s="11" t="e">
        <f>VLOOKUP(L868,'[1]singkron data'!D:P,13,FALSE)</f>
        <v>#N/A</v>
      </c>
      <c r="AF868" s="11"/>
      <c r="AG868" s="11" t="e">
        <f>VLOOKUP(L868,'[1]update kontrak'!E:K,6,FALSE)</f>
        <v>#N/A</v>
      </c>
      <c r="AH868" s="11" t="e">
        <f>VLOOKUP(L868,'[1]update kontrak'!E:K,7,FALSE)</f>
        <v>#N/A</v>
      </c>
      <c r="AI868" s="11"/>
      <c r="AJ868" s="11" t="str">
        <f>VLOOKUP(L868,[1]rekap!D:M,1,FALSE)</f>
        <v>Ronggaiwa</v>
      </c>
      <c r="AK868" s="11" t="e">
        <f>VLOOKUP(L868,'[1]singkron data'!D:E,2,FALSE)</f>
        <v>#N/A</v>
      </c>
      <c r="AL868" s="11" t="str">
        <f>VLOOKUP(L868,'[1]update 521'!D:D,1,FALSE)</f>
        <v>Ronggaiwa</v>
      </c>
      <c r="AM868" s="11" t="e">
        <f>VLOOKUP(L868,[1]Sheet18!I:M,5,FALSE)</f>
        <v>#N/A</v>
      </c>
      <c r="AN868" s="11" t="e">
        <f>VLOOKUP(L868,[1]Sheet19!E:L,8,FALSE)</f>
        <v>#N/A</v>
      </c>
      <c r="AO868" s="11" t="e">
        <f>VLOOKUP(L868,[1]Sheet19!E:K,7,FALSE)</f>
        <v>#N/A</v>
      </c>
      <c r="AP868" s="12"/>
    </row>
    <row r="869" spans="1:42" ht="15" x14ac:dyDescent="0.2">
      <c r="A869" s="8" t="s">
        <v>2165</v>
      </c>
      <c r="B869" s="9" t="s">
        <v>43</v>
      </c>
      <c r="C869" s="9">
        <v>1064</v>
      </c>
      <c r="D869" s="9" t="s">
        <v>908</v>
      </c>
      <c r="E869" s="30"/>
      <c r="F869" s="9" t="s">
        <v>968</v>
      </c>
      <c r="G869" s="9" t="s">
        <v>908</v>
      </c>
      <c r="H869" s="9" t="s">
        <v>911</v>
      </c>
      <c r="I869" s="9" t="s">
        <v>971</v>
      </c>
      <c r="J869" s="9" t="s">
        <v>972</v>
      </c>
      <c r="K869" s="9" t="s">
        <v>2167</v>
      </c>
      <c r="L869" s="9" t="s">
        <v>2167</v>
      </c>
      <c r="M869" s="9" t="s">
        <v>51</v>
      </c>
      <c r="N869" s="9">
        <v>100</v>
      </c>
      <c r="O869" s="9">
        <v>50</v>
      </c>
      <c r="P869" s="9">
        <v>50</v>
      </c>
      <c r="Q869" s="9">
        <v>100</v>
      </c>
      <c r="R869" s="9">
        <v>1.8700000000000001E-2</v>
      </c>
      <c r="S869" s="9">
        <v>-2.2046613000000002</v>
      </c>
      <c r="T869" s="9">
        <v>136.43022450000001</v>
      </c>
      <c r="U869" s="9"/>
      <c r="V869" s="11" t="s">
        <v>694</v>
      </c>
      <c r="W869" s="11"/>
      <c r="X869" s="11"/>
      <c r="Y869" s="11" t="e">
        <f>VLOOKUP(L869,'[1]singkron data'!D:H,5,FALSE)</f>
        <v>#N/A</v>
      </c>
      <c r="Z869" s="11" t="e">
        <f>VLOOKUP(L869,'[1]singkron data'!D:I,6,FALSE)</f>
        <v>#N/A</v>
      </c>
      <c r="AA869" s="11" t="e">
        <f>VLOOKUP(L869,'[1]singkron data'!D:L,9,FALSE)</f>
        <v>#N/A</v>
      </c>
      <c r="AB869" s="11" t="s">
        <v>694</v>
      </c>
      <c r="AC869" s="11" t="e">
        <f>VLOOKUP(L869,'[1]singkron data'!D:M,10,FALSE)</f>
        <v>#N/A</v>
      </c>
      <c r="AD869" s="11"/>
      <c r="AE869" s="11" t="e">
        <f>VLOOKUP(L869,'[1]singkron data'!D:P,13,FALSE)</f>
        <v>#N/A</v>
      </c>
      <c r="AF869" s="11"/>
      <c r="AG869" s="11" t="e">
        <f>VLOOKUP(L869,'[1]update kontrak'!E:K,6,FALSE)</f>
        <v>#N/A</v>
      </c>
      <c r="AH869" s="11" t="e">
        <f>VLOOKUP(L869,'[1]update kontrak'!E:K,7,FALSE)</f>
        <v>#N/A</v>
      </c>
      <c r="AI869" s="11"/>
      <c r="AJ869" s="11" t="str">
        <f>VLOOKUP(L869,[1]rekap!D:M,1,FALSE)</f>
        <v>Mambui</v>
      </c>
      <c r="AK869" s="11" t="e">
        <f>VLOOKUP(L869,'[1]singkron data'!D:E,2,FALSE)</f>
        <v>#N/A</v>
      </c>
      <c r="AL869" s="11" t="str">
        <f>VLOOKUP(L869,'[1]update 521'!D:D,1,FALSE)</f>
        <v>Mambui</v>
      </c>
      <c r="AM869" s="11" t="e">
        <f>VLOOKUP(L869,[1]Sheet18!I:M,5,FALSE)</f>
        <v>#N/A</v>
      </c>
      <c r="AN869" s="11" t="e">
        <f>VLOOKUP(L869,[1]Sheet19!E:L,8,FALSE)</f>
        <v>#N/A</v>
      </c>
      <c r="AO869" s="11" t="e">
        <f>VLOOKUP(L869,[1]Sheet19!E:K,7,FALSE)</f>
        <v>#N/A</v>
      </c>
      <c r="AP869" s="12"/>
    </row>
    <row r="870" spans="1:42" ht="15" x14ac:dyDescent="0.2">
      <c r="A870" s="8" t="s">
        <v>2165</v>
      </c>
      <c r="B870" s="9" t="s">
        <v>43</v>
      </c>
      <c r="C870" s="9">
        <v>1065</v>
      </c>
      <c r="D870" s="9" t="s">
        <v>908</v>
      </c>
      <c r="E870" s="30"/>
      <c r="F870" s="9" t="s">
        <v>2168</v>
      </c>
      <c r="G870" s="9" t="s">
        <v>910</v>
      </c>
      <c r="H870" s="9" t="s">
        <v>911</v>
      </c>
      <c r="I870" s="9" t="s">
        <v>2169</v>
      </c>
      <c r="J870" s="9" t="s">
        <v>2170</v>
      </c>
      <c r="K870" s="9" t="s">
        <v>2168</v>
      </c>
      <c r="L870" s="9" t="s">
        <v>2168</v>
      </c>
      <c r="M870" s="9" t="s">
        <v>65</v>
      </c>
      <c r="N870" s="9">
        <v>120</v>
      </c>
      <c r="O870" s="9">
        <v>20</v>
      </c>
      <c r="P870" s="9" t="s">
        <v>72</v>
      </c>
      <c r="Q870" s="9">
        <v>20</v>
      </c>
      <c r="R870" s="9">
        <v>0.25</v>
      </c>
      <c r="S870" s="9">
        <v>-2.7727219999999999</v>
      </c>
      <c r="T870" s="9">
        <v>134.51783599999999</v>
      </c>
      <c r="U870" s="9"/>
      <c r="V870" s="11" t="s">
        <v>694</v>
      </c>
      <c r="W870" s="11"/>
      <c r="X870" s="11"/>
      <c r="Y870" s="11" t="e">
        <f>VLOOKUP(L870,'[1]singkron data'!D:H,5,FALSE)</f>
        <v>#N/A</v>
      </c>
      <c r="Z870" s="11" t="e">
        <f>VLOOKUP(L870,'[1]singkron data'!D:I,6,FALSE)</f>
        <v>#N/A</v>
      </c>
      <c r="AA870" s="11" t="e">
        <f>VLOOKUP(L870,'[1]singkron data'!D:L,9,FALSE)</f>
        <v>#N/A</v>
      </c>
      <c r="AB870" s="11" t="s">
        <v>694</v>
      </c>
      <c r="AC870" s="11" t="e">
        <f>VLOOKUP(L870,'[1]singkron data'!D:M,10,FALSE)</f>
        <v>#N/A</v>
      </c>
      <c r="AD870" s="11"/>
      <c r="AE870" s="11" t="e">
        <f>VLOOKUP(L870,'[1]singkron data'!D:P,13,FALSE)</f>
        <v>#N/A</v>
      </c>
      <c r="AF870" s="11"/>
      <c r="AG870" s="11" t="e">
        <f>VLOOKUP(L870,'[1]update kontrak'!E:K,6,FALSE)</f>
        <v>#N/A</v>
      </c>
      <c r="AH870" s="11" t="e">
        <f>VLOOKUP(L870,'[1]update kontrak'!E:K,7,FALSE)</f>
        <v>#N/A</v>
      </c>
      <c r="AI870" s="11"/>
      <c r="AJ870" s="11" t="str">
        <f>VLOOKUP(L870,[1]rekap!D:M,1,FALSE)</f>
        <v>Iriati</v>
      </c>
      <c r="AK870" s="11" t="e">
        <f>VLOOKUP(L870,'[1]singkron data'!D:E,2,FALSE)</f>
        <v>#N/A</v>
      </c>
      <c r="AL870" s="11" t="str">
        <f>VLOOKUP(L870,'[1]update 521'!D:D,1,FALSE)</f>
        <v>Iriati</v>
      </c>
      <c r="AM870" s="11" t="e">
        <f>VLOOKUP(L870,[1]Sheet18!I:M,5,FALSE)</f>
        <v>#N/A</v>
      </c>
      <c r="AN870" s="11" t="e">
        <f>VLOOKUP(L870,[1]Sheet19!E:L,8,FALSE)</f>
        <v>#N/A</v>
      </c>
      <c r="AO870" s="11" t="e">
        <f>VLOOKUP(L870,[1]Sheet19!E:K,7,FALSE)</f>
        <v>#N/A</v>
      </c>
      <c r="AP870" s="12"/>
    </row>
    <row r="871" spans="1:42" ht="15" x14ac:dyDescent="0.2">
      <c r="A871" s="8" t="s">
        <v>2165</v>
      </c>
      <c r="B871" s="9" t="s">
        <v>43</v>
      </c>
      <c r="C871" s="9">
        <v>1066</v>
      </c>
      <c r="D871" s="9" t="s">
        <v>908</v>
      </c>
      <c r="E871" s="30"/>
      <c r="F871" s="9" t="s">
        <v>2171</v>
      </c>
      <c r="G871" s="9" t="s">
        <v>1060</v>
      </c>
      <c r="H871" s="9" t="s">
        <v>911</v>
      </c>
      <c r="I871" s="9" t="s">
        <v>1107</v>
      </c>
      <c r="J871" s="9" t="s">
        <v>2172</v>
      </c>
      <c r="K871" s="9" t="s">
        <v>2171</v>
      </c>
      <c r="L871" s="9" t="s">
        <v>2171</v>
      </c>
      <c r="M871" s="9" t="s">
        <v>65</v>
      </c>
      <c r="N871" s="9">
        <v>256</v>
      </c>
      <c r="O871" s="9">
        <v>50</v>
      </c>
      <c r="P871" s="9">
        <v>103</v>
      </c>
      <c r="Q871" s="9">
        <v>153</v>
      </c>
      <c r="R871" s="9">
        <v>1</v>
      </c>
      <c r="S871" s="9">
        <v>-2.2257370000000001</v>
      </c>
      <c r="T871" s="9">
        <v>132.45017899999999</v>
      </c>
      <c r="U871" s="9"/>
      <c r="V871" s="11" t="s">
        <v>694</v>
      </c>
      <c r="W871" s="11"/>
      <c r="X871" s="11"/>
      <c r="Y871" s="11" t="e">
        <f>VLOOKUP(L871,'[1]singkron data'!D:H,5,FALSE)</f>
        <v>#N/A</v>
      </c>
      <c r="Z871" s="11" t="e">
        <f>VLOOKUP(L871,'[1]singkron data'!D:I,6,FALSE)</f>
        <v>#N/A</v>
      </c>
      <c r="AA871" s="11" t="e">
        <f>VLOOKUP(L871,'[1]singkron data'!D:L,9,FALSE)</f>
        <v>#N/A</v>
      </c>
      <c r="AB871" s="11" t="s">
        <v>694</v>
      </c>
      <c r="AC871" s="11" t="e">
        <f>VLOOKUP(L871,'[1]singkron data'!D:M,10,FALSE)</f>
        <v>#N/A</v>
      </c>
      <c r="AD871" s="11"/>
      <c r="AE871" s="11" t="e">
        <f>VLOOKUP(L871,'[1]singkron data'!D:P,13,FALSE)</f>
        <v>#N/A</v>
      </c>
      <c r="AF871" s="11"/>
      <c r="AG871" s="11" t="e">
        <f>VLOOKUP(L871,'[1]update kontrak'!E:K,6,FALSE)</f>
        <v>#N/A</v>
      </c>
      <c r="AH871" s="11" t="e">
        <f>VLOOKUP(L871,'[1]update kontrak'!E:K,7,FALSE)</f>
        <v>#N/A</v>
      </c>
      <c r="AI871" s="11"/>
      <c r="AJ871" s="11" t="str">
        <f>VLOOKUP(L871,[1]rekap!D:M,1,FALSE)</f>
        <v>Tarof</v>
      </c>
      <c r="AK871" s="11" t="e">
        <f>VLOOKUP(L871,'[1]singkron data'!D:E,2,FALSE)</f>
        <v>#N/A</v>
      </c>
      <c r="AL871" s="11" t="str">
        <f>VLOOKUP(L871,'[1]update 521'!D:D,1,FALSE)</f>
        <v>Tarof</v>
      </c>
      <c r="AM871" s="11" t="e">
        <f>VLOOKUP(L871,[1]Sheet18!I:M,5,FALSE)</f>
        <v>#N/A</v>
      </c>
      <c r="AN871" s="11" t="e">
        <f>VLOOKUP(L871,[1]Sheet19!E:L,8,FALSE)</f>
        <v>#N/A</v>
      </c>
      <c r="AO871" s="11" t="e">
        <f>VLOOKUP(L871,[1]Sheet19!E:K,7,FALSE)</f>
        <v>#N/A</v>
      </c>
      <c r="AP871" s="12"/>
    </row>
    <row r="872" spans="1:42" ht="15" x14ac:dyDescent="0.2">
      <c r="A872" s="8" t="s">
        <v>2165</v>
      </c>
      <c r="B872" s="9" t="s">
        <v>43</v>
      </c>
      <c r="C872" s="9">
        <v>1067</v>
      </c>
      <c r="D872" s="9" t="s">
        <v>908</v>
      </c>
      <c r="E872" s="30"/>
      <c r="F872" s="9" t="s">
        <v>1016</v>
      </c>
      <c r="G872" s="9" t="s">
        <v>908</v>
      </c>
      <c r="H872" s="9" t="s">
        <v>911</v>
      </c>
      <c r="I872" s="9" t="s">
        <v>1014</v>
      </c>
      <c r="J872" s="9" t="s">
        <v>2173</v>
      </c>
      <c r="K872" s="9" t="s">
        <v>1016</v>
      </c>
      <c r="L872" s="9" t="s">
        <v>1016</v>
      </c>
      <c r="M872" s="9" t="s">
        <v>65</v>
      </c>
      <c r="N872" s="9">
        <v>60</v>
      </c>
      <c r="O872" s="9">
        <v>36</v>
      </c>
      <c r="P872" s="9">
        <v>17</v>
      </c>
      <c r="Q872" s="9">
        <v>53</v>
      </c>
      <c r="R872" s="9">
        <v>1</v>
      </c>
      <c r="S872" s="9">
        <v>-1.119972</v>
      </c>
      <c r="T872" s="9">
        <v>134.85602800000001</v>
      </c>
      <c r="U872" s="9"/>
      <c r="V872" s="11" t="s">
        <v>694</v>
      </c>
      <c r="W872" s="11"/>
      <c r="X872" s="11"/>
      <c r="Y872" s="11" t="e">
        <f>VLOOKUP(L872,'[1]singkron data'!D:H,5,FALSE)</f>
        <v>#N/A</v>
      </c>
      <c r="Z872" s="11" t="e">
        <f>VLOOKUP(L872,'[1]singkron data'!D:I,6,FALSE)</f>
        <v>#N/A</v>
      </c>
      <c r="AA872" s="11" t="e">
        <f>VLOOKUP(L872,'[1]singkron data'!D:L,9,FALSE)</f>
        <v>#N/A</v>
      </c>
      <c r="AB872" s="11" t="s">
        <v>694</v>
      </c>
      <c r="AC872" s="11" t="e">
        <f>VLOOKUP(L872,'[1]singkron data'!D:M,10,FALSE)</f>
        <v>#N/A</v>
      </c>
      <c r="AD872" s="11"/>
      <c r="AE872" s="11" t="e">
        <f>VLOOKUP(L872,'[1]singkron data'!D:P,13,FALSE)</f>
        <v>#N/A</v>
      </c>
      <c r="AF872" s="11" t="s">
        <v>55</v>
      </c>
      <c r="AG872" s="11" t="e">
        <f>VLOOKUP(L872,'[1]update kontrak'!E:K,6,FALSE)</f>
        <v>#N/A</v>
      </c>
      <c r="AH872" s="11" t="e">
        <f>VLOOKUP(L872,'[1]update kontrak'!E:K,7,FALSE)</f>
        <v>#N/A</v>
      </c>
      <c r="AI872" s="11"/>
      <c r="AJ872" s="11" t="str">
        <f>VLOOKUP(L872,[1]rekap!D:M,1,FALSE)</f>
        <v>Yenbepon</v>
      </c>
      <c r="AK872" s="11" t="e">
        <f>VLOOKUP(L872,'[1]singkron data'!D:E,2,FALSE)</f>
        <v>#N/A</v>
      </c>
      <c r="AL872" s="11" t="str">
        <f>VLOOKUP(L872,'[1]update 521'!D:D,1,FALSE)</f>
        <v>Yenbepon</v>
      </c>
      <c r="AM872" s="11" t="e">
        <f>VLOOKUP(L872,[1]Sheet18!I:M,5,FALSE)</f>
        <v>#N/A</v>
      </c>
      <c r="AN872" s="11" t="e">
        <f>VLOOKUP(L872,[1]Sheet19!E:L,8,FALSE)</f>
        <v>#N/A</v>
      </c>
      <c r="AO872" s="11" t="e">
        <f>VLOOKUP(L872,[1]Sheet19!E:K,7,FALSE)</f>
        <v>#N/A</v>
      </c>
      <c r="AP872" s="12"/>
    </row>
    <row r="873" spans="1:42" ht="15" x14ac:dyDescent="0.2">
      <c r="A873" s="8" t="s">
        <v>2165</v>
      </c>
      <c r="B873" s="9" t="s">
        <v>43</v>
      </c>
      <c r="C873" s="9">
        <v>1068</v>
      </c>
      <c r="D873" s="9" t="s">
        <v>908</v>
      </c>
      <c r="E873" s="30"/>
      <c r="F873" s="9" t="s">
        <v>968</v>
      </c>
      <c r="G873" s="9" t="s">
        <v>908</v>
      </c>
      <c r="H873" s="9" t="s">
        <v>911</v>
      </c>
      <c r="I873" s="9" t="s">
        <v>971</v>
      </c>
      <c r="J873" s="9" t="s">
        <v>972</v>
      </c>
      <c r="K873" s="9" t="s">
        <v>2174</v>
      </c>
      <c r="L873" s="9" t="s">
        <v>2174</v>
      </c>
      <c r="M873" s="9" t="s">
        <v>51</v>
      </c>
      <c r="N873" s="9">
        <v>50</v>
      </c>
      <c r="O873" s="9">
        <v>20</v>
      </c>
      <c r="P873" s="9">
        <v>5</v>
      </c>
      <c r="Q873" s="9">
        <v>25</v>
      </c>
      <c r="R873" s="9">
        <v>5.4850999999999997E-2</v>
      </c>
      <c r="S873" s="9">
        <v>-2.2056331</v>
      </c>
      <c r="T873" s="9">
        <v>136.43901529999999</v>
      </c>
      <c r="U873" s="9"/>
      <c r="V873" s="11" t="s">
        <v>694</v>
      </c>
      <c r="W873" s="11"/>
      <c r="X873" s="11"/>
      <c r="Y873" s="11" t="e">
        <f>VLOOKUP(L873,'[1]singkron data'!D:H,5,FALSE)</f>
        <v>#N/A</v>
      </c>
      <c r="Z873" s="11" t="e">
        <f>VLOOKUP(L873,'[1]singkron data'!D:I,6,FALSE)</f>
        <v>#N/A</v>
      </c>
      <c r="AA873" s="11" t="e">
        <f>VLOOKUP(L873,'[1]singkron data'!D:L,9,FALSE)</f>
        <v>#N/A</v>
      </c>
      <c r="AB873" s="11" t="s">
        <v>694</v>
      </c>
      <c r="AC873" s="11" t="e">
        <f>VLOOKUP(L873,'[1]singkron data'!D:M,10,FALSE)</f>
        <v>#N/A</v>
      </c>
      <c r="AD873" s="11"/>
      <c r="AE873" s="11" t="e">
        <f>VLOOKUP(L873,'[1]singkron data'!D:P,13,FALSE)</f>
        <v>#N/A</v>
      </c>
      <c r="AF873" s="11"/>
      <c r="AG873" s="11" t="e">
        <f>VLOOKUP(L873,'[1]update kontrak'!E:K,6,FALSE)</f>
        <v>#N/A</v>
      </c>
      <c r="AH873" s="11" t="e">
        <f>VLOOKUP(L873,'[1]update kontrak'!E:K,7,FALSE)</f>
        <v>#N/A</v>
      </c>
      <c r="AI873" s="11"/>
      <c r="AJ873" s="11" t="str">
        <f>VLOOKUP(L873,[1]rekap!D:M,1,FALSE)</f>
        <v>Ureifaisei Iii/ Paradoi</v>
      </c>
      <c r="AK873" s="11" t="e">
        <f>VLOOKUP(L873,'[1]singkron data'!D:E,2,FALSE)</f>
        <v>#N/A</v>
      </c>
      <c r="AL873" s="11" t="str">
        <f>VLOOKUP(L873,'[1]update 521'!D:D,1,FALSE)</f>
        <v>Ureifaisei Iii/ Paradoi</v>
      </c>
      <c r="AM873" s="11" t="e">
        <f>VLOOKUP(L873,[1]Sheet18!I:M,5,FALSE)</f>
        <v>#N/A</v>
      </c>
      <c r="AN873" s="11" t="e">
        <f>VLOOKUP(L873,[1]Sheet19!E:L,8,FALSE)</f>
        <v>#N/A</v>
      </c>
      <c r="AO873" s="11" t="e">
        <f>VLOOKUP(L873,[1]Sheet19!E:K,7,FALSE)</f>
        <v>#N/A</v>
      </c>
      <c r="AP873" s="12"/>
    </row>
    <row r="874" spans="1:42" ht="15" x14ac:dyDescent="0.2">
      <c r="A874" s="8" t="s">
        <v>2165</v>
      </c>
      <c r="B874" s="9" t="s">
        <v>43</v>
      </c>
      <c r="C874" s="9">
        <v>1069</v>
      </c>
      <c r="D874" s="9" t="s">
        <v>908</v>
      </c>
      <c r="E874" s="30"/>
      <c r="F874" s="9" t="s">
        <v>1040</v>
      </c>
      <c r="G874" s="9" t="s">
        <v>908</v>
      </c>
      <c r="H874" s="9" t="s">
        <v>911</v>
      </c>
      <c r="I874" s="9" t="s">
        <v>1014</v>
      </c>
      <c r="J874" s="9" t="s">
        <v>1042</v>
      </c>
      <c r="K874" s="9" t="s">
        <v>2175</v>
      </c>
      <c r="L874" s="9" t="s">
        <v>2175</v>
      </c>
      <c r="M874" s="9" t="s">
        <v>51</v>
      </c>
      <c r="N874" s="9">
        <v>30</v>
      </c>
      <c r="O874" s="9">
        <v>5</v>
      </c>
      <c r="P874" s="9">
        <v>2</v>
      </c>
      <c r="Q874" s="9">
        <v>7</v>
      </c>
      <c r="R874" s="9">
        <v>3.9E-2</v>
      </c>
      <c r="S874" s="9">
        <v>-0.81930599999999998</v>
      </c>
      <c r="T874" s="9">
        <v>135.99044000000001</v>
      </c>
      <c r="U874" s="9"/>
      <c r="V874" s="11" t="s">
        <v>694</v>
      </c>
      <c r="W874" s="11"/>
      <c r="X874" s="11"/>
      <c r="Y874" s="11" t="e">
        <f>VLOOKUP(L874,'[1]singkron data'!D:H,5,FALSE)</f>
        <v>#N/A</v>
      </c>
      <c r="Z874" s="11" t="e">
        <f>VLOOKUP(L874,'[1]singkron data'!D:I,6,FALSE)</f>
        <v>#N/A</v>
      </c>
      <c r="AA874" s="11" t="e">
        <f>VLOOKUP(L874,'[1]singkron data'!D:L,9,FALSE)</f>
        <v>#N/A</v>
      </c>
      <c r="AB874" s="11" t="s">
        <v>694</v>
      </c>
      <c r="AC874" s="11" t="e">
        <f>VLOOKUP(L874,'[1]singkron data'!D:M,10,FALSE)</f>
        <v>#N/A</v>
      </c>
      <c r="AD874" s="11"/>
      <c r="AE874" s="11" t="e">
        <f>VLOOKUP(L874,'[1]singkron data'!D:P,13,FALSE)</f>
        <v>#N/A</v>
      </c>
      <c r="AF874" s="11" t="s">
        <v>55</v>
      </c>
      <c r="AG874" s="11" t="e">
        <f>VLOOKUP(L874,'[1]update kontrak'!E:K,6,FALSE)</f>
        <v>#N/A</v>
      </c>
      <c r="AH874" s="11" t="e">
        <f>VLOOKUP(L874,'[1]update kontrak'!E:K,7,FALSE)</f>
        <v>#N/A</v>
      </c>
      <c r="AI874" s="11"/>
      <c r="AJ874" s="11" t="str">
        <f>VLOOKUP(L874,[1]rekap!D:M,1,FALSE)</f>
        <v>Soor</v>
      </c>
      <c r="AK874" s="11" t="e">
        <f>VLOOKUP(L874,'[1]singkron data'!D:E,2,FALSE)</f>
        <v>#N/A</v>
      </c>
      <c r="AL874" s="11" t="str">
        <f>VLOOKUP(L874,'[1]update 521'!D:D,1,FALSE)</f>
        <v>Soor</v>
      </c>
      <c r="AM874" s="11" t="e">
        <f>VLOOKUP(L874,[1]Sheet18!I:M,5,FALSE)</f>
        <v>#N/A</v>
      </c>
      <c r="AN874" s="11" t="e">
        <f>VLOOKUP(L874,[1]Sheet19!E:L,8,FALSE)</f>
        <v>#N/A</v>
      </c>
      <c r="AO874" s="11" t="e">
        <f>VLOOKUP(L874,[1]Sheet19!E:K,7,FALSE)</f>
        <v>#N/A</v>
      </c>
      <c r="AP874" s="12"/>
    </row>
    <row r="875" spans="1:42" ht="15" x14ac:dyDescent="0.2">
      <c r="A875" s="8" t="s">
        <v>2165</v>
      </c>
      <c r="B875" s="9" t="s">
        <v>43</v>
      </c>
      <c r="C875" s="9">
        <v>1070</v>
      </c>
      <c r="D875" s="9" t="s">
        <v>908</v>
      </c>
      <c r="E875" s="30"/>
      <c r="F875" s="9" t="s">
        <v>1040</v>
      </c>
      <c r="G875" s="9" t="s">
        <v>908</v>
      </c>
      <c r="H875" s="9" t="s">
        <v>911</v>
      </c>
      <c r="I875" s="9" t="s">
        <v>1014</v>
      </c>
      <c r="J875" s="9" t="s">
        <v>1044</v>
      </c>
      <c r="K875" s="9" t="s">
        <v>2176</v>
      </c>
      <c r="L875" s="9" t="s">
        <v>2176</v>
      </c>
      <c r="M875" s="9" t="s">
        <v>51</v>
      </c>
      <c r="N875" s="9">
        <v>15</v>
      </c>
      <c r="O875" s="9">
        <v>10</v>
      </c>
      <c r="P875" s="9">
        <v>6</v>
      </c>
      <c r="Q875" s="9">
        <v>16</v>
      </c>
      <c r="R875" s="9">
        <v>7.1999999999999995E-2</v>
      </c>
      <c r="S875" s="9">
        <v>-0.79161099999999995</v>
      </c>
      <c r="T875" s="9">
        <v>135.943667</v>
      </c>
      <c r="U875" s="9"/>
      <c r="V875" s="11" t="s">
        <v>694</v>
      </c>
      <c r="W875" s="11"/>
      <c r="X875" s="11"/>
      <c r="Y875" s="11" t="e">
        <f>VLOOKUP(L875,'[1]singkron data'!D:H,5,FALSE)</f>
        <v>#N/A</v>
      </c>
      <c r="Z875" s="11" t="e">
        <f>VLOOKUP(L875,'[1]singkron data'!D:I,6,FALSE)</f>
        <v>#N/A</v>
      </c>
      <c r="AA875" s="11" t="e">
        <f>VLOOKUP(L875,'[1]singkron data'!D:L,9,FALSE)</f>
        <v>#N/A</v>
      </c>
      <c r="AB875" s="11" t="s">
        <v>694</v>
      </c>
      <c r="AC875" s="11" t="e">
        <f>VLOOKUP(L875,'[1]singkron data'!D:M,10,FALSE)</f>
        <v>#N/A</v>
      </c>
      <c r="AD875" s="11"/>
      <c r="AE875" s="11" t="e">
        <f>VLOOKUP(L875,'[1]singkron data'!D:P,13,FALSE)</f>
        <v>#N/A</v>
      </c>
      <c r="AF875" s="11" t="s">
        <v>55</v>
      </c>
      <c r="AG875" s="11" t="e">
        <f>VLOOKUP(L875,'[1]update kontrak'!E:K,6,FALSE)</f>
        <v>#N/A</v>
      </c>
      <c r="AH875" s="11" t="e">
        <f>VLOOKUP(L875,'[1]update kontrak'!E:K,7,FALSE)</f>
        <v>#N/A</v>
      </c>
      <c r="AI875" s="11"/>
      <c r="AJ875" s="11" t="str">
        <f>VLOOKUP(L875,[1]rekap!D:M,1,FALSE)</f>
        <v>Komboi</v>
      </c>
      <c r="AK875" s="11" t="e">
        <f>VLOOKUP(L875,'[1]singkron data'!D:E,2,FALSE)</f>
        <v>#N/A</v>
      </c>
      <c r="AL875" s="11" t="str">
        <f>VLOOKUP(L875,'[1]update 521'!D:D,1,FALSE)</f>
        <v>Komboi</v>
      </c>
      <c r="AM875" s="11" t="e">
        <f>VLOOKUP(L875,[1]Sheet18!I:M,5,FALSE)</f>
        <v>#N/A</v>
      </c>
      <c r="AN875" s="11" t="e">
        <f>VLOOKUP(L875,[1]Sheet19!E:L,8,FALSE)</f>
        <v>#N/A</v>
      </c>
      <c r="AO875" s="11" t="e">
        <f>VLOOKUP(L875,[1]Sheet19!E:K,7,FALSE)</f>
        <v>#N/A</v>
      </c>
      <c r="AP875" s="12"/>
    </row>
    <row r="876" spans="1:42" ht="15" x14ac:dyDescent="0.2">
      <c r="A876" s="8" t="s">
        <v>2165</v>
      </c>
      <c r="B876" s="9" t="s">
        <v>43</v>
      </c>
      <c r="C876" s="9">
        <v>1071</v>
      </c>
      <c r="D876" s="9" t="s">
        <v>908</v>
      </c>
      <c r="E876" s="30"/>
      <c r="F876" s="9" t="s">
        <v>1073</v>
      </c>
      <c r="G876" s="9" t="s">
        <v>908</v>
      </c>
      <c r="H876" s="9" t="s">
        <v>911</v>
      </c>
      <c r="I876" s="9" t="s">
        <v>971</v>
      </c>
      <c r="J876" s="9" t="s">
        <v>1075</v>
      </c>
      <c r="K876" s="9" t="s">
        <v>2177</v>
      </c>
      <c r="L876" s="9" t="s">
        <v>2177</v>
      </c>
      <c r="M876" s="9" t="s">
        <v>51</v>
      </c>
      <c r="N876" s="9">
        <v>55</v>
      </c>
      <c r="O876" s="9">
        <v>3</v>
      </c>
      <c r="P876" s="9">
        <v>23</v>
      </c>
      <c r="Q876" s="9">
        <v>26</v>
      </c>
      <c r="R876" s="9">
        <v>8.4037000000000001E-2</v>
      </c>
      <c r="S876" s="9">
        <v>-2.7515808000000002</v>
      </c>
      <c r="T876" s="9">
        <v>136.0579525</v>
      </c>
      <c r="U876" s="9"/>
      <c r="V876" s="11" t="s">
        <v>694</v>
      </c>
      <c r="W876" s="11"/>
      <c r="X876" s="11"/>
      <c r="Y876" s="11" t="e">
        <f>VLOOKUP(L876,'[1]singkron data'!D:H,5,FALSE)</f>
        <v>#N/A</v>
      </c>
      <c r="Z876" s="11" t="e">
        <f>VLOOKUP(L876,'[1]singkron data'!D:I,6,FALSE)</f>
        <v>#N/A</v>
      </c>
      <c r="AA876" s="11" t="e">
        <f>VLOOKUP(L876,'[1]singkron data'!D:L,9,FALSE)</f>
        <v>#N/A</v>
      </c>
      <c r="AB876" s="11" t="s">
        <v>694</v>
      </c>
      <c r="AC876" s="11" t="e">
        <f>VLOOKUP(L876,'[1]singkron data'!D:M,10,FALSE)</f>
        <v>#N/A</v>
      </c>
      <c r="AD876" s="11"/>
      <c r="AE876" s="11" t="e">
        <f>VLOOKUP(L876,'[1]singkron data'!D:P,13,FALSE)</f>
        <v>#N/A</v>
      </c>
      <c r="AF876" s="11"/>
      <c r="AG876" s="11" t="e">
        <f>VLOOKUP(L876,'[1]update kontrak'!E:K,6,FALSE)</f>
        <v>#N/A</v>
      </c>
      <c r="AH876" s="11" t="e">
        <f>VLOOKUP(L876,'[1]update kontrak'!E:K,7,FALSE)</f>
        <v>#N/A</v>
      </c>
      <c r="AI876" s="11"/>
      <c r="AJ876" s="11" t="str">
        <f>VLOOKUP(L876,[1]rekap!D:M,1,FALSE)</f>
        <v>Dokis</v>
      </c>
      <c r="AK876" s="11" t="e">
        <f>VLOOKUP(L876,'[1]singkron data'!D:E,2,FALSE)</f>
        <v>#N/A</v>
      </c>
      <c r="AL876" s="11" t="str">
        <f>VLOOKUP(L876,'[1]update 521'!D:D,1,FALSE)</f>
        <v>Dokis</v>
      </c>
      <c r="AM876" s="11" t="e">
        <f>VLOOKUP(L876,[1]Sheet18!I:M,5,FALSE)</f>
        <v>#N/A</v>
      </c>
      <c r="AN876" s="11" t="e">
        <f>VLOOKUP(L876,[1]Sheet19!E:L,8,FALSE)</f>
        <v>#N/A</v>
      </c>
      <c r="AO876" s="11" t="e">
        <f>VLOOKUP(L876,[1]Sheet19!E:K,7,FALSE)</f>
        <v>#N/A</v>
      </c>
      <c r="AP876" s="12"/>
    </row>
    <row r="877" spans="1:42" ht="15" x14ac:dyDescent="0.2">
      <c r="A877" s="8" t="s">
        <v>2165</v>
      </c>
      <c r="B877" s="9" t="s">
        <v>43</v>
      </c>
      <c r="C877" s="9">
        <v>1072</v>
      </c>
      <c r="D877" s="9" t="s">
        <v>908</v>
      </c>
      <c r="E877" s="30"/>
      <c r="F877" s="9" t="s">
        <v>1073</v>
      </c>
      <c r="G877" s="9" t="s">
        <v>908</v>
      </c>
      <c r="H877" s="9" t="s">
        <v>911</v>
      </c>
      <c r="I877" s="9" t="s">
        <v>971</v>
      </c>
      <c r="J877" s="9" t="s">
        <v>1075</v>
      </c>
      <c r="K877" s="9" t="s">
        <v>2178</v>
      </c>
      <c r="L877" s="9" t="s">
        <v>2178</v>
      </c>
      <c r="M877" s="9" t="s">
        <v>51</v>
      </c>
      <c r="N877" s="9">
        <v>40</v>
      </c>
      <c r="O877" s="9">
        <v>30</v>
      </c>
      <c r="P877" s="9" t="s">
        <v>72</v>
      </c>
      <c r="Q877" s="9">
        <v>30</v>
      </c>
      <c r="R877" s="9">
        <v>0.17499999999999999</v>
      </c>
      <c r="S877" s="9">
        <v>-2.7150242000000002</v>
      </c>
      <c r="T877" s="9">
        <v>136.01720700000001</v>
      </c>
      <c r="U877" s="9"/>
      <c r="V877" s="11" t="s">
        <v>694</v>
      </c>
      <c r="W877" s="11"/>
      <c r="X877" s="11"/>
      <c r="Y877" s="11" t="e">
        <f>VLOOKUP(L877,'[1]singkron data'!D:H,5,FALSE)</f>
        <v>#N/A</v>
      </c>
      <c r="Z877" s="11" t="e">
        <f>VLOOKUP(L877,'[1]singkron data'!D:I,6,FALSE)</f>
        <v>#N/A</v>
      </c>
      <c r="AA877" s="11" t="e">
        <f>VLOOKUP(L877,'[1]singkron data'!D:L,9,FALSE)</f>
        <v>#N/A</v>
      </c>
      <c r="AB877" s="11" t="s">
        <v>694</v>
      </c>
      <c r="AC877" s="11" t="e">
        <f>VLOOKUP(L877,'[1]singkron data'!D:M,10,FALSE)</f>
        <v>#N/A</v>
      </c>
      <c r="AD877" s="11"/>
      <c r="AE877" s="11" t="e">
        <f>VLOOKUP(L877,'[1]singkron data'!D:P,13,FALSE)</f>
        <v>#N/A</v>
      </c>
      <c r="AF877" s="11"/>
      <c r="AG877" s="11" t="e">
        <f>VLOOKUP(L877,'[1]update kontrak'!E:K,6,FALSE)</f>
        <v>#N/A</v>
      </c>
      <c r="AH877" s="11" t="e">
        <f>VLOOKUP(L877,'[1]update kontrak'!E:K,7,FALSE)</f>
        <v>#N/A</v>
      </c>
      <c r="AI877" s="11"/>
      <c r="AJ877" s="11" t="str">
        <f>VLOOKUP(L877,[1]rekap!D:M,1,FALSE)</f>
        <v>Kamarisano</v>
      </c>
      <c r="AK877" s="11" t="e">
        <f>VLOOKUP(L877,'[1]singkron data'!D:E,2,FALSE)</f>
        <v>#N/A</v>
      </c>
      <c r="AL877" s="11" t="str">
        <f>VLOOKUP(L877,'[1]update 521'!D:D,1,FALSE)</f>
        <v>Kamarisano</v>
      </c>
      <c r="AM877" s="11" t="e">
        <f>VLOOKUP(L877,[1]Sheet18!I:M,5,FALSE)</f>
        <v>#N/A</v>
      </c>
      <c r="AN877" s="11" t="e">
        <f>VLOOKUP(L877,[1]Sheet19!E:L,8,FALSE)</f>
        <v>#N/A</v>
      </c>
      <c r="AO877" s="11" t="e">
        <f>VLOOKUP(L877,[1]Sheet19!E:K,7,FALSE)</f>
        <v>#N/A</v>
      </c>
      <c r="AP877" s="12"/>
    </row>
    <row r="878" spans="1:42" ht="15" x14ac:dyDescent="0.2">
      <c r="A878" s="8" t="s">
        <v>2165</v>
      </c>
      <c r="B878" s="9" t="s">
        <v>43</v>
      </c>
      <c r="C878" s="9">
        <v>1073</v>
      </c>
      <c r="D878" s="9" t="s">
        <v>908</v>
      </c>
      <c r="E878" s="30"/>
      <c r="F878" s="9" t="s">
        <v>1007</v>
      </c>
      <c r="G878" s="9" t="s">
        <v>908</v>
      </c>
      <c r="H878" s="9" t="s">
        <v>911</v>
      </c>
      <c r="I878" s="9" t="s">
        <v>513</v>
      </c>
      <c r="J878" s="9" t="s">
        <v>1005</v>
      </c>
      <c r="K878" s="9" t="s">
        <v>2179</v>
      </c>
      <c r="L878" s="9" t="s">
        <v>2179</v>
      </c>
      <c r="M878" s="9" t="s">
        <v>51</v>
      </c>
      <c r="N878" s="9">
        <v>54</v>
      </c>
      <c r="O878" s="9">
        <v>30</v>
      </c>
      <c r="P878" s="9">
        <v>15</v>
      </c>
      <c r="Q878" s="9">
        <v>45</v>
      </c>
      <c r="R878" s="9">
        <v>5.0999999999999997E-2</v>
      </c>
      <c r="S878" s="9">
        <v>-2.4628830000000002</v>
      </c>
      <c r="T878" s="9">
        <v>140.34520000000001</v>
      </c>
      <c r="U878" s="9"/>
      <c r="V878" s="11" t="s">
        <v>694</v>
      </c>
      <c r="W878" s="11"/>
      <c r="X878" s="11"/>
      <c r="Y878" s="11" t="e">
        <f>VLOOKUP(L878,'[1]singkron data'!D:H,5,FALSE)</f>
        <v>#N/A</v>
      </c>
      <c r="Z878" s="11" t="e">
        <f>VLOOKUP(L878,'[1]singkron data'!D:I,6,FALSE)</f>
        <v>#N/A</v>
      </c>
      <c r="AA878" s="11" t="e">
        <f>VLOOKUP(L878,'[1]singkron data'!D:L,9,FALSE)</f>
        <v>#N/A</v>
      </c>
      <c r="AB878" s="11" t="s">
        <v>694</v>
      </c>
      <c r="AC878" s="11" t="e">
        <f>VLOOKUP(L878,'[1]singkron data'!D:M,10,FALSE)</f>
        <v>#N/A</v>
      </c>
      <c r="AD878" s="11"/>
      <c r="AE878" s="11" t="e">
        <f>VLOOKUP(L878,'[1]singkron data'!D:P,13,FALSE)</f>
        <v>#N/A</v>
      </c>
      <c r="AF878" s="11" t="s">
        <v>55</v>
      </c>
      <c r="AG878" s="11" t="e">
        <f>VLOOKUP(L878,'[1]update kontrak'!E:K,6,FALSE)</f>
        <v>#N/A</v>
      </c>
      <c r="AH878" s="11" t="e">
        <f>VLOOKUP(L878,'[1]update kontrak'!E:K,7,FALSE)</f>
        <v>#N/A</v>
      </c>
      <c r="AI878" s="11"/>
      <c r="AJ878" s="11" t="str">
        <f>VLOOKUP(L878,[1]rekap!D:M,1,FALSE)</f>
        <v>Entiyebo</v>
      </c>
      <c r="AK878" s="11" t="e">
        <f>VLOOKUP(L878,'[1]singkron data'!D:E,2,FALSE)</f>
        <v>#N/A</v>
      </c>
      <c r="AL878" s="11" t="str">
        <f>VLOOKUP(L878,'[1]update 521'!D:D,1,FALSE)</f>
        <v>Entiyebo</v>
      </c>
      <c r="AM878" s="11" t="e">
        <f>VLOOKUP(L878,[1]Sheet18!I:M,5,FALSE)</f>
        <v>#N/A</v>
      </c>
      <c r="AN878" s="11" t="e">
        <f>VLOOKUP(L878,[1]Sheet19!E:L,8,FALSE)</f>
        <v>#N/A</v>
      </c>
      <c r="AO878" s="11" t="e">
        <f>VLOOKUP(L878,[1]Sheet19!E:K,7,FALSE)</f>
        <v>#N/A</v>
      </c>
      <c r="AP878" s="12"/>
    </row>
    <row r="879" spans="1:42" ht="15" x14ac:dyDescent="0.2">
      <c r="A879" s="8" t="s">
        <v>2165</v>
      </c>
      <c r="B879" s="9" t="s">
        <v>43</v>
      </c>
      <c r="C879" s="9">
        <v>1074</v>
      </c>
      <c r="D879" s="9" t="s">
        <v>908</v>
      </c>
      <c r="E879" s="30"/>
      <c r="F879" s="9" t="s">
        <v>1001</v>
      </c>
      <c r="G879" s="9" t="s">
        <v>908</v>
      </c>
      <c r="H879" s="9" t="s">
        <v>911</v>
      </c>
      <c r="I879" s="9" t="s">
        <v>513</v>
      </c>
      <c r="J879" s="9" t="s">
        <v>2180</v>
      </c>
      <c r="K879" s="9" t="s">
        <v>2181</v>
      </c>
      <c r="L879" s="9" t="s">
        <v>2181</v>
      </c>
      <c r="M879" s="9" t="s">
        <v>51</v>
      </c>
      <c r="N879" s="9">
        <v>65</v>
      </c>
      <c r="O879" s="9">
        <v>50</v>
      </c>
      <c r="P879" s="9">
        <v>15</v>
      </c>
      <c r="Q879" s="9">
        <v>65</v>
      </c>
      <c r="R879" s="9">
        <v>5.2499999999999998E-2</v>
      </c>
      <c r="S879" s="9">
        <v>-2.4483190000000001</v>
      </c>
      <c r="T879" s="9">
        <v>140.54482100000001</v>
      </c>
      <c r="U879" s="9"/>
      <c r="V879" s="11" t="s">
        <v>694</v>
      </c>
      <c r="W879" s="11"/>
      <c r="X879" s="11"/>
      <c r="Y879" s="11" t="e">
        <f>VLOOKUP(L879,'[1]singkron data'!D:H,5,FALSE)</f>
        <v>#N/A</v>
      </c>
      <c r="Z879" s="11" t="e">
        <f>VLOOKUP(L879,'[1]singkron data'!D:I,6,FALSE)</f>
        <v>#N/A</v>
      </c>
      <c r="AA879" s="11" t="e">
        <f>VLOOKUP(L879,'[1]singkron data'!D:L,9,FALSE)</f>
        <v>#N/A</v>
      </c>
      <c r="AB879" s="11" t="s">
        <v>694</v>
      </c>
      <c r="AC879" s="11" t="e">
        <f>VLOOKUP(L879,'[1]singkron data'!D:M,10,FALSE)</f>
        <v>#N/A</v>
      </c>
      <c r="AD879" s="11"/>
      <c r="AE879" s="11" t="e">
        <f>VLOOKUP(L879,'[1]singkron data'!D:P,13,FALSE)</f>
        <v>#N/A</v>
      </c>
      <c r="AF879" s="11" t="s">
        <v>55</v>
      </c>
      <c r="AG879" s="11" t="e">
        <f>VLOOKUP(L879,'[1]update kontrak'!E:K,6,FALSE)</f>
        <v>#N/A</v>
      </c>
      <c r="AH879" s="11" t="e">
        <f>VLOOKUP(L879,'[1]update kontrak'!E:K,7,FALSE)</f>
        <v>#N/A</v>
      </c>
      <c r="AI879" s="11"/>
      <c r="AJ879" s="11" t="str">
        <f>VLOOKUP(L879,[1]rekap!D:M,1,FALSE)</f>
        <v>Newa</v>
      </c>
      <c r="AK879" s="11" t="e">
        <f>VLOOKUP(L879,'[1]singkron data'!D:E,2,FALSE)</f>
        <v>#N/A</v>
      </c>
      <c r="AL879" s="11" t="str">
        <f>VLOOKUP(L879,'[1]update 521'!D:D,1,FALSE)</f>
        <v>Newa</v>
      </c>
      <c r="AM879" s="11" t="e">
        <f>VLOOKUP(L879,[1]Sheet18!I:M,5,FALSE)</f>
        <v>#N/A</v>
      </c>
      <c r="AN879" s="11" t="e">
        <f>VLOOKUP(L879,[1]Sheet19!E:L,8,FALSE)</f>
        <v>#N/A</v>
      </c>
      <c r="AO879" s="11" t="e">
        <f>VLOOKUP(L879,[1]Sheet19!E:K,7,FALSE)</f>
        <v>#N/A</v>
      </c>
      <c r="AP879" s="12"/>
    </row>
    <row r="880" spans="1:42" ht="15" x14ac:dyDescent="0.2">
      <c r="A880" s="8" t="s">
        <v>2165</v>
      </c>
      <c r="B880" s="9" t="s">
        <v>43</v>
      </c>
      <c r="C880" s="9">
        <v>1075</v>
      </c>
      <c r="D880" s="9" t="s">
        <v>908</v>
      </c>
      <c r="E880" s="30"/>
      <c r="F880" s="9" t="s">
        <v>1007</v>
      </c>
      <c r="G880" s="9" t="s">
        <v>908</v>
      </c>
      <c r="H880" s="9" t="s">
        <v>911</v>
      </c>
      <c r="I880" s="9" t="s">
        <v>513</v>
      </c>
      <c r="J880" s="9" t="s">
        <v>1008</v>
      </c>
      <c r="K880" s="9" t="s">
        <v>2182</v>
      </c>
      <c r="L880" s="9" t="s">
        <v>2182</v>
      </c>
      <c r="M880" s="9" t="s">
        <v>51</v>
      </c>
      <c r="N880" s="9">
        <v>66</v>
      </c>
      <c r="O880" s="9">
        <v>47</v>
      </c>
      <c r="P880" s="9">
        <v>19</v>
      </c>
      <c r="Q880" s="9">
        <v>66</v>
      </c>
      <c r="R880" s="9">
        <v>5.3999999999999999E-2</v>
      </c>
      <c r="S880" s="9">
        <v>-2.4449209999999999</v>
      </c>
      <c r="T880" s="9">
        <v>140.314864</v>
      </c>
      <c r="U880" s="9"/>
      <c r="V880" s="11" t="s">
        <v>694</v>
      </c>
      <c r="W880" s="11"/>
      <c r="X880" s="11"/>
      <c r="Y880" s="11" t="e">
        <f>VLOOKUP(L880,'[1]singkron data'!D:H,5,FALSE)</f>
        <v>#N/A</v>
      </c>
      <c r="Z880" s="11" t="e">
        <f>VLOOKUP(L880,'[1]singkron data'!D:I,6,FALSE)</f>
        <v>#N/A</v>
      </c>
      <c r="AA880" s="11" t="e">
        <f>VLOOKUP(L880,'[1]singkron data'!D:L,9,FALSE)</f>
        <v>#N/A</v>
      </c>
      <c r="AB880" s="11" t="s">
        <v>694</v>
      </c>
      <c r="AC880" s="11" t="e">
        <f>VLOOKUP(L880,'[1]singkron data'!D:M,10,FALSE)</f>
        <v>#N/A</v>
      </c>
      <c r="AD880" s="11"/>
      <c r="AE880" s="11" t="e">
        <f>VLOOKUP(L880,'[1]singkron data'!D:P,13,FALSE)</f>
        <v>#N/A</v>
      </c>
      <c r="AF880" s="11" t="s">
        <v>55</v>
      </c>
      <c r="AG880" s="11" t="e">
        <f>VLOOKUP(L880,'[1]update kontrak'!E:K,6,FALSE)</f>
        <v>#N/A</v>
      </c>
      <c r="AH880" s="11" t="e">
        <f>VLOOKUP(L880,'[1]update kontrak'!E:K,7,FALSE)</f>
        <v>#N/A</v>
      </c>
      <c r="AI880" s="11"/>
      <c r="AJ880" s="11" t="str">
        <f>VLOOKUP(L880,[1]rekap!D:M,1,FALSE)</f>
        <v>Senamay</v>
      </c>
      <c r="AK880" s="11" t="e">
        <f>VLOOKUP(L880,'[1]singkron data'!D:E,2,FALSE)</f>
        <v>#N/A</v>
      </c>
      <c r="AL880" s="11" t="str">
        <f>VLOOKUP(L880,'[1]update 521'!D:D,1,FALSE)</f>
        <v>Senamay</v>
      </c>
      <c r="AM880" s="11" t="e">
        <f>VLOOKUP(L880,[1]Sheet18!I:M,5,FALSE)</f>
        <v>#N/A</v>
      </c>
      <c r="AN880" s="11" t="e">
        <f>VLOOKUP(L880,[1]Sheet19!E:L,8,FALSE)</f>
        <v>#N/A</v>
      </c>
      <c r="AO880" s="11" t="e">
        <f>VLOOKUP(L880,[1]Sheet19!E:K,7,FALSE)</f>
        <v>#N/A</v>
      </c>
      <c r="AP880" s="12"/>
    </row>
    <row r="881" spans="1:42" ht="15" x14ac:dyDescent="0.2">
      <c r="A881" s="8" t="s">
        <v>2165</v>
      </c>
      <c r="B881" s="9" t="s">
        <v>43</v>
      </c>
      <c r="C881" s="9">
        <v>1076</v>
      </c>
      <c r="D881" s="9" t="s">
        <v>908</v>
      </c>
      <c r="E881" s="30"/>
      <c r="F881" s="9" t="s">
        <v>1007</v>
      </c>
      <c r="G881" s="9" t="s">
        <v>908</v>
      </c>
      <c r="H881" s="9" t="s">
        <v>911</v>
      </c>
      <c r="I881" s="9" t="s">
        <v>513</v>
      </c>
      <c r="J881" s="9" t="s">
        <v>1008</v>
      </c>
      <c r="K881" s="9" t="s">
        <v>2183</v>
      </c>
      <c r="L881" s="9" t="s">
        <v>2183</v>
      </c>
      <c r="M881" s="9" t="s">
        <v>51</v>
      </c>
      <c r="N881" s="9">
        <v>90</v>
      </c>
      <c r="O881" s="9">
        <v>60</v>
      </c>
      <c r="P881" s="9">
        <v>11</v>
      </c>
      <c r="Q881" s="9">
        <v>71</v>
      </c>
      <c r="R881" s="9">
        <v>0.05</v>
      </c>
      <c r="S881" s="9">
        <v>-2.4383509999999999</v>
      </c>
      <c r="T881" s="9">
        <v>140.293792</v>
      </c>
      <c r="U881" s="9"/>
      <c r="V881" s="11" t="s">
        <v>694</v>
      </c>
      <c r="W881" s="11"/>
      <c r="X881" s="11"/>
      <c r="Y881" s="11" t="e">
        <f>VLOOKUP(L881,'[1]singkron data'!D:H,5,FALSE)</f>
        <v>#N/A</v>
      </c>
      <c r="Z881" s="11" t="e">
        <f>VLOOKUP(L881,'[1]singkron data'!D:I,6,FALSE)</f>
        <v>#N/A</v>
      </c>
      <c r="AA881" s="11" t="e">
        <f>VLOOKUP(L881,'[1]singkron data'!D:L,9,FALSE)</f>
        <v>#N/A</v>
      </c>
      <c r="AB881" s="11" t="s">
        <v>694</v>
      </c>
      <c r="AC881" s="11" t="e">
        <f>VLOOKUP(L881,'[1]singkron data'!D:M,10,FALSE)</f>
        <v>#N/A</v>
      </c>
      <c r="AD881" s="11"/>
      <c r="AE881" s="11" t="e">
        <f>VLOOKUP(L881,'[1]singkron data'!D:P,13,FALSE)</f>
        <v>#N/A</v>
      </c>
      <c r="AF881" s="11" t="s">
        <v>55</v>
      </c>
      <c r="AG881" s="11" t="e">
        <f>VLOOKUP(L881,'[1]update kontrak'!E:K,6,FALSE)</f>
        <v>#N/A</v>
      </c>
      <c r="AH881" s="11" t="e">
        <f>VLOOKUP(L881,'[1]update kontrak'!E:K,7,FALSE)</f>
        <v>#N/A</v>
      </c>
      <c r="AI881" s="11"/>
      <c r="AJ881" s="11" t="str">
        <f>VLOOKUP(L881,[1]rekap!D:M,1,FALSE)</f>
        <v>Endokisi</v>
      </c>
      <c r="AK881" s="11" t="e">
        <f>VLOOKUP(L881,'[1]singkron data'!D:E,2,FALSE)</f>
        <v>#N/A</v>
      </c>
      <c r="AL881" s="11" t="str">
        <f>VLOOKUP(L881,'[1]update 521'!D:D,1,FALSE)</f>
        <v>Endokisi</v>
      </c>
      <c r="AM881" s="11" t="e">
        <f>VLOOKUP(L881,[1]Sheet18!I:M,5,FALSE)</f>
        <v>#N/A</v>
      </c>
      <c r="AN881" s="11" t="e">
        <f>VLOOKUP(L881,[1]Sheet19!E:L,8,FALSE)</f>
        <v>#N/A</v>
      </c>
      <c r="AO881" s="11" t="e">
        <f>VLOOKUP(L881,[1]Sheet19!E:K,7,FALSE)</f>
        <v>#N/A</v>
      </c>
      <c r="AP881" s="12"/>
    </row>
    <row r="882" spans="1:42" ht="15" x14ac:dyDescent="0.2">
      <c r="A882" s="8" t="s">
        <v>2165</v>
      </c>
      <c r="B882" s="9" t="s">
        <v>43</v>
      </c>
      <c r="C882" s="9">
        <v>1077</v>
      </c>
      <c r="D882" s="9" t="s">
        <v>908</v>
      </c>
      <c r="E882" s="30"/>
      <c r="F882" s="9" t="s">
        <v>1001</v>
      </c>
      <c r="G882" s="9" t="s">
        <v>908</v>
      </c>
      <c r="H882" s="9" t="s">
        <v>911</v>
      </c>
      <c r="I882" s="9" t="s">
        <v>513</v>
      </c>
      <c r="J882" s="9" t="s">
        <v>2180</v>
      </c>
      <c r="K882" s="9" t="s">
        <v>2184</v>
      </c>
      <c r="L882" s="9" t="s">
        <v>2184</v>
      </c>
      <c r="M882" s="9" t="s">
        <v>51</v>
      </c>
      <c r="N882" s="9">
        <v>30</v>
      </c>
      <c r="O882" s="9">
        <v>50</v>
      </c>
      <c r="P882" s="9">
        <v>4</v>
      </c>
      <c r="Q882" s="9">
        <v>54</v>
      </c>
      <c r="R882" s="9">
        <v>5.6000000000000001E-2</v>
      </c>
      <c r="S882" s="9">
        <v>-2.4326910000000002</v>
      </c>
      <c r="T882" s="9">
        <v>140.465743</v>
      </c>
      <c r="U882" s="9"/>
      <c r="V882" s="11" t="s">
        <v>694</v>
      </c>
      <c r="W882" s="11"/>
      <c r="X882" s="11"/>
      <c r="Y882" s="11" t="e">
        <f>VLOOKUP(L882,'[1]singkron data'!D:H,5,FALSE)</f>
        <v>#N/A</v>
      </c>
      <c r="Z882" s="11" t="e">
        <f>VLOOKUP(L882,'[1]singkron data'!D:I,6,FALSE)</f>
        <v>#N/A</v>
      </c>
      <c r="AA882" s="11" t="e">
        <f>VLOOKUP(L882,'[1]singkron data'!D:L,9,FALSE)</f>
        <v>#N/A</v>
      </c>
      <c r="AB882" s="11" t="s">
        <v>694</v>
      </c>
      <c r="AC882" s="11" t="e">
        <f>VLOOKUP(L882,'[1]singkron data'!D:M,10,FALSE)</f>
        <v>#N/A</v>
      </c>
      <c r="AD882" s="11"/>
      <c r="AE882" s="11" t="e">
        <f>VLOOKUP(L882,'[1]singkron data'!D:P,13,FALSE)</f>
        <v>#N/A</v>
      </c>
      <c r="AF882" s="11" t="s">
        <v>55</v>
      </c>
      <c r="AG882" s="11" t="e">
        <f>VLOOKUP(L882,'[1]update kontrak'!E:K,6,FALSE)</f>
        <v>#N/A</v>
      </c>
      <c r="AH882" s="11" t="e">
        <f>VLOOKUP(L882,'[1]update kontrak'!E:K,7,FALSE)</f>
        <v>#N/A</v>
      </c>
      <c r="AI882" s="11"/>
      <c r="AJ882" s="11" t="str">
        <f>VLOOKUP(L882,[1]rekap!D:M,1,FALSE)</f>
        <v>Yongsu Sapari</v>
      </c>
      <c r="AK882" s="11" t="e">
        <f>VLOOKUP(L882,'[1]singkron data'!D:E,2,FALSE)</f>
        <v>#N/A</v>
      </c>
      <c r="AL882" s="11" t="str">
        <f>VLOOKUP(L882,'[1]update 521'!D:D,1,FALSE)</f>
        <v>Yongsu Sapari</v>
      </c>
      <c r="AM882" s="11" t="e">
        <f>VLOOKUP(L882,[1]Sheet18!I:M,5,FALSE)</f>
        <v>#N/A</v>
      </c>
      <c r="AN882" s="11" t="e">
        <f>VLOOKUP(L882,[1]Sheet19!E:L,8,FALSE)</f>
        <v>#N/A</v>
      </c>
      <c r="AO882" s="11" t="e">
        <f>VLOOKUP(L882,[1]Sheet19!E:K,7,FALSE)</f>
        <v>#N/A</v>
      </c>
      <c r="AP882" s="12"/>
    </row>
    <row r="883" spans="1:42" ht="15" x14ac:dyDescent="0.2">
      <c r="A883" s="8" t="s">
        <v>2165</v>
      </c>
      <c r="B883" s="9" t="s">
        <v>43</v>
      </c>
      <c r="C883" s="9">
        <v>1079</v>
      </c>
      <c r="D883" s="9" t="s">
        <v>908</v>
      </c>
      <c r="E883" s="30"/>
      <c r="F883" s="9" t="s">
        <v>968</v>
      </c>
      <c r="G883" s="9" t="s">
        <v>908</v>
      </c>
      <c r="H883" s="9" t="s">
        <v>911</v>
      </c>
      <c r="I883" s="9" t="s">
        <v>971</v>
      </c>
      <c r="J883" s="9" t="s">
        <v>978</v>
      </c>
      <c r="K883" s="9" t="s">
        <v>2185</v>
      </c>
      <c r="L883" s="9" t="s">
        <v>2185</v>
      </c>
      <c r="M883" s="9" t="s">
        <v>51</v>
      </c>
      <c r="N883" s="9">
        <v>39</v>
      </c>
      <c r="O883" s="9">
        <v>32</v>
      </c>
      <c r="P883" s="9">
        <v>20</v>
      </c>
      <c r="Q883" s="9">
        <v>52</v>
      </c>
      <c r="R883" s="9">
        <v>6.0578E-2</v>
      </c>
      <c r="S883" s="9">
        <v>-2.2920739999999999</v>
      </c>
      <c r="T883" s="9">
        <v>136.72912239999999</v>
      </c>
      <c r="U883" s="9"/>
      <c r="V883" s="11" t="s">
        <v>694</v>
      </c>
      <c r="W883" s="11"/>
      <c r="X883" s="11"/>
      <c r="Y883" s="11" t="e">
        <f>VLOOKUP(L883,'[1]singkron data'!D:H,5,FALSE)</f>
        <v>#N/A</v>
      </c>
      <c r="Z883" s="11" t="e">
        <f>VLOOKUP(L883,'[1]singkron data'!D:I,6,FALSE)</f>
        <v>#N/A</v>
      </c>
      <c r="AA883" s="11" t="e">
        <f>VLOOKUP(L883,'[1]singkron data'!D:L,9,FALSE)</f>
        <v>#N/A</v>
      </c>
      <c r="AB883" s="11" t="s">
        <v>694</v>
      </c>
      <c r="AC883" s="11" t="e">
        <f>VLOOKUP(L883,'[1]singkron data'!D:M,10,FALSE)</f>
        <v>#N/A</v>
      </c>
      <c r="AD883" s="11"/>
      <c r="AE883" s="11" t="e">
        <f>VLOOKUP(L883,'[1]singkron data'!D:P,13,FALSE)</f>
        <v>#N/A</v>
      </c>
      <c r="AF883" s="11"/>
      <c r="AG883" s="11" t="e">
        <f>VLOOKUP(L883,'[1]update kontrak'!E:K,6,FALSE)</f>
        <v>#N/A</v>
      </c>
      <c r="AH883" s="11" t="e">
        <f>VLOOKUP(L883,'[1]update kontrak'!E:K,7,FALSE)</f>
        <v>#N/A</v>
      </c>
      <c r="AI883" s="11"/>
      <c r="AJ883" s="11" t="str">
        <f>VLOOKUP(L883,[1]rekap!D:M,1,FALSE)</f>
        <v>Mayaghaido</v>
      </c>
      <c r="AK883" s="11" t="e">
        <f>VLOOKUP(L883,'[1]singkron data'!D:E,2,FALSE)</f>
        <v>#N/A</v>
      </c>
      <c r="AL883" s="11" t="str">
        <f>VLOOKUP(L883,'[1]update 521'!D:D,1,FALSE)</f>
        <v>Mayaghaido</v>
      </c>
      <c r="AM883" s="11" t="e">
        <f>VLOOKUP(L883,[1]Sheet18!I:M,5,FALSE)</f>
        <v>#N/A</v>
      </c>
      <c r="AN883" s="11" t="e">
        <f>VLOOKUP(L883,[1]Sheet19!E:L,8,FALSE)</f>
        <v>#N/A</v>
      </c>
      <c r="AO883" s="11" t="e">
        <f>VLOOKUP(L883,[1]Sheet19!E:K,7,FALSE)</f>
        <v>#N/A</v>
      </c>
      <c r="AP883" s="12"/>
    </row>
    <row r="884" spans="1:42" ht="15" x14ac:dyDescent="0.2">
      <c r="A884" s="8" t="s">
        <v>2165</v>
      </c>
      <c r="B884" s="9" t="s">
        <v>43</v>
      </c>
      <c r="C884" s="9">
        <v>1080</v>
      </c>
      <c r="D884" s="9" t="s">
        <v>908</v>
      </c>
      <c r="E884" s="30"/>
      <c r="F884" s="9" t="s">
        <v>968</v>
      </c>
      <c r="G884" s="9" t="s">
        <v>908</v>
      </c>
      <c r="H884" s="9" t="s">
        <v>911</v>
      </c>
      <c r="I884" s="9" t="s">
        <v>971</v>
      </c>
      <c r="J884" s="9" t="s">
        <v>2186</v>
      </c>
      <c r="K884" s="9" t="s">
        <v>2187</v>
      </c>
      <c r="L884" s="9" t="s">
        <v>2187</v>
      </c>
      <c r="M884" s="9" t="s">
        <v>51</v>
      </c>
      <c r="N884" s="9">
        <v>30</v>
      </c>
      <c r="O884" s="9">
        <v>27</v>
      </c>
      <c r="P884" s="9">
        <v>10</v>
      </c>
      <c r="Q884" s="9">
        <v>37</v>
      </c>
      <c r="R884" s="9">
        <v>0.25464900000000001</v>
      </c>
      <c r="S884" s="9">
        <v>-2.2840368</v>
      </c>
      <c r="T884" s="9">
        <v>136.76697340000001</v>
      </c>
      <c r="U884" s="9"/>
      <c r="V884" s="11" t="s">
        <v>694</v>
      </c>
      <c r="W884" s="11"/>
      <c r="X884" s="11"/>
      <c r="Y884" s="11" t="e">
        <f>VLOOKUP(L884,'[1]singkron data'!D:H,5,FALSE)</f>
        <v>#N/A</v>
      </c>
      <c r="Z884" s="11" t="e">
        <f>VLOOKUP(L884,'[1]singkron data'!D:I,6,FALSE)</f>
        <v>#N/A</v>
      </c>
      <c r="AA884" s="11" t="e">
        <f>VLOOKUP(L884,'[1]singkron data'!D:L,9,FALSE)</f>
        <v>#N/A</v>
      </c>
      <c r="AB884" s="11" t="s">
        <v>694</v>
      </c>
      <c r="AC884" s="11" t="e">
        <f>VLOOKUP(L884,'[1]singkron data'!D:M,10,FALSE)</f>
        <v>#N/A</v>
      </c>
      <c r="AD884" s="11"/>
      <c r="AE884" s="11" t="e">
        <f>VLOOKUP(L884,'[1]singkron data'!D:P,13,FALSE)</f>
        <v>#N/A</v>
      </c>
      <c r="AF884" s="11"/>
      <c r="AG884" s="11" t="e">
        <f>VLOOKUP(L884,'[1]update kontrak'!E:K,6,FALSE)</f>
        <v>#N/A</v>
      </c>
      <c r="AH884" s="11" t="e">
        <f>VLOOKUP(L884,'[1]update kontrak'!E:K,7,FALSE)</f>
        <v>#N/A</v>
      </c>
      <c r="AI884" s="11"/>
      <c r="AJ884" s="11" t="str">
        <f>VLOOKUP(L884,[1]rekap!D:M,1,FALSE)</f>
        <v>Emauri</v>
      </c>
      <c r="AK884" s="11" t="e">
        <f>VLOOKUP(L884,'[1]singkron data'!D:E,2,FALSE)</f>
        <v>#N/A</v>
      </c>
      <c r="AL884" s="11" t="str">
        <f>VLOOKUP(L884,'[1]update 521'!D:D,1,FALSE)</f>
        <v>Emauri</v>
      </c>
      <c r="AM884" s="11" t="e">
        <f>VLOOKUP(L884,[1]Sheet18!I:M,5,FALSE)</f>
        <v>#N/A</v>
      </c>
      <c r="AN884" s="11" t="e">
        <f>VLOOKUP(L884,[1]Sheet19!E:L,8,FALSE)</f>
        <v>#N/A</v>
      </c>
      <c r="AO884" s="11" t="e">
        <f>VLOOKUP(L884,[1]Sheet19!E:K,7,FALSE)</f>
        <v>#N/A</v>
      </c>
      <c r="AP884" s="12"/>
    </row>
    <row r="885" spans="1:42" ht="15" x14ac:dyDescent="0.2">
      <c r="A885" s="8" t="s">
        <v>2165</v>
      </c>
      <c r="B885" s="9" t="s">
        <v>43</v>
      </c>
      <c r="C885" s="9">
        <v>1081</v>
      </c>
      <c r="D885" s="9" t="s">
        <v>908</v>
      </c>
      <c r="E885" s="30"/>
      <c r="F885" s="9" t="s">
        <v>2171</v>
      </c>
      <c r="G885" s="9" t="s">
        <v>1060</v>
      </c>
      <c r="H885" s="9" t="s">
        <v>911</v>
      </c>
      <c r="I885" s="9" t="s">
        <v>1107</v>
      </c>
      <c r="J885" s="9" t="s">
        <v>2172</v>
      </c>
      <c r="K885" s="9" t="s">
        <v>2188</v>
      </c>
      <c r="L885" s="9" t="s">
        <v>2188</v>
      </c>
      <c r="M885" s="9" t="s">
        <v>51</v>
      </c>
      <c r="N885" s="9">
        <v>220</v>
      </c>
      <c r="O885" s="9">
        <v>7</v>
      </c>
      <c r="P885" s="9">
        <v>50</v>
      </c>
      <c r="Q885" s="9">
        <v>57</v>
      </c>
      <c r="R885" s="9">
        <v>0.5</v>
      </c>
      <c r="S885" s="9">
        <v>-2.2722530000000001</v>
      </c>
      <c r="T885" s="9">
        <v>132.33302900000001</v>
      </c>
      <c r="U885" s="9"/>
      <c r="V885" s="11" t="s">
        <v>694</v>
      </c>
      <c r="W885" s="11"/>
      <c r="X885" s="11"/>
      <c r="Y885" s="11" t="e">
        <f>VLOOKUP(L885,'[1]singkron data'!D:H,5,FALSE)</f>
        <v>#N/A</v>
      </c>
      <c r="Z885" s="11" t="e">
        <f>VLOOKUP(L885,'[1]singkron data'!D:I,6,FALSE)</f>
        <v>#N/A</v>
      </c>
      <c r="AA885" s="11" t="e">
        <f>VLOOKUP(L885,'[1]singkron data'!D:L,9,FALSE)</f>
        <v>#N/A</v>
      </c>
      <c r="AB885" s="11" t="s">
        <v>694</v>
      </c>
      <c r="AC885" s="11" t="e">
        <f>VLOOKUP(L885,'[1]singkron data'!D:M,10,FALSE)</f>
        <v>#N/A</v>
      </c>
      <c r="AD885" s="11"/>
      <c r="AE885" s="11" t="e">
        <f>VLOOKUP(L885,'[1]singkron data'!D:P,13,FALSE)</f>
        <v>#N/A</v>
      </c>
      <c r="AF885" s="11"/>
      <c r="AG885" s="11" t="e">
        <f>VLOOKUP(L885,'[1]update kontrak'!E:K,6,FALSE)</f>
        <v>#N/A</v>
      </c>
      <c r="AH885" s="11" t="e">
        <f>VLOOKUP(L885,'[1]update kontrak'!E:K,7,FALSE)</f>
        <v>#N/A</v>
      </c>
      <c r="AI885" s="11"/>
      <c r="AJ885" s="11" t="str">
        <f>VLOOKUP(L885,[1]rekap!D:M,1,FALSE)</f>
        <v>Kasuweri</v>
      </c>
      <c r="AK885" s="11" t="e">
        <f>VLOOKUP(L885,'[1]singkron data'!D:E,2,FALSE)</f>
        <v>#N/A</v>
      </c>
      <c r="AL885" s="11" t="str">
        <f>VLOOKUP(L885,'[1]update 521'!D:D,1,FALSE)</f>
        <v>Kasuweri</v>
      </c>
      <c r="AM885" s="11" t="e">
        <f>VLOOKUP(L885,[1]Sheet18!I:M,5,FALSE)</f>
        <v>#N/A</v>
      </c>
      <c r="AN885" s="11" t="e">
        <f>VLOOKUP(L885,[1]Sheet19!E:L,8,FALSE)</f>
        <v>#N/A</v>
      </c>
      <c r="AO885" s="11" t="e">
        <f>VLOOKUP(L885,[1]Sheet19!E:K,7,FALSE)</f>
        <v>#N/A</v>
      </c>
      <c r="AP885" s="12"/>
    </row>
    <row r="886" spans="1:42" ht="15" x14ac:dyDescent="0.2">
      <c r="A886" s="8" t="s">
        <v>2165</v>
      </c>
      <c r="B886" s="9" t="s">
        <v>43</v>
      </c>
      <c r="C886" s="9">
        <v>1082</v>
      </c>
      <c r="D886" s="9" t="s">
        <v>908</v>
      </c>
      <c r="E886" s="30"/>
      <c r="F886" s="9" t="s">
        <v>968</v>
      </c>
      <c r="G886" s="9" t="s">
        <v>908</v>
      </c>
      <c r="H886" s="9" t="s">
        <v>911</v>
      </c>
      <c r="I886" s="9" t="s">
        <v>971</v>
      </c>
      <c r="J886" s="9" t="s">
        <v>976</v>
      </c>
      <c r="K886" s="9" t="s">
        <v>2189</v>
      </c>
      <c r="L886" s="9" t="s">
        <v>2189</v>
      </c>
      <c r="M886" s="9" t="s">
        <v>51</v>
      </c>
      <c r="N886" s="9">
        <v>150</v>
      </c>
      <c r="O886" s="9">
        <v>40</v>
      </c>
      <c r="P886" s="9">
        <v>25</v>
      </c>
      <c r="Q886" s="9">
        <v>65</v>
      </c>
      <c r="R886" s="9">
        <v>0.4894</v>
      </c>
      <c r="S886" s="9">
        <v>-2.2490855000000001</v>
      </c>
      <c r="T886" s="9">
        <v>136.3705914</v>
      </c>
      <c r="U886" s="9"/>
      <c r="V886" s="11" t="s">
        <v>694</v>
      </c>
      <c r="W886" s="11"/>
      <c r="X886" s="11"/>
      <c r="Y886" s="11" t="e">
        <f>VLOOKUP(L886,'[1]singkron data'!D:H,5,FALSE)</f>
        <v>#N/A</v>
      </c>
      <c r="Z886" s="11" t="e">
        <f>VLOOKUP(L886,'[1]singkron data'!D:I,6,FALSE)</f>
        <v>#N/A</v>
      </c>
      <c r="AA886" s="11" t="e">
        <f>VLOOKUP(L886,'[1]singkron data'!D:L,9,FALSE)</f>
        <v>#N/A</v>
      </c>
      <c r="AB886" s="11" t="s">
        <v>694</v>
      </c>
      <c r="AC886" s="11" t="e">
        <f>VLOOKUP(L886,'[1]singkron data'!D:M,10,FALSE)</f>
        <v>#N/A</v>
      </c>
      <c r="AD886" s="11"/>
      <c r="AE886" s="11" t="e">
        <f>VLOOKUP(L886,'[1]singkron data'!D:P,13,FALSE)</f>
        <v>#N/A</v>
      </c>
      <c r="AF886" s="11"/>
      <c r="AG886" s="11" t="e">
        <f>VLOOKUP(L886,'[1]update kontrak'!E:K,6,FALSE)</f>
        <v>#N/A</v>
      </c>
      <c r="AH886" s="11" t="e">
        <f>VLOOKUP(L886,'[1]update kontrak'!E:K,7,FALSE)</f>
        <v>#N/A</v>
      </c>
      <c r="AI886" s="11"/>
      <c r="AJ886" s="11" t="str">
        <f>VLOOKUP(L886,[1]rekap!D:M,1,FALSE)</f>
        <v>Waren II</v>
      </c>
      <c r="AK886" s="11" t="e">
        <f>VLOOKUP(L886,'[1]singkron data'!D:E,2,FALSE)</f>
        <v>#N/A</v>
      </c>
      <c r="AL886" s="11" t="str">
        <f>VLOOKUP(L886,'[1]update 521'!D:D,1,FALSE)</f>
        <v>Waren II</v>
      </c>
      <c r="AM886" s="11" t="e">
        <f>VLOOKUP(L886,[1]Sheet18!I:M,5,FALSE)</f>
        <v>#N/A</v>
      </c>
      <c r="AN886" s="11" t="e">
        <f>VLOOKUP(L886,[1]Sheet19!E:L,8,FALSE)</f>
        <v>#N/A</v>
      </c>
      <c r="AO886" s="11" t="e">
        <f>VLOOKUP(L886,[1]Sheet19!E:K,7,FALSE)</f>
        <v>#N/A</v>
      </c>
      <c r="AP886" s="12"/>
    </row>
    <row r="887" spans="1:42" ht="15" x14ac:dyDescent="0.2">
      <c r="A887" s="8" t="s">
        <v>2165</v>
      </c>
      <c r="B887" s="9" t="s">
        <v>43</v>
      </c>
      <c r="C887" s="9">
        <v>1083</v>
      </c>
      <c r="D887" s="9" t="s">
        <v>908</v>
      </c>
      <c r="E887" s="30"/>
      <c r="F887" s="9" t="s">
        <v>2171</v>
      </c>
      <c r="G887" s="9" t="s">
        <v>1060</v>
      </c>
      <c r="H887" s="9" t="s">
        <v>911</v>
      </c>
      <c r="I887" s="9" t="s">
        <v>1107</v>
      </c>
      <c r="J887" s="9" t="s">
        <v>2190</v>
      </c>
      <c r="K887" s="9" t="s">
        <v>2191</v>
      </c>
      <c r="L887" s="9" t="s">
        <v>2191</v>
      </c>
      <c r="M887" s="9" t="s">
        <v>51</v>
      </c>
      <c r="N887" s="9">
        <v>156</v>
      </c>
      <c r="O887" s="9">
        <v>52</v>
      </c>
      <c r="P887" s="9">
        <v>30</v>
      </c>
      <c r="Q887" s="9">
        <v>82</v>
      </c>
      <c r="R887" s="9">
        <v>0.25</v>
      </c>
      <c r="S887" s="9">
        <v>-2.2256170000000002</v>
      </c>
      <c r="T887" s="9">
        <v>132.265748</v>
      </c>
      <c r="U887" s="9"/>
      <c r="V887" s="11" t="s">
        <v>694</v>
      </c>
      <c r="W887" s="11"/>
      <c r="X887" s="11"/>
      <c r="Y887" s="11" t="e">
        <f>VLOOKUP(L887,'[1]singkron data'!D:H,5,FALSE)</f>
        <v>#N/A</v>
      </c>
      <c r="Z887" s="11" t="e">
        <f>VLOOKUP(L887,'[1]singkron data'!D:I,6,FALSE)</f>
        <v>#N/A</v>
      </c>
      <c r="AA887" s="11" t="e">
        <f>VLOOKUP(L887,'[1]singkron data'!D:L,9,FALSE)</f>
        <v>#N/A</v>
      </c>
      <c r="AB887" s="11" t="s">
        <v>694</v>
      </c>
      <c r="AC887" s="11" t="e">
        <f>VLOOKUP(L887,'[1]singkron data'!D:M,10,FALSE)</f>
        <v>#N/A</v>
      </c>
      <c r="AD887" s="11"/>
      <c r="AE887" s="11" t="e">
        <f>VLOOKUP(L887,'[1]singkron data'!D:P,13,FALSE)</f>
        <v>#N/A</v>
      </c>
      <c r="AF887" s="11"/>
      <c r="AG887" s="11" t="e">
        <f>VLOOKUP(L887,'[1]update kontrak'!E:K,6,FALSE)</f>
        <v>#N/A</v>
      </c>
      <c r="AH887" s="11" t="e">
        <f>VLOOKUP(L887,'[1]update kontrak'!E:K,7,FALSE)</f>
        <v>#N/A</v>
      </c>
      <c r="AI887" s="11"/>
      <c r="AJ887" s="11" t="str">
        <f>VLOOKUP(L887,[1]rekap!D:M,1,FALSE)</f>
        <v>Isogo</v>
      </c>
      <c r="AK887" s="11" t="e">
        <f>VLOOKUP(L887,'[1]singkron data'!D:E,2,FALSE)</f>
        <v>#N/A</v>
      </c>
      <c r="AL887" s="11" t="str">
        <f>VLOOKUP(L887,'[1]update 521'!D:D,1,FALSE)</f>
        <v>Isogo</v>
      </c>
      <c r="AM887" s="11" t="e">
        <f>VLOOKUP(L887,[1]Sheet18!I:M,5,FALSE)</f>
        <v>#N/A</v>
      </c>
      <c r="AN887" s="11" t="e">
        <f>VLOOKUP(L887,[1]Sheet19!E:L,8,FALSE)</f>
        <v>#N/A</v>
      </c>
      <c r="AO887" s="11" t="e">
        <f>VLOOKUP(L887,[1]Sheet19!E:K,7,FALSE)</f>
        <v>#N/A</v>
      </c>
      <c r="AP887" s="12"/>
    </row>
    <row r="888" spans="1:42" ht="15" x14ac:dyDescent="0.2">
      <c r="A888" s="8" t="s">
        <v>2165</v>
      </c>
      <c r="B888" s="9" t="s">
        <v>43</v>
      </c>
      <c r="C888" s="9">
        <v>1084</v>
      </c>
      <c r="D888" s="9" t="s">
        <v>908</v>
      </c>
      <c r="E888" s="30"/>
      <c r="F888" s="9" t="s">
        <v>2171</v>
      </c>
      <c r="G888" s="9" t="s">
        <v>1060</v>
      </c>
      <c r="H888" s="9" t="s">
        <v>911</v>
      </c>
      <c r="I888" s="9" t="s">
        <v>1107</v>
      </c>
      <c r="J888" s="9" t="s">
        <v>2172</v>
      </c>
      <c r="K888" s="9" t="s">
        <v>2192</v>
      </c>
      <c r="L888" s="9" t="s">
        <v>2192</v>
      </c>
      <c r="M888" s="9" t="s">
        <v>51</v>
      </c>
      <c r="N888" s="9">
        <v>179</v>
      </c>
      <c r="O888" s="9">
        <v>53</v>
      </c>
      <c r="P888" s="9">
        <v>40</v>
      </c>
      <c r="Q888" s="9">
        <v>93</v>
      </c>
      <c r="R888" s="9">
        <v>0.3</v>
      </c>
      <c r="S888" s="9">
        <v>-2.1888920000000001</v>
      </c>
      <c r="T888" s="9">
        <v>132.559046</v>
      </c>
      <c r="U888" s="9"/>
      <c r="V888" s="11" t="s">
        <v>694</v>
      </c>
      <c r="W888" s="11"/>
      <c r="X888" s="11"/>
      <c r="Y888" s="11" t="e">
        <f>VLOOKUP(L888,'[1]singkron data'!D:H,5,FALSE)</f>
        <v>#N/A</v>
      </c>
      <c r="Z888" s="11" t="e">
        <f>VLOOKUP(L888,'[1]singkron data'!D:I,6,FALSE)</f>
        <v>#N/A</v>
      </c>
      <c r="AA888" s="11" t="e">
        <f>VLOOKUP(L888,'[1]singkron data'!D:L,9,FALSE)</f>
        <v>#N/A</v>
      </c>
      <c r="AB888" s="11" t="s">
        <v>694</v>
      </c>
      <c r="AC888" s="11" t="e">
        <f>VLOOKUP(L888,'[1]singkron data'!D:M,10,FALSE)</f>
        <v>#N/A</v>
      </c>
      <c r="AD888" s="11"/>
      <c r="AE888" s="11" t="e">
        <f>VLOOKUP(L888,'[1]singkron data'!D:P,13,FALSE)</f>
        <v>#N/A</v>
      </c>
      <c r="AF888" s="11"/>
      <c r="AG888" s="11" t="e">
        <f>VLOOKUP(L888,'[1]update kontrak'!E:K,6,FALSE)</f>
        <v>#N/A</v>
      </c>
      <c r="AH888" s="11" t="e">
        <f>VLOOKUP(L888,'[1]update kontrak'!E:K,7,FALSE)</f>
        <v>#N/A</v>
      </c>
      <c r="AI888" s="11"/>
      <c r="AJ888" s="11" t="str">
        <f>VLOOKUP(L888,[1]rekap!D:M,1,FALSE)</f>
        <v>Tambani</v>
      </c>
      <c r="AK888" s="11" t="e">
        <f>VLOOKUP(L888,'[1]singkron data'!D:E,2,FALSE)</f>
        <v>#N/A</v>
      </c>
      <c r="AL888" s="11" t="str">
        <f>VLOOKUP(L888,'[1]update 521'!D:D,1,FALSE)</f>
        <v>Tambani</v>
      </c>
      <c r="AM888" s="11" t="e">
        <f>VLOOKUP(L888,[1]Sheet18!I:M,5,FALSE)</f>
        <v>#N/A</v>
      </c>
      <c r="AN888" s="11" t="e">
        <f>VLOOKUP(L888,[1]Sheet19!E:L,8,FALSE)</f>
        <v>#N/A</v>
      </c>
      <c r="AO888" s="11" t="e">
        <f>VLOOKUP(L888,[1]Sheet19!E:K,7,FALSE)</f>
        <v>#N/A</v>
      </c>
      <c r="AP888" s="12"/>
    </row>
    <row r="889" spans="1:42" ht="15" x14ac:dyDescent="0.2">
      <c r="A889" s="8" t="s">
        <v>2165</v>
      </c>
      <c r="B889" s="9" t="s">
        <v>43</v>
      </c>
      <c r="C889" s="9">
        <v>1085</v>
      </c>
      <c r="D889" s="9" t="s">
        <v>908</v>
      </c>
      <c r="E889" s="30"/>
      <c r="F889" s="9" t="s">
        <v>2171</v>
      </c>
      <c r="G889" s="9" t="s">
        <v>1060</v>
      </c>
      <c r="H889" s="9" t="s">
        <v>911</v>
      </c>
      <c r="I889" s="9" t="s">
        <v>1107</v>
      </c>
      <c r="J889" s="9" t="s">
        <v>2190</v>
      </c>
      <c r="K889" s="9" t="s">
        <v>2193</v>
      </c>
      <c r="L889" s="9" t="s">
        <v>2193</v>
      </c>
      <c r="M889" s="9" t="s">
        <v>51</v>
      </c>
      <c r="N889" s="9">
        <v>332</v>
      </c>
      <c r="O889" s="9">
        <v>6</v>
      </c>
      <c r="P889" s="9">
        <v>8</v>
      </c>
      <c r="Q889" s="9">
        <v>14</v>
      </c>
      <c r="R889" s="9">
        <v>0.5</v>
      </c>
      <c r="S889" s="9">
        <v>-2.1365820000000002</v>
      </c>
      <c r="T889" s="9">
        <v>132.13233299999999</v>
      </c>
      <c r="U889" s="9"/>
      <c r="V889" s="11" t="s">
        <v>694</v>
      </c>
      <c r="W889" s="11"/>
      <c r="X889" s="11"/>
      <c r="Y889" s="11" t="e">
        <f>VLOOKUP(L889,'[1]singkron data'!D:H,5,FALSE)</f>
        <v>#N/A</v>
      </c>
      <c r="Z889" s="11" t="e">
        <f>VLOOKUP(L889,'[1]singkron data'!D:I,6,FALSE)</f>
        <v>#N/A</v>
      </c>
      <c r="AA889" s="11" t="e">
        <f>VLOOKUP(L889,'[1]singkron data'!D:L,9,FALSE)</f>
        <v>#N/A</v>
      </c>
      <c r="AB889" s="11" t="s">
        <v>694</v>
      </c>
      <c r="AC889" s="11" t="e">
        <f>VLOOKUP(L889,'[1]singkron data'!D:M,10,FALSE)</f>
        <v>#N/A</v>
      </c>
      <c r="AD889" s="11"/>
      <c r="AE889" s="11" t="e">
        <f>VLOOKUP(L889,'[1]singkron data'!D:P,13,FALSE)</f>
        <v>#N/A</v>
      </c>
      <c r="AF889" s="11"/>
      <c r="AG889" s="11" t="e">
        <f>VLOOKUP(L889,'[1]update kontrak'!E:K,6,FALSE)</f>
        <v>#N/A</v>
      </c>
      <c r="AH889" s="11" t="e">
        <f>VLOOKUP(L889,'[1]update kontrak'!E:K,7,FALSE)</f>
        <v>#N/A</v>
      </c>
      <c r="AI889" s="11"/>
      <c r="AJ889" s="11" t="str">
        <f>VLOOKUP(L889,[1]rekap!D:M,1,FALSE)</f>
        <v>Siri-siri</v>
      </c>
      <c r="AK889" s="11" t="e">
        <f>VLOOKUP(L889,'[1]singkron data'!D:E,2,FALSE)</f>
        <v>#N/A</v>
      </c>
      <c r="AL889" s="11" t="str">
        <f>VLOOKUP(L889,'[1]update 521'!D:D,1,FALSE)</f>
        <v>Siri-siri</v>
      </c>
      <c r="AM889" s="11" t="e">
        <f>VLOOKUP(L889,[1]Sheet18!I:M,5,FALSE)</f>
        <v>#N/A</v>
      </c>
      <c r="AN889" s="11" t="e">
        <f>VLOOKUP(L889,[1]Sheet19!E:L,8,FALSE)</f>
        <v>#N/A</v>
      </c>
      <c r="AO889" s="11" t="e">
        <f>VLOOKUP(L889,[1]Sheet19!E:K,7,FALSE)</f>
        <v>#N/A</v>
      </c>
      <c r="AP889" s="12"/>
    </row>
    <row r="890" spans="1:42" ht="15" x14ac:dyDescent="0.2">
      <c r="A890" s="8" t="s">
        <v>2165</v>
      </c>
      <c r="B890" s="9" t="s">
        <v>43</v>
      </c>
      <c r="C890" s="9">
        <v>1086</v>
      </c>
      <c r="D890" s="9" t="s">
        <v>908</v>
      </c>
      <c r="E890" s="30"/>
      <c r="F890" s="9" t="s">
        <v>909</v>
      </c>
      <c r="G890" s="9" t="s">
        <v>910</v>
      </c>
      <c r="H890" s="9" t="s">
        <v>911</v>
      </c>
      <c r="I890" s="9" t="s">
        <v>2169</v>
      </c>
      <c r="J890" s="9" t="s">
        <v>2194</v>
      </c>
      <c r="K890" s="9" t="s">
        <v>2195</v>
      </c>
      <c r="L890" s="9" t="s">
        <v>2195</v>
      </c>
      <c r="M890" s="9" t="s">
        <v>51</v>
      </c>
      <c r="N890" s="9">
        <v>30</v>
      </c>
      <c r="O890" s="9">
        <v>20</v>
      </c>
      <c r="P890" s="9">
        <v>30</v>
      </c>
      <c r="Q890" s="9">
        <v>50</v>
      </c>
      <c r="R890" s="9">
        <v>0.25</v>
      </c>
      <c r="S890" s="9">
        <v>-2.0920390000000002</v>
      </c>
      <c r="T890" s="9">
        <v>134.070303</v>
      </c>
      <c r="U890" s="9"/>
      <c r="V890" s="11" t="s">
        <v>694</v>
      </c>
      <c r="W890" s="11"/>
      <c r="X890" s="11"/>
      <c r="Y890" s="11" t="e">
        <f>VLOOKUP(L890,'[1]singkron data'!D:H,5,FALSE)</f>
        <v>#N/A</v>
      </c>
      <c r="Z890" s="11" t="e">
        <f>VLOOKUP(L890,'[1]singkron data'!D:I,6,FALSE)</f>
        <v>#N/A</v>
      </c>
      <c r="AA890" s="11" t="e">
        <f>VLOOKUP(L890,'[1]singkron data'!D:L,9,FALSE)</f>
        <v>#N/A</v>
      </c>
      <c r="AB890" s="11" t="s">
        <v>694</v>
      </c>
      <c r="AC890" s="11" t="e">
        <f>VLOOKUP(L890,'[1]singkron data'!D:M,10,FALSE)</f>
        <v>#N/A</v>
      </c>
      <c r="AD890" s="11"/>
      <c r="AE890" s="11" t="e">
        <f>VLOOKUP(L890,'[1]singkron data'!D:P,13,FALSE)</f>
        <v>#N/A</v>
      </c>
      <c r="AF890" s="11"/>
      <c r="AG890" s="11" t="e">
        <f>VLOOKUP(L890,'[1]update kontrak'!E:K,6,FALSE)</f>
        <v>#N/A</v>
      </c>
      <c r="AH890" s="11" t="e">
        <f>VLOOKUP(L890,'[1]update kontrak'!E:K,7,FALSE)</f>
        <v>#N/A</v>
      </c>
      <c r="AI890" s="11"/>
      <c r="AJ890" s="11" t="str">
        <f>VLOOKUP(L890,[1]rekap!D:M,1,FALSE)</f>
        <v>Yarpate</v>
      </c>
      <c r="AK890" s="11" t="e">
        <f>VLOOKUP(L890,'[1]singkron data'!D:E,2,FALSE)</f>
        <v>#N/A</v>
      </c>
      <c r="AL890" s="11" t="str">
        <f>VLOOKUP(L890,'[1]update 521'!D:D,1,FALSE)</f>
        <v>Yarpate</v>
      </c>
      <c r="AM890" s="11" t="e">
        <f>VLOOKUP(L890,[1]Sheet18!I:M,5,FALSE)</f>
        <v>#N/A</v>
      </c>
      <c r="AN890" s="11" t="e">
        <f>VLOOKUP(L890,[1]Sheet19!E:L,8,FALSE)</f>
        <v>#N/A</v>
      </c>
      <c r="AO890" s="11" t="e">
        <f>VLOOKUP(L890,[1]Sheet19!E:K,7,FALSE)</f>
        <v>#N/A</v>
      </c>
      <c r="AP890" s="12"/>
    </row>
    <row r="891" spans="1:42" ht="15" x14ac:dyDescent="0.2">
      <c r="A891" s="8" t="s">
        <v>2165</v>
      </c>
      <c r="B891" s="9" t="s">
        <v>43</v>
      </c>
      <c r="C891" s="9">
        <v>1087</v>
      </c>
      <c r="D891" s="9" t="s">
        <v>908</v>
      </c>
      <c r="E891" s="30"/>
      <c r="F891" s="9" t="s">
        <v>956</v>
      </c>
      <c r="G891" s="9" t="s">
        <v>908</v>
      </c>
      <c r="H891" s="9" t="s">
        <v>911</v>
      </c>
      <c r="I891" s="9" t="s">
        <v>957</v>
      </c>
      <c r="J891" s="9" t="s">
        <v>961</v>
      </c>
      <c r="K891" s="9" t="s">
        <v>2196</v>
      </c>
      <c r="L891" s="9" t="s">
        <v>2196</v>
      </c>
      <c r="M891" s="9" t="s">
        <v>51</v>
      </c>
      <c r="N891" s="9">
        <v>41</v>
      </c>
      <c r="O891" s="9">
        <v>8</v>
      </c>
      <c r="P891" s="9" t="s">
        <v>72</v>
      </c>
      <c r="Q891" s="9">
        <v>8</v>
      </c>
      <c r="R891" s="9">
        <v>0.28000000000000003</v>
      </c>
      <c r="S891" s="9">
        <v>-1.9693590000000001</v>
      </c>
      <c r="T891" s="9">
        <v>138.87814900000001</v>
      </c>
      <c r="U891" s="9"/>
      <c r="V891" s="11" t="s">
        <v>694</v>
      </c>
      <c r="W891" s="11"/>
      <c r="X891" s="11"/>
      <c r="Y891" s="11" t="e">
        <f>VLOOKUP(L891,'[1]singkron data'!D:H,5,FALSE)</f>
        <v>#N/A</v>
      </c>
      <c r="Z891" s="11" t="e">
        <f>VLOOKUP(L891,'[1]singkron data'!D:I,6,FALSE)</f>
        <v>#N/A</v>
      </c>
      <c r="AA891" s="11" t="e">
        <f>VLOOKUP(L891,'[1]singkron data'!D:L,9,FALSE)</f>
        <v>#N/A</v>
      </c>
      <c r="AB891" s="11" t="s">
        <v>694</v>
      </c>
      <c r="AC891" s="11" t="e">
        <f>VLOOKUP(L891,'[1]singkron data'!D:M,10,FALSE)</f>
        <v>#N/A</v>
      </c>
      <c r="AD891" s="11"/>
      <c r="AE891" s="11" t="e">
        <f>VLOOKUP(L891,'[1]singkron data'!D:P,13,FALSE)</f>
        <v>#N/A</v>
      </c>
      <c r="AF891" s="11"/>
      <c r="AG891" s="11" t="e">
        <f>VLOOKUP(L891,'[1]update kontrak'!E:K,6,FALSE)</f>
        <v>#N/A</v>
      </c>
      <c r="AH891" s="11" t="e">
        <f>VLOOKUP(L891,'[1]update kontrak'!E:K,7,FALSE)</f>
        <v>#N/A</v>
      </c>
      <c r="AI891" s="11"/>
      <c r="AJ891" s="11" t="str">
        <f>VLOOKUP(L891,[1]rekap!D:M,1,FALSE)</f>
        <v>Holmafen</v>
      </c>
      <c r="AK891" s="11" t="e">
        <f>VLOOKUP(L891,'[1]singkron data'!D:E,2,FALSE)</f>
        <v>#N/A</v>
      </c>
      <c r="AL891" s="11" t="str">
        <f>VLOOKUP(L891,'[1]update 521'!D:D,1,FALSE)</f>
        <v>Holmafen</v>
      </c>
      <c r="AM891" s="11" t="e">
        <f>VLOOKUP(L891,[1]Sheet18!I:M,5,FALSE)</f>
        <v>#N/A</v>
      </c>
      <c r="AN891" s="11" t="e">
        <f>VLOOKUP(L891,[1]Sheet19!E:L,8,FALSE)</f>
        <v>#N/A</v>
      </c>
      <c r="AO891" s="11" t="e">
        <f>VLOOKUP(L891,[1]Sheet19!E:K,7,FALSE)</f>
        <v>#N/A</v>
      </c>
      <c r="AP891" s="12"/>
    </row>
    <row r="892" spans="1:42" ht="15" x14ac:dyDescent="0.2">
      <c r="A892" s="8" t="s">
        <v>2165</v>
      </c>
      <c r="B892" s="9" t="s">
        <v>43</v>
      </c>
      <c r="C892" s="9">
        <v>1089</v>
      </c>
      <c r="D892" s="9" t="s">
        <v>908</v>
      </c>
      <c r="E892" s="30"/>
      <c r="F892" s="9" t="s">
        <v>956</v>
      </c>
      <c r="G892" s="9" t="s">
        <v>908</v>
      </c>
      <c r="H892" s="9" t="s">
        <v>911</v>
      </c>
      <c r="I892" s="9" t="s">
        <v>957</v>
      </c>
      <c r="J892" s="9" t="s">
        <v>957</v>
      </c>
      <c r="K892" s="9" t="s">
        <v>2197</v>
      </c>
      <c r="L892" s="9" t="s">
        <v>2197</v>
      </c>
      <c r="M892" s="9" t="s">
        <v>51</v>
      </c>
      <c r="N892" s="9">
        <v>43</v>
      </c>
      <c r="O892" s="9">
        <v>3</v>
      </c>
      <c r="P892" s="9">
        <v>7</v>
      </c>
      <c r="Q892" s="9">
        <v>10</v>
      </c>
      <c r="R892" s="9">
        <v>0.33</v>
      </c>
      <c r="S892" s="9">
        <v>-1.8843749999999999</v>
      </c>
      <c r="T892" s="9">
        <v>138.75989999999999</v>
      </c>
      <c r="U892" s="9"/>
      <c r="V892" s="11" t="s">
        <v>694</v>
      </c>
      <c r="W892" s="11"/>
      <c r="X892" s="11"/>
      <c r="Y892" s="11" t="e">
        <f>VLOOKUP(L892,'[1]singkron data'!D:H,5,FALSE)</f>
        <v>#N/A</v>
      </c>
      <c r="Z892" s="11" t="e">
        <f>VLOOKUP(L892,'[1]singkron data'!D:I,6,FALSE)</f>
        <v>#N/A</v>
      </c>
      <c r="AA892" s="11" t="e">
        <f>VLOOKUP(L892,'[1]singkron data'!D:L,9,FALSE)</f>
        <v>#N/A</v>
      </c>
      <c r="AB892" s="11" t="s">
        <v>694</v>
      </c>
      <c r="AC892" s="11" t="e">
        <f>VLOOKUP(L892,'[1]singkron data'!D:M,10,FALSE)</f>
        <v>#N/A</v>
      </c>
      <c r="AD892" s="11"/>
      <c r="AE892" s="11" t="e">
        <f>VLOOKUP(L892,'[1]singkron data'!D:P,13,FALSE)</f>
        <v>#N/A</v>
      </c>
      <c r="AF892" s="11"/>
      <c r="AG892" s="11" t="e">
        <f>VLOOKUP(L892,'[1]update kontrak'!E:K,6,FALSE)</f>
        <v>#N/A</v>
      </c>
      <c r="AH892" s="11" t="e">
        <f>VLOOKUP(L892,'[1]update kontrak'!E:K,7,FALSE)</f>
        <v>#N/A</v>
      </c>
      <c r="AI892" s="11"/>
      <c r="AJ892" s="11" t="str">
        <f>VLOOKUP(L892,[1]rekap!D:M,1,FALSE)</f>
        <v>Lembah Neidam</v>
      </c>
      <c r="AK892" s="11" t="e">
        <f>VLOOKUP(L892,'[1]singkron data'!D:E,2,FALSE)</f>
        <v>#N/A</v>
      </c>
      <c r="AL892" s="11" t="str">
        <f>VLOOKUP(L892,'[1]update 521'!D:D,1,FALSE)</f>
        <v>Lembah Neidam</v>
      </c>
      <c r="AM892" s="11" t="e">
        <f>VLOOKUP(L892,[1]Sheet18!I:M,5,FALSE)</f>
        <v>#N/A</v>
      </c>
      <c r="AN892" s="11" t="e">
        <f>VLOOKUP(L892,[1]Sheet19!E:L,8,FALSE)</f>
        <v>#N/A</v>
      </c>
      <c r="AO892" s="11" t="e">
        <f>VLOOKUP(L892,[1]Sheet19!E:K,7,FALSE)</f>
        <v>#N/A</v>
      </c>
      <c r="AP892" s="12"/>
    </row>
    <row r="893" spans="1:42" ht="15" x14ac:dyDescent="0.2">
      <c r="A893" s="8" t="s">
        <v>2165</v>
      </c>
      <c r="B893" s="9" t="s">
        <v>43</v>
      </c>
      <c r="C893" s="9">
        <v>1090</v>
      </c>
      <c r="D893" s="9" t="s">
        <v>908</v>
      </c>
      <c r="E893" s="30"/>
      <c r="F893" s="9" t="s">
        <v>909</v>
      </c>
      <c r="G893" s="9" t="s">
        <v>910</v>
      </c>
      <c r="H893" s="9" t="s">
        <v>911</v>
      </c>
      <c r="I893" s="9" t="s">
        <v>912</v>
      </c>
      <c r="J893" s="9" t="s">
        <v>921</v>
      </c>
      <c r="K893" s="9" t="s">
        <v>2198</v>
      </c>
      <c r="L893" s="9" t="s">
        <v>2198</v>
      </c>
      <c r="M893" s="9" t="s">
        <v>51</v>
      </c>
      <c r="N893" s="9">
        <v>33</v>
      </c>
      <c r="O893" s="9">
        <v>28</v>
      </c>
      <c r="P893" s="9">
        <v>5</v>
      </c>
      <c r="Q893" s="9">
        <v>33</v>
      </c>
      <c r="R893" s="9">
        <v>1</v>
      </c>
      <c r="S893" s="9">
        <v>-1.596088</v>
      </c>
      <c r="T893" s="9">
        <v>134.146793</v>
      </c>
      <c r="U893" s="9"/>
      <c r="V893" s="11" t="s">
        <v>694</v>
      </c>
      <c r="W893" s="11"/>
      <c r="X893" s="11"/>
      <c r="Y893" s="11" t="e">
        <f>VLOOKUP(L893,'[1]singkron data'!D:H,5,FALSE)</f>
        <v>#N/A</v>
      </c>
      <c r="Z893" s="11" t="e">
        <f>VLOOKUP(L893,'[1]singkron data'!D:I,6,FALSE)</f>
        <v>#N/A</v>
      </c>
      <c r="AA893" s="11" t="e">
        <f>VLOOKUP(L893,'[1]singkron data'!D:L,9,FALSE)</f>
        <v>#N/A</v>
      </c>
      <c r="AB893" s="11" t="s">
        <v>694</v>
      </c>
      <c r="AC893" s="11" t="e">
        <f>VLOOKUP(L893,'[1]singkron data'!D:M,10,FALSE)</f>
        <v>#N/A</v>
      </c>
      <c r="AD893" s="11"/>
      <c r="AE893" s="11" t="e">
        <f>VLOOKUP(L893,'[1]singkron data'!D:P,13,FALSE)</f>
        <v>#N/A</v>
      </c>
      <c r="AF893" s="11"/>
      <c r="AG893" s="11" t="e">
        <f>VLOOKUP(L893,'[1]update kontrak'!E:K,6,FALSE)</f>
        <v>#N/A</v>
      </c>
      <c r="AH893" s="11" t="e">
        <f>VLOOKUP(L893,'[1]update kontrak'!E:K,7,FALSE)</f>
        <v>#N/A</v>
      </c>
      <c r="AI893" s="11"/>
      <c r="AJ893" s="11" t="str">
        <f>VLOOKUP(L893,[1]rekap!D:M,1,FALSE)</f>
        <v>Dembek</v>
      </c>
      <c r="AK893" s="11" t="e">
        <f>VLOOKUP(L893,'[1]singkron data'!D:E,2,FALSE)</f>
        <v>#N/A</v>
      </c>
      <c r="AL893" s="11" t="str">
        <f>VLOOKUP(L893,'[1]update 521'!D:D,1,FALSE)</f>
        <v>Dembek</v>
      </c>
      <c r="AM893" s="11" t="e">
        <f>VLOOKUP(L893,[1]Sheet18!I:M,5,FALSE)</f>
        <v>#N/A</v>
      </c>
      <c r="AN893" s="11" t="e">
        <f>VLOOKUP(L893,[1]Sheet19!E:L,8,FALSE)</f>
        <v>#N/A</v>
      </c>
      <c r="AO893" s="11" t="e">
        <f>VLOOKUP(L893,[1]Sheet19!E:K,7,FALSE)</f>
        <v>#N/A</v>
      </c>
      <c r="AP893" s="12"/>
    </row>
    <row r="894" spans="1:42" ht="15" x14ac:dyDescent="0.2">
      <c r="A894" s="8" t="s">
        <v>2165</v>
      </c>
      <c r="B894" s="9" t="s">
        <v>43</v>
      </c>
      <c r="C894" s="9">
        <v>1091</v>
      </c>
      <c r="D894" s="9" t="s">
        <v>908</v>
      </c>
      <c r="E894" s="30"/>
      <c r="F894" s="9" t="s">
        <v>909</v>
      </c>
      <c r="G894" s="9" t="s">
        <v>910</v>
      </c>
      <c r="H894" s="9" t="s">
        <v>911</v>
      </c>
      <c r="I894" s="9" t="s">
        <v>912</v>
      </c>
      <c r="J894" s="9" t="s">
        <v>918</v>
      </c>
      <c r="K894" s="9" t="s">
        <v>2199</v>
      </c>
      <c r="L894" s="9" t="s">
        <v>2199</v>
      </c>
      <c r="M894" s="9" t="s">
        <v>51</v>
      </c>
      <c r="N894" s="9">
        <v>33</v>
      </c>
      <c r="O894" s="9">
        <v>9</v>
      </c>
      <c r="P894" s="9">
        <v>15</v>
      </c>
      <c r="Q894" s="9">
        <v>24</v>
      </c>
      <c r="R894" s="9">
        <v>0.22500000000000001</v>
      </c>
      <c r="S894" s="9">
        <v>-1.357305</v>
      </c>
      <c r="T894" s="9">
        <v>134.246465</v>
      </c>
      <c r="U894" s="9"/>
      <c r="V894" s="11" t="s">
        <v>694</v>
      </c>
      <c r="W894" s="11"/>
      <c r="X894" s="11"/>
      <c r="Y894" s="11" t="e">
        <f>VLOOKUP(L894,'[1]singkron data'!D:H,5,FALSE)</f>
        <v>#N/A</v>
      </c>
      <c r="Z894" s="11" t="e">
        <f>VLOOKUP(L894,'[1]singkron data'!D:I,6,FALSE)</f>
        <v>#N/A</v>
      </c>
      <c r="AA894" s="11" t="e">
        <f>VLOOKUP(L894,'[1]singkron data'!D:L,9,FALSE)</f>
        <v>#N/A</v>
      </c>
      <c r="AB894" s="11" t="s">
        <v>694</v>
      </c>
      <c r="AC894" s="11" t="e">
        <f>VLOOKUP(L894,'[1]singkron data'!D:M,10,FALSE)</f>
        <v>#N/A</v>
      </c>
      <c r="AD894" s="11"/>
      <c r="AE894" s="11" t="e">
        <f>VLOOKUP(L894,'[1]singkron data'!D:P,13,FALSE)</f>
        <v>#N/A</v>
      </c>
      <c r="AF894" s="11"/>
      <c r="AG894" s="11" t="e">
        <f>VLOOKUP(L894,'[1]update kontrak'!E:K,6,FALSE)</f>
        <v>#N/A</v>
      </c>
      <c r="AH894" s="11" t="e">
        <f>VLOOKUP(L894,'[1]update kontrak'!E:K,7,FALSE)</f>
        <v>#N/A</v>
      </c>
      <c r="AI894" s="11"/>
      <c r="AJ894" s="11" t="str">
        <f>VLOOKUP(L894,[1]rekap!D:M,1,FALSE)</f>
        <v>Muari</v>
      </c>
      <c r="AK894" s="11" t="e">
        <f>VLOOKUP(L894,'[1]singkron data'!D:E,2,FALSE)</f>
        <v>#N/A</v>
      </c>
      <c r="AL894" s="11" t="str">
        <f>VLOOKUP(L894,'[1]update 521'!D:D,1,FALSE)</f>
        <v>Muari</v>
      </c>
      <c r="AM894" s="11" t="e">
        <f>VLOOKUP(L894,[1]Sheet18!I:M,5,FALSE)</f>
        <v>#N/A</v>
      </c>
      <c r="AN894" s="11" t="e">
        <f>VLOOKUP(L894,[1]Sheet19!E:L,8,FALSE)</f>
        <v>#N/A</v>
      </c>
      <c r="AO894" s="11" t="e">
        <f>VLOOKUP(L894,[1]Sheet19!E:K,7,FALSE)</f>
        <v>#N/A</v>
      </c>
      <c r="AP894" s="12"/>
    </row>
    <row r="895" spans="1:42" ht="15" x14ac:dyDescent="0.2">
      <c r="A895" s="8" t="s">
        <v>2165</v>
      </c>
      <c r="B895" s="9" t="s">
        <v>43</v>
      </c>
      <c r="C895" s="9">
        <v>1092</v>
      </c>
      <c r="D895" s="9" t="s">
        <v>908</v>
      </c>
      <c r="E895" s="30"/>
      <c r="F895" s="9" t="s">
        <v>1106</v>
      </c>
      <c r="G895" s="9" t="s">
        <v>1060</v>
      </c>
      <c r="H895" s="9" t="s">
        <v>911</v>
      </c>
      <c r="I895" s="9" t="s">
        <v>1107</v>
      </c>
      <c r="J895" s="9" t="s">
        <v>2200</v>
      </c>
      <c r="K895" s="9" t="s">
        <v>2201</v>
      </c>
      <c r="L895" s="9" t="s">
        <v>2201</v>
      </c>
      <c r="M895" s="9" t="s">
        <v>51</v>
      </c>
      <c r="N895" s="9">
        <v>106</v>
      </c>
      <c r="O895" s="9">
        <v>19</v>
      </c>
      <c r="P895" s="9">
        <v>67</v>
      </c>
      <c r="Q895" s="9">
        <v>86</v>
      </c>
      <c r="R895" s="9">
        <v>0.5</v>
      </c>
      <c r="S895" s="9">
        <v>-1.346139</v>
      </c>
      <c r="T895" s="9">
        <v>131.87697700000001</v>
      </c>
      <c r="U895" s="9"/>
      <c r="V895" s="11" t="s">
        <v>694</v>
      </c>
      <c r="W895" s="11"/>
      <c r="X895" s="11"/>
      <c r="Y895" s="11" t="e">
        <f>VLOOKUP(L895,'[1]singkron data'!D:H,5,FALSE)</f>
        <v>#N/A</v>
      </c>
      <c r="Z895" s="11" t="e">
        <f>VLOOKUP(L895,'[1]singkron data'!D:I,6,FALSE)</f>
        <v>#N/A</v>
      </c>
      <c r="AA895" s="11" t="e">
        <f>VLOOKUP(L895,'[1]singkron data'!D:L,9,FALSE)</f>
        <v>#N/A</v>
      </c>
      <c r="AB895" s="11" t="s">
        <v>694</v>
      </c>
      <c r="AC895" s="11" t="e">
        <f>VLOOKUP(L895,'[1]singkron data'!D:M,10,FALSE)</f>
        <v>#N/A</v>
      </c>
      <c r="AD895" s="11"/>
      <c r="AE895" s="11" t="e">
        <f>VLOOKUP(L895,'[1]singkron data'!D:P,13,FALSE)</f>
        <v>#N/A</v>
      </c>
      <c r="AF895" s="11"/>
      <c r="AG895" s="11" t="e">
        <f>VLOOKUP(L895,'[1]update kontrak'!E:K,6,FALSE)</f>
        <v>#N/A</v>
      </c>
      <c r="AH895" s="11" t="e">
        <f>VLOOKUP(L895,'[1]update kontrak'!E:K,7,FALSE)</f>
        <v>#N/A</v>
      </c>
      <c r="AI895" s="11"/>
      <c r="AJ895" s="11" t="str">
        <f>VLOOKUP(L895,[1]rekap!D:M,1,FALSE)</f>
        <v>Klaogin</v>
      </c>
      <c r="AK895" s="11" t="e">
        <f>VLOOKUP(L895,'[1]singkron data'!D:E,2,FALSE)</f>
        <v>#N/A</v>
      </c>
      <c r="AL895" s="11" t="str">
        <f>VLOOKUP(L895,'[1]update 521'!D:D,1,FALSE)</f>
        <v>Klaogin</v>
      </c>
      <c r="AM895" s="11" t="e">
        <f>VLOOKUP(L895,[1]Sheet18!I:M,5,FALSE)</f>
        <v>#N/A</v>
      </c>
      <c r="AN895" s="11" t="e">
        <f>VLOOKUP(L895,[1]Sheet19!E:L,8,FALSE)</f>
        <v>#N/A</v>
      </c>
      <c r="AO895" s="11" t="e">
        <f>VLOOKUP(L895,[1]Sheet19!E:K,7,FALSE)</f>
        <v>#N/A</v>
      </c>
      <c r="AP895" s="12"/>
    </row>
    <row r="896" spans="1:42" ht="15" x14ac:dyDescent="0.2">
      <c r="A896" s="8" t="s">
        <v>2165</v>
      </c>
      <c r="B896" s="9" t="s">
        <v>43</v>
      </c>
      <c r="C896" s="9">
        <v>1093</v>
      </c>
      <c r="D896" s="9" t="s">
        <v>908</v>
      </c>
      <c r="E896" s="30"/>
      <c r="F896" s="9" t="s">
        <v>1016</v>
      </c>
      <c r="G896" s="9" t="s">
        <v>908</v>
      </c>
      <c r="H896" s="9" t="s">
        <v>911</v>
      </c>
      <c r="I896" s="9" t="s">
        <v>1014</v>
      </c>
      <c r="J896" s="9" t="s">
        <v>2173</v>
      </c>
      <c r="K896" s="9" t="s">
        <v>2202</v>
      </c>
      <c r="L896" s="9" t="s">
        <v>2202</v>
      </c>
      <c r="M896" s="9" t="s">
        <v>51</v>
      </c>
      <c r="N896" s="9">
        <v>50</v>
      </c>
      <c r="O896" s="9">
        <v>50</v>
      </c>
      <c r="P896" s="9" t="s">
        <v>72</v>
      </c>
      <c r="Q896" s="9">
        <v>50</v>
      </c>
      <c r="R896" s="9">
        <v>0.06</v>
      </c>
      <c r="S896" s="9">
        <v>-1.13175</v>
      </c>
      <c r="T896" s="9">
        <v>134.92140000000001</v>
      </c>
      <c r="U896" s="9"/>
      <c r="V896" s="11" t="s">
        <v>694</v>
      </c>
      <c r="W896" s="11"/>
      <c r="X896" s="11"/>
      <c r="Y896" s="11" t="e">
        <f>VLOOKUP(L896,'[1]singkron data'!D:H,5,FALSE)</f>
        <v>#N/A</v>
      </c>
      <c r="Z896" s="11" t="e">
        <f>VLOOKUP(L896,'[1]singkron data'!D:I,6,FALSE)</f>
        <v>#N/A</v>
      </c>
      <c r="AA896" s="11" t="e">
        <f>VLOOKUP(L896,'[1]singkron data'!D:L,9,FALSE)</f>
        <v>#N/A</v>
      </c>
      <c r="AB896" s="11" t="s">
        <v>694</v>
      </c>
      <c r="AC896" s="11" t="e">
        <f>VLOOKUP(L896,'[1]singkron data'!D:M,10,FALSE)</f>
        <v>#N/A</v>
      </c>
      <c r="AD896" s="11"/>
      <c r="AE896" s="11" t="e">
        <f>VLOOKUP(L896,'[1]singkron data'!D:P,13,FALSE)</f>
        <v>#N/A</v>
      </c>
      <c r="AF896" s="11" t="s">
        <v>55</v>
      </c>
      <c r="AG896" s="11" t="e">
        <f>VLOOKUP(L896,'[1]update kontrak'!E:K,6,FALSE)</f>
        <v>#N/A</v>
      </c>
      <c r="AH896" s="11" t="e">
        <f>VLOOKUP(L896,'[1]update kontrak'!E:K,7,FALSE)</f>
        <v>#N/A</v>
      </c>
      <c r="AI896" s="11"/>
      <c r="AJ896" s="11" t="str">
        <f>VLOOKUP(L896,[1]rekap!D:M,1,FALSE)</f>
        <v>Manwor Indah</v>
      </c>
      <c r="AK896" s="11" t="e">
        <f>VLOOKUP(L896,'[1]singkron data'!D:E,2,FALSE)</f>
        <v>#N/A</v>
      </c>
      <c r="AL896" s="11" t="str">
        <f>VLOOKUP(L896,'[1]update 521'!D:D,1,FALSE)</f>
        <v>Manwor Indah</v>
      </c>
      <c r="AM896" s="11" t="e">
        <f>VLOOKUP(L896,[1]Sheet18!I:M,5,FALSE)</f>
        <v>#N/A</v>
      </c>
      <c r="AN896" s="11" t="e">
        <f>VLOOKUP(L896,[1]Sheet19!E:L,8,FALSE)</f>
        <v>#N/A</v>
      </c>
      <c r="AO896" s="11" t="e">
        <f>VLOOKUP(L896,[1]Sheet19!E:K,7,FALSE)</f>
        <v>#N/A</v>
      </c>
      <c r="AP896" s="12"/>
    </row>
    <row r="897" spans="1:42" ht="15" x14ac:dyDescent="0.2">
      <c r="A897" s="8" t="s">
        <v>2165</v>
      </c>
      <c r="B897" s="9" t="s">
        <v>43</v>
      </c>
      <c r="C897" s="9">
        <v>1094</v>
      </c>
      <c r="D897" s="9" t="s">
        <v>908</v>
      </c>
      <c r="E897" s="30"/>
      <c r="F897" s="9" t="s">
        <v>1016</v>
      </c>
      <c r="G897" s="9" t="s">
        <v>908</v>
      </c>
      <c r="H897" s="9" t="s">
        <v>911</v>
      </c>
      <c r="I897" s="9" t="s">
        <v>1014</v>
      </c>
      <c r="J897" s="9" t="s">
        <v>2173</v>
      </c>
      <c r="K897" s="9" t="s">
        <v>2203</v>
      </c>
      <c r="L897" s="9" t="s">
        <v>2203</v>
      </c>
      <c r="M897" s="9" t="s">
        <v>51</v>
      </c>
      <c r="N897" s="9">
        <v>84</v>
      </c>
      <c r="O897" s="9">
        <v>84</v>
      </c>
      <c r="P897" s="9">
        <v>5</v>
      </c>
      <c r="Q897" s="9">
        <v>89</v>
      </c>
      <c r="R897" s="9">
        <v>0.06</v>
      </c>
      <c r="S897" s="9">
        <v>-1.129842</v>
      </c>
      <c r="T897" s="9">
        <v>134.86440300000001</v>
      </c>
      <c r="U897" s="9"/>
      <c r="V897" s="11" t="s">
        <v>694</v>
      </c>
      <c r="W897" s="11"/>
      <c r="X897" s="11"/>
      <c r="Y897" s="11" t="e">
        <f>VLOOKUP(L897,'[1]singkron data'!D:H,5,FALSE)</f>
        <v>#N/A</v>
      </c>
      <c r="Z897" s="11" t="e">
        <f>VLOOKUP(L897,'[1]singkron data'!D:I,6,FALSE)</f>
        <v>#N/A</v>
      </c>
      <c r="AA897" s="11" t="e">
        <f>VLOOKUP(L897,'[1]singkron data'!D:L,9,FALSE)</f>
        <v>#N/A</v>
      </c>
      <c r="AB897" s="11" t="s">
        <v>694</v>
      </c>
      <c r="AC897" s="11" t="e">
        <f>VLOOKUP(L897,'[1]singkron data'!D:M,10,FALSE)</f>
        <v>#N/A</v>
      </c>
      <c r="AD897" s="11"/>
      <c r="AE897" s="11" t="e">
        <f>VLOOKUP(L897,'[1]singkron data'!D:P,13,FALSE)</f>
        <v>#N/A</v>
      </c>
      <c r="AF897" s="11" t="s">
        <v>55</v>
      </c>
      <c r="AG897" s="11" t="e">
        <f>VLOOKUP(L897,'[1]update kontrak'!E:K,6,FALSE)</f>
        <v>#N/A</v>
      </c>
      <c r="AH897" s="11" t="e">
        <f>VLOOKUP(L897,'[1]update kontrak'!E:K,7,FALSE)</f>
        <v>#N/A</v>
      </c>
      <c r="AI897" s="11"/>
      <c r="AJ897" s="11" t="str">
        <f>VLOOKUP(L897,[1]rekap!D:M,1,FALSE)</f>
        <v>Saribi</v>
      </c>
      <c r="AK897" s="11" t="e">
        <f>VLOOKUP(L897,'[1]singkron data'!D:E,2,FALSE)</f>
        <v>#N/A</v>
      </c>
      <c r="AL897" s="11" t="str">
        <f>VLOOKUP(L897,'[1]update 521'!D:D,1,FALSE)</f>
        <v>Saribi</v>
      </c>
      <c r="AM897" s="11" t="e">
        <f>VLOOKUP(L897,[1]Sheet18!I:M,5,FALSE)</f>
        <v>#N/A</v>
      </c>
      <c r="AN897" s="11" t="e">
        <f>VLOOKUP(L897,[1]Sheet19!E:L,8,FALSE)</f>
        <v>#N/A</v>
      </c>
      <c r="AO897" s="11" t="e">
        <f>VLOOKUP(L897,[1]Sheet19!E:K,7,FALSE)</f>
        <v>#N/A</v>
      </c>
      <c r="AP897" s="12"/>
    </row>
    <row r="898" spans="1:42" ht="15" x14ac:dyDescent="0.2">
      <c r="A898" s="8" t="s">
        <v>2165</v>
      </c>
      <c r="B898" s="9" t="s">
        <v>43</v>
      </c>
      <c r="C898" s="9">
        <v>1095</v>
      </c>
      <c r="D898" s="9" t="s">
        <v>908</v>
      </c>
      <c r="E898" s="30"/>
      <c r="F898" s="9" t="s">
        <v>1016</v>
      </c>
      <c r="G898" s="9" t="s">
        <v>908</v>
      </c>
      <c r="H898" s="9" t="s">
        <v>911</v>
      </c>
      <c r="I898" s="9" t="s">
        <v>1014</v>
      </c>
      <c r="J898" s="9" t="s">
        <v>2173</v>
      </c>
      <c r="K898" s="9" t="s">
        <v>2204</v>
      </c>
      <c r="L898" s="9" t="s">
        <v>2204</v>
      </c>
      <c r="M898" s="9" t="s">
        <v>51</v>
      </c>
      <c r="N898" s="9">
        <v>64</v>
      </c>
      <c r="O898" s="9">
        <v>70</v>
      </c>
      <c r="P898" s="9" t="s">
        <v>72</v>
      </c>
      <c r="Q898" s="9">
        <v>70</v>
      </c>
      <c r="R898" s="9">
        <v>0.06</v>
      </c>
      <c r="S898" s="9">
        <v>-1.1265400000000001</v>
      </c>
      <c r="T898" s="9">
        <v>134.95195000000001</v>
      </c>
      <c r="U898" s="9"/>
      <c r="V898" s="11" t="s">
        <v>694</v>
      </c>
      <c r="W898" s="11"/>
      <c r="X898" s="11"/>
      <c r="Y898" s="11" t="e">
        <f>VLOOKUP(L898,'[1]singkron data'!D:H,5,FALSE)</f>
        <v>#N/A</v>
      </c>
      <c r="Z898" s="11" t="e">
        <f>VLOOKUP(L898,'[1]singkron data'!D:I,6,FALSE)</f>
        <v>#N/A</v>
      </c>
      <c r="AA898" s="11" t="e">
        <f>VLOOKUP(L898,'[1]singkron data'!D:L,9,FALSE)</f>
        <v>#N/A</v>
      </c>
      <c r="AB898" s="11" t="s">
        <v>694</v>
      </c>
      <c r="AC898" s="11" t="e">
        <f>VLOOKUP(L898,'[1]singkron data'!D:M,10,FALSE)</f>
        <v>#N/A</v>
      </c>
      <c r="AD898" s="11"/>
      <c r="AE898" s="11" t="e">
        <f>VLOOKUP(L898,'[1]singkron data'!D:P,13,FALSE)</f>
        <v>#N/A</v>
      </c>
      <c r="AF898" s="11" t="s">
        <v>55</v>
      </c>
      <c r="AG898" s="11" t="e">
        <f>VLOOKUP(L898,'[1]update kontrak'!E:K,6,FALSE)</f>
        <v>#N/A</v>
      </c>
      <c r="AH898" s="11" t="e">
        <f>VLOOKUP(L898,'[1]update kontrak'!E:K,7,FALSE)</f>
        <v>#N/A</v>
      </c>
      <c r="AI898" s="11"/>
      <c r="AJ898" s="11" t="str">
        <f>VLOOKUP(L898,[1]rekap!D:M,1,FALSE)</f>
        <v>Wansra</v>
      </c>
      <c r="AK898" s="11" t="e">
        <f>VLOOKUP(L898,'[1]singkron data'!D:E,2,FALSE)</f>
        <v>#N/A</v>
      </c>
      <c r="AL898" s="11" t="str">
        <f>VLOOKUP(L898,'[1]update 521'!D:D,1,FALSE)</f>
        <v>Wansra</v>
      </c>
      <c r="AM898" s="11" t="e">
        <f>VLOOKUP(L898,[1]Sheet18!I:M,5,FALSE)</f>
        <v>#N/A</v>
      </c>
      <c r="AN898" s="11" t="e">
        <f>VLOOKUP(L898,[1]Sheet19!E:L,8,FALSE)</f>
        <v>#N/A</v>
      </c>
      <c r="AO898" s="11" t="e">
        <f>VLOOKUP(L898,[1]Sheet19!E:K,7,FALSE)</f>
        <v>#N/A</v>
      </c>
      <c r="AP898" s="12"/>
    </row>
    <row r="899" spans="1:42" ht="15" x14ac:dyDescent="0.2">
      <c r="A899" s="8" t="s">
        <v>2165</v>
      </c>
      <c r="B899" s="9" t="s">
        <v>43</v>
      </c>
      <c r="C899" s="9">
        <v>1097</v>
      </c>
      <c r="D899" s="9" t="s">
        <v>908</v>
      </c>
      <c r="E899" s="30"/>
      <c r="F899" s="9" t="s">
        <v>1029</v>
      </c>
      <c r="G899" s="9" t="s">
        <v>908</v>
      </c>
      <c r="H899" s="9" t="s">
        <v>911</v>
      </c>
      <c r="I899" s="9" t="s">
        <v>1014</v>
      </c>
      <c r="J899" s="9" t="s">
        <v>1034</v>
      </c>
      <c r="K899" s="9" t="s">
        <v>2205</v>
      </c>
      <c r="L899" s="9" t="s">
        <v>2205</v>
      </c>
      <c r="M899" s="9" t="s">
        <v>51</v>
      </c>
      <c r="N899" s="9">
        <v>50</v>
      </c>
      <c r="O899" s="9">
        <v>25</v>
      </c>
      <c r="P899" s="9" t="s">
        <v>72</v>
      </c>
      <c r="Q899" s="9">
        <v>25</v>
      </c>
      <c r="R899" s="9">
        <v>0.06</v>
      </c>
      <c r="S899" s="9">
        <v>-0.90413969999999999</v>
      </c>
      <c r="T899" s="9">
        <v>135.77513440000001</v>
      </c>
      <c r="U899" s="9"/>
      <c r="V899" s="11" t="s">
        <v>694</v>
      </c>
      <c r="W899" s="11"/>
      <c r="X899" s="11"/>
      <c r="Y899" s="11" t="e">
        <f>VLOOKUP(L899,'[1]singkron data'!D:H,5,FALSE)</f>
        <v>#N/A</v>
      </c>
      <c r="Z899" s="11" t="e">
        <f>VLOOKUP(L899,'[1]singkron data'!D:I,6,FALSE)</f>
        <v>#N/A</v>
      </c>
      <c r="AA899" s="11" t="e">
        <f>VLOOKUP(L899,'[1]singkron data'!D:L,9,FALSE)</f>
        <v>#N/A</v>
      </c>
      <c r="AB899" s="11" t="s">
        <v>694</v>
      </c>
      <c r="AC899" s="11" t="e">
        <f>VLOOKUP(L899,'[1]singkron data'!D:M,10,FALSE)</f>
        <v>#N/A</v>
      </c>
      <c r="AD899" s="11"/>
      <c r="AE899" s="11" t="e">
        <f>VLOOKUP(L899,'[1]singkron data'!D:P,13,FALSE)</f>
        <v>#N/A</v>
      </c>
      <c r="AF899" s="11" t="s">
        <v>55</v>
      </c>
      <c r="AG899" s="11" t="e">
        <f>VLOOKUP(L899,'[1]update kontrak'!E:K,6,FALSE)</f>
        <v>#N/A</v>
      </c>
      <c r="AH899" s="11" t="e">
        <f>VLOOKUP(L899,'[1]update kontrak'!E:K,7,FALSE)</f>
        <v>#N/A</v>
      </c>
      <c r="AI899" s="11"/>
      <c r="AJ899" s="11" t="str">
        <f>VLOOKUP(L899,[1]rekap!D:M,1,FALSE)</f>
        <v>Sarwa</v>
      </c>
      <c r="AK899" s="11" t="e">
        <f>VLOOKUP(L899,'[1]singkron data'!D:E,2,FALSE)</f>
        <v>#N/A</v>
      </c>
      <c r="AL899" s="11" t="str">
        <f>VLOOKUP(L899,'[1]update 521'!D:D,1,FALSE)</f>
        <v>Sarwa</v>
      </c>
      <c r="AM899" s="11" t="e">
        <f>VLOOKUP(L899,[1]Sheet18!I:M,5,FALSE)</f>
        <v>#N/A</v>
      </c>
      <c r="AN899" s="11" t="e">
        <f>VLOOKUP(L899,[1]Sheet19!E:L,8,FALSE)</f>
        <v>#N/A</v>
      </c>
      <c r="AO899" s="11" t="e">
        <f>VLOOKUP(L899,[1]Sheet19!E:K,7,FALSE)</f>
        <v>#N/A</v>
      </c>
      <c r="AP899" s="12"/>
    </row>
    <row r="900" spans="1:42" ht="15" x14ac:dyDescent="0.2">
      <c r="A900" s="8" t="s">
        <v>2165</v>
      </c>
      <c r="B900" s="9" t="s">
        <v>43</v>
      </c>
      <c r="C900" s="9">
        <v>1098</v>
      </c>
      <c r="D900" s="9" t="s">
        <v>908</v>
      </c>
      <c r="E900" s="30"/>
      <c r="F900" s="9" t="s">
        <v>1040</v>
      </c>
      <c r="G900" s="9" t="s">
        <v>908</v>
      </c>
      <c r="H900" s="9" t="s">
        <v>911</v>
      </c>
      <c r="I900" s="9" t="s">
        <v>1014</v>
      </c>
      <c r="J900" s="9" t="s">
        <v>1041</v>
      </c>
      <c r="K900" s="9" t="s">
        <v>2206</v>
      </c>
      <c r="L900" s="9" t="s">
        <v>2206</v>
      </c>
      <c r="M900" s="9" t="s">
        <v>51</v>
      </c>
      <c r="N900" s="9">
        <v>80</v>
      </c>
      <c r="O900" s="9">
        <v>48</v>
      </c>
      <c r="P900" s="9">
        <v>32</v>
      </c>
      <c r="Q900" s="9">
        <v>80</v>
      </c>
      <c r="R900" s="9">
        <v>0.15</v>
      </c>
      <c r="S900" s="9">
        <v>-0.89364699999999997</v>
      </c>
      <c r="T900" s="9">
        <v>136.0359818</v>
      </c>
      <c r="U900" s="9"/>
      <c r="V900" s="11" t="s">
        <v>694</v>
      </c>
      <c r="W900" s="11"/>
      <c r="X900" s="11"/>
      <c r="Y900" s="11" t="e">
        <f>VLOOKUP(L900,'[1]singkron data'!D:H,5,FALSE)</f>
        <v>#N/A</v>
      </c>
      <c r="Z900" s="11" t="e">
        <f>VLOOKUP(L900,'[1]singkron data'!D:I,6,FALSE)</f>
        <v>#N/A</v>
      </c>
      <c r="AA900" s="11" t="e">
        <f>VLOOKUP(L900,'[1]singkron data'!D:L,9,FALSE)</f>
        <v>#N/A</v>
      </c>
      <c r="AB900" s="11" t="s">
        <v>694</v>
      </c>
      <c r="AC900" s="11" t="e">
        <f>VLOOKUP(L900,'[1]singkron data'!D:M,10,FALSE)</f>
        <v>#N/A</v>
      </c>
      <c r="AD900" s="11"/>
      <c r="AE900" s="11" t="e">
        <f>VLOOKUP(L900,'[1]singkron data'!D:P,13,FALSE)</f>
        <v>#N/A</v>
      </c>
      <c r="AF900" s="11" t="s">
        <v>55</v>
      </c>
      <c r="AG900" s="11" t="e">
        <f>VLOOKUP(L900,'[1]update kontrak'!E:K,6,FALSE)</f>
        <v>#N/A</v>
      </c>
      <c r="AH900" s="11" t="e">
        <f>VLOOKUP(L900,'[1]update kontrak'!E:K,7,FALSE)</f>
        <v>#N/A</v>
      </c>
      <c r="AI900" s="11"/>
      <c r="AJ900" s="11" t="str">
        <f>VLOOKUP(L900,[1]rekap!D:M,1,FALSE)</f>
        <v>Korem</v>
      </c>
      <c r="AK900" s="11" t="e">
        <f>VLOOKUP(L900,'[1]singkron data'!D:E,2,FALSE)</f>
        <v>#N/A</v>
      </c>
      <c r="AL900" s="11" t="str">
        <f>VLOOKUP(L900,'[1]update 521'!D:D,1,FALSE)</f>
        <v>Korem</v>
      </c>
      <c r="AM900" s="11" t="e">
        <f>VLOOKUP(L900,[1]Sheet18!I:M,5,FALSE)</f>
        <v>#N/A</v>
      </c>
      <c r="AN900" s="11" t="e">
        <f>VLOOKUP(L900,[1]Sheet19!E:L,8,FALSE)</f>
        <v>#N/A</v>
      </c>
      <c r="AO900" s="11" t="e">
        <f>VLOOKUP(L900,[1]Sheet19!E:K,7,FALSE)</f>
        <v>#N/A</v>
      </c>
      <c r="AP900" s="12"/>
    </row>
    <row r="901" spans="1:42" ht="15" x14ac:dyDescent="0.2">
      <c r="A901" s="8" t="s">
        <v>2165</v>
      </c>
      <c r="B901" s="9" t="s">
        <v>43</v>
      </c>
      <c r="C901" s="9">
        <v>1099</v>
      </c>
      <c r="D901" s="9" t="s">
        <v>908</v>
      </c>
      <c r="E901" s="30"/>
      <c r="F901" s="9" t="s">
        <v>1029</v>
      </c>
      <c r="G901" s="9" t="s">
        <v>908</v>
      </c>
      <c r="H901" s="9" t="s">
        <v>911</v>
      </c>
      <c r="I901" s="9" t="s">
        <v>1014</v>
      </c>
      <c r="J901" s="9" t="s">
        <v>1034</v>
      </c>
      <c r="K901" s="9" t="s">
        <v>2207</v>
      </c>
      <c r="L901" s="9" t="s">
        <v>2207</v>
      </c>
      <c r="M901" s="9" t="s">
        <v>51</v>
      </c>
      <c r="N901" s="9">
        <v>45</v>
      </c>
      <c r="O901" s="9">
        <v>25</v>
      </c>
      <c r="P901" s="9" t="s">
        <v>72</v>
      </c>
      <c r="Q901" s="9">
        <v>25</v>
      </c>
      <c r="R901" s="9">
        <v>0.06</v>
      </c>
      <c r="S901" s="9">
        <v>-0.85635510000000004</v>
      </c>
      <c r="T901" s="9">
        <v>135.7619315</v>
      </c>
      <c r="U901" s="9"/>
      <c r="V901" s="11" t="s">
        <v>694</v>
      </c>
      <c r="W901" s="11"/>
      <c r="X901" s="11"/>
      <c r="Y901" s="11" t="e">
        <f>VLOOKUP(L901,'[1]singkron data'!D:H,5,FALSE)</f>
        <v>#N/A</v>
      </c>
      <c r="Z901" s="11" t="e">
        <f>VLOOKUP(L901,'[1]singkron data'!D:I,6,FALSE)</f>
        <v>#N/A</v>
      </c>
      <c r="AA901" s="11" t="e">
        <f>VLOOKUP(L901,'[1]singkron data'!D:L,9,FALSE)</f>
        <v>#N/A</v>
      </c>
      <c r="AB901" s="11" t="s">
        <v>694</v>
      </c>
      <c r="AC901" s="11" t="e">
        <f>VLOOKUP(L901,'[1]singkron data'!D:M,10,FALSE)</f>
        <v>#N/A</v>
      </c>
      <c r="AD901" s="11"/>
      <c r="AE901" s="11" t="e">
        <f>VLOOKUP(L901,'[1]singkron data'!D:P,13,FALSE)</f>
        <v>#N/A</v>
      </c>
      <c r="AF901" s="11" t="s">
        <v>55</v>
      </c>
      <c r="AG901" s="11" t="e">
        <f>VLOOKUP(L901,'[1]update kontrak'!E:K,6,FALSE)</f>
        <v>#N/A</v>
      </c>
      <c r="AH901" s="11" t="e">
        <f>VLOOKUP(L901,'[1]update kontrak'!E:K,7,FALSE)</f>
        <v>#N/A</v>
      </c>
      <c r="AI901" s="11"/>
      <c r="AJ901" s="11" t="str">
        <f>VLOOKUP(L901,[1]rekap!D:M,1,FALSE)</f>
        <v>Ramdori</v>
      </c>
      <c r="AK901" s="11" t="e">
        <f>VLOOKUP(L901,'[1]singkron data'!D:E,2,FALSE)</f>
        <v>#N/A</v>
      </c>
      <c r="AL901" s="11" t="str">
        <f>VLOOKUP(L901,'[1]update 521'!D:D,1,FALSE)</f>
        <v>Ramdori</v>
      </c>
      <c r="AM901" s="11" t="e">
        <f>VLOOKUP(L901,[1]Sheet18!I:M,5,FALSE)</f>
        <v>#N/A</v>
      </c>
      <c r="AN901" s="11" t="e">
        <f>VLOOKUP(L901,[1]Sheet19!E:L,8,FALSE)</f>
        <v>#N/A</v>
      </c>
      <c r="AO901" s="11" t="e">
        <f>VLOOKUP(L901,[1]Sheet19!E:K,7,FALSE)</f>
        <v>#N/A</v>
      </c>
      <c r="AP901" s="12"/>
    </row>
    <row r="902" spans="1:42" ht="15" x14ac:dyDescent="0.2">
      <c r="A902" s="8" t="s">
        <v>2165</v>
      </c>
      <c r="B902" s="9" t="s">
        <v>43</v>
      </c>
      <c r="C902" s="9">
        <v>1100</v>
      </c>
      <c r="D902" s="9" t="s">
        <v>908</v>
      </c>
      <c r="E902" s="30"/>
      <c r="F902" s="9" t="s">
        <v>1029</v>
      </c>
      <c r="G902" s="9" t="s">
        <v>908</v>
      </c>
      <c r="H902" s="9" t="s">
        <v>911</v>
      </c>
      <c r="I902" s="9" t="s">
        <v>924</v>
      </c>
      <c r="J902" s="9" t="s">
        <v>926</v>
      </c>
      <c r="K902" s="9" t="s">
        <v>2208</v>
      </c>
      <c r="L902" s="9" t="s">
        <v>2208</v>
      </c>
      <c r="M902" s="9" t="s">
        <v>51</v>
      </c>
      <c r="N902" s="9">
        <v>40</v>
      </c>
      <c r="O902" s="9">
        <v>36</v>
      </c>
      <c r="P902" s="9">
        <v>4</v>
      </c>
      <c r="Q902" s="9">
        <v>40</v>
      </c>
      <c r="R902" s="9">
        <v>0.25</v>
      </c>
      <c r="S902" s="9">
        <v>-0.83266879999999999</v>
      </c>
      <c r="T902" s="9">
        <v>135.68315659999999</v>
      </c>
      <c r="U902" s="9"/>
      <c r="V902" s="11" t="s">
        <v>694</v>
      </c>
      <c r="W902" s="11"/>
      <c r="X902" s="11"/>
      <c r="Y902" s="11" t="e">
        <f>VLOOKUP(L902,'[1]singkron data'!D:H,5,FALSE)</f>
        <v>#N/A</v>
      </c>
      <c r="Z902" s="11" t="e">
        <f>VLOOKUP(L902,'[1]singkron data'!D:I,6,FALSE)</f>
        <v>#N/A</v>
      </c>
      <c r="AA902" s="11" t="e">
        <f>VLOOKUP(L902,'[1]singkron data'!D:L,9,FALSE)</f>
        <v>#N/A</v>
      </c>
      <c r="AB902" s="11" t="s">
        <v>694</v>
      </c>
      <c r="AC902" s="11" t="e">
        <f>VLOOKUP(L902,'[1]singkron data'!D:M,10,FALSE)</f>
        <v>#N/A</v>
      </c>
      <c r="AD902" s="11"/>
      <c r="AE902" s="11" t="e">
        <f>VLOOKUP(L902,'[1]singkron data'!D:P,13,FALSE)</f>
        <v>#N/A</v>
      </c>
      <c r="AF902" s="11"/>
      <c r="AG902" s="11" t="e">
        <f>VLOOKUP(L902,'[1]update kontrak'!E:K,6,FALSE)</f>
        <v>#N/A</v>
      </c>
      <c r="AH902" s="11" t="e">
        <f>VLOOKUP(L902,'[1]update kontrak'!E:K,7,FALSE)</f>
        <v>#N/A</v>
      </c>
      <c r="AI902" s="11"/>
      <c r="AJ902" s="11" t="str">
        <f>VLOOKUP(L902,[1]rekap!D:M,1,FALSE)</f>
        <v>Yawerma</v>
      </c>
      <c r="AK902" s="11" t="e">
        <f>VLOOKUP(L902,'[1]singkron data'!D:E,2,FALSE)</f>
        <v>#N/A</v>
      </c>
      <c r="AL902" s="11" t="str">
        <f>VLOOKUP(L902,'[1]update 521'!D:D,1,FALSE)</f>
        <v>Yawerma</v>
      </c>
      <c r="AM902" s="11" t="e">
        <f>VLOOKUP(L902,[1]Sheet18!I:M,5,FALSE)</f>
        <v>#N/A</v>
      </c>
      <c r="AN902" s="11" t="e">
        <f>VLOOKUP(L902,[1]Sheet19!E:L,8,FALSE)</f>
        <v>#N/A</v>
      </c>
      <c r="AO902" s="11" t="e">
        <f>VLOOKUP(L902,[1]Sheet19!E:K,7,FALSE)</f>
        <v>#N/A</v>
      </c>
      <c r="AP902" s="12"/>
    </row>
    <row r="903" spans="1:42" ht="15" x14ac:dyDescent="0.2">
      <c r="A903" s="8" t="s">
        <v>2165</v>
      </c>
      <c r="B903" s="9" t="s">
        <v>43</v>
      </c>
      <c r="C903" s="9">
        <v>1101</v>
      </c>
      <c r="D903" s="9" t="s">
        <v>908</v>
      </c>
      <c r="E903" s="30"/>
      <c r="F903" s="9" t="s">
        <v>1040</v>
      </c>
      <c r="G903" s="9" t="s">
        <v>908</v>
      </c>
      <c r="H903" s="9" t="s">
        <v>911</v>
      </c>
      <c r="I903" s="9" t="s">
        <v>1014</v>
      </c>
      <c r="J903" s="9" t="s">
        <v>1044</v>
      </c>
      <c r="K903" s="9" t="s">
        <v>2209</v>
      </c>
      <c r="L903" s="9" t="s">
        <v>2209</v>
      </c>
      <c r="M903" s="9" t="s">
        <v>51</v>
      </c>
      <c r="N903" s="9">
        <v>20</v>
      </c>
      <c r="O903" s="9">
        <v>6</v>
      </c>
      <c r="P903" s="9">
        <v>2</v>
      </c>
      <c r="Q903" s="9">
        <v>8</v>
      </c>
      <c r="R903" s="9">
        <v>6.25E-2</v>
      </c>
      <c r="S903" s="9">
        <v>-0.80720800000000004</v>
      </c>
      <c r="T903" s="9">
        <v>135.96571700000001</v>
      </c>
      <c r="U903" s="9"/>
      <c r="V903" s="11" t="s">
        <v>694</v>
      </c>
      <c r="W903" s="11"/>
      <c r="X903" s="11"/>
      <c r="Y903" s="11" t="e">
        <f>VLOOKUP(L903,'[1]singkron data'!D:H,5,FALSE)</f>
        <v>#N/A</v>
      </c>
      <c r="Z903" s="11" t="e">
        <f>VLOOKUP(L903,'[1]singkron data'!D:I,6,FALSE)</f>
        <v>#N/A</v>
      </c>
      <c r="AA903" s="11" t="e">
        <f>VLOOKUP(L903,'[1]singkron data'!D:L,9,FALSE)</f>
        <v>#N/A</v>
      </c>
      <c r="AB903" s="11" t="s">
        <v>694</v>
      </c>
      <c r="AC903" s="11" t="e">
        <f>VLOOKUP(L903,'[1]singkron data'!D:M,10,FALSE)</f>
        <v>#N/A</v>
      </c>
      <c r="AD903" s="11"/>
      <c r="AE903" s="11" t="e">
        <f>VLOOKUP(L903,'[1]singkron data'!D:P,13,FALSE)</f>
        <v>#N/A</v>
      </c>
      <c r="AF903" s="11" t="s">
        <v>55</v>
      </c>
      <c r="AG903" s="11" t="e">
        <f>VLOOKUP(L903,'[1]update kontrak'!E:K,6,FALSE)</f>
        <v>#N/A</v>
      </c>
      <c r="AH903" s="11" t="e">
        <f>VLOOKUP(L903,'[1]update kontrak'!E:K,7,FALSE)</f>
        <v>#N/A</v>
      </c>
      <c r="AI903" s="11"/>
      <c r="AJ903" s="11" t="str">
        <f>VLOOKUP(L903,[1]rekap!D:M,1,FALSE)</f>
        <v>Marur</v>
      </c>
      <c r="AK903" s="11" t="e">
        <f>VLOOKUP(L903,'[1]singkron data'!D:E,2,FALSE)</f>
        <v>#N/A</v>
      </c>
      <c r="AL903" s="11" t="str">
        <f>VLOOKUP(L903,'[1]update 521'!D:D,1,FALSE)</f>
        <v>Marur</v>
      </c>
      <c r="AM903" s="11" t="e">
        <f>VLOOKUP(L903,[1]Sheet18!I:M,5,FALSE)</f>
        <v>#N/A</v>
      </c>
      <c r="AN903" s="11" t="e">
        <f>VLOOKUP(L903,[1]Sheet19!E:L,8,FALSE)</f>
        <v>#N/A</v>
      </c>
      <c r="AO903" s="11" t="e">
        <f>VLOOKUP(L903,[1]Sheet19!E:K,7,FALSE)</f>
        <v>#N/A</v>
      </c>
      <c r="AP903" s="12"/>
    </row>
    <row r="904" spans="1:42" ht="15" x14ac:dyDescent="0.2">
      <c r="A904" s="8" t="s">
        <v>2165</v>
      </c>
      <c r="B904" s="9" t="s">
        <v>43</v>
      </c>
      <c r="C904" s="9">
        <v>1102</v>
      </c>
      <c r="D904" s="9" t="s">
        <v>908</v>
      </c>
      <c r="E904" s="30"/>
      <c r="F904" s="9" t="s">
        <v>1029</v>
      </c>
      <c r="G904" s="9" t="s">
        <v>908</v>
      </c>
      <c r="H904" s="9" t="s">
        <v>911</v>
      </c>
      <c r="I904" s="9" t="s">
        <v>924</v>
      </c>
      <c r="J904" s="9" t="s">
        <v>926</v>
      </c>
      <c r="K904" s="9" t="s">
        <v>2210</v>
      </c>
      <c r="L904" s="9" t="s">
        <v>2210</v>
      </c>
      <c r="M904" s="9" t="s">
        <v>51</v>
      </c>
      <c r="N904" s="9">
        <v>260</v>
      </c>
      <c r="O904" s="9">
        <v>30</v>
      </c>
      <c r="P904" s="9">
        <v>20</v>
      </c>
      <c r="Q904" s="9">
        <v>50</v>
      </c>
      <c r="R904" s="9">
        <v>0.15</v>
      </c>
      <c r="S904" s="9">
        <v>-0.72435050000000001</v>
      </c>
      <c r="T904" s="9">
        <v>135.77217440000001</v>
      </c>
      <c r="U904" s="9"/>
      <c r="V904" s="11" t="s">
        <v>694</v>
      </c>
      <c r="W904" s="11"/>
      <c r="X904" s="11"/>
      <c r="Y904" s="11" t="e">
        <f>VLOOKUP(L904,'[1]singkron data'!D:H,5,FALSE)</f>
        <v>#N/A</v>
      </c>
      <c r="Z904" s="11" t="e">
        <f>VLOOKUP(L904,'[1]singkron data'!D:I,6,FALSE)</f>
        <v>#N/A</v>
      </c>
      <c r="AA904" s="11" t="e">
        <f>VLOOKUP(L904,'[1]singkron data'!D:L,9,FALSE)</f>
        <v>#N/A</v>
      </c>
      <c r="AB904" s="11" t="s">
        <v>694</v>
      </c>
      <c r="AC904" s="11" t="e">
        <f>VLOOKUP(L904,'[1]singkron data'!D:M,10,FALSE)</f>
        <v>#N/A</v>
      </c>
      <c r="AD904" s="11"/>
      <c r="AE904" s="11" t="e">
        <f>VLOOKUP(L904,'[1]singkron data'!D:P,13,FALSE)</f>
        <v>#N/A</v>
      </c>
      <c r="AF904" s="11"/>
      <c r="AG904" s="11" t="e">
        <f>VLOOKUP(L904,'[1]update kontrak'!E:K,6,FALSE)</f>
        <v>#N/A</v>
      </c>
      <c r="AH904" s="11" t="e">
        <f>VLOOKUP(L904,'[1]update kontrak'!E:K,7,FALSE)</f>
        <v>#N/A</v>
      </c>
      <c r="AI904" s="11"/>
      <c r="AJ904" s="11" t="str">
        <f>VLOOKUP(L904,[1]rekap!D:M,1,FALSE)</f>
        <v>Syurdori</v>
      </c>
      <c r="AK904" s="11" t="e">
        <f>VLOOKUP(L904,'[1]singkron data'!D:E,2,FALSE)</f>
        <v>#N/A</v>
      </c>
      <c r="AL904" s="11" t="str">
        <f>VLOOKUP(L904,'[1]update 521'!D:D,1,FALSE)</f>
        <v>Syurdori</v>
      </c>
      <c r="AM904" s="11" t="e">
        <f>VLOOKUP(L904,[1]Sheet18!I:M,5,FALSE)</f>
        <v>#N/A</v>
      </c>
      <c r="AN904" s="11" t="e">
        <f>VLOOKUP(L904,[1]Sheet19!E:L,8,FALSE)</f>
        <v>#N/A</v>
      </c>
      <c r="AO904" s="11" t="e">
        <f>VLOOKUP(L904,[1]Sheet19!E:K,7,FALSE)</f>
        <v>#N/A</v>
      </c>
      <c r="AP904" s="12"/>
    </row>
    <row r="905" spans="1:42" ht="15" x14ac:dyDescent="0.2">
      <c r="A905" s="8" t="s">
        <v>2165</v>
      </c>
      <c r="B905" s="9" t="s">
        <v>43</v>
      </c>
      <c r="C905" s="9">
        <v>1103</v>
      </c>
      <c r="D905" s="9" t="s">
        <v>908</v>
      </c>
      <c r="E905" s="30"/>
      <c r="F905" s="9" t="s">
        <v>2211</v>
      </c>
      <c r="G905" s="9" t="s">
        <v>908</v>
      </c>
      <c r="H905" s="9" t="s">
        <v>911</v>
      </c>
      <c r="I905" s="9" t="s">
        <v>924</v>
      </c>
      <c r="J905" s="9" t="s">
        <v>2212</v>
      </c>
      <c r="K905" s="9" t="s">
        <v>2213</v>
      </c>
      <c r="L905" s="9" t="s">
        <v>2213</v>
      </c>
      <c r="M905" s="9" t="s">
        <v>51</v>
      </c>
      <c r="N905" s="9">
        <v>60</v>
      </c>
      <c r="O905" s="9">
        <v>15</v>
      </c>
      <c r="P905" s="9">
        <v>6</v>
      </c>
      <c r="Q905" s="9">
        <v>21</v>
      </c>
      <c r="R905" s="9">
        <v>0.12</v>
      </c>
      <c r="S905" s="9">
        <v>-0.68058390000000002</v>
      </c>
      <c r="T905" s="9">
        <v>135.66178619999999</v>
      </c>
      <c r="U905" s="9"/>
      <c r="V905" s="11" t="s">
        <v>694</v>
      </c>
      <c r="W905" s="11"/>
      <c r="X905" s="11"/>
      <c r="Y905" s="11" t="e">
        <f>VLOOKUP(L905,'[1]singkron data'!D:H,5,FALSE)</f>
        <v>#N/A</v>
      </c>
      <c r="Z905" s="11" t="e">
        <f>VLOOKUP(L905,'[1]singkron data'!D:I,6,FALSE)</f>
        <v>#N/A</v>
      </c>
      <c r="AA905" s="11" t="e">
        <f>VLOOKUP(L905,'[1]singkron data'!D:L,9,FALSE)</f>
        <v>#N/A</v>
      </c>
      <c r="AB905" s="11" t="s">
        <v>694</v>
      </c>
      <c r="AC905" s="11" t="e">
        <f>VLOOKUP(L905,'[1]singkron data'!D:M,10,FALSE)</f>
        <v>#N/A</v>
      </c>
      <c r="AD905" s="11"/>
      <c r="AE905" s="11" t="e">
        <f>VLOOKUP(L905,'[1]singkron data'!D:P,13,FALSE)</f>
        <v>#N/A</v>
      </c>
      <c r="AF905" s="11"/>
      <c r="AG905" s="11" t="e">
        <f>VLOOKUP(L905,'[1]update kontrak'!E:K,6,FALSE)</f>
        <v>#N/A</v>
      </c>
      <c r="AH905" s="11" t="e">
        <f>VLOOKUP(L905,'[1]update kontrak'!E:K,7,FALSE)</f>
        <v>#N/A</v>
      </c>
      <c r="AI905" s="11"/>
      <c r="AJ905" s="11" t="str">
        <f>VLOOKUP(L905,[1]rekap!D:M,1,FALSE)</f>
        <v>Kobari Jaya</v>
      </c>
      <c r="AK905" s="11" t="e">
        <f>VLOOKUP(L905,'[1]singkron data'!D:E,2,FALSE)</f>
        <v>#N/A</v>
      </c>
      <c r="AL905" s="11" t="str">
        <f>VLOOKUP(L905,'[1]update 521'!D:D,1,FALSE)</f>
        <v>Kobari Jaya</v>
      </c>
      <c r="AM905" s="11" t="e">
        <f>VLOOKUP(L905,[1]Sheet18!I:M,5,FALSE)</f>
        <v>#N/A</v>
      </c>
      <c r="AN905" s="11" t="e">
        <f>VLOOKUP(L905,[1]Sheet19!E:L,8,FALSE)</f>
        <v>#N/A</v>
      </c>
      <c r="AO905" s="11" t="e">
        <f>VLOOKUP(L905,[1]Sheet19!E:K,7,FALSE)</f>
        <v>#N/A</v>
      </c>
      <c r="AP905" s="12"/>
    </row>
    <row r="906" spans="1:42" ht="15" x14ac:dyDescent="0.2">
      <c r="A906" s="8" t="s">
        <v>2165</v>
      </c>
      <c r="B906" s="9" t="s">
        <v>43</v>
      </c>
      <c r="C906" s="9">
        <v>1104</v>
      </c>
      <c r="D906" s="9" t="s">
        <v>908</v>
      </c>
      <c r="E906" s="30"/>
      <c r="F906" s="9" t="s">
        <v>2211</v>
      </c>
      <c r="G906" s="9" t="s">
        <v>908</v>
      </c>
      <c r="H906" s="9" t="s">
        <v>911</v>
      </c>
      <c r="I906" s="9" t="s">
        <v>924</v>
      </c>
      <c r="J906" s="9" t="s">
        <v>2212</v>
      </c>
      <c r="K906" s="9" t="s">
        <v>1044</v>
      </c>
      <c r="L906" s="9" t="s">
        <v>1044</v>
      </c>
      <c r="M906" s="9" t="s">
        <v>51</v>
      </c>
      <c r="N906" s="9">
        <v>50</v>
      </c>
      <c r="O906" s="9" t="s">
        <v>72</v>
      </c>
      <c r="P906" s="9">
        <v>20</v>
      </c>
      <c r="Q906" s="9">
        <v>20</v>
      </c>
      <c r="R906" s="9">
        <v>0.62</v>
      </c>
      <c r="S906" s="9">
        <v>-0.67807229999999996</v>
      </c>
      <c r="T906" s="9">
        <v>135.61501509999999</v>
      </c>
      <c r="U906" s="9"/>
      <c r="V906" s="11" t="s">
        <v>694</v>
      </c>
      <c r="W906" s="11"/>
      <c r="X906" s="11"/>
      <c r="Y906" s="11" t="e">
        <f>VLOOKUP(L906,'[1]singkron data'!D:H,5,FALSE)</f>
        <v>#N/A</v>
      </c>
      <c r="Z906" s="11" t="e">
        <f>VLOOKUP(L906,'[1]singkron data'!D:I,6,FALSE)</f>
        <v>#N/A</v>
      </c>
      <c r="AA906" s="11" t="e">
        <f>VLOOKUP(L906,'[1]singkron data'!D:L,9,FALSE)</f>
        <v>#N/A</v>
      </c>
      <c r="AB906" s="11" t="s">
        <v>694</v>
      </c>
      <c r="AC906" s="11" t="e">
        <f>VLOOKUP(L906,'[1]singkron data'!D:M,10,FALSE)</f>
        <v>#N/A</v>
      </c>
      <c r="AD906" s="11"/>
      <c r="AE906" s="11" t="e">
        <f>VLOOKUP(L906,'[1]singkron data'!D:P,13,FALSE)</f>
        <v>#N/A</v>
      </c>
      <c r="AF906" s="11"/>
      <c r="AG906" s="11" t="e">
        <f>VLOOKUP(L906,'[1]update kontrak'!E:K,6,FALSE)</f>
        <v>#N/A</v>
      </c>
      <c r="AH906" s="11" t="e">
        <f>VLOOKUP(L906,'[1]update kontrak'!E:K,7,FALSE)</f>
        <v>#N/A</v>
      </c>
      <c r="AI906" s="11"/>
      <c r="AJ906" s="11" t="str">
        <f>VLOOKUP(L906,[1]rekap!D:M,1,FALSE)</f>
        <v>Warsa</v>
      </c>
      <c r="AK906" s="11" t="e">
        <f>VLOOKUP(L906,'[1]singkron data'!D:E,2,FALSE)</f>
        <v>#N/A</v>
      </c>
      <c r="AL906" s="11" t="str">
        <f>VLOOKUP(L906,'[1]update 521'!D:D,1,FALSE)</f>
        <v>Warsa</v>
      </c>
      <c r="AM906" s="11" t="e">
        <f>VLOOKUP(L906,[1]Sheet18!I:M,5,FALSE)</f>
        <v>#N/A</v>
      </c>
      <c r="AN906" s="11" t="e">
        <f>VLOOKUP(L906,[1]Sheet19!E:L,8,FALSE)</f>
        <v>#N/A</v>
      </c>
      <c r="AO906" s="11" t="e">
        <f>VLOOKUP(L906,[1]Sheet19!E:K,7,FALSE)</f>
        <v>#N/A</v>
      </c>
      <c r="AP906" s="12"/>
    </row>
    <row r="907" spans="1:42" ht="15" x14ac:dyDescent="0.2">
      <c r="A907" s="8" t="s">
        <v>2165</v>
      </c>
      <c r="B907" s="9" t="s">
        <v>43</v>
      </c>
      <c r="C907" s="9">
        <v>1105</v>
      </c>
      <c r="D907" s="9" t="s">
        <v>908</v>
      </c>
      <c r="E907" s="30"/>
      <c r="F907" s="9" t="s">
        <v>2211</v>
      </c>
      <c r="G907" s="9" t="s">
        <v>908</v>
      </c>
      <c r="H907" s="9" t="s">
        <v>911</v>
      </c>
      <c r="I907" s="9" t="s">
        <v>924</v>
      </c>
      <c r="J907" s="9" t="s">
        <v>2212</v>
      </c>
      <c r="K907" s="9" t="s">
        <v>2211</v>
      </c>
      <c r="L907" s="9" t="s">
        <v>2211</v>
      </c>
      <c r="M907" s="9" t="s">
        <v>65</v>
      </c>
      <c r="N907" s="9">
        <v>110</v>
      </c>
      <c r="O907" s="9">
        <v>100</v>
      </c>
      <c r="P907" s="9">
        <v>15</v>
      </c>
      <c r="Q907" s="9">
        <v>115</v>
      </c>
      <c r="R907" s="9">
        <v>0.14000000000000001</v>
      </c>
      <c r="S907" s="9">
        <v>-0.67397430000000003</v>
      </c>
      <c r="T907" s="9">
        <v>135.62906939999999</v>
      </c>
      <c r="U907" s="9"/>
      <c r="V907" s="11" t="s">
        <v>694</v>
      </c>
      <c r="W907" s="13">
        <f>VLOOKUP(L907,[1]Sheet18!I:N,6,FALSE)</f>
        <v>7654199000</v>
      </c>
      <c r="X907" s="11" t="s">
        <v>55</v>
      </c>
      <c r="Y907" s="11" t="e">
        <f>VLOOKUP(L907,'[1]singkron data'!D:H,5,FALSE)</f>
        <v>#N/A</v>
      </c>
      <c r="Z907" s="11" t="e">
        <f>VLOOKUP(L907,'[1]singkron data'!D:I,6,FALSE)</f>
        <v>#N/A</v>
      </c>
      <c r="AA907" s="11" t="e">
        <f>VLOOKUP(L907,'[1]singkron data'!D:L,9,FALSE)</f>
        <v>#N/A</v>
      </c>
      <c r="AB907" s="11" t="s">
        <v>694</v>
      </c>
      <c r="AC907" s="11" t="e">
        <f>VLOOKUP(L907,'[1]singkron data'!D:M,10,FALSE)</f>
        <v>#N/A</v>
      </c>
      <c r="AD907" s="11"/>
      <c r="AE907" s="11" t="e">
        <f>VLOOKUP(L907,'[1]singkron data'!D:P,13,FALSE)</f>
        <v>#N/A</v>
      </c>
      <c r="AF907" s="11" t="s">
        <v>55</v>
      </c>
      <c r="AG907" s="11" t="e">
        <f>VLOOKUP(L907,'[1]update kontrak'!E:K,6,FALSE)</f>
        <v>#N/A</v>
      </c>
      <c r="AH907" s="11" t="e">
        <f>VLOOKUP(L907,'[1]update kontrak'!E:K,7,FALSE)</f>
        <v>#N/A</v>
      </c>
      <c r="AI907" s="11"/>
      <c r="AJ907" s="11" t="str">
        <f>VLOOKUP(L907,[1]rekap!D:M,1,FALSE)</f>
        <v>Puweri</v>
      </c>
      <c r="AK907" s="11" t="e">
        <f>VLOOKUP(L907,'[1]singkron data'!D:E,2,FALSE)</f>
        <v>#N/A</v>
      </c>
      <c r="AL907" s="11" t="str">
        <f>VLOOKUP(L907,'[1]update 521'!D:D,1,FALSE)</f>
        <v>Puweri</v>
      </c>
      <c r="AM907" s="11" t="s">
        <v>57</v>
      </c>
      <c r="AN907" s="11" t="e">
        <f>VLOOKUP(L907,[1]Sheet19!E:L,8,FALSE)</f>
        <v>#N/A</v>
      </c>
      <c r="AO907" s="11" t="e">
        <f>VLOOKUP(L907,[1]Sheet19!E:K,7,FALSE)</f>
        <v>#N/A</v>
      </c>
      <c r="AP907" s="12"/>
    </row>
    <row r="908" spans="1:42" ht="15" x14ac:dyDescent="0.2">
      <c r="A908" s="8" t="s">
        <v>2165</v>
      </c>
      <c r="B908" s="9" t="s">
        <v>43</v>
      </c>
      <c r="C908" s="9">
        <v>1106</v>
      </c>
      <c r="D908" s="9" t="s">
        <v>908</v>
      </c>
      <c r="E908" s="30"/>
      <c r="F908" s="9" t="s">
        <v>2211</v>
      </c>
      <c r="G908" s="9" t="s">
        <v>908</v>
      </c>
      <c r="H908" s="9" t="s">
        <v>911</v>
      </c>
      <c r="I908" s="9" t="s">
        <v>924</v>
      </c>
      <c r="J908" s="9" t="s">
        <v>2214</v>
      </c>
      <c r="K908" s="9" t="s">
        <v>2215</v>
      </c>
      <c r="L908" s="9" t="s">
        <v>2215</v>
      </c>
      <c r="M908" s="9" t="s">
        <v>51</v>
      </c>
      <c r="N908" s="9">
        <v>100</v>
      </c>
      <c r="O908" s="9">
        <v>50</v>
      </c>
      <c r="P908" s="9">
        <v>29</v>
      </c>
      <c r="Q908" s="9">
        <v>79</v>
      </c>
      <c r="R908" s="9">
        <v>0.64</v>
      </c>
      <c r="S908" s="9">
        <v>-0.66574580000000005</v>
      </c>
      <c r="T908" s="9">
        <v>135.5927906</v>
      </c>
      <c r="U908" s="9"/>
      <c r="V908" s="11" t="s">
        <v>694</v>
      </c>
      <c r="W908" s="13">
        <f>VLOOKUP(L908,[1]Sheet18!I:N,6,FALSE)</f>
        <v>6390157000</v>
      </c>
      <c r="X908" s="11" t="s">
        <v>55</v>
      </c>
      <c r="Y908" s="11" t="e">
        <f>VLOOKUP(L908,'[1]singkron data'!D:H,5,FALSE)</f>
        <v>#N/A</v>
      </c>
      <c r="Z908" s="11" t="e">
        <f>VLOOKUP(L908,'[1]singkron data'!D:I,6,FALSE)</f>
        <v>#N/A</v>
      </c>
      <c r="AA908" s="11" t="e">
        <f>VLOOKUP(L908,'[1]singkron data'!D:L,9,FALSE)</f>
        <v>#N/A</v>
      </c>
      <c r="AB908" s="11" t="s">
        <v>694</v>
      </c>
      <c r="AC908" s="11" t="e">
        <f>VLOOKUP(L908,'[1]singkron data'!D:M,10,FALSE)</f>
        <v>#N/A</v>
      </c>
      <c r="AD908" s="11"/>
      <c r="AE908" s="11" t="e">
        <f>VLOOKUP(L908,'[1]singkron data'!D:P,13,FALSE)</f>
        <v>#N/A</v>
      </c>
      <c r="AF908" s="11" t="s">
        <v>55</v>
      </c>
      <c r="AG908" s="11" t="e">
        <f>VLOOKUP(L908,'[1]update kontrak'!E:K,6,FALSE)</f>
        <v>#N/A</v>
      </c>
      <c r="AH908" s="11" t="e">
        <f>VLOOKUP(L908,'[1]update kontrak'!E:K,7,FALSE)</f>
        <v>#N/A</v>
      </c>
      <c r="AI908" s="11"/>
      <c r="AJ908" s="11" t="str">
        <f>VLOOKUP(L908,[1]rekap!D:M,1,FALSE)</f>
        <v>Waryei</v>
      </c>
      <c r="AK908" s="11" t="e">
        <f>VLOOKUP(L908,'[1]singkron data'!D:E,2,FALSE)</f>
        <v>#N/A</v>
      </c>
      <c r="AL908" s="11" t="str">
        <f>VLOOKUP(L908,'[1]update 521'!D:D,1,FALSE)</f>
        <v>Waryei</v>
      </c>
      <c r="AM908" s="11" t="s">
        <v>57</v>
      </c>
      <c r="AN908" s="11" t="e">
        <f>VLOOKUP(L908,[1]Sheet19!E:L,8,FALSE)</f>
        <v>#N/A</v>
      </c>
      <c r="AO908" s="11" t="e">
        <f>VLOOKUP(L908,[1]Sheet19!E:K,7,FALSE)</f>
        <v>#N/A</v>
      </c>
      <c r="AP908" s="12"/>
    </row>
    <row r="909" spans="1:42" ht="15" x14ac:dyDescent="0.2">
      <c r="A909" s="8" t="s">
        <v>2165</v>
      </c>
      <c r="B909" s="9" t="s">
        <v>43</v>
      </c>
      <c r="C909" s="9">
        <v>1107</v>
      </c>
      <c r="D909" s="9" t="s">
        <v>908</v>
      </c>
      <c r="E909" s="30"/>
      <c r="F909" s="9" t="s">
        <v>2211</v>
      </c>
      <c r="G909" s="9" t="s">
        <v>908</v>
      </c>
      <c r="H909" s="9" t="s">
        <v>911</v>
      </c>
      <c r="I909" s="9" t="s">
        <v>924</v>
      </c>
      <c r="J909" s="9" t="s">
        <v>2214</v>
      </c>
      <c r="K909" s="9" t="s">
        <v>2216</v>
      </c>
      <c r="L909" s="9" t="s">
        <v>2216</v>
      </c>
      <c r="M909" s="9" t="s">
        <v>51</v>
      </c>
      <c r="N909" s="9">
        <v>30</v>
      </c>
      <c r="O909" s="9">
        <v>30</v>
      </c>
      <c r="P909" s="9">
        <v>8</v>
      </c>
      <c r="Q909" s="9">
        <v>38</v>
      </c>
      <c r="R909" s="9">
        <v>0.26</v>
      </c>
      <c r="S909" s="9">
        <v>-0.66516240000000004</v>
      </c>
      <c r="T909" s="9">
        <v>135.54592160000001</v>
      </c>
      <c r="U909" s="9"/>
      <c r="V909" s="11" t="s">
        <v>694</v>
      </c>
      <c r="W909" s="11"/>
      <c r="X909" s="11"/>
      <c r="Y909" s="11" t="e">
        <f>VLOOKUP(L909,'[1]singkron data'!D:H,5,FALSE)</f>
        <v>#N/A</v>
      </c>
      <c r="Z909" s="11" t="e">
        <f>VLOOKUP(L909,'[1]singkron data'!D:I,6,FALSE)</f>
        <v>#N/A</v>
      </c>
      <c r="AA909" s="11" t="e">
        <f>VLOOKUP(L909,'[1]singkron data'!D:L,9,FALSE)</f>
        <v>#N/A</v>
      </c>
      <c r="AB909" s="11" t="s">
        <v>694</v>
      </c>
      <c r="AC909" s="11" t="e">
        <f>VLOOKUP(L909,'[1]singkron data'!D:M,10,FALSE)</f>
        <v>#N/A</v>
      </c>
      <c r="AD909" s="11"/>
      <c r="AE909" s="11" t="e">
        <f>VLOOKUP(L909,'[1]singkron data'!D:P,13,FALSE)</f>
        <v>#N/A</v>
      </c>
      <c r="AF909" s="11"/>
      <c r="AG909" s="11" t="e">
        <f>VLOOKUP(L909,'[1]update kontrak'!E:K,6,FALSE)</f>
        <v>#N/A</v>
      </c>
      <c r="AH909" s="11" t="e">
        <f>VLOOKUP(L909,'[1]update kontrak'!E:K,7,FALSE)</f>
        <v>#N/A</v>
      </c>
      <c r="AI909" s="11"/>
      <c r="AJ909" s="11" t="str">
        <f>VLOOKUP(L909,[1]rekap!D:M,1,FALSE)</f>
        <v>Wayori</v>
      </c>
      <c r="AK909" s="11" t="e">
        <f>VLOOKUP(L909,'[1]singkron data'!D:E,2,FALSE)</f>
        <v>#N/A</v>
      </c>
      <c r="AL909" s="11" t="str">
        <f>VLOOKUP(L909,'[1]update 521'!D:D,1,FALSE)</f>
        <v>Wayori</v>
      </c>
      <c r="AM909" s="11" t="e">
        <f>VLOOKUP(L909,[1]Sheet18!I:M,5,FALSE)</f>
        <v>#N/A</v>
      </c>
      <c r="AN909" s="11" t="e">
        <f>VLOOKUP(L909,[1]Sheet19!E:L,8,FALSE)</f>
        <v>#N/A</v>
      </c>
      <c r="AO909" s="11" t="e">
        <f>VLOOKUP(L909,[1]Sheet19!E:K,7,FALSE)</f>
        <v>#N/A</v>
      </c>
      <c r="AP909" s="12"/>
    </row>
    <row r="910" spans="1:42" ht="15" x14ac:dyDescent="0.2">
      <c r="A910" s="8" t="s">
        <v>2165</v>
      </c>
      <c r="B910" s="9" t="s">
        <v>43</v>
      </c>
      <c r="C910" s="9">
        <v>1108</v>
      </c>
      <c r="D910" s="9" t="s">
        <v>908</v>
      </c>
      <c r="E910" s="30"/>
      <c r="F910" s="9" t="s">
        <v>2211</v>
      </c>
      <c r="G910" s="9" t="s">
        <v>908</v>
      </c>
      <c r="H910" s="9" t="s">
        <v>911</v>
      </c>
      <c r="I910" s="9" t="s">
        <v>924</v>
      </c>
      <c r="J910" s="9" t="s">
        <v>2212</v>
      </c>
      <c r="K910" s="9" t="s">
        <v>2217</v>
      </c>
      <c r="L910" s="9" t="s">
        <v>2217</v>
      </c>
      <c r="M910" s="9" t="s">
        <v>51</v>
      </c>
      <c r="N910" s="9">
        <v>32</v>
      </c>
      <c r="O910" s="9">
        <v>14</v>
      </c>
      <c r="P910" s="9">
        <v>18</v>
      </c>
      <c r="Q910" s="9">
        <v>32</v>
      </c>
      <c r="R910" s="9">
        <v>0.11</v>
      </c>
      <c r="S910" s="9">
        <v>-0.66273190000000004</v>
      </c>
      <c r="T910" s="9">
        <v>135.63986919999999</v>
      </c>
      <c r="U910" s="9"/>
      <c r="V910" s="11" t="s">
        <v>694</v>
      </c>
      <c r="W910" s="11"/>
      <c r="X910" s="11"/>
      <c r="Y910" s="11" t="e">
        <f>VLOOKUP(L910,'[1]singkron data'!D:H,5,FALSE)</f>
        <v>#N/A</v>
      </c>
      <c r="Z910" s="11" t="e">
        <f>VLOOKUP(L910,'[1]singkron data'!D:I,6,FALSE)</f>
        <v>#N/A</v>
      </c>
      <c r="AA910" s="11" t="e">
        <f>VLOOKUP(L910,'[1]singkron data'!D:L,9,FALSE)</f>
        <v>#N/A</v>
      </c>
      <c r="AB910" s="11" t="s">
        <v>694</v>
      </c>
      <c r="AC910" s="11" t="e">
        <f>VLOOKUP(L910,'[1]singkron data'!D:M,10,FALSE)</f>
        <v>#N/A</v>
      </c>
      <c r="AD910" s="11"/>
      <c r="AE910" s="11" t="e">
        <f>VLOOKUP(L910,'[1]singkron data'!D:P,13,FALSE)</f>
        <v>#N/A</v>
      </c>
      <c r="AF910" s="11"/>
      <c r="AG910" s="11" t="e">
        <f>VLOOKUP(L910,'[1]update kontrak'!E:K,6,FALSE)</f>
        <v>#N/A</v>
      </c>
      <c r="AH910" s="11" t="e">
        <f>VLOOKUP(L910,'[1]update kontrak'!E:K,7,FALSE)</f>
        <v>#N/A</v>
      </c>
      <c r="AI910" s="11"/>
      <c r="AJ910" s="11" t="str">
        <f>VLOOKUP(L910,[1]rekap!D:M,1,FALSE)</f>
        <v>Warbor</v>
      </c>
      <c r="AK910" s="11" t="e">
        <f>VLOOKUP(L910,'[1]singkron data'!D:E,2,FALSE)</f>
        <v>#N/A</v>
      </c>
      <c r="AL910" s="11" t="str">
        <f>VLOOKUP(L910,'[1]update 521'!D:D,1,FALSE)</f>
        <v>Warbor</v>
      </c>
      <c r="AM910" s="11" t="e">
        <f>VLOOKUP(L910,[1]Sheet18!I:M,5,FALSE)</f>
        <v>#N/A</v>
      </c>
      <c r="AN910" s="11" t="e">
        <f>VLOOKUP(L910,[1]Sheet19!E:L,8,FALSE)</f>
        <v>#N/A</v>
      </c>
      <c r="AO910" s="11" t="e">
        <f>VLOOKUP(L910,[1]Sheet19!E:K,7,FALSE)</f>
        <v>#N/A</v>
      </c>
      <c r="AP910" s="12"/>
    </row>
    <row r="911" spans="1:42" ht="15" x14ac:dyDescent="0.2">
      <c r="A911" s="8" t="s">
        <v>2165</v>
      </c>
      <c r="B911" s="9" t="s">
        <v>43</v>
      </c>
      <c r="C911" s="9">
        <v>1109</v>
      </c>
      <c r="D911" s="9" t="s">
        <v>908</v>
      </c>
      <c r="E911" s="30"/>
      <c r="F911" s="9" t="s">
        <v>2211</v>
      </c>
      <c r="G911" s="9" t="s">
        <v>908</v>
      </c>
      <c r="H911" s="9" t="s">
        <v>911</v>
      </c>
      <c r="I911" s="9" t="s">
        <v>924</v>
      </c>
      <c r="J911" s="9" t="s">
        <v>2214</v>
      </c>
      <c r="K911" s="9" t="s">
        <v>2218</v>
      </c>
      <c r="L911" s="9" t="s">
        <v>2218</v>
      </c>
      <c r="M911" s="9" t="s">
        <v>51</v>
      </c>
      <c r="N911" s="9">
        <v>100</v>
      </c>
      <c r="O911" s="9">
        <v>20</v>
      </c>
      <c r="P911" s="9">
        <v>9</v>
      </c>
      <c r="Q911" s="9">
        <v>29</v>
      </c>
      <c r="R911" s="9">
        <v>1.64</v>
      </c>
      <c r="S911" s="9">
        <v>-0.66249930000000001</v>
      </c>
      <c r="T911" s="9">
        <v>135.56535640000001</v>
      </c>
      <c r="U911" s="9"/>
      <c r="V911" s="11" t="s">
        <v>694</v>
      </c>
      <c r="W911" s="11"/>
      <c r="X911" s="11"/>
      <c r="Y911" s="11" t="e">
        <f>VLOOKUP(L911,'[1]singkron data'!D:H,5,FALSE)</f>
        <v>#N/A</v>
      </c>
      <c r="Z911" s="11" t="e">
        <f>VLOOKUP(L911,'[1]singkron data'!D:I,6,FALSE)</f>
        <v>#N/A</v>
      </c>
      <c r="AA911" s="11" t="e">
        <f>VLOOKUP(L911,'[1]singkron data'!D:L,9,FALSE)</f>
        <v>#N/A</v>
      </c>
      <c r="AB911" s="11" t="s">
        <v>694</v>
      </c>
      <c r="AC911" s="11" t="e">
        <f>VLOOKUP(L911,'[1]singkron data'!D:M,10,FALSE)</f>
        <v>#N/A</v>
      </c>
      <c r="AD911" s="11"/>
      <c r="AE911" s="11" t="e">
        <f>VLOOKUP(L911,'[1]singkron data'!D:P,13,FALSE)</f>
        <v>#N/A</v>
      </c>
      <c r="AF911" s="11"/>
      <c r="AG911" s="11" t="e">
        <f>VLOOKUP(L911,'[1]update kontrak'!E:K,6,FALSE)</f>
        <v>#N/A</v>
      </c>
      <c r="AH911" s="11" t="e">
        <f>VLOOKUP(L911,'[1]update kontrak'!E:K,7,FALSE)</f>
        <v>#N/A</v>
      </c>
      <c r="AI911" s="11"/>
      <c r="AJ911" s="11" t="str">
        <f>VLOOKUP(L911,[1]rekap!D:M,1,FALSE)</f>
        <v>Koiryakam</v>
      </c>
      <c r="AK911" s="11" t="e">
        <f>VLOOKUP(L911,'[1]singkron data'!D:E,2,FALSE)</f>
        <v>#N/A</v>
      </c>
      <c r="AL911" s="11" t="str">
        <f>VLOOKUP(L911,'[1]update 521'!D:D,1,FALSE)</f>
        <v>Koiryakam</v>
      </c>
      <c r="AM911" s="11" t="e">
        <f>VLOOKUP(L911,[1]Sheet18!I:M,5,FALSE)</f>
        <v>#N/A</v>
      </c>
      <c r="AN911" s="11" t="e">
        <f>VLOOKUP(L911,[1]Sheet19!E:L,8,FALSE)</f>
        <v>#N/A</v>
      </c>
      <c r="AO911" s="11" t="e">
        <f>VLOOKUP(L911,[1]Sheet19!E:K,7,FALSE)</f>
        <v>#N/A</v>
      </c>
      <c r="AP911" s="12"/>
    </row>
    <row r="912" spans="1:42" ht="15" x14ac:dyDescent="0.2">
      <c r="A912" s="8" t="s">
        <v>2165</v>
      </c>
      <c r="B912" s="9" t="s">
        <v>43</v>
      </c>
      <c r="C912" s="9">
        <v>1110</v>
      </c>
      <c r="D912" s="9" t="s">
        <v>908</v>
      </c>
      <c r="E912" s="30"/>
      <c r="F912" s="9" t="s">
        <v>2211</v>
      </c>
      <c r="G912" s="9" t="s">
        <v>908</v>
      </c>
      <c r="H912" s="9" t="s">
        <v>911</v>
      </c>
      <c r="I912" s="9" t="s">
        <v>924</v>
      </c>
      <c r="J912" s="9" t="s">
        <v>2214</v>
      </c>
      <c r="K912" s="9" t="s">
        <v>2219</v>
      </c>
      <c r="L912" s="9" t="s">
        <v>2219</v>
      </c>
      <c r="M912" s="9" t="s">
        <v>51</v>
      </c>
      <c r="N912" s="9">
        <v>60</v>
      </c>
      <c r="O912" s="9">
        <v>15</v>
      </c>
      <c r="P912" s="9">
        <v>20</v>
      </c>
      <c r="Q912" s="9">
        <v>35</v>
      </c>
      <c r="R912" s="9">
        <v>0.11</v>
      </c>
      <c r="S912" s="9">
        <v>-0.65743949999999995</v>
      </c>
      <c r="T912" s="9">
        <v>135.49006800000001</v>
      </c>
      <c r="U912" s="9"/>
      <c r="V912" s="11" t="s">
        <v>694</v>
      </c>
      <c r="W912" s="11"/>
      <c r="X912" s="11"/>
      <c r="Y912" s="11" t="e">
        <f>VLOOKUP(L912,'[1]singkron data'!D:H,5,FALSE)</f>
        <v>#N/A</v>
      </c>
      <c r="Z912" s="11" t="e">
        <f>VLOOKUP(L912,'[1]singkron data'!D:I,6,FALSE)</f>
        <v>#N/A</v>
      </c>
      <c r="AA912" s="11" t="e">
        <f>VLOOKUP(L912,'[1]singkron data'!D:L,9,FALSE)</f>
        <v>#N/A</v>
      </c>
      <c r="AB912" s="11" t="s">
        <v>694</v>
      </c>
      <c r="AC912" s="11" t="e">
        <f>VLOOKUP(L912,'[1]singkron data'!D:M,10,FALSE)</f>
        <v>#N/A</v>
      </c>
      <c r="AD912" s="11"/>
      <c r="AE912" s="11" t="e">
        <f>VLOOKUP(L912,'[1]singkron data'!D:P,13,FALSE)</f>
        <v>#N/A</v>
      </c>
      <c r="AF912" s="11"/>
      <c r="AG912" s="11" t="e">
        <f>VLOOKUP(L912,'[1]update kontrak'!E:K,6,FALSE)</f>
        <v>#N/A</v>
      </c>
      <c r="AH912" s="11" t="e">
        <f>VLOOKUP(L912,'[1]update kontrak'!E:K,7,FALSE)</f>
        <v>#N/A</v>
      </c>
      <c r="AI912" s="11"/>
      <c r="AJ912" s="11" t="str">
        <f>VLOOKUP(L912,[1]rekap!D:M,1,FALSE)</f>
        <v>Amyas</v>
      </c>
      <c r="AK912" s="11" t="e">
        <f>VLOOKUP(L912,'[1]singkron data'!D:E,2,FALSE)</f>
        <v>#N/A</v>
      </c>
      <c r="AL912" s="11" t="str">
        <f>VLOOKUP(L912,'[1]update 521'!D:D,1,FALSE)</f>
        <v>Amyas</v>
      </c>
      <c r="AM912" s="11" t="e">
        <f>VLOOKUP(L912,[1]Sheet18!I:M,5,FALSE)</f>
        <v>#N/A</v>
      </c>
      <c r="AN912" s="11" t="e">
        <f>VLOOKUP(L912,[1]Sheet19!E:L,8,FALSE)</f>
        <v>#N/A</v>
      </c>
      <c r="AO912" s="11" t="e">
        <f>VLOOKUP(L912,[1]Sheet19!E:K,7,FALSE)</f>
        <v>#N/A</v>
      </c>
      <c r="AP912" s="12"/>
    </row>
    <row r="913" spans="1:42" ht="15" x14ac:dyDescent="0.2">
      <c r="A913" s="8" t="s">
        <v>2165</v>
      </c>
      <c r="B913" s="9" t="s">
        <v>43</v>
      </c>
      <c r="C913" s="9">
        <v>1113</v>
      </c>
      <c r="D913" s="9" t="s">
        <v>908</v>
      </c>
      <c r="E913" s="30"/>
      <c r="F913" s="9" t="s">
        <v>956</v>
      </c>
      <c r="G913" s="9" t="s">
        <v>908</v>
      </c>
      <c r="H913" s="9" t="s">
        <v>911</v>
      </c>
      <c r="I913" s="9" t="s">
        <v>957</v>
      </c>
      <c r="J913" s="9" t="s">
        <v>2220</v>
      </c>
      <c r="K913" s="9" t="s">
        <v>2221</v>
      </c>
      <c r="L913" s="9" t="s">
        <v>2221</v>
      </c>
      <c r="M913" s="9" t="s">
        <v>51</v>
      </c>
      <c r="N913" s="9">
        <v>230</v>
      </c>
      <c r="O913" s="9">
        <v>44</v>
      </c>
      <c r="P913" s="9">
        <v>2</v>
      </c>
      <c r="Q913" s="9">
        <v>46</v>
      </c>
      <c r="R913" s="9">
        <v>1</v>
      </c>
      <c r="S913" s="9">
        <v>-2.3784109999999998</v>
      </c>
      <c r="T913" s="9">
        <v>139.799847</v>
      </c>
      <c r="U913" s="9"/>
      <c r="V913" s="11" t="s">
        <v>694</v>
      </c>
      <c r="W913" s="11"/>
      <c r="X913" s="11"/>
      <c r="Y913" s="11" t="e">
        <f>VLOOKUP(L913,'[1]singkron data'!D:H,5,FALSE)</f>
        <v>#N/A</v>
      </c>
      <c r="Z913" s="11" t="e">
        <f>VLOOKUP(L913,'[1]singkron data'!D:I,6,FALSE)</f>
        <v>#N/A</v>
      </c>
      <c r="AA913" s="11" t="e">
        <f>VLOOKUP(L913,'[1]singkron data'!D:L,9,FALSE)</f>
        <v>#N/A</v>
      </c>
      <c r="AB913" s="11" t="s">
        <v>694</v>
      </c>
      <c r="AC913" s="11" t="e">
        <f>VLOOKUP(L913,'[1]singkron data'!D:M,10,FALSE)</f>
        <v>#N/A</v>
      </c>
      <c r="AD913" s="11"/>
      <c r="AE913" s="11" t="e">
        <f>VLOOKUP(L913,'[1]singkron data'!D:P,13,FALSE)</f>
        <v>#N/A</v>
      </c>
      <c r="AF913" s="11"/>
      <c r="AG913" s="11" t="e">
        <f>VLOOKUP(L913,'[1]update kontrak'!E:K,6,FALSE)</f>
        <v>#N/A</v>
      </c>
      <c r="AH913" s="11" t="e">
        <f>VLOOKUP(L913,'[1]update kontrak'!E:K,7,FALSE)</f>
        <v>#N/A</v>
      </c>
      <c r="AI913" s="11"/>
      <c r="AJ913" s="11" t="str">
        <f>VLOOKUP(L913,[1]rekap!D:M,1,FALSE)</f>
        <v>Kapitiau</v>
      </c>
      <c r="AK913" s="11" t="e">
        <f>VLOOKUP(L913,'[1]singkron data'!D:E,2,FALSE)</f>
        <v>#N/A</v>
      </c>
      <c r="AL913" s="11" t="str">
        <f>VLOOKUP(L913,'[1]update 521'!D:D,1,FALSE)</f>
        <v>Kapitiau</v>
      </c>
      <c r="AM913" s="11" t="e">
        <f>VLOOKUP(L913,[1]Sheet18!I:M,5,FALSE)</f>
        <v>#N/A</v>
      </c>
      <c r="AN913" s="11" t="e">
        <f>VLOOKUP(L913,[1]Sheet19!E:L,8,FALSE)</f>
        <v>#N/A</v>
      </c>
      <c r="AO913" s="11" t="e">
        <f>VLOOKUP(L913,[1]Sheet19!E:K,7,FALSE)</f>
        <v>#N/A</v>
      </c>
      <c r="AP913" s="12"/>
    </row>
    <row r="914" spans="1:42" ht="15" x14ac:dyDescent="0.2">
      <c r="A914" s="8" t="s">
        <v>2165</v>
      </c>
      <c r="B914" s="9" t="s">
        <v>43</v>
      </c>
      <c r="C914" s="9">
        <v>1127</v>
      </c>
      <c r="D914" s="9" t="s">
        <v>908</v>
      </c>
      <c r="E914" s="30"/>
      <c r="F914" s="9" t="s">
        <v>1040</v>
      </c>
      <c r="G914" s="9" t="s">
        <v>908</v>
      </c>
      <c r="H914" s="9" t="s">
        <v>911</v>
      </c>
      <c r="I914" s="9" t="s">
        <v>1014</v>
      </c>
      <c r="J914" s="9" t="s">
        <v>1044</v>
      </c>
      <c r="K914" s="9" t="s">
        <v>2222</v>
      </c>
      <c r="L914" s="9" t="s">
        <v>2222</v>
      </c>
      <c r="M914" s="9" t="s">
        <v>51</v>
      </c>
      <c r="N914" s="9">
        <v>22</v>
      </c>
      <c r="O914" s="9">
        <v>6</v>
      </c>
      <c r="P914" s="9">
        <v>4</v>
      </c>
      <c r="Q914" s="9">
        <v>10</v>
      </c>
      <c r="R914" s="9">
        <v>0.17499999999999999</v>
      </c>
      <c r="S914" s="9">
        <v>-0.79710999999999999</v>
      </c>
      <c r="T914" s="9">
        <v>135.949557</v>
      </c>
      <c r="U914" s="9"/>
      <c r="V914" s="11" t="s">
        <v>694</v>
      </c>
      <c r="W914" s="11"/>
      <c r="X914" s="11"/>
      <c r="Y914" s="11" t="e">
        <f>VLOOKUP(L914,'[1]singkron data'!D:H,5,FALSE)</f>
        <v>#N/A</v>
      </c>
      <c r="Z914" s="11" t="e">
        <f>VLOOKUP(L914,'[1]singkron data'!D:I,6,FALSE)</f>
        <v>#N/A</v>
      </c>
      <c r="AA914" s="11" t="e">
        <f>VLOOKUP(L914,'[1]singkron data'!D:L,9,FALSE)</f>
        <v>#N/A</v>
      </c>
      <c r="AB914" s="11" t="s">
        <v>694</v>
      </c>
      <c r="AC914" s="11" t="e">
        <f>VLOOKUP(L914,'[1]singkron data'!D:M,10,FALSE)</f>
        <v>#N/A</v>
      </c>
      <c r="AD914" s="11"/>
      <c r="AE914" s="11" t="e">
        <f>VLOOKUP(L914,'[1]singkron data'!D:P,13,FALSE)</f>
        <v>#N/A</v>
      </c>
      <c r="AF914" s="11" t="s">
        <v>55</v>
      </c>
      <c r="AG914" s="11" t="e">
        <f>VLOOKUP(L914,'[1]update kontrak'!E:K,6,FALSE)</f>
        <v>#N/A</v>
      </c>
      <c r="AH914" s="11" t="e">
        <f>VLOOKUP(L914,'[1]update kontrak'!E:K,7,FALSE)</f>
        <v>#N/A</v>
      </c>
      <c r="AI914" s="11"/>
      <c r="AJ914" s="11" t="str">
        <f>VLOOKUP(L914,[1]rekap!D:M,1,FALSE)</f>
        <v>Biawer</v>
      </c>
      <c r="AK914" s="11" t="e">
        <f>VLOOKUP(L914,'[1]singkron data'!D:E,2,FALSE)</f>
        <v>#N/A</v>
      </c>
      <c r="AL914" s="11" t="str">
        <f>VLOOKUP(L914,'[1]update 521'!D:D,1,FALSE)</f>
        <v>Biawer</v>
      </c>
      <c r="AM914" s="11" t="e">
        <f>VLOOKUP(L914,[1]Sheet18!I:M,5,FALSE)</f>
        <v>#N/A</v>
      </c>
      <c r="AN914" s="11" t="e">
        <f>VLOOKUP(L914,[1]Sheet19!E:L,8,FALSE)</f>
        <v>#N/A</v>
      </c>
      <c r="AO914" s="11" t="e">
        <f>VLOOKUP(L914,[1]Sheet19!E:K,7,FALSE)</f>
        <v>#N/A</v>
      </c>
      <c r="AP914" s="12"/>
    </row>
    <row r="915" spans="1:42" ht="15" x14ac:dyDescent="0.2">
      <c r="A915" s="8" t="s">
        <v>2165</v>
      </c>
      <c r="B915" s="9" t="s">
        <v>60</v>
      </c>
      <c r="C915" s="9">
        <v>1111</v>
      </c>
      <c r="D915" s="9" t="s">
        <v>908</v>
      </c>
      <c r="E915" s="30"/>
      <c r="F915" s="9" t="s">
        <v>2168</v>
      </c>
      <c r="G915" s="9" t="s">
        <v>910</v>
      </c>
      <c r="H915" s="9" t="s">
        <v>911</v>
      </c>
      <c r="I915" s="9" t="s">
        <v>2169</v>
      </c>
      <c r="J915" s="9" t="s">
        <v>1046</v>
      </c>
      <c r="K915" s="9" t="s">
        <v>2223</v>
      </c>
      <c r="L915" s="9" t="s">
        <v>2223</v>
      </c>
      <c r="M915" s="9" t="s">
        <v>51</v>
      </c>
      <c r="N915" s="9">
        <v>65</v>
      </c>
      <c r="O915" s="9">
        <v>50</v>
      </c>
      <c r="P915" s="9">
        <v>24</v>
      </c>
      <c r="Q915" s="9">
        <v>74</v>
      </c>
      <c r="R915" s="9">
        <v>0.25</v>
      </c>
      <c r="S915" s="9">
        <v>-2.545715</v>
      </c>
      <c r="T915" s="9">
        <v>134.37003300000001</v>
      </c>
      <c r="U915" s="9"/>
      <c r="V915" s="11" t="s">
        <v>694</v>
      </c>
      <c r="W915" s="11"/>
      <c r="X915" s="11"/>
      <c r="Y915" s="11" t="e">
        <f>VLOOKUP(L915,'[1]singkron data'!D:H,5,FALSE)</f>
        <v>#N/A</v>
      </c>
      <c r="Z915" s="11" t="e">
        <f>VLOOKUP(L915,'[1]singkron data'!D:I,6,FALSE)</f>
        <v>#N/A</v>
      </c>
      <c r="AA915" s="11" t="e">
        <f>VLOOKUP(L915,'[1]singkron data'!D:L,9,FALSE)</f>
        <v>#N/A</v>
      </c>
      <c r="AB915" s="11" t="s">
        <v>694</v>
      </c>
      <c r="AC915" s="11" t="e">
        <f>VLOOKUP(L915,'[1]singkron data'!D:M,10,FALSE)</f>
        <v>#N/A</v>
      </c>
      <c r="AD915" s="11"/>
      <c r="AE915" s="11" t="e">
        <f>VLOOKUP(L915,'[1]singkron data'!D:P,13,FALSE)</f>
        <v>#N/A</v>
      </c>
      <c r="AF915" s="11"/>
      <c r="AG915" s="11" t="e">
        <f>VLOOKUP(L915,'[1]update kontrak'!E:K,6,FALSE)</f>
        <v>#N/A</v>
      </c>
      <c r="AH915" s="11" t="e">
        <f>VLOOKUP(L915,'[1]update kontrak'!E:K,7,FALSE)</f>
        <v>#N/A</v>
      </c>
      <c r="AI915" s="11"/>
      <c r="AJ915" s="11" t="str">
        <f>VLOOKUP(L915,[1]rekap!D:M,1,FALSE)</f>
        <v>Yopmeos</v>
      </c>
      <c r="AK915" s="11" t="e">
        <f>VLOOKUP(L915,'[1]singkron data'!D:E,2,FALSE)</f>
        <v>#N/A</v>
      </c>
      <c r="AL915" s="11" t="str">
        <f>VLOOKUP(L915,'[1]update 521'!D:D,1,FALSE)</f>
        <v>Yopmeos</v>
      </c>
      <c r="AM915" s="11" t="e">
        <f>VLOOKUP(L915,[1]Sheet18!I:M,5,FALSE)</f>
        <v>#N/A</v>
      </c>
      <c r="AN915" s="11" t="e">
        <f>VLOOKUP(L915,[1]Sheet19!E:L,8,FALSE)</f>
        <v>#N/A</v>
      </c>
      <c r="AO915" s="11" t="e">
        <f>VLOOKUP(L915,[1]Sheet19!E:K,7,FALSE)</f>
        <v>#N/A</v>
      </c>
      <c r="AP915" s="12"/>
    </row>
    <row r="916" spans="1:42" ht="15" x14ac:dyDescent="0.2">
      <c r="A916" s="8" t="s">
        <v>2165</v>
      </c>
      <c r="B916" s="9" t="s">
        <v>60</v>
      </c>
      <c r="C916" s="9">
        <v>1112</v>
      </c>
      <c r="D916" s="9" t="s">
        <v>908</v>
      </c>
      <c r="E916" s="30"/>
      <c r="F916" s="9" t="s">
        <v>2168</v>
      </c>
      <c r="G916" s="9" t="s">
        <v>910</v>
      </c>
      <c r="H916" s="9" t="s">
        <v>911</v>
      </c>
      <c r="I916" s="9" t="s">
        <v>2169</v>
      </c>
      <c r="J916" s="9" t="s">
        <v>2170</v>
      </c>
      <c r="K916" s="9" t="s">
        <v>2224</v>
      </c>
      <c r="L916" s="9" t="s">
        <v>2224</v>
      </c>
      <c r="M916" s="9" t="s">
        <v>51</v>
      </c>
      <c r="N916" s="9">
        <v>32</v>
      </c>
      <c r="O916" s="9">
        <v>15</v>
      </c>
      <c r="P916" s="9">
        <v>10</v>
      </c>
      <c r="Q916" s="9">
        <v>25</v>
      </c>
      <c r="R916" s="9">
        <v>1</v>
      </c>
      <c r="S916" s="9">
        <v>-2.6553810000000002</v>
      </c>
      <c r="T916" s="9">
        <v>134.494283</v>
      </c>
      <c r="U916" s="9"/>
      <c r="V916" s="11" t="s">
        <v>694</v>
      </c>
      <c r="W916" s="11"/>
      <c r="X916" s="11"/>
      <c r="Y916" s="11" t="e">
        <f>VLOOKUP(L916,'[1]singkron data'!D:H,5,FALSE)</f>
        <v>#N/A</v>
      </c>
      <c r="Z916" s="11" t="e">
        <f>VLOOKUP(L916,'[1]singkron data'!D:I,6,FALSE)</f>
        <v>#N/A</v>
      </c>
      <c r="AA916" s="11" t="e">
        <f>VLOOKUP(L916,'[1]singkron data'!D:L,9,FALSE)</f>
        <v>#N/A</v>
      </c>
      <c r="AB916" s="11" t="s">
        <v>694</v>
      </c>
      <c r="AC916" s="11" t="e">
        <f>VLOOKUP(L916,'[1]singkron data'!D:M,10,FALSE)</f>
        <v>#N/A</v>
      </c>
      <c r="AD916" s="11"/>
      <c r="AE916" s="11" t="e">
        <f>VLOOKUP(L916,'[1]singkron data'!D:P,13,FALSE)</f>
        <v>#N/A</v>
      </c>
      <c r="AF916" s="11"/>
      <c r="AG916" s="11" t="e">
        <f>VLOOKUP(L916,'[1]update kontrak'!E:K,6,FALSE)</f>
        <v>#N/A</v>
      </c>
      <c r="AH916" s="11" t="e">
        <f>VLOOKUP(L916,'[1]update kontrak'!E:K,7,FALSE)</f>
        <v>#N/A</v>
      </c>
      <c r="AI916" s="11"/>
      <c r="AJ916" s="11" t="str">
        <f>VLOOKUP(L916,[1]rekap!D:M,1,FALSE)</f>
        <v>Dotir</v>
      </c>
      <c r="AK916" s="11" t="e">
        <f>VLOOKUP(L916,'[1]singkron data'!D:E,2,FALSE)</f>
        <v>#N/A</v>
      </c>
      <c r="AL916" s="11" t="str">
        <f>VLOOKUP(L916,'[1]update 521'!D:D,1,FALSE)</f>
        <v>Dotir</v>
      </c>
      <c r="AM916" s="11" t="e">
        <f>VLOOKUP(L916,[1]Sheet18!I:M,5,FALSE)</f>
        <v>#N/A</v>
      </c>
      <c r="AN916" s="11" t="e">
        <f>VLOOKUP(L916,[1]Sheet19!E:L,8,FALSE)</f>
        <v>#N/A</v>
      </c>
      <c r="AO916" s="11" t="e">
        <f>VLOOKUP(L916,[1]Sheet19!E:K,7,FALSE)</f>
        <v>#N/A</v>
      </c>
      <c r="AP916" s="12"/>
    </row>
    <row r="917" spans="1:42" ht="15" x14ac:dyDescent="0.2">
      <c r="A917" s="8" t="s">
        <v>2165</v>
      </c>
      <c r="B917" s="9" t="s">
        <v>60</v>
      </c>
      <c r="C917" s="9">
        <v>1114</v>
      </c>
      <c r="D917" s="9" t="s">
        <v>908</v>
      </c>
      <c r="E917" s="30"/>
      <c r="F917" s="9" t="s">
        <v>2168</v>
      </c>
      <c r="G917" s="9" t="s">
        <v>910</v>
      </c>
      <c r="H917" s="9" t="s">
        <v>911</v>
      </c>
      <c r="I917" s="9" t="s">
        <v>2169</v>
      </c>
      <c r="J917" s="9" t="s">
        <v>1046</v>
      </c>
      <c r="K917" s="9" t="s">
        <v>1046</v>
      </c>
      <c r="L917" s="9" t="s">
        <v>1046</v>
      </c>
      <c r="M917" s="9" t="s">
        <v>51</v>
      </c>
      <c r="N917" s="9">
        <v>32</v>
      </c>
      <c r="O917" s="9">
        <v>60</v>
      </c>
      <c r="P917" s="9">
        <v>70</v>
      </c>
      <c r="Q917" s="9">
        <v>130</v>
      </c>
      <c r="R917" s="9">
        <v>0.25</v>
      </c>
      <c r="S917" s="9">
        <v>-2.4209000000000001</v>
      </c>
      <c r="T917" s="9">
        <v>134.21664200000001</v>
      </c>
      <c r="U917" s="9"/>
      <c r="V917" s="11" t="s">
        <v>694</v>
      </c>
      <c r="W917" s="11"/>
      <c r="X917" s="11"/>
      <c r="Y917" s="11" t="e">
        <f>VLOOKUP(L917,'[1]singkron data'!D:H,5,FALSE)</f>
        <v>#N/A</v>
      </c>
      <c r="Z917" s="11" t="e">
        <f>VLOOKUP(L917,'[1]singkron data'!D:I,6,FALSE)</f>
        <v>#N/A</v>
      </c>
      <c r="AA917" s="11" t="e">
        <f>VLOOKUP(L917,'[1]singkron data'!D:L,9,FALSE)</f>
        <v>#N/A</v>
      </c>
      <c r="AB917" s="11" t="s">
        <v>694</v>
      </c>
      <c r="AC917" s="11" t="e">
        <f>VLOOKUP(L917,'[1]singkron data'!D:M,10,FALSE)</f>
        <v>#N/A</v>
      </c>
      <c r="AD917" s="11"/>
      <c r="AE917" s="11" t="e">
        <f>VLOOKUP(L917,'[1]singkron data'!D:P,13,FALSE)</f>
        <v>#N/A</v>
      </c>
      <c r="AF917" s="11"/>
      <c r="AG917" s="11" t="e">
        <f>VLOOKUP(L917,'[1]update kontrak'!E:K,6,FALSE)</f>
        <v>#N/A</v>
      </c>
      <c r="AH917" s="11" t="e">
        <f>VLOOKUP(L917,'[1]update kontrak'!E:K,7,FALSE)</f>
        <v>#N/A</v>
      </c>
      <c r="AI917" s="11"/>
      <c r="AJ917" s="11" t="str">
        <f>VLOOKUP(L917,[1]rekap!D:M,1,FALSE)</f>
        <v>Windesi</v>
      </c>
      <c r="AK917" s="11" t="e">
        <f>VLOOKUP(L917,'[1]singkron data'!D:E,2,FALSE)</f>
        <v>#N/A</v>
      </c>
      <c r="AL917" s="11" t="str">
        <f>VLOOKUP(L917,'[1]update 521'!D:D,1,FALSE)</f>
        <v>Windesi</v>
      </c>
      <c r="AM917" s="11" t="e">
        <f>VLOOKUP(L917,[1]Sheet18!I:M,5,FALSE)</f>
        <v>#N/A</v>
      </c>
      <c r="AN917" s="11" t="e">
        <f>VLOOKUP(L917,[1]Sheet19!E:L,8,FALSE)</f>
        <v>#N/A</v>
      </c>
      <c r="AO917" s="11" t="e">
        <f>VLOOKUP(L917,[1]Sheet19!E:K,7,FALSE)</f>
        <v>#N/A</v>
      </c>
      <c r="AP917" s="12"/>
    </row>
    <row r="918" spans="1:42" ht="15" x14ac:dyDescent="0.2">
      <c r="A918" s="8" t="s">
        <v>2165</v>
      </c>
      <c r="B918" s="9" t="s">
        <v>60</v>
      </c>
      <c r="C918" s="9">
        <v>1115</v>
      </c>
      <c r="D918" s="9" t="s">
        <v>908</v>
      </c>
      <c r="E918" s="30"/>
      <c r="F918" s="9" t="s">
        <v>2168</v>
      </c>
      <c r="G918" s="9" t="s">
        <v>910</v>
      </c>
      <c r="H918" s="9" t="s">
        <v>911</v>
      </c>
      <c r="I918" s="9" t="s">
        <v>2169</v>
      </c>
      <c r="J918" s="9" t="s">
        <v>2225</v>
      </c>
      <c r="K918" s="9" t="s">
        <v>2226</v>
      </c>
      <c r="L918" s="9" t="s">
        <v>2226</v>
      </c>
      <c r="M918" s="9" t="s">
        <v>51</v>
      </c>
      <c r="N918" s="9">
        <v>45</v>
      </c>
      <c r="O918" s="9">
        <v>10</v>
      </c>
      <c r="P918" s="9">
        <v>21</v>
      </c>
      <c r="Q918" s="9">
        <v>31</v>
      </c>
      <c r="R918" s="9">
        <v>0.25</v>
      </c>
      <c r="S918" s="9">
        <v>-2.3665189999999998</v>
      </c>
      <c r="T918" s="9">
        <v>134.53233299999999</v>
      </c>
      <c r="U918" s="9"/>
      <c r="V918" s="11" t="s">
        <v>694</v>
      </c>
      <c r="W918" s="11"/>
      <c r="X918" s="11"/>
      <c r="Y918" s="11" t="e">
        <f>VLOOKUP(L918,'[1]singkron data'!D:H,5,FALSE)</f>
        <v>#N/A</v>
      </c>
      <c r="Z918" s="11" t="e">
        <f>VLOOKUP(L918,'[1]singkron data'!D:I,6,FALSE)</f>
        <v>#N/A</v>
      </c>
      <c r="AA918" s="11" t="e">
        <f>VLOOKUP(L918,'[1]singkron data'!D:L,9,FALSE)</f>
        <v>#N/A</v>
      </c>
      <c r="AB918" s="11" t="s">
        <v>694</v>
      </c>
      <c r="AC918" s="11" t="e">
        <f>VLOOKUP(L918,'[1]singkron data'!D:M,10,FALSE)</f>
        <v>#N/A</v>
      </c>
      <c r="AD918" s="11"/>
      <c r="AE918" s="11" t="e">
        <f>VLOOKUP(L918,'[1]singkron data'!D:P,13,FALSE)</f>
        <v>#N/A</v>
      </c>
      <c r="AF918" s="11"/>
      <c r="AG918" s="11" t="e">
        <f>VLOOKUP(L918,'[1]update kontrak'!E:K,6,FALSE)</f>
        <v>#N/A</v>
      </c>
      <c r="AH918" s="11" t="e">
        <f>VLOOKUP(L918,'[1]update kontrak'!E:K,7,FALSE)</f>
        <v>#N/A</v>
      </c>
      <c r="AI918" s="11"/>
      <c r="AJ918" s="11" t="str">
        <f>VLOOKUP(L918,[1]rekap!D:M,1,FALSE)</f>
        <v>Mena</v>
      </c>
      <c r="AK918" s="11" t="e">
        <f>VLOOKUP(L918,'[1]singkron data'!D:E,2,FALSE)</f>
        <v>#N/A</v>
      </c>
      <c r="AL918" s="11" t="str">
        <f>VLOOKUP(L918,'[1]update 521'!D:D,1,FALSE)</f>
        <v>Mena</v>
      </c>
      <c r="AM918" s="11" t="e">
        <f>VLOOKUP(L918,[1]Sheet18!I:M,5,FALSE)</f>
        <v>#N/A</v>
      </c>
      <c r="AN918" s="11" t="e">
        <f>VLOOKUP(L918,[1]Sheet19!E:L,8,FALSE)</f>
        <v>#N/A</v>
      </c>
      <c r="AO918" s="11" t="e">
        <f>VLOOKUP(L918,[1]Sheet19!E:K,7,FALSE)</f>
        <v>#N/A</v>
      </c>
      <c r="AP918" s="12"/>
    </row>
    <row r="919" spans="1:42" ht="15" x14ac:dyDescent="0.2">
      <c r="A919" s="8" t="s">
        <v>2165</v>
      </c>
      <c r="B919" s="9" t="s">
        <v>60</v>
      </c>
      <c r="C919" s="9">
        <v>1116</v>
      </c>
      <c r="D919" s="9" t="s">
        <v>908</v>
      </c>
      <c r="E919" s="30"/>
      <c r="F919" s="9" t="s">
        <v>968</v>
      </c>
      <c r="G919" s="9" t="s">
        <v>908</v>
      </c>
      <c r="H919" s="9" t="s">
        <v>911</v>
      </c>
      <c r="I919" s="9" t="s">
        <v>971</v>
      </c>
      <c r="J919" s="9" t="s">
        <v>972</v>
      </c>
      <c r="K919" s="9" t="s">
        <v>2227</v>
      </c>
      <c r="L919" s="9" t="s">
        <v>2227</v>
      </c>
      <c r="M919" s="9" t="s">
        <v>51</v>
      </c>
      <c r="N919" s="9">
        <v>60</v>
      </c>
      <c r="O919" s="9">
        <v>10</v>
      </c>
      <c r="P919" s="9">
        <v>15</v>
      </c>
      <c r="Q919" s="9">
        <v>25</v>
      </c>
      <c r="R919" s="9">
        <v>5.3232000000000002E-2</v>
      </c>
      <c r="S919" s="9">
        <v>-2.2057405999999999</v>
      </c>
      <c r="T919" s="9">
        <v>136.44185619999999</v>
      </c>
      <c r="U919" s="9"/>
      <c r="V919" s="11" t="s">
        <v>694</v>
      </c>
      <c r="W919" s="11"/>
      <c r="X919" s="11"/>
      <c r="Y919" s="11" t="e">
        <f>VLOOKUP(L919,'[1]singkron data'!D:H,5,FALSE)</f>
        <v>#N/A</v>
      </c>
      <c r="Z919" s="11" t="e">
        <f>VLOOKUP(L919,'[1]singkron data'!D:I,6,FALSE)</f>
        <v>#N/A</v>
      </c>
      <c r="AA919" s="11" t="e">
        <f>VLOOKUP(L919,'[1]singkron data'!D:L,9,FALSE)</f>
        <v>#N/A</v>
      </c>
      <c r="AB919" s="11" t="s">
        <v>694</v>
      </c>
      <c r="AC919" s="11" t="e">
        <f>VLOOKUP(L919,'[1]singkron data'!D:M,10,FALSE)</f>
        <v>#N/A</v>
      </c>
      <c r="AD919" s="11"/>
      <c r="AE919" s="11" t="e">
        <f>VLOOKUP(L919,'[1]singkron data'!D:P,13,FALSE)</f>
        <v>#N/A</v>
      </c>
      <c r="AF919" s="11"/>
      <c r="AG919" s="11" t="e">
        <f>VLOOKUP(L919,'[1]update kontrak'!E:K,6,FALSE)</f>
        <v>#N/A</v>
      </c>
      <c r="AH919" s="11" t="e">
        <f>VLOOKUP(L919,'[1]update kontrak'!E:K,7,FALSE)</f>
        <v>#N/A</v>
      </c>
      <c r="AI919" s="11"/>
      <c r="AJ919" s="11" t="str">
        <f>VLOOKUP(L919,[1]rekap!D:M,1,FALSE)</f>
        <v>Paradoi</v>
      </c>
      <c r="AK919" s="11" t="e">
        <f>VLOOKUP(L919,'[1]singkron data'!D:E,2,FALSE)</f>
        <v>#N/A</v>
      </c>
      <c r="AL919" s="11" t="str">
        <f>VLOOKUP(L919,'[1]update 521'!D:D,1,FALSE)</f>
        <v>Paradoi</v>
      </c>
      <c r="AM919" s="11" t="e">
        <f>VLOOKUP(L919,[1]Sheet18!I:M,5,FALSE)</f>
        <v>#N/A</v>
      </c>
      <c r="AN919" s="11" t="e">
        <f>VLOOKUP(L919,[1]Sheet19!E:L,8,FALSE)</f>
        <v>#N/A</v>
      </c>
      <c r="AO919" s="11" t="e">
        <f>VLOOKUP(L919,[1]Sheet19!E:K,7,FALSE)</f>
        <v>#N/A</v>
      </c>
      <c r="AP919" s="12"/>
    </row>
    <row r="920" spans="1:42" ht="15" x14ac:dyDescent="0.2">
      <c r="A920" s="8" t="s">
        <v>2165</v>
      </c>
      <c r="B920" s="9" t="s">
        <v>60</v>
      </c>
      <c r="C920" s="9">
        <v>1118</v>
      </c>
      <c r="D920" s="9" t="s">
        <v>908</v>
      </c>
      <c r="E920" s="30"/>
      <c r="F920" s="9" t="s">
        <v>909</v>
      </c>
      <c r="G920" s="9" t="s">
        <v>910</v>
      </c>
      <c r="H920" s="9" t="s">
        <v>911</v>
      </c>
      <c r="I920" s="9" t="s">
        <v>2169</v>
      </c>
      <c r="J920" s="9" t="s">
        <v>2228</v>
      </c>
      <c r="K920" s="9" t="s">
        <v>2229</v>
      </c>
      <c r="L920" s="9" t="s">
        <v>2229</v>
      </c>
      <c r="M920" s="9" t="s">
        <v>51</v>
      </c>
      <c r="N920" s="9">
        <v>25</v>
      </c>
      <c r="O920" s="9">
        <v>5</v>
      </c>
      <c r="P920" s="9">
        <v>10</v>
      </c>
      <c r="Q920" s="9">
        <v>15</v>
      </c>
      <c r="R920" s="9">
        <v>0.25</v>
      </c>
      <c r="S920" s="9">
        <v>-1.86348</v>
      </c>
      <c r="T920" s="9">
        <v>134.1198</v>
      </c>
      <c r="U920" s="9"/>
      <c r="V920" s="11" t="s">
        <v>694</v>
      </c>
      <c r="W920" s="11"/>
      <c r="X920" s="11"/>
      <c r="Y920" s="11" t="e">
        <f>VLOOKUP(L920,'[1]singkron data'!D:H,5,FALSE)</f>
        <v>#N/A</v>
      </c>
      <c r="Z920" s="11" t="e">
        <f>VLOOKUP(L920,'[1]singkron data'!D:I,6,FALSE)</f>
        <v>#N/A</v>
      </c>
      <c r="AA920" s="11" t="e">
        <f>VLOOKUP(L920,'[1]singkron data'!D:L,9,FALSE)</f>
        <v>#N/A</v>
      </c>
      <c r="AB920" s="11" t="s">
        <v>694</v>
      </c>
      <c r="AC920" s="11" t="e">
        <f>VLOOKUP(L920,'[1]singkron data'!D:M,10,FALSE)</f>
        <v>#N/A</v>
      </c>
      <c r="AD920" s="11"/>
      <c r="AE920" s="11" t="e">
        <f>VLOOKUP(L920,'[1]singkron data'!D:P,13,FALSE)</f>
        <v>#N/A</v>
      </c>
      <c r="AF920" s="11"/>
      <c r="AG920" s="11" t="e">
        <f>VLOOKUP(L920,'[1]update kontrak'!E:K,6,FALSE)</f>
        <v>#N/A</v>
      </c>
      <c r="AH920" s="11" t="e">
        <f>VLOOKUP(L920,'[1]update kontrak'!E:K,7,FALSE)</f>
        <v>#N/A</v>
      </c>
      <c r="AI920" s="11"/>
      <c r="AJ920" s="11" t="str">
        <f>VLOOKUP(L920,[1]rekap!D:M,1,FALSE)</f>
        <v>Nuspairo</v>
      </c>
      <c r="AK920" s="11" t="e">
        <f>VLOOKUP(L920,'[1]singkron data'!D:E,2,FALSE)</f>
        <v>#N/A</v>
      </c>
      <c r="AL920" s="11" t="str">
        <f>VLOOKUP(L920,'[1]update 521'!D:D,1,FALSE)</f>
        <v>Nuspairo</v>
      </c>
      <c r="AM920" s="11" t="e">
        <f>VLOOKUP(L920,[1]Sheet18!I:M,5,FALSE)</f>
        <v>#N/A</v>
      </c>
      <c r="AN920" s="11" t="e">
        <f>VLOOKUP(L920,[1]Sheet19!E:L,8,FALSE)</f>
        <v>#N/A</v>
      </c>
      <c r="AO920" s="11" t="e">
        <f>VLOOKUP(L920,[1]Sheet19!E:K,7,FALSE)</f>
        <v>#N/A</v>
      </c>
      <c r="AP920" s="12"/>
    </row>
    <row r="921" spans="1:42" ht="15" x14ac:dyDescent="0.2">
      <c r="A921" s="8" t="s">
        <v>2165</v>
      </c>
      <c r="B921" s="9" t="s">
        <v>60</v>
      </c>
      <c r="C921" s="9">
        <v>1119</v>
      </c>
      <c r="D921" s="9" t="s">
        <v>908</v>
      </c>
      <c r="E921" s="30"/>
      <c r="F921" s="9" t="s">
        <v>909</v>
      </c>
      <c r="G921" s="9" t="s">
        <v>910</v>
      </c>
      <c r="H921" s="9" t="s">
        <v>911</v>
      </c>
      <c r="I921" s="9" t="s">
        <v>2169</v>
      </c>
      <c r="J921" s="9" t="s">
        <v>2228</v>
      </c>
      <c r="K921" s="9" t="s">
        <v>2230</v>
      </c>
      <c r="L921" s="9" t="s">
        <v>2230</v>
      </c>
      <c r="M921" s="9" t="s">
        <v>51</v>
      </c>
      <c r="N921" s="9">
        <v>30</v>
      </c>
      <c r="O921" s="9">
        <v>4</v>
      </c>
      <c r="P921" s="9">
        <v>30</v>
      </c>
      <c r="Q921" s="9">
        <v>34</v>
      </c>
      <c r="R921" s="9">
        <v>0.25</v>
      </c>
      <c r="S921" s="9">
        <v>-1.8461399999999999</v>
      </c>
      <c r="T921" s="9">
        <v>134.10332</v>
      </c>
      <c r="U921" s="9"/>
      <c r="V921" s="11" t="s">
        <v>694</v>
      </c>
      <c r="W921" s="11"/>
      <c r="X921" s="11"/>
      <c r="Y921" s="11" t="e">
        <f>VLOOKUP(L921,'[1]singkron data'!D:H,5,FALSE)</f>
        <v>#N/A</v>
      </c>
      <c r="Z921" s="11" t="e">
        <f>VLOOKUP(L921,'[1]singkron data'!D:I,6,FALSE)</f>
        <v>#N/A</v>
      </c>
      <c r="AA921" s="11" t="e">
        <f>VLOOKUP(L921,'[1]singkron data'!D:L,9,FALSE)</f>
        <v>#N/A</v>
      </c>
      <c r="AB921" s="11" t="s">
        <v>694</v>
      </c>
      <c r="AC921" s="11" t="e">
        <f>VLOOKUP(L921,'[1]singkron data'!D:M,10,FALSE)</f>
        <v>#N/A</v>
      </c>
      <c r="AD921" s="11"/>
      <c r="AE921" s="11" t="e">
        <f>VLOOKUP(L921,'[1]singkron data'!D:P,13,FALSE)</f>
        <v>#N/A</v>
      </c>
      <c r="AF921" s="11"/>
      <c r="AG921" s="11" t="e">
        <f>VLOOKUP(L921,'[1]update kontrak'!E:K,6,FALSE)</f>
        <v>#N/A</v>
      </c>
      <c r="AH921" s="11" t="e">
        <f>VLOOKUP(L921,'[1]update kontrak'!E:K,7,FALSE)</f>
        <v>#N/A</v>
      </c>
      <c r="AI921" s="11"/>
      <c r="AJ921" s="11" t="str">
        <f>VLOOKUP(L921,[1]rekap!D:M,1,FALSE)</f>
        <v>Reyob</v>
      </c>
      <c r="AK921" s="11" t="e">
        <f>VLOOKUP(L921,'[1]singkron data'!D:E,2,FALSE)</f>
        <v>#N/A</v>
      </c>
      <c r="AL921" s="11" t="str">
        <f>VLOOKUP(L921,'[1]update 521'!D:D,1,FALSE)</f>
        <v>Reyob</v>
      </c>
      <c r="AM921" s="11" t="e">
        <f>VLOOKUP(L921,[1]Sheet18!I:M,5,FALSE)</f>
        <v>#N/A</v>
      </c>
      <c r="AN921" s="11" t="e">
        <f>VLOOKUP(L921,[1]Sheet19!E:L,8,FALSE)</f>
        <v>#N/A</v>
      </c>
      <c r="AO921" s="11" t="e">
        <f>VLOOKUP(L921,[1]Sheet19!E:K,7,FALSE)</f>
        <v>#N/A</v>
      </c>
      <c r="AP921" s="12"/>
    </row>
    <row r="922" spans="1:42" ht="15" x14ac:dyDescent="0.2">
      <c r="A922" s="8" t="s">
        <v>2165</v>
      </c>
      <c r="B922" s="9" t="s">
        <v>60</v>
      </c>
      <c r="C922" s="9">
        <v>1120</v>
      </c>
      <c r="D922" s="9" t="s">
        <v>908</v>
      </c>
      <c r="E922" s="30"/>
      <c r="F922" s="9" t="s">
        <v>1106</v>
      </c>
      <c r="G922" s="9" t="s">
        <v>1060</v>
      </c>
      <c r="H922" s="9" t="s">
        <v>911</v>
      </c>
      <c r="I922" s="9" t="s">
        <v>1107</v>
      </c>
      <c r="J922" s="9" t="s">
        <v>2200</v>
      </c>
      <c r="K922" s="9" t="s">
        <v>2231</v>
      </c>
      <c r="L922" s="9" t="s">
        <v>2231</v>
      </c>
      <c r="M922" s="9" t="s">
        <v>51</v>
      </c>
      <c r="N922" s="9">
        <v>108</v>
      </c>
      <c r="O922" s="9">
        <v>18</v>
      </c>
      <c r="P922" s="9">
        <v>49</v>
      </c>
      <c r="Q922" s="9">
        <v>67</v>
      </c>
      <c r="R922" s="9">
        <v>0.5</v>
      </c>
      <c r="S922" s="9">
        <v>-1.428534</v>
      </c>
      <c r="T922" s="9">
        <v>131.98448400000001</v>
      </c>
      <c r="U922" s="9"/>
      <c r="V922" s="11" t="s">
        <v>694</v>
      </c>
      <c r="W922" s="11"/>
      <c r="X922" s="11"/>
      <c r="Y922" s="11" t="e">
        <f>VLOOKUP(L922,'[1]singkron data'!D:H,5,FALSE)</f>
        <v>#N/A</v>
      </c>
      <c r="Z922" s="11" t="e">
        <f>VLOOKUP(L922,'[1]singkron data'!D:I,6,FALSE)</f>
        <v>#N/A</v>
      </c>
      <c r="AA922" s="11" t="e">
        <f>VLOOKUP(L922,'[1]singkron data'!D:L,9,FALSE)</f>
        <v>#N/A</v>
      </c>
      <c r="AB922" s="11" t="s">
        <v>694</v>
      </c>
      <c r="AC922" s="11" t="e">
        <f>VLOOKUP(L922,'[1]singkron data'!D:M,10,FALSE)</f>
        <v>#N/A</v>
      </c>
      <c r="AD922" s="11"/>
      <c r="AE922" s="11" t="e">
        <f>VLOOKUP(L922,'[1]singkron data'!D:P,13,FALSE)</f>
        <v>#N/A</v>
      </c>
      <c r="AF922" s="11"/>
      <c r="AG922" s="11" t="e">
        <f>VLOOKUP(L922,'[1]update kontrak'!E:K,6,FALSE)</f>
        <v>#N/A</v>
      </c>
      <c r="AH922" s="11" t="e">
        <f>VLOOKUP(L922,'[1]update kontrak'!E:K,7,FALSE)</f>
        <v>#N/A</v>
      </c>
      <c r="AI922" s="11"/>
      <c r="AJ922" s="11" t="str">
        <f>VLOOKUP(L922,[1]rekap!D:M,1,FALSE)</f>
        <v>Kamaro</v>
      </c>
      <c r="AK922" s="11" t="e">
        <f>VLOOKUP(L922,'[1]singkron data'!D:E,2,FALSE)</f>
        <v>#N/A</v>
      </c>
      <c r="AL922" s="11" t="str">
        <f>VLOOKUP(L922,'[1]update 521'!D:D,1,FALSE)</f>
        <v>Kamaro</v>
      </c>
      <c r="AM922" s="11" t="e">
        <f>VLOOKUP(L922,[1]Sheet18!I:M,5,FALSE)</f>
        <v>#N/A</v>
      </c>
      <c r="AN922" s="11" t="e">
        <f>VLOOKUP(L922,[1]Sheet19!E:L,8,FALSE)</f>
        <v>#N/A</v>
      </c>
      <c r="AO922" s="11" t="e">
        <f>VLOOKUP(L922,[1]Sheet19!E:K,7,FALSE)</f>
        <v>#N/A</v>
      </c>
      <c r="AP922" s="12"/>
    </row>
    <row r="923" spans="1:42" ht="15" x14ac:dyDescent="0.2">
      <c r="A923" s="8" t="s">
        <v>2165</v>
      </c>
      <c r="B923" s="9" t="s">
        <v>60</v>
      </c>
      <c r="C923" s="9">
        <v>1121</v>
      </c>
      <c r="D923" s="9" t="s">
        <v>908</v>
      </c>
      <c r="E923" s="30"/>
      <c r="F923" s="9" t="s">
        <v>2232</v>
      </c>
      <c r="G923" s="9" t="s">
        <v>908</v>
      </c>
      <c r="H923" s="9" t="s">
        <v>911</v>
      </c>
      <c r="I923" s="9" t="s">
        <v>1014</v>
      </c>
      <c r="J923" s="9" t="s">
        <v>2233</v>
      </c>
      <c r="K923" s="9" t="s">
        <v>2234</v>
      </c>
      <c r="L923" s="9" t="s">
        <v>2234</v>
      </c>
      <c r="M923" s="9" t="s">
        <v>51</v>
      </c>
      <c r="N923" s="9">
        <v>100</v>
      </c>
      <c r="O923" s="9" t="s">
        <v>72</v>
      </c>
      <c r="P923" s="9">
        <v>10</v>
      </c>
      <c r="Q923" s="9">
        <v>10</v>
      </c>
      <c r="R923" s="9">
        <v>5.4199999999999998E-2</v>
      </c>
      <c r="S923" s="9">
        <v>-1.173583</v>
      </c>
      <c r="T923" s="9">
        <v>135.879403</v>
      </c>
      <c r="U923" s="9"/>
      <c r="V923" s="11" t="s">
        <v>694</v>
      </c>
      <c r="W923" s="13">
        <f>VLOOKUP(L923,[1]Sheet18!I:N,6,FALSE)</f>
        <v>4615801000</v>
      </c>
      <c r="X923" s="11" t="s">
        <v>55</v>
      </c>
      <c r="Y923" s="11" t="e">
        <f>VLOOKUP(L923,'[1]singkron data'!D:H,5,FALSE)</f>
        <v>#N/A</v>
      </c>
      <c r="Z923" s="11" t="e">
        <f>VLOOKUP(L923,'[1]singkron data'!D:I,6,FALSE)</f>
        <v>#N/A</v>
      </c>
      <c r="AA923" s="11" t="e">
        <f>VLOOKUP(L923,'[1]singkron data'!D:L,9,FALSE)</f>
        <v>#N/A</v>
      </c>
      <c r="AB923" s="11" t="s">
        <v>694</v>
      </c>
      <c r="AC923" s="11" t="e">
        <f>VLOOKUP(L923,'[1]singkron data'!D:M,10,FALSE)</f>
        <v>#N/A</v>
      </c>
      <c r="AD923" s="11"/>
      <c r="AE923" s="11" t="e">
        <f>VLOOKUP(L923,'[1]singkron data'!D:P,13,FALSE)</f>
        <v>#N/A</v>
      </c>
      <c r="AF923" s="11" t="s">
        <v>55</v>
      </c>
      <c r="AG923" s="11" t="e">
        <f>VLOOKUP(L923,'[1]update kontrak'!E:K,6,FALSE)</f>
        <v>#N/A</v>
      </c>
      <c r="AH923" s="11" t="e">
        <f>VLOOKUP(L923,'[1]update kontrak'!E:K,7,FALSE)</f>
        <v>#N/A</v>
      </c>
      <c r="AI923" s="11"/>
      <c r="AJ923" s="11" t="str">
        <f>VLOOKUP(L923,[1]rekap!D:M,1,FALSE)</f>
        <v>Waroi</v>
      </c>
      <c r="AK923" s="11" t="e">
        <f>VLOOKUP(L923,'[1]singkron data'!D:E,2,FALSE)</f>
        <v>#N/A</v>
      </c>
      <c r="AL923" s="11" t="str">
        <f>VLOOKUP(L923,'[1]update 521'!D:D,1,FALSE)</f>
        <v>Waroi</v>
      </c>
      <c r="AM923" s="11" t="s">
        <v>57</v>
      </c>
      <c r="AN923" s="11" t="e">
        <f>VLOOKUP(L923,[1]Sheet19!E:L,8,FALSE)</f>
        <v>#N/A</v>
      </c>
      <c r="AO923" s="11" t="e">
        <f>VLOOKUP(L923,[1]Sheet19!E:K,7,FALSE)</f>
        <v>#N/A</v>
      </c>
      <c r="AP923" s="12"/>
    </row>
    <row r="924" spans="1:42" ht="15" x14ac:dyDescent="0.2">
      <c r="A924" s="8" t="s">
        <v>2165</v>
      </c>
      <c r="B924" s="9" t="s">
        <v>60</v>
      </c>
      <c r="C924" s="9">
        <v>1122</v>
      </c>
      <c r="D924" s="9" t="s">
        <v>908</v>
      </c>
      <c r="E924" s="30"/>
      <c r="F924" s="9" t="s">
        <v>2232</v>
      </c>
      <c r="G924" s="9" t="s">
        <v>908</v>
      </c>
      <c r="H924" s="9" t="s">
        <v>911</v>
      </c>
      <c r="I924" s="9" t="s">
        <v>1014</v>
      </c>
      <c r="J924" s="9" t="s">
        <v>1030</v>
      </c>
      <c r="K924" s="9" t="s">
        <v>2235</v>
      </c>
      <c r="L924" s="9" t="s">
        <v>2235</v>
      </c>
      <c r="M924" s="9" t="s">
        <v>51</v>
      </c>
      <c r="N924" s="9">
        <v>50</v>
      </c>
      <c r="O924" s="9">
        <v>30</v>
      </c>
      <c r="P924" s="9">
        <v>8</v>
      </c>
      <c r="Q924" s="9">
        <v>38</v>
      </c>
      <c r="R924" s="9">
        <v>5.6000000000000001E-2</v>
      </c>
      <c r="S924" s="9">
        <v>-1.0337185</v>
      </c>
      <c r="T924" s="9">
        <v>135.8262517</v>
      </c>
      <c r="U924" s="9"/>
      <c r="V924" s="11" t="s">
        <v>694</v>
      </c>
      <c r="W924" s="11"/>
      <c r="X924" s="11"/>
      <c r="Y924" s="11" t="e">
        <f>VLOOKUP(L924,'[1]singkron data'!D:H,5,FALSE)</f>
        <v>#N/A</v>
      </c>
      <c r="Z924" s="11" t="e">
        <f>VLOOKUP(L924,'[1]singkron data'!D:I,6,FALSE)</f>
        <v>#N/A</v>
      </c>
      <c r="AA924" s="11" t="e">
        <f>VLOOKUP(L924,'[1]singkron data'!D:L,9,FALSE)</f>
        <v>#N/A</v>
      </c>
      <c r="AB924" s="11" t="s">
        <v>694</v>
      </c>
      <c r="AC924" s="11" t="e">
        <f>VLOOKUP(L924,'[1]singkron data'!D:M,10,FALSE)</f>
        <v>#N/A</v>
      </c>
      <c r="AD924" s="11"/>
      <c r="AE924" s="11" t="e">
        <f>VLOOKUP(L924,'[1]singkron data'!D:P,13,FALSE)</f>
        <v>#N/A</v>
      </c>
      <c r="AF924" s="11" t="s">
        <v>55</v>
      </c>
      <c r="AG924" s="11" t="e">
        <f>VLOOKUP(L924,'[1]update kontrak'!E:K,6,FALSE)</f>
        <v>#N/A</v>
      </c>
      <c r="AH924" s="11" t="e">
        <f>VLOOKUP(L924,'[1]update kontrak'!E:K,7,FALSE)</f>
        <v>#N/A</v>
      </c>
      <c r="AI924" s="11"/>
      <c r="AJ924" s="11" t="str">
        <f>VLOOKUP(L924,[1]rekap!D:M,1,FALSE)</f>
        <v>Kanaan</v>
      </c>
      <c r="AK924" s="11" t="e">
        <f>VLOOKUP(L924,'[1]singkron data'!D:E,2,FALSE)</f>
        <v>#N/A</v>
      </c>
      <c r="AL924" s="11" t="str">
        <f>VLOOKUP(L924,'[1]update 521'!D:D,1,FALSE)</f>
        <v>Kanaan</v>
      </c>
      <c r="AM924" s="11" t="e">
        <f>VLOOKUP(L924,[1]Sheet18!I:M,5,FALSE)</f>
        <v>#N/A</v>
      </c>
      <c r="AN924" s="11" t="e">
        <f>VLOOKUP(L924,[1]Sheet19!E:L,8,FALSE)</f>
        <v>#N/A</v>
      </c>
      <c r="AO924" s="11" t="e">
        <f>VLOOKUP(L924,[1]Sheet19!E:K,7,FALSE)</f>
        <v>#N/A</v>
      </c>
      <c r="AP924" s="12"/>
    </row>
    <row r="925" spans="1:42" ht="15" x14ac:dyDescent="0.2">
      <c r="A925" s="8" t="s">
        <v>2165</v>
      </c>
      <c r="B925" s="9" t="s">
        <v>60</v>
      </c>
      <c r="C925" s="9">
        <v>1123</v>
      </c>
      <c r="D925" s="9" t="s">
        <v>908</v>
      </c>
      <c r="E925" s="30"/>
      <c r="F925" s="9" t="s">
        <v>2232</v>
      </c>
      <c r="G925" s="9" t="s">
        <v>908</v>
      </c>
      <c r="H925" s="9" t="s">
        <v>911</v>
      </c>
      <c r="I925" s="9" t="s">
        <v>1014</v>
      </c>
      <c r="J925" s="9" t="s">
        <v>1030</v>
      </c>
      <c r="K925" s="9" t="s">
        <v>2236</v>
      </c>
      <c r="L925" s="9" t="s">
        <v>2236</v>
      </c>
      <c r="M925" s="9" t="s">
        <v>51</v>
      </c>
      <c r="N925" s="9">
        <v>30</v>
      </c>
      <c r="O925" s="9">
        <v>28</v>
      </c>
      <c r="P925" s="9">
        <v>2</v>
      </c>
      <c r="Q925" s="9">
        <v>30</v>
      </c>
      <c r="R925" s="9">
        <v>6.2100000000000002E-2</v>
      </c>
      <c r="S925" s="9">
        <v>-1.0292835</v>
      </c>
      <c r="T925" s="9">
        <v>135.82930809999999</v>
      </c>
      <c r="U925" s="9"/>
      <c r="V925" s="11" t="s">
        <v>694</v>
      </c>
      <c r="W925" s="13">
        <f>VLOOKUP(L925,[1]Sheet18!I:N,6,FALSE)</f>
        <v>2949980000</v>
      </c>
      <c r="X925" s="11" t="s">
        <v>55</v>
      </c>
      <c r="Y925" s="11" t="e">
        <f>VLOOKUP(L925,'[1]singkron data'!D:H,5,FALSE)</f>
        <v>#N/A</v>
      </c>
      <c r="Z925" s="11" t="e">
        <f>VLOOKUP(L925,'[1]singkron data'!D:I,6,FALSE)</f>
        <v>#N/A</v>
      </c>
      <c r="AA925" s="11" t="e">
        <f>VLOOKUP(L925,'[1]singkron data'!D:L,9,FALSE)</f>
        <v>#N/A</v>
      </c>
      <c r="AB925" s="11" t="s">
        <v>694</v>
      </c>
      <c r="AC925" s="11" t="e">
        <f>VLOOKUP(L925,'[1]singkron data'!D:M,10,FALSE)</f>
        <v>#N/A</v>
      </c>
      <c r="AD925" s="11"/>
      <c r="AE925" s="11" t="e">
        <f>VLOOKUP(L925,'[1]singkron data'!D:P,13,FALSE)</f>
        <v>#N/A</v>
      </c>
      <c r="AF925" s="11" t="s">
        <v>55</v>
      </c>
      <c r="AG925" s="11" t="e">
        <f>VLOOKUP(L925,'[1]update kontrak'!E:K,6,FALSE)</f>
        <v>#N/A</v>
      </c>
      <c r="AH925" s="11" t="e">
        <f>VLOOKUP(L925,'[1]update kontrak'!E:K,7,FALSE)</f>
        <v>#N/A</v>
      </c>
      <c r="AI925" s="11"/>
      <c r="AJ925" s="11" t="str">
        <f>VLOOKUP(L925,[1]rekap!D:M,1,FALSE)</f>
        <v>Insiri</v>
      </c>
      <c r="AK925" s="11" t="e">
        <f>VLOOKUP(L925,'[1]singkron data'!D:E,2,FALSE)</f>
        <v>#N/A</v>
      </c>
      <c r="AL925" s="11" t="str">
        <f>VLOOKUP(L925,'[1]update 521'!D:D,1,FALSE)</f>
        <v>Insiri</v>
      </c>
      <c r="AM925" s="11" t="s">
        <v>57</v>
      </c>
      <c r="AN925" s="11" t="e">
        <f>VLOOKUP(L925,[1]Sheet19!E:L,8,FALSE)</f>
        <v>#N/A</v>
      </c>
      <c r="AO925" s="11" t="e">
        <f>VLOOKUP(L925,[1]Sheet19!E:K,7,FALSE)</f>
        <v>#N/A</v>
      </c>
      <c r="AP925" s="12"/>
    </row>
    <row r="926" spans="1:42" ht="15" x14ac:dyDescent="0.2">
      <c r="A926" s="8" t="s">
        <v>2165</v>
      </c>
      <c r="B926" s="9" t="s">
        <v>60</v>
      </c>
      <c r="C926" s="9">
        <v>1124</v>
      </c>
      <c r="D926" s="9" t="s">
        <v>908</v>
      </c>
      <c r="E926" s="30"/>
      <c r="F926" s="9" t="s">
        <v>2232</v>
      </c>
      <c r="G926" s="9" t="s">
        <v>908</v>
      </c>
      <c r="H926" s="9" t="s">
        <v>911</v>
      </c>
      <c r="I926" s="9" t="s">
        <v>1014</v>
      </c>
      <c r="J926" s="9" t="s">
        <v>1030</v>
      </c>
      <c r="K926" s="9" t="s">
        <v>2237</v>
      </c>
      <c r="L926" s="9" t="s">
        <v>2237</v>
      </c>
      <c r="M926" s="9" t="s">
        <v>51</v>
      </c>
      <c r="N926" s="9">
        <v>20</v>
      </c>
      <c r="O926" s="9">
        <v>18</v>
      </c>
      <c r="P926" s="9">
        <v>2</v>
      </c>
      <c r="Q926" s="9">
        <v>20</v>
      </c>
      <c r="R926" s="9">
        <v>0.06</v>
      </c>
      <c r="S926" s="9">
        <v>-1.0059015</v>
      </c>
      <c r="T926" s="9">
        <v>135.81713500000001</v>
      </c>
      <c r="U926" s="9"/>
      <c r="V926" s="11" t="s">
        <v>694</v>
      </c>
      <c r="W926" s="11"/>
      <c r="X926" s="11"/>
      <c r="Y926" s="11" t="e">
        <f>VLOOKUP(L926,'[1]singkron data'!D:H,5,FALSE)</f>
        <v>#N/A</v>
      </c>
      <c r="Z926" s="11" t="e">
        <f>VLOOKUP(L926,'[1]singkron data'!D:I,6,FALSE)</f>
        <v>#N/A</v>
      </c>
      <c r="AA926" s="11" t="e">
        <f>VLOOKUP(L926,'[1]singkron data'!D:L,9,FALSE)</f>
        <v>#N/A</v>
      </c>
      <c r="AB926" s="11" t="s">
        <v>694</v>
      </c>
      <c r="AC926" s="11" t="e">
        <f>VLOOKUP(L926,'[1]singkron data'!D:M,10,FALSE)</f>
        <v>#N/A</v>
      </c>
      <c r="AD926" s="11"/>
      <c r="AE926" s="11" t="e">
        <f>VLOOKUP(L926,'[1]singkron data'!D:P,13,FALSE)</f>
        <v>#N/A</v>
      </c>
      <c r="AF926" s="11" t="s">
        <v>55</v>
      </c>
      <c r="AG926" s="11" t="e">
        <f>VLOOKUP(L926,'[1]update kontrak'!E:K,6,FALSE)</f>
        <v>#N/A</v>
      </c>
      <c r="AH926" s="11" t="e">
        <f>VLOOKUP(L926,'[1]update kontrak'!E:K,7,FALSE)</f>
        <v>#N/A</v>
      </c>
      <c r="AI926" s="11"/>
      <c r="AJ926" s="11" t="str">
        <f>VLOOKUP(L926,[1]rekap!D:M,1,FALSE)</f>
        <v>Mamoribo</v>
      </c>
      <c r="AK926" s="11" t="e">
        <f>VLOOKUP(L926,'[1]singkron data'!D:E,2,FALSE)</f>
        <v>#N/A</v>
      </c>
      <c r="AL926" s="11" t="str">
        <f>VLOOKUP(L926,'[1]update 521'!D:D,1,FALSE)</f>
        <v>Mamoribo</v>
      </c>
      <c r="AM926" s="11" t="e">
        <f>VLOOKUP(L926,[1]Sheet18!I:M,5,FALSE)</f>
        <v>#N/A</v>
      </c>
      <c r="AN926" s="11" t="e">
        <f>VLOOKUP(L926,[1]Sheet19!E:L,8,FALSE)</f>
        <v>#N/A</v>
      </c>
      <c r="AO926" s="11" t="e">
        <f>VLOOKUP(L926,[1]Sheet19!E:K,7,FALSE)</f>
        <v>#N/A</v>
      </c>
      <c r="AP926" s="12"/>
    </row>
    <row r="927" spans="1:42" ht="15" x14ac:dyDescent="0.2">
      <c r="A927" s="8" t="s">
        <v>2165</v>
      </c>
      <c r="B927" s="9" t="s">
        <v>60</v>
      </c>
      <c r="C927" s="9">
        <v>1125</v>
      </c>
      <c r="D927" s="9" t="s">
        <v>908</v>
      </c>
      <c r="E927" s="30"/>
      <c r="F927" s="9" t="s">
        <v>2232</v>
      </c>
      <c r="G927" s="9" t="s">
        <v>908</v>
      </c>
      <c r="H927" s="9" t="s">
        <v>911</v>
      </c>
      <c r="I927" s="9" t="s">
        <v>1014</v>
      </c>
      <c r="J927" s="9" t="s">
        <v>1030</v>
      </c>
      <c r="K927" s="9" t="s">
        <v>2238</v>
      </c>
      <c r="L927" s="9" t="s">
        <v>2238</v>
      </c>
      <c r="M927" s="9" t="s">
        <v>51</v>
      </c>
      <c r="N927" s="9">
        <v>20</v>
      </c>
      <c r="O927" s="9">
        <v>20</v>
      </c>
      <c r="P927" s="9" t="s">
        <v>72</v>
      </c>
      <c r="Q927" s="9">
        <v>20</v>
      </c>
      <c r="R927" s="9">
        <v>0.09</v>
      </c>
      <c r="S927" s="9">
        <v>-1.0028028</v>
      </c>
      <c r="T927" s="9">
        <v>135.8065028</v>
      </c>
      <c r="U927" s="9"/>
      <c r="V927" s="11" t="s">
        <v>694</v>
      </c>
      <c r="W927" s="13">
        <f>VLOOKUP(L927,[1]Sheet18!I:N,6,FALSE)</f>
        <v>5011633000</v>
      </c>
      <c r="X927" s="11" t="s">
        <v>55</v>
      </c>
      <c r="Y927" s="11" t="e">
        <f>VLOOKUP(L927,'[1]singkron data'!D:H,5,FALSE)</f>
        <v>#N/A</v>
      </c>
      <c r="Z927" s="11" t="e">
        <f>VLOOKUP(L927,'[1]singkron data'!D:I,6,FALSE)</f>
        <v>#N/A</v>
      </c>
      <c r="AA927" s="11" t="e">
        <f>VLOOKUP(L927,'[1]singkron data'!D:L,9,FALSE)</f>
        <v>#N/A</v>
      </c>
      <c r="AB927" s="11" t="s">
        <v>694</v>
      </c>
      <c r="AC927" s="11" t="e">
        <f>VLOOKUP(L927,'[1]singkron data'!D:M,10,FALSE)</f>
        <v>#N/A</v>
      </c>
      <c r="AD927" s="11"/>
      <c r="AE927" s="11" t="e">
        <f>VLOOKUP(L927,'[1]singkron data'!D:P,13,FALSE)</f>
        <v>#N/A</v>
      </c>
      <c r="AF927" s="11" t="s">
        <v>55</v>
      </c>
      <c r="AG927" s="11" t="e">
        <f>VLOOKUP(L927,'[1]update kontrak'!E:K,6,FALSE)</f>
        <v>#N/A</v>
      </c>
      <c r="AH927" s="11" t="e">
        <f>VLOOKUP(L927,'[1]update kontrak'!E:K,7,FALSE)</f>
        <v>#N/A</v>
      </c>
      <c r="AI927" s="11"/>
      <c r="AJ927" s="11" t="str">
        <f>VLOOKUP(L927,[1]rekap!D:M,1,FALSE)</f>
        <v>Rarsbari</v>
      </c>
      <c r="AK927" s="11" t="e">
        <f>VLOOKUP(L927,'[1]singkron data'!D:E,2,FALSE)</f>
        <v>#N/A</v>
      </c>
      <c r="AL927" s="11" t="str">
        <f>VLOOKUP(L927,'[1]update 521'!D:D,1,FALSE)</f>
        <v>Rarsbari</v>
      </c>
      <c r="AM927" s="11" t="s">
        <v>57</v>
      </c>
      <c r="AN927" s="11" t="e">
        <f>VLOOKUP(L927,[1]Sheet19!E:L,8,FALSE)</f>
        <v>#N/A</v>
      </c>
      <c r="AO927" s="11" t="e">
        <f>VLOOKUP(L927,[1]Sheet19!E:K,7,FALSE)</f>
        <v>#N/A</v>
      </c>
      <c r="AP927" s="12"/>
    </row>
    <row r="928" spans="1:42" ht="15" x14ac:dyDescent="0.2">
      <c r="A928" s="8" t="s">
        <v>2165</v>
      </c>
      <c r="B928" s="9" t="s">
        <v>60</v>
      </c>
      <c r="C928" s="9">
        <v>1126</v>
      </c>
      <c r="D928" s="9" t="s">
        <v>908</v>
      </c>
      <c r="E928" s="30"/>
      <c r="F928" s="9" t="s">
        <v>923</v>
      </c>
      <c r="G928" s="9" t="s">
        <v>908</v>
      </c>
      <c r="H928" s="9" t="s">
        <v>911</v>
      </c>
      <c r="I928" s="9" t="s">
        <v>924</v>
      </c>
      <c r="J928" s="9" t="s">
        <v>925</v>
      </c>
      <c r="K928" s="9" t="s">
        <v>2239</v>
      </c>
      <c r="L928" s="9" t="s">
        <v>2239</v>
      </c>
      <c r="M928" s="9" t="s">
        <v>51</v>
      </c>
      <c r="N928" s="9">
        <v>80</v>
      </c>
      <c r="O928" s="9">
        <v>80</v>
      </c>
      <c r="P928" s="9">
        <v>45</v>
      </c>
      <c r="Q928" s="9">
        <v>125</v>
      </c>
      <c r="R928" s="9">
        <v>1</v>
      </c>
      <c r="S928" s="9">
        <v>-0.85664830000000003</v>
      </c>
      <c r="T928" s="9">
        <v>135.62209490000001</v>
      </c>
      <c r="U928" s="9"/>
      <c r="V928" s="11" t="s">
        <v>694</v>
      </c>
      <c r="W928" s="11"/>
      <c r="X928" s="11"/>
      <c r="Y928" s="11" t="e">
        <f>VLOOKUP(L928,'[1]singkron data'!D:H,5,FALSE)</f>
        <v>#N/A</v>
      </c>
      <c r="Z928" s="11" t="e">
        <f>VLOOKUP(L928,'[1]singkron data'!D:I,6,FALSE)</f>
        <v>#N/A</v>
      </c>
      <c r="AA928" s="11" t="e">
        <f>VLOOKUP(L928,'[1]singkron data'!D:L,9,FALSE)</f>
        <v>#N/A</v>
      </c>
      <c r="AB928" s="11" t="s">
        <v>694</v>
      </c>
      <c r="AC928" s="11" t="e">
        <f>VLOOKUP(L928,'[1]singkron data'!D:M,10,FALSE)</f>
        <v>#N/A</v>
      </c>
      <c r="AD928" s="11"/>
      <c r="AE928" s="11" t="e">
        <f>VLOOKUP(L928,'[1]singkron data'!D:P,13,FALSE)</f>
        <v>#N/A</v>
      </c>
      <c r="AF928" s="11"/>
      <c r="AG928" s="11" t="e">
        <f>VLOOKUP(L928,'[1]update kontrak'!E:K,6,FALSE)</f>
        <v>#N/A</v>
      </c>
      <c r="AH928" s="11" t="e">
        <f>VLOOKUP(L928,'[1]update kontrak'!E:K,7,FALSE)</f>
        <v>#N/A</v>
      </c>
      <c r="AI928" s="11"/>
      <c r="AJ928" s="11" t="str">
        <f>VLOOKUP(L928,[1]rekap!D:M,1,FALSE)</f>
        <v>Maryaidori</v>
      </c>
      <c r="AK928" s="11" t="e">
        <f>VLOOKUP(L928,'[1]singkron data'!D:E,2,FALSE)</f>
        <v>#N/A</v>
      </c>
      <c r="AL928" s="11" t="str">
        <f>VLOOKUP(L928,'[1]update 521'!D:D,1,FALSE)</f>
        <v>Maryaidori</v>
      </c>
      <c r="AM928" s="11" t="e">
        <f>VLOOKUP(L928,[1]Sheet18!I:M,5,FALSE)</f>
        <v>#N/A</v>
      </c>
      <c r="AN928" s="11" t="e">
        <f>VLOOKUP(L928,[1]Sheet19!E:L,8,FALSE)</f>
        <v>#N/A</v>
      </c>
      <c r="AO928" s="11" t="e">
        <f>VLOOKUP(L928,[1]Sheet19!E:K,7,FALSE)</f>
        <v>#N/A</v>
      </c>
      <c r="AP928" s="12"/>
    </row>
    <row r="929" spans="1:42" ht="15" x14ac:dyDescent="0.2">
      <c r="A929" s="8" t="s">
        <v>2240</v>
      </c>
      <c r="B929" s="9" t="s">
        <v>43</v>
      </c>
      <c r="C929" s="9">
        <v>915</v>
      </c>
      <c r="D929" s="9" t="s">
        <v>284</v>
      </c>
      <c r="E929" s="9">
        <v>3</v>
      </c>
      <c r="F929" s="9" t="s">
        <v>2241</v>
      </c>
      <c r="G929" s="9" t="s">
        <v>301</v>
      </c>
      <c r="H929" s="9" t="s">
        <v>287</v>
      </c>
      <c r="I929" s="9" t="s">
        <v>316</v>
      </c>
      <c r="J929" s="9" t="s">
        <v>2242</v>
      </c>
      <c r="K929" s="9" t="s">
        <v>2243</v>
      </c>
      <c r="L929" s="9" t="s">
        <v>2243</v>
      </c>
      <c r="M929" s="9" t="s">
        <v>51</v>
      </c>
      <c r="N929" s="9">
        <v>78</v>
      </c>
      <c r="O929" s="9" t="s">
        <v>72</v>
      </c>
      <c r="P929" s="9">
        <v>76</v>
      </c>
      <c r="Q929" s="9">
        <v>76</v>
      </c>
      <c r="R929" s="9">
        <v>3.4500000000000003E-2</v>
      </c>
      <c r="S929" s="9">
        <v>-6.4666329999999999</v>
      </c>
      <c r="T929" s="9">
        <v>111.047725</v>
      </c>
      <c r="U929" s="9" t="s">
        <v>52</v>
      </c>
      <c r="V929" s="11" t="str">
        <f>VLOOKUP(L929,'[1]singkron data'!D:E,2,FALSE)</f>
        <v>CV. Bumi Jaya Berkah Abadi</v>
      </c>
      <c r="W929" s="13">
        <f>VLOOKUP(L929,'[1]data 1129'!F:H,3,FALSE)</f>
        <v>5437000000</v>
      </c>
      <c r="X929" s="11" t="s">
        <v>55</v>
      </c>
      <c r="Y929" s="11" t="str">
        <f>VLOOKUP(L929,'[1]singkron data'!D:H,5,FALSE)</f>
        <v>Banjarnegara</v>
      </c>
      <c r="Z929" s="11" t="str">
        <f>VLOOKUP(L929,'[1]singkron data'!D:I,6,FALSE)</f>
        <v>Offline</v>
      </c>
      <c r="AA929" s="11" t="str">
        <f>VLOOKUP(L929,'[1]singkron data'!D:L,9,FALSE)</f>
        <v>087776689958/iwan</v>
      </c>
      <c r="AB929" s="11" t="s">
        <v>54</v>
      </c>
      <c r="AC929" s="11" t="str">
        <f>VLOOKUP(L929,'[1]singkron data'!D:M,10,FALSE)</f>
        <v>g-drop sosek</v>
      </c>
      <c r="AD929" s="11" t="str">
        <f>VLOOKUP(L929,'[1]data 1129'!F:O,10,FALSE)</f>
        <v>Tahap IV 200</v>
      </c>
      <c r="AE929" s="11" t="str">
        <f>VLOOKUP(L929,'[1]singkron data'!D:P,13,FALSE)</f>
        <v>drop sosek</v>
      </c>
      <c r="AF929" s="11" t="s">
        <v>55</v>
      </c>
      <c r="AG929" s="11" t="e">
        <f>VLOOKUP(L929,'[1]update kontrak'!E:K,6,FALSE)</f>
        <v>#N/A</v>
      </c>
      <c r="AH929" s="11" t="e">
        <f>VLOOKUP(L929,'[1]update kontrak'!E:K,7,FALSE)</f>
        <v>#N/A</v>
      </c>
      <c r="AI929" s="11"/>
      <c r="AJ929" s="11" t="str">
        <f>VLOOKUP(L929,[1]rekap!D:M,1,FALSE)</f>
        <v>Alasdowo</v>
      </c>
      <c r="AK929" s="11" t="str">
        <f>VLOOKUP(L929,'[1]singkron data'!D:E,2,FALSE)</f>
        <v>CV. Bumi Jaya Berkah Abadi</v>
      </c>
      <c r="AL929" s="11" t="str">
        <f>VLOOKUP(L929,'[1]update 521'!D:D,1,FALSE)</f>
        <v>Alasdowo</v>
      </c>
      <c r="AM929" s="11" t="s">
        <v>337</v>
      </c>
      <c r="AN929" s="11" t="e">
        <f>VLOOKUP(L929,[1]Sheet19!E:L,8,FALSE)</f>
        <v>#N/A</v>
      </c>
      <c r="AO929" s="11" t="s">
        <v>58</v>
      </c>
      <c r="AP929" s="12"/>
    </row>
    <row r="930" spans="1:42" ht="15" x14ac:dyDescent="0.2">
      <c r="A930" s="8" t="s">
        <v>2240</v>
      </c>
      <c r="B930" s="9" t="s">
        <v>43</v>
      </c>
      <c r="C930" s="9">
        <v>916</v>
      </c>
      <c r="D930" s="9" t="s">
        <v>284</v>
      </c>
      <c r="E930" s="9">
        <v>4</v>
      </c>
      <c r="F930" s="9" t="s">
        <v>2241</v>
      </c>
      <c r="G930" s="9" t="s">
        <v>301</v>
      </c>
      <c r="H930" s="9" t="s">
        <v>287</v>
      </c>
      <c r="I930" s="9" t="s">
        <v>316</v>
      </c>
      <c r="J930" s="9" t="s">
        <v>2242</v>
      </c>
      <c r="K930" s="9" t="s">
        <v>2244</v>
      </c>
      <c r="L930" s="10" t="s">
        <v>2244</v>
      </c>
      <c r="M930" s="9" t="s">
        <v>51</v>
      </c>
      <c r="N930" s="9">
        <v>204</v>
      </c>
      <c r="O930" s="9">
        <v>1</v>
      </c>
      <c r="P930" s="9">
        <v>199</v>
      </c>
      <c r="Q930" s="9">
        <v>200</v>
      </c>
      <c r="R930" s="9">
        <v>0.06</v>
      </c>
      <c r="S930" s="9">
        <v>-6.4195123900000004</v>
      </c>
      <c r="T930" s="9">
        <v>110.9752537</v>
      </c>
      <c r="U930" s="9" t="s">
        <v>52</v>
      </c>
      <c r="V930" s="11" t="str">
        <f>VLOOKUP(L930,'[1]singkron data'!D:E,2,FALSE)</f>
        <v>CV. Astama Mas</v>
      </c>
      <c r="W930" s="13">
        <f>VLOOKUP(L930,'[1]data 1129'!F:H,3,FALSE)</f>
        <v>5437000000</v>
      </c>
      <c r="X930" s="11" t="s">
        <v>55</v>
      </c>
      <c r="Y930" s="11" t="str">
        <f>VLOOKUP(L930,'[1]singkron data'!D:H,5,FALSE)</f>
        <v>Banjarnegara</v>
      </c>
      <c r="Z930" s="11" t="str">
        <f>VLOOKUP(L930,'[1]singkron data'!D:I,6,FALSE)</f>
        <v>Offline</v>
      </c>
      <c r="AA930" s="11" t="str">
        <f>VLOOKUP(L930,'[1]singkron data'!D:L,9,FALSE)</f>
        <v>081330065040/ARI</v>
      </c>
      <c r="AB930" s="11" t="s">
        <v>54</v>
      </c>
      <c r="AC930" s="11" t="str">
        <f>VLOOKUP(L930,'[1]singkron data'!D:M,10,FALSE)</f>
        <v>g</v>
      </c>
      <c r="AD930" s="11" t="str">
        <f>VLOOKUP(L930,'[1]data 1129'!F:O,10,FALSE)</f>
        <v>Tahap IV 200</v>
      </c>
      <c r="AE930" s="11" t="str">
        <f>VLOOKUP(L930,'[1]singkron data'!D:P,13,FALSE)</f>
        <v>sudah</v>
      </c>
      <c r="AF930" s="11" t="s">
        <v>55</v>
      </c>
      <c r="AG930" s="11" t="e">
        <f>VLOOKUP(L930,'[1]update kontrak'!E:K,6,FALSE)</f>
        <v>#N/A</v>
      </c>
      <c r="AH930" s="11" t="e">
        <f>VLOOKUP(L930,'[1]update kontrak'!E:K,7,FALSE)</f>
        <v>#N/A</v>
      </c>
      <c r="AI930" s="11" t="s">
        <v>58</v>
      </c>
      <c r="AJ930" s="11" t="str">
        <f>VLOOKUP(L930,[1]rekap!D:M,1,FALSE)</f>
        <v>Puncel</v>
      </c>
      <c r="AK930" s="11" t="str">
        <f>VLOOKUP(L930,'[1]singkron data'!D:E,2,FALSE)</f>
        <v>CV. Astama Mas</v>
      </c>
      <c r="AL930" s="11" t="str">
        <f>VLOOKUP(L930,'[1]update 521'!D:D,1,FALSE)</f>
        <v>Puncel</v>
      </c>
      <c r="AM930" s="11" t="s">
        <v>57</v>
      </c>
      <c r="AN930" s="11" t="e">
        <f>VLOOKUP(L930,[1]Sheet19!E:L,8,FALSE)</f>
        <v>#N/A</v>
      </c>
      <c r="AO930" s="11" t="s">
        <v>58</v>
      </c>
      <c r="AP930" s="12"/>
    </row>
    <row r="931" spans="1:42" ht="15" x14ac:dyDescent="0.2">
      <c r="A931" s="8" t="s">
        <v>2240</v>
      </c>
      <c r="B931" s="9" t="s">
        <v>43</v>
      </c>
      <c r="C931" s="9">
        <v>917</v>
      </c>
      <c r="D931" s="9" t="s">
        <v>284</v>
      </c>
      <c r="E931" s="9">
        <v>5</v>
      </c>
      <c r="F931" s="9" t="s">
        <v>2241</v>
      </c>
      <c r="G931" s="9" t="s">
        <v>301</v>
      </c>
      <c r="H931" s="9" t="s">
        <v>287</v>
      </c>
      <c r="I931" s="9" t="s">
        <v>316</v>
      </c>
      <c r="J931" s="9" t="s">
        <v>317</v>
      </c>
      <c r="K931" s="9" t="s">
        <v>2245</v>
      </c>
      <c r="L931" s="9" t="s">
        <v>2245</v>
      </c>
      <c r="M931" s="9" t="s">
        <v>51</v>
      </c>
      <c r="N931" s="9">
        <v>21</v>
      </c>
      <c r="O931" s="9" t="s">
        <v>72</v>
      </c>
      <c r="P931" s="9">
        <v>20</v>
      </c>
      <c r="Q931" s="9">
        <v>20</v>
      </c>
      <c r="R931" s="9">
        <v>2.72</v>
      </c>
      <c r="S931" s="9">
        <v>-6.5179489999999998</v>
      </c>
      <c r="T931" s="9">
        <v>111.053984</v>
      </c>
      <c r="U931" s="9" t="s">
        <v>52</v>
      </c>
      <c r="V931" s="11" t="str">
        <f>VLOOKUP(L931,'[1]singkron data'!D:E,2,FALSE)</f>
        <v>CV. Bumi Jaya Berkah Abadi</v>
      </c>
      <c r="W931" s="13">
        <f>VLOOKUP(L931,'[1]data 1129'!F:H,3,FALSE)</f>
        <v>5437000000</v>
      </c>
      <c r="X931" s="11" t="s">
        <v>55</v>
      </c>
      <c r="Y931" s="11" t="str">
        <f>VLOOKUP(L931,'[1]singkron data'!D:H,5,FALSE)</f>
        <v>Banjarnegara</v>
      </c>
      <c r="Z931" s="11" t="str">
        <f>VLOOKUP(L931,'[1]singkron data'!D:I,6,FALSE)</f>
        <v>Offline</v>
      </c>
      <c r="AA931" s="11" t="str">
        <f>VLOOKUP(L931,'[1]singkron data'!D:L,9,FALSE)</f>
        <v>087776689958/iwan</v>
      </c>
      <c r="AB931" s="11" t="s">
        <v>54</v>
      </c>
      <c r="AC931" s="11" t="str">
        <f>VLOOKUP(L931,'[1]singkron data'!D:M,10,FALSE)</f>
        <v>g-drop sosek</v>
      </c>
      <c r="AD931" s="11" t="str">
        <f>VLOOKUP(L931,'[1]data 1129'!F:O,10,FALSE)</f>
        <v>Tahap IV 200</v>
      </c>
      <c r="AE931" s="11" t="str">
        <f>VLOOKUP(L931,'[1]singkron data'!D:P,13,FALSE)</f>
        <v>drop sosek</v>
      </c>
      <c r="AF931" s="11" t="s">
        <v>55</v>
      </c>
      <c r="AG931" s="11" t="e">
        <f>VLOOKUP(L931,'[1]update kontrak'!E:K,6,FALSE)</f>
        <v>#N/A</v>
      </c>
      <c r="AH931" s="11" t="e">
        <f>VLOOKUP(L931,'[1]update kontrak'!E:K,7,FALSE)</f>
        <v>#N/A</v>
      </c>
      <c r="AI931" s="11"/>
      <c r="AJ931" s="11" t="str">
        <f>VLOOKUP(L931,[1]rekap!D:M,1,FALSE)</f>
        <v>Dororejo</v>
      </c>
      <c r="AK931" s="11" t="str">
        <f>VLOOKUP(L931,'[1]singkron data'!D:E,2,FALSE)</f>
        <v>CV. Bumi Jaya Berkah Abadi</v>
      </c>
      <c r="AL931" s="11" t="str">
        <f>VLOOKUP(L931,'[1]update 521'!D:D,1,FALSE)</f>
        <v>Dororejo</v>
      </c>
      <c r="AM931" s="11" t="s">
        <v>337</v>
      </c>
      <c r="AN931" s="11" t="e">
        <f>VLOOKUP(L931,[1]Sheet19!E:L,8,FALSE)</f>
        <v>#N/A</v>
      </c>
      <c r="AO931" s="11" t="s">
        <v>58</v>
      </c>
      <c r="AP931" s="12"/>
    </row>
    <row r="932" spans="1:42" ht="15" x14ac:dyDescent="0.2">
      <c r="A932" s="8" t="s">
        <v>2240</v>
      </c>
      <c r="B932" s="9" t="s">
        <v>43</v>
      </c>
      <c r="C932" s="9">
        <v>918</v>
      </c>
      <c r="D932" s="9" t="s">
        <v>284</v>
      </c>
      <c r="E932" s="9">
        <v>6</v>
      </c>
      <c r="F932" s="9" t="s">
        <v>2241</v>
      </c>
      <c r="G932" s="9" t="s">
        <v>301</v>
      </c>
      <c r="H932" s="9" t="s">
        <v>287</v>
      </c>
      <c r="I932" s="9" t="s">
        <v>316</v>
      </c>
      <c r="J932" s="9" t="s">
        <v>317</v>
      </c>
      <c r="K932" s="9" t="s">
        <v>2246</v>
      </c>
      <c r="L932" s="9" t="s">
        <v>2246</v>
      </c>
      <c r="M932" s="9" t="s">
        <v>51</v>
      </c>
      <c r="N932" s="9">
        <v>154</v>
      </c>
      <c r="O932" s="9" t="s">
        <v>72</v>
      </c>
      <c r="P932" s="9">
        <v>154</v>
      </c>
      <c r="Q932" s="9">
        <v>154</v>
      </c>
      <c r="R932" s="9">
        <v>4.87E-2</v>
      </c>
      <c r="S932" s="9">
        <v>-6.5684630000000004</v>
      </c>
      <c r="T932" s="9">
        <v>111.06926</v>
      </c>
      <c r="U932" s="9" t="s">
        <v>52</v>
      </c>
      <c r="V932" s="11" t="str">
        <f>VLOOKUP(L932,'[1]singkron data'!D:E,2,FALSE)</f>
        <v>CV. Bumi Jaya Berkah Abadi</v>
      </c>
      <c r="W932" s="13">
        <f>VLOOKUP(L932,'[1]data 1129'!F:H,3,FALSE)</f>
        <v>5437000000</v>
      </c>
      <c r="X932" s="11" t="s">
        <v>55</v>
      </c>
      <c r="Y932" s="11" t="str">
        <f>VLOOKUP(L932,'[1]singkron data'!D:H,5,FALSE)</f>
        <v>Banjarnegara</v>
      </c>
      <c r="Z932" s="11" t="str">
        <f>VLOOKUP(L932,'[1]singkron data'!D:I,6,FALSE)</f>
        <v>Offline</v>
      </c>
      <c r="AA932" s="11" t="str">
        <f>VLOOKUP(L932,'[1]singkron data'!D:L,9,FALSE)</f>
        <v>087776689958/iwan</v>
      </c>
      <c r="AB932" s="11" t="s">
        <v>54</v>
      </c>
      <c r="AC932" s="11" t="str">
        <f>VLOOKUP(L932,'[1]singkron data'!D:M,10,FALSE)</f>
        <v>g-drop sosek</v>
      </c>
      <c r="AD932" s="11" t="str">
        <f>VLOOKUP(L932,'[1]data 1129'!F:O,10,FALSE)</f>
        <v>Tahap IV 200</v>
      </c>
      <c r="AE932" s="11" t="str">
        <f>VLOOKUP(L932,'[1]singkron data'!D:P,13,FALSE)</f>
        <v>drop sosek</v>
      </c>
      <c r="AF932" s="11" t="s">
        <v>55</v>
      </c>
      <c r="AG932" s="11" t="e">
        <f>VLOOKUP(L932,'[1]update kontrak'!E:K,6,FALSE)</f>
        <v>#N/A</v>
      </c>
      <c r="AH932" s="11" t="e">
        <f>VLOOKUP(L932,'[1]update kontrak'!E:K,7,FALSE)</f>
        <v>#N/A</v>
      </c>
      <c r="AI932" s="11"/>
      <c r="AJ932" s="11" t="str">
        <f>VLOOKUP(L932,[1]rekap!D:M,1,FALSE)</f>
        <v>Margomulyo</v>
      </c>
      <c r="AK932" s="11" t="str">
        <f>VLOOKUP(L932,'[1]singkron data'!D:E,2,FALSE)</f>
        <v>CV. Bumi Jaya Berkah Abadi</v>
      </c>
      <c r="AL932" s="11" t="str">
        <f>VLOOKUP(L932,'[1]update 521'!D:D,1,FALSE)</f>
        <v>Margomulyo</v>
      </c>
      <c r="AM932" s="11" t="s">
        <v>337</v>
      </c>
      <c r="AN932" s="11" t="e">
        <f>VLOOKUP(L932,[1]Sheet19!E:L,8,FALSE)</f>
        <v>#N/A</v>
      </c>
      <c r="AO932" s="11" t="s">
        <v>58</v>
      </c>
      <c r="AP932" s="12"/>
    </row>
    <row r="933" spans="1:42" ht="15" x14ac:dyDescent="0.2">
      <c r="A933" s="8" t="s">
        <v>2240</v>
      </c>
      <c r="B933" s="9" t="s">
        <v>43</v>
      </c>
      <c r="C933" s="9">
        <v>921</v>
      </c>
      <c r="D933" s="9" t="s">
        <v>284</v>
      </c>
      <c r="E933" s="9">
        <v>9</v>
      </c>
      <c r="F933" s="9" t="s">
        <v>296</v>
      </c>
      <c r="G933" s="9" t="s">
        <v>297</v>
      </c>
      <c r="H933" s="9" t="s">
        <v>287</v>
      </c>
      <c r="I933" s="9" t="s">
        <v>298</v>
      </c>
      <c r="J933" s="9" t="s">
        <v>2247</v>
      </c>
      <c r="K933" s="9" t="s">
        <v>2248</v>
      </c>
      <c r="L933" s="9" t="s">
        <v>2248</v>
      </c>
      <c r="M933" s="9" t="s">
        <v>51</v>
      </c>
      <c r="N933" s="9">
        <v>102</v>
      </c>
      <c r="O933" s="9">
        <v>14</v>
      </c>
      <c r="P933" s="9">
        <v>24</v>
      </c>
      <c r="Q933" s="9">
        <v>38</v>
      </c>
      <c r="R933" s="9">
        <v>0.56999999999999995</v>
      </c>
      <c r="S933" s="9">
        <v>-8.2869790000000005</v>
      </c>
      <c r="T933" s="9">
        <v>111.926247</v>
      </c>
      <c r="U933" s="9" t="s">
        <v>52</v>
      </c>
      <c r="V933" s="11" t="str">
        <f>VLOOKUP(L933,'[1]singkron data'!D:E,2,FALSE)</f>
        <v>CV. Wapike Bali</v>
      </c>
      <c r="W933" s="13">
        <f>VLOOKUP(L933,'[1]data 1129'!F:H,3,FALSE)</f>
        <v>4441806000</v>
      </c>
      <c r="X933" s="11" t="s">
        <v>55</v>
      </c>
      <c r="Y933" s="11">
        <f>VLOOKUP(L933,'[1]singkron data'!D:H,5,FALSE)</f>
        <v>0</v>
      </c>
      <c r="Z933" s="11">
        <f>VLOOKUP(L933,'[1]singkron data'!D:I,6,FALSE)</f>
        <v>0</v>
      </c>
      <c r="AA933" s="11" t="str">
        <f>VLOOKUP(L933,'[1]singkron data'!D:L,9,FALSE)</f>
        <v>813-3035-4355/Siroj</v>
      </c>
      <c r="AB933" s="11" t="s">
        <v>54</v>
      </c>
      <c r="AC933" s="11" t="str">
        <f>VLOOKUP(L933,'[1]singkron data'!D:M,10,FALSE)</f>
        <v>g-drop sosek</v>
      </c>
      <c r="AD933" s="11" t="str">
        <f>VLOOKUP(L933,'[1]data 1129'!F:O,10,FALSE)</f>
        <v>Tahap IV 200</v>
      </c>
      <c r="AE933" s="11" t="str">
        <f>VLOOKUP(L933,'[1]singkron data'!D:P,13,FALSE)</f>
        <v>drop sosek</v>
      </c>
      <c r="AF933" s="11" t="s">
        <v>55</v>
      </c>
      <c r="AG933" s="11" t="e">
        <f>VLOOKUP(L933,'[1]update kontrak'!E:K,6,FALSE)</f>
        <v>#N/A</v>
      </c>
      <c r="AH933" s="11" t="e">
        <f>VLOOKUP(L933,'[1]update kontrak'!E:K,7,FALSE)</f>
        <v>#N/A</v>
      </c>
      <c r="AI933" s="11"/>
      <c r="AJ933" s="11" t="str">
        <f>VLOOKUP(L933,[1]rekap!D:M,1,FALSE)</f>
        <v>Jengglungharjo</v>
      </c>
      <c r="AK933" s="11" t="str">
        <f>VLOOKUP(L933,'[1]singkron data'!D:E,2,FALSE)</f>
        <v>CV. Wapike Bali</v>
      </c>
      <c r="AL933" s="11" t="str">
        <f>VLOOKUP(L933,'[1]update 521'!D:D,1,FALSE)</f>
        <v>Jengglungharjo</v>
      </c>
      <c r="AM933" s="11" t="s">
        <v>337</v>
      </c>
      <c r="AN933" s="11" t="e">
        <f>VLOOKUP(L933,[1]Sheet19!E:L,8,FALSE)</f>
        <v>#N/A</v>
      </c>
      <c r="AO933" s="11" t="s">
        <v>58</v>
      </c>
      <c r="AP933" s="12"/>
    </row>
    <row r="934" spans="1:42" ht="15" x14ac:dyDescent="0.2">
      <c r="A934" s="8" t="s">
        <v>2240</v>
      </c>
      <c r="B934" s="9" t="s">
        <v>43</v>
      </c>
      <c r="C934" s="9">
        <v>922</v>
      </c>
      <c r="D934" s="9" t="s">
        <v>284</v>
      </c>
      <c r="E934" s="9">
        <v>10</v>
      </c>
      <c r="F934" s="9" t="s">
        <v>300</v>
      </c>
      <c r="G934" s="9" t="s">
        <v>301</v>
      </c>
      <c r="H934" s="9" t="s">
        <v>287</v>
      </c>
      <c r="I934" s="9" t="s">
        <v>302</v>
      </c>
      <c r="J934" s="9" t="s">
        <v>303</v>
      </c>
      <c r="K934" s="9" t="s">
        <v>2249</v>
      </c>
      <c r="L934" s="10" t="s">
        <v>2249</v>
      </c>
      <c r="M934" s="9" t="s">
        <v>65</v>
      </c>
      <c r="N934" s="9">
        <v>1500</v>
      </c>
      <c r="O934" s="9">
        <v>1</v>
      </c>
      <c r="P934" s="9">
        <v>767</v>
      </c>
      <c r="Q934" s="9">
        <v>768</v>
      </c>
      <c r="R934" s="9">
        <v>0.2</v>
      </c>
      <c r="S934" s="9">
        <v>-6.8343658999999999</v>
      </c>
      <c r="T934" s="9">
        <v>110.5606913</v>
      </c>
      <c r="U934" s="9" t="s">
        <v>52</v>
      </c>
      <c r="V934" s="11" t="str">
        <f>VLOOKUP(L934,'[1]singkron data'!D:E,2,FALSE)</f>
        <v>CV. Sinar Mulya</v>
      </c>
      <c r="W934" s="13">
        <f>VLOOKUP(L934,'[1]data 1129'!F:H,3,FALSE)</f>
        <v>5500000000</v>
      </c>
      <c r="X934" s="11" t="s">
        <v>55</v>
      </c>
      <c r="Y934" s="11">
        <f>VLOOKUP(L934,'[1]singkron data'!D:H,5,FALSE)</f>
        <v>0</v>
      </c>
      <c r="Z934" s="11" t="str">
        <f>VLOOKUP(L934,'[1]singkron data'!D:I,6,FALSE)</f>
        <v>Online</v>
      </c>
      <c r="AA934" s="11" t="str">
        <f>VLOOKUP(L934,'[1]singkron data'!D:L,9,FALSE)</f>
        <v>081330470795/haris</v>
      </c>
      <c r="AB934" s="11" t="s">
        <v>54</v>
      </c>
      <c r="AC934" s="11" t="str">
        <f>VLOOKUP(L934,'[1]singkron data'!D:M,10,FALSE)</f>
        <v>g</v>
      </c>
      <c r="AD934" s="11" t="str">
        <f>VLOOKUP(L934,'[1]data 1129'!F:O,10,FALSE)</f>
        <v>Tahap III 166</v>
      </c>
      <c r="AE934" s="11" t="str">
        <f>VLOOKUP(L934,'[1]singkron data'!D:P,13,FALSE)</f>
        <v>sudah</v>
      </c>
      <c r="AF934" s="11" t="s">
        <v>55</v>
      </c>
      <c r="AG934" s="11" t="e">
        <f>VLOOKUP(L934,'[1]update kontrak'!E:K,6,FALSE)</f>
        <v>#N/A</v>
      </c>
      <c r="AH934" s="11" t="e">
        <f>VLOOKUP(L934,'[1]update kontrak'!E:K,7,FALSE)</f>
        <v>#N/A</v>
      </c>
      <c r="AI934" s="11" t="s">
        <v>58</v>
      </c>
      <c r="AJ934" s="11" t="str">
        <f>VLOOKUP(L934,[1]rekap!D:M,1,FALSE)</f>
        <v>Purworejo</v>
      </c>
      <c r="AK934" s="11" t="str">
        <f>VLOOKUP(L934,'[1]singkron data'!D:E,2,FALSE)</f>
        <v>CV. Sinar Mulya</v>
      </c>
      <c r="AL934" s="11" t="str">
        <f>VLOOKUP(L934,'[1]update 521'!D:D,1,FALSE)</f>
        <v>Purworejo</v>
      </c>
      <c r="AM934" s="11" t="s">
        <v>57</v>
      </c>
      <c r="AN934" s="17">
        <f>VLOOKUP(L934,[1]Sheet19!E:L,8,FALSE)</f>
        <v>6948346321.71</v>
      </c>
      <c r="AO934" s="11" t="str">
        <f>VLOOKUP(L934,[1]Sheet19!E:K,7,FALSE)</f>
        <v>SPPBJ</v>
      </c>
      <c r="AP934" s="12"/>
    </row>
    <row r="935" spans="1:42" ht="15" x14ac:dyDescent="0.2">
      <c r="A935" s="8" t="s">
        <v>2240</v>
      </c>
      <c r="B935" s="9" t="s">
        <v>43</v>
      </c>
      <c r="C935" s="9">
        <v>926</v>
      </c>
      <c r="D935" s="9" t="s">
        <v>284</v>
      </c>
      <c r="E935" s="9">
        <v>14</v>
      </c>
      <c r="F935" s="9" t="s">
        <v>300</v>
      </c>
      <c r="G935" s="9" t="s">
        <v>301</v>
      </c>
      <c r="H935" s="9" t="s">
        <v>287</v>
      </c>
      <c r="I935" s="9" t="s">
        <v>305</v>
      </c>
      <c r="J935" s="9" t="s">
        <v>306</v>
      </c>
      <c r="K935" s="9" t="s">
        <v>2250</v>
      </c>
      <c r="L935" s="10" t="s">
        <v>2250</v>
      </c>
      <c r="M935" s="9" t="s">
        <v>51</v>
      </c>
      <c r="N935" s="9">
        <v>100</v>
      </c>
      <c r="O935" s="9" t="s">
        <v>72</v>
      </c>
      <c r="P935" s="9">
        <v>56</v>
      </c>
      <c r="Q935" s="9">
        <v>56</v>
      </c>
      <c r="R935" s="9">
        <v>0.28999999999999998</v>
      </c>
      <c r="S935" s="9">
        <v>-6.5340951</v>
      </c>
      <c r="T935" s="9">
        <v>110.6653444</v>
      </c>
      <c r="U935" s="9" t="s">
        <v>52</v>
      </c>
      <c r="V935" s="11" t="str">
        <f>VLOOKUP(L935,'[1]singkron data'!D:E,2,FALSE)</f>
        <v>CV. Astana Mas</v>
      </c>
      <c r="W935" s="13">
        <f>VLOOKUP(L935,'[1]data 1129'!F:H,3,FALSE)</f>
        <v>2314000000</v>
      </c>
      <c r="X935" s="11" t="s">
        <v>55</v>
      </c>
      <c r="Y935" s="11">
        <f>VLOOKUP(L935,'[1]singkron data'!D:H,5,FALSE)</f>
        <v>0</v>
      </c>
      <c r="Z935" s="11">
        <f>VLOOKUP(L935,'[1]singkron data'!D:I,6,FALSE)</f>
        <v>0</v>
      </c>
      <c r="AA935" s="11" t="str">
        <f>VLOOKUP(L935,'[1]singkron data'!D:L,9,FALSE)</f>
        <v>081330065040/ARI</v>
      </c>
      <c r="AB935" s="11" t="s">
        <v>54</v>
      </c>
      <c r="AC935" s="11" t="str">
        <f>VLOOKUP(L935,'[1]singkron data'!D:M,10,FALSE)</f>
        <v>g</v>
      </c>
      <c r="AD935" s="11" t="str">
        <f>VLOOKUP(L935,'[1]data 1129'!F:O,10,FALSE)</f>
        <v>Tahap I 208</v>
      </c>
      <c r="AE935" s="11" t="str">
        <f>VLOOKUP(L935,'[1]singkron data'!D:P,13,FALSE)</f>
        <v>sudah</v>
      </c>
      <c r="AF935" s="11" t="s">
        <v>55</v>
      </c>
      <c r="AG935" s="11" t="e">
        <f>VLOOKUP(L935,'[1]update kontrak'!E:K,6,FALSE)</f>
        <v>#N/A</v>
      </c>
      <c r="AH935" s="11" t="e">
        <f>VLOOKUP(L935,'[1]update kontrak'!E:K,7,FALSE)</f>
        <v>#N/A</v>
      </c>
      <c r="AI935" s="11" t="s">
        <v>58</v>
      </c>
      <c r="AJ935" s="11" t="str">
        <f>VLOOKUP(L935,[1]rekap!D:M,1,FALSE)</f>
        <v>Mororejo</v>
      </c>
      <c r="AK935" s="11" t="str">
        <f>VLOOKUP(L935,'[1]singkron data'!D:E,2,FALSE)</f>
        <v>CV. Astana Mas</v>
      </c>
      <c r="AL935" s="11" t="str">
        <f>VLOOKUP(L935,'[1]update 521'!D:D,1,FALSE)</f>
        <v>Mororejo</v>
      </c>
      <c r="AM935" s="11" t="s">
        <v>57</v>
      </c>
      <c r="AN935" s="11" t="e">
        <f>VLOOKUP(L935,[1]Sheet19!E:L,8,FALSE)</f>
        <v>#N/A</v>
      </c>
      <c r="AO935" s="11" t="s">
        <v>58</v>
      </c>
      <c r="AP935" s="12"/>
    </row>
    <row r="936" spans="1:42" ht="15" x14ac:dyDescent="0.2">
      <c r="A936" s="8" t="s">
        <v>2240</v>
      </c>
      <c r="B936" s="9" t="s">
        <v>43</v>
      </c>
      <c r="C936" s="9">
        <v>927</v>
      </c>
      <c r="D936" s="9" t="s">
        <v>284</v>
      </c>
      <c r="E936" s="9">
        <v>15</v>
      </c>
      <c r="F936" s="9" t="s">
        <v>300</v>
      </c>
      <c r="G936" s="9" t="s">
        <v>301</v>
      </c>
      <c r="H936" s="9" t="s">
        <v>287</v>
      </c>
      <c r="I936" s="9" t="s">
        <v>495</v>
      </c>
      <c r="J936" s="9" t="s">
        <v>495</v>
      </c>
      <c r="K936" s="9" t="s">
        <v>2251</v>
      </c>
      <c r="L936" s="10" t="s">
        <v>2251</v>
      </c>
      <c r="M936" s="9" t="s">
        <v>51</v>
      </c>
      <c r="N936" s="9">
        <v>23</v>
      </c>
      <c r="O936" s="9" t="s">
        <v>72</v>
      </c>
      <c r="P936" s="9">
        <v>23</v>
      </c>
      <c r="Q936" s="9">
        <v>23</v>
      </c>
      <c r="R936" s="9">
        <v>3.7</v>
      </c>
      <c r="S936" s="9">
        <v>-6.9055239999999998</v>
      </c>
      <c r="T936" s="9">
        <v>110.206006</v>
      </c>
      <c r="U936" s="9" t="s">
        <v>52</v>
      </c>
      <c r="V936" s="11" t="str">
        <f>VLOOKUP(L936,'[1]singkron data'!D:E,2,FALSE)</f>
        <v>CV. Sinar Mulya</v>
      </c>
      <c r="W936" s="13">
        <f>VLOOKUP(L936,'[1]data 1129'!F:H,3,FALSE)</f>
        <v>5437000000</v>
      </c>
      <c r="X936" s="11" t="s">
        <v>55</v>
      </c>
      <c r="Y936" s="11" t="str">
        <f>VLOOKUP(L936,'[1]singkron data'!D:H,5,FALSE)</f>
        <v>Jakarta</v>
      </c>
      <c r="Z936" s="11" t="str">
        <f>VLOOKUP(L936,'[1]singkron data'!D:I,6,FALSE)</f>
        <v>Online</v>
      </c>
      <c r="AA936" s="11" t="str">
        <f>VLOOKUP(L936,'[1]singkron data'!D:L,9,FALSE)</f>
        <v>081330470795/haris</v>
      </c>
      <c r="AB936" s="11" t="s">
        <v>54</v>
      </c>
      <c r="AC936" s="11" t="str">
        <f>VLOOKUP(L936,'[1]singkron data'!D:M,10,FALSE)</f>
        <v>g</v>
      </c>
      <c r="AD936" s="11" t="str">
        <f>VLOOKUP(L936,'[1]data 1129'!F:O,10,FALSE)</f>
        <v>Tahap IV 200</v>
      </c>
      <c r="AE936" s="11" t="str">
        <f>VLOOKUP(L936,'[1]singkron data'!D:P,13,FALSE)</f>
        <v>lokasi batal</v>
      </c>
      <c r="AF936" s="11" t="s">
        <v>55</v>
      </c>
      <c r="AG936" s="11" t="e">
        <f>VLOOKUP(L936,'[1]update kontrak'!E:K,6,FALSE)</f>
        <v>#N/A</v>
      </c>
      <c r="AH936" s="11" t="e">
        <f>VLOOKUP(L936,'[1]update kontrak'!E:K,7,FALSE)</f>
        <v>#N/A</v>
      </c>
      <c r="AI936" s="11" t="s">
        <v>58</v>
      </c>
      <c r="AJ936" s="11" t="str">
        <f>VLOOKUP(L936,[1]rekap!D:M,1,FALSE)</f>
        <v>Balok</v>
      </c>
      <c r="AK936" s="11" t="str">
        <f>VLOOKUP(L936,'[1]singkron data'!D:E,2,FALSE)</f>
        <v>CV. Sinar Mulya</v>
      </c>
      <c r="AL936" s="11" t="str">
        <f>VLOOKUP(L936,'[1]update 521'!D:D,1,FALSE)</f>
        <v>Balok</v>
      </c>
      <c r="AM936" s="11" t="s">
        <v>337</v>
      </c>
      <c r="AN936" s="11" t="e">
        <f>VLOOKUP(L936,[1]Sheet19!E:L,8,FALSE)</f>
        <v>#N/A</v>
      </c>
      <c r="AO936" s="11" t="s">
        <v>58</v>
      </c>
      <c r="AP936" s="12"/>
    </row>
    <row r="937" spans="1:42" ht="15" x14ac:dyDescent="0.2">
      <c r="A937" s="8" t="s">
        <v>2240</v>
      </c>
      <c r="B937" s="9" t="s">
        <v>43</v>
      </c>
      <c r="C937" s="9">
        <v>928</v>
      </c>
      <c r="D937" s="9" t="s">
        <v>284</v>
      </c>
      <c r="E937" s="9">
        <v>16</v>
      </c>
      <c r="F937" s="9" t="s">
        <v>300</v>
      </c>
      <c r="G937" s="9" t="s">
        <v>301</v>
      </c>
      <c r="H937" s="9" t="s">
        <v>287</v>
      </c>
      <c r="I937" s="9" t="s">
        <v>2252</v>
      </c>
      <c r="J937" s="9" t="s">
        <v>2253</v>
      </c>
      <c r="K937" s="9" t="s">
        <v>2254</v>
      </c>
      <c r="L937" s="10" t="s">
        <v>2254</v>
      </c>
      <c r="M937" s="9" t="s">
        <v>51</v>
      </c>
      <c r="N937" s="9">
        <v>753</v>
      </c>
      <c r="O937" s="9">
        <v>26</v>
      </c>
      <c r="P937" s="9">
        <v>527</v>
      </c>
      <c r="Q937" s="9">
        <v>553</v>
      </c>
      <c r="R937" s="9">
        <v>0.08</v>
      </c>
      <c r="S937" s="9">
        <v>-6.9454669999999998</v>
      </c>
      <c r="T937" s="9">
        <v>110.44201</v>
      </c>
      <c r="U937" s="9" t="s">
        <v>52</v>
      </c>
      <c r="V937" s="11" t="str">
        <f>VLOOKUP(L937,'[1]singkron data'!D:E,2,FALSE)</f>
        <v>CV. Sinar Mulya</v>
      </c>
      <c r="W937" s="13">
        <f>VLOOKUP(L937,'[1]data 1129'!F:H,3,FALSE)</f>
        <v>4287900000</v>
      </c>
      <c r="X937" s="11" t="s">
        <v>55</v>
      </c>
      <c r="Y937" s="11" t="str">
        <f>VLOOKUP(L937,'[1]singkron data'!D:H,5,FALSE)</f>
        <v>Jakarta</v>
      </c>
      <c r="Z937" s="11" t="str">
        <f>VLOOKUP(L937,'[1]singkron data'!D:I,6,FALSE)</f>
        <v>Online</v>
      </c>
      <c r="AA937" s="11" t="str">
        <f>VLOOKUP(L937,'[1]singkron data'!D:L,9,FALSE)</f>
        <v>081330470795/kharis</v>
      </c>
      <c r="AB937" s="11" t="s">
        <v>54</v>
      </c>
      <c r="AC937" s="11" t="str">
        <f>VLOOKUP(L937,'[1]singkron data'!D:M,10,FALSE)</f>
        <v>g</v>
      </c>
      <c r="AD937" s="11" t="str">
        <f>VLOOKUP(L937,'[1]data 1129'!F:O,10,FALSE)</f>
        <v>Tahap I 208</v>
      </c>
      <c r="AE937" s="11" t="str">
        <f>VLOOKUP(L937,'[1]singkron data'!D:P,13,FALSE)</f>
        <v>sudah</v>
      </c>
      <c r="AF937" s="11" t="s">
        <v>55</v>
      </c>
      <c r="AG937" s="11" t="e">
        <f>VLOOKUP(L937,'[1]update kontrak'!E:K,6,FALSE)</f>
        <v>#N/A</v>
      </c>
      <c r="AH937" s="11" t="e">
        <f>VLOOKUP(L937,'[1]update kontrak'!E:K,7,FALSE)</f>
        <v>#N/A</v>
      </c>
      <c r="AI937" s="11" t="s">
        <v>58</v>
      </c>
      <c r="AJ937" s="11" t="str">
        <f>VLOOKUP(L937,[1]rekap!D:M,1,FALSE)</f>
        <v>Tanjung Mas</v>
      </c>
      <c r="AK937" s="11" t="str">
        <f>VLOOKUP(L937,'[1]singkron data'!D:E,2,FALSE)</f>
        <v>CV. Sinar Mulya</v>
      </c>
      <c r="AL937" s="11" t="str">
        <f>VLOOKUP(L937,'[1]update 521'!D:D,1,FALSE)</f>
        <v>Tanjung Mas</v>
      </c>
      <c r="AM937" s="11" t="s">
        <v>57</v>
      </c>
      <c r="AN937" s="17">
        <f>VLOOKUP(L937,[1]Sheet19!E:L,8,FALSE)</f>
        <v>4011005045.4899998</v>
      </c>
      <c r="AO937" s="11" t="str">
        <f>VLOOKUP(L937,[1]Sheet19!E:K,7,FALSE)</f>
        <v>SPPBJ</v>
      </c>
      <c r="AP937" s="12"/>
    </row>
    <row r="938" spans="1:42" ht="15" x14ac:dyDescent="0.2">
      <c r="A938" s="8" t="s">
        <v>2240</v>
      </c>
      <c r="B938" s="9" t="s">
        <v>43</v>
      </c>
      <c r="C938" s="9">
        <v>932</v>
      </c>
      <c r="D938" s="9" t="s">
        <v>284</v>
      </c>
      <c r="E938" s="9">
        <v>20</v>
      </c>
      <c r="F938" s="9" t="s">
        <v>300</v>
      </c>
      <c r="G938" s="9" t="s">
        <v>301</v>
      </c>
      <c r="H938" s="9" t="s">
        <v>287</v>
      </c>
      <c r="I938" s="9" t="s">
        <v>302</v>
      </c>
      <c r="J938" s="9" t="s">
        <v>313</v>
      </c>
      <c r="K938" s="9" t="s">
        <v>2255</v>
      </c>
      <c r="L938" s="9" t="s">
        <v>2255</v>
      </c>
      <c r="M938" s="9" t="s">
        <v>51</v>
      </c>
      <c r="N938" s="9">
        <v>147</v>
      </c>
      <c r="O938" s="9" t="s">
        <v>72</v>
      </c>
      <c r="P938" s="9">
        <v>140</v>
      </c>
      <c r="Q938" s="9">
        <v>140</v>
      </c>
      <c r="R938" s="9">
        <v>5</v>
      </c>
      <c r="S938" s="9">
        <v>-6.7153470000000004</v>
      </c>
      <c r="T938" s="9">
        <v>110.64439400000001</v>
      </c>
      <c r="U938" s="9" t="s">
        <v>52</v>
      </c>
      <c r="V938" s="11" t="str">
        <f>VLOOKUP(L938,'[1]singkron data'!D:E,2,FALSE)</f>
        <v>CV. Sinar Mulya</v>
      </c>
      <c r="W938" s="13">
        <f>VLOOKUP(L938,'[1]data 1129'!F:H,3,FALSE)</f>
        <v>2314000000</v>
      </c>
      <c r="X938" s="11" t="s">
        <v>55</v>
      </c>
      <c r="Y938" s="11">
        <f>VLOOKUP(L938,'[1]singkron data'!D:H,5,FALSE)</f>
        <v>0</v>
      </c>
      <c r="Z938" s="11" t="str">
        <f>VLOOKUP(L938,'[1]singkron data'!D:I,6,FALSE)</f>
        <v>Online</v>
      </c>
      <c r="AA938" s="11" t="str">
        <f>VLOOKUP(L938,'[1]singkron data'!D:L,9,FALSE)</f>
        <v>081330470795/haris</v>
      </c>
      <c r="AB938" s="11" t="s">
        <v>54</v>
      </c>
      <c r="AC938" s="11" t="str">
        <f>VLOOKUP(L938,'[1]singkron data'!D:M,10,FALSE)</f>
        <v>g-drop sosek</v>
      </c>
      <c r="AD938" s="11" t="str">
        <f>VLOOKUP(L938,'[1]data 1129'!F:O,10,FALSE)</f>
        <v>Tahap III 166</v>
      </c>
      <c r="AE938" s="11" t="str">
        <f>VLOOKUP(L938,'[1]singkron data'!D:P,13,FALSE)</f>
        <v>drop sosek</v>
      </c>
      <c r="AF938" s="11" t="s">
        <v>55</v>
      </c>
      <c r="AG938" s="11" t="e">
        <f>VLOOKUP(L938,'[1]update kontrak'!E:K,6,FALSE)</f>
        <v>#N/A</v>
      </c>
      <c r="AH938" s="11" t="e">
        <f>VLOOKUP(L938,'[1]update kontrak'!E:K,7,FALSE)</f>
        <v>#N/A</v>
      </c>
      <c r="AI938" s="11"/>
      <c r="AJ938" s="11" t="str">
        <f>VLOOKUP(L938,[1]rekap!D:M,1,FALSE)</f>
        <v>Kedungkarang</v>
      </c>
      <c r="AK938" s="11" t="str">
        <f>VLOOKUP(L938,'[1]singkron data'!D:E,2,FALSE)</f>
        <v>CV. Sinar Mulya</v>
      </c>
      <c r="AL938" s="11" t="str">
        <f>VLOOKUP(L938,'[1]update 521'!D:D,1,FALSE)</f>
        <v>Kedungkarang</v>
      </c>
      <c r="AM938" s="11" t="s">
        <v>337</v>
      </c>
      <c r="AN938" s="11" t="e">
        <f>VLOOKUP(L938,[1]Sheet19!E:L,8,FALSE)</f>
        <v>#N/A</v>
      </c>
      <c r="AO938" s="11" t="s">
        <v>58</v>
      </c>
      <c r="AP938" s="12"/>
    </row>
    <row r="939" spans="1:42" ht="15" x14ac:dyDescent="0.2">
      <c r="A939" s="8" t="s">
        <v>2240</v>
      </c>
      <c r="B939" s="9" t="s">
        <v>43</v>
      </c>
      <c r="C939" s="9">
        <v>954</v>
      </c>
      <c r="D939" s="9" t="s">
        <v>284</v>
      </c>
      <c r="E939" s="9">
        <v>42</v>
      </c>
      <c r="F939" s="9" t="s">
        <v>365</v>
      </c>
      <c r="G939" s="9" t="s">
        <v>297</v>
      </c>
      <c r="H939" s="9" t="s">
        <v>287</v>
      </c>
      <c r="I939" s="9" t="s">
        <v>366</v>
      </c>
      <c r="J939" s="9" t="s">
        <v>372</v>
      </c>
      <c r="K939" s="9" t="s">
        <v>2256</v>
      </c>
      <c r="L939" s="10" t="s">
        <v>2256</v>
      </c>
      <c r="M939" s="9" t="s">
        <v>51</v>
      </c>
      <c r="N939" s="9">
        <v>253</v>
      </c>
      <c r="O939" s="9" t="s">
        <v>72</v>
      </c>
      <c r="P939" s="9">
        <v>253</v>
      </c>
      <c r="Q939" s="9">
        <v>253</v>
      </c>
      <c r="R939" s="9">
        <v>0.05</v>
      </c>
      <c r="S939" s="9">
        <v>-6.8965015300000001</v>
      </c>
      <c r="T939" s="9">
        <v>113.48451609999999</v>
      </c>
      <c r="U939" s="9" t="s">
        <v>52</v>
      </c>
      <c r="V939" s="11" t="str">
        <f>VLOOKUP(L939,'[1]singkron data'!D:E,2,FALSE)</f>
        <v>PT. Elang Mas Berdikari</v>
      </c>
      <c r="W939" s="13">
        <f>VLOOKUP(L939,'[1]data 1129'!F:H,3,FALSE)</f>
        <v>3454266000</v>
      </c>
      <c r="X939" s="11" t="s">
        <v>55</v>
      </c>
      <c r="Y939" s="11">
        <f>VLOOKUP(L939,'[1]singkron data'!D:H,5,FALSE)</f>
        <v>0</v>
      </c>
      <c r="Z939" s="11" t="str">
        <f>VLOOKUP(L939,'[1]singkron data'!D:I,6,FALSE)</f>
        <v>Offline</v>
      </c>
      <c r="AA939" s="11" t="str">
        <f>VLOOKUP(L939,'[1]singkron data'!D:L,9,FALSE)</f>
        <v>085203533456/jibo</v>
      </c>
      <c r="AB939" s="11" t="s">
        <v>54</v>
      </c>
      <c r="AC939" s="11" t="str">
        <f>VLOOKUP(L939,'[1]singkron data'!D:M,10,FALSE)</f>
        <v>g</v>
      </c>
      <c r="AD939" s="11" t="str">
        <f>VLOOKUP(L939,'[1]data 1129'!F:O,10,FALSE)</f>
        <v>Tahap IV 200</v>
      </c>
      <c r="AE939" s="11" t="str">
        <f>VLOOKUP(L939,'[1]singkron data'!D:P,13,FALSE)</f>
        <v>tidak ada lokasi</v>
      </c>
      <c r="AF939" s="11" t="s">
        <v>55</v>
      </c>
      <c r="AG939" s="11" t="e">
        <f>VLOOKUP(L939,'[1]update kontrak'!E:K,6,FALSE)</f>
        <v>#N/A</v>
      </c>
      <c r="AH939" s="11" t="e">
        <f>VLOOKUP(L939,'[1]update kontrak'!E:K,7,FALSE)</f>
        <v>#N/A</v>
      </c>
      <c r="AI939" s="11" t="s">
        <v>58</v>
      </c>
      <c r="AJ939" s="11" t="str">
        <f>VLOOKUP(L939,[1]rekap!D:M,1,FALSE)</f>
        <v>Tamberu</v>
      </c>
      <c r="AK939" s="11" t="str">
        <f>VLOOKUP(L939,'[1]singkron data'!D:E,2,FALSE)</f>
        <v>PT. Elang Mas Berdikari</v>
      </c>
      <c r="AL939" s="11" t="str">
        <f>VLOOKUP(L939,'[1]update 521'!D:D,1,FALSE)</f>
        <v>Tamberu</v>
      </c>
      <c r="AM939" s="11" t="s">
        <v>337</v>
      </c>
      <c r="AN939" s="11" t="e">
        <f>VLOOKUP(L939,[1]Sheet19!E:L,8,FALSE)</f>
        <v>#N/A</v>
      </c>
      <c r="AO939" s="11" t="s">
        <v>58</v>
      </c>
      <c r="AP939" s="12"/>
    </row>
    <row r="940" spans="1:42" ht="15" x14ac:dyDescent="0.2">
      <c r="A940" s="8" t="s">
        <v>2240</v>
      </c>
      <c r="B940" s="9" t="s">
        <v>43</v>
      </c>
      <c r="C940" s="9">
        <v>955</v>
      </c>
      <c r="D940" s="9" t="s">
        <v>284</v>
      </c>
      <c r="E940" s="9">
        <v>43</v>
      </c>
      <c r="F940" s="9" t="s">
        <v>365</v>
      </c>
      <c r="G940" s="9" t="s">
        <v>297</v>
      </c>
      <c r="H940" s="9" t="s">
        <v>287</v>
      </c>
      <c r="I940" s="9" t="s">
        <v>366</v>
      </c>
      <c r="J940" s="9" t="s">
        <v>2257</v>
      </c>
      <c r="K940" s="9" t="s">
        <v>2258</v>
      </c>
      <c r="L940" s="10" t="s">
        <v>2258</v>
      </c>
      <c r="M940" s="9" t="s">
        <v>51</v>
      </c>
      <c r="N940" s="9">
        <v>339</v>
      </c>
      <c r="O940" s="9">
        <v>1</v>
      </c>
      <c r="P940" s="9">
        <v>342</v>
      </c>
      <c r="Q940" s="9">
        <v>343</v>
      </c>
      <c r="R940" s="9">
        <v>0.05</v>
      </c>
      <c r="S940" s="9">
        <v>-6.8942116560000004</v>
      </c>
      <c r="T940" s="9">
        <v>113.5399314</v>
      </c>
      <c r="U940" s="9" t="s">
        <v>52</v>
      </c>
      <c r="V940" s="11" t="str">
        <f>VLOOKUP(L940,'[1]singkron data'!D:E,2,FALSE)</f>
        <v>PT. Elang Mas Berdikari</v>
      </c>
      <c r="W940" s="13">
        <f>VLOOKUP(L940,'[1]data 1129'!F:H,3,FALSE)</f>
        <v>3454266000</v>
      </c>
      <c r="X940" s="11" t="s">
        <v>55</v>
      </c>
      <c r="Y940" s="11">
        <f>VLOOKUP(L940,'[1]singkron data'!D:H,5,FALSE)</f>
        <v>0</v>
      </c>
      <c r="Z940" s="11" t="str">
        <f>VLOOKUP(L940,'[1]singkron data'!D:I,6,FALSE)</f>
        <v>Offline</v>
      </c>
      <c r="AA940" s="11" t="str">
        <f>VLOOKUP(L940,'[1]singkron data'!D:L,9,FALSE)</f>
        <v>085203533456/jibo</v>
      </c>
      <c r="AB940" s="11" t="s">
        <v>54</v>
      </c>
      <c r="AC940" s="11" t="str">
        <f>VLOOKUP(L940,'[1]singkron data'!D:M,10,FALSE)</f>
        <v>g</v>
      </c>
      <c r="AD940" s="11" t="str">
        <f>VLOOKUP(L940,'[1]data 1129'!F:O,10,FALSE)</f>
        <v>Tahap IV 200</v>
      </c>
      <c r="AE940" s="11" t="str">
        <f>VLOOKUP(L940,'[1]singkron data'!D:P,13,FALSE)</f>
        <v>tidak ada lokasi</v>
      </c>
      <c r="AF940" s="11" t="s">
        <v>55</v>
      </c>
      <c r="AG940" s="11" t="e">
        <f>VLOOKUP(L940,'[1]update kontrak'!E:K,6,FALSE)</f>
        <v>#N/A</v>
      </c>
      <c r="AH940" s="11" t="e">
        <f>VLOOKUP(L940,'[1]update kontrak'!E:K,7,FALSE)</f>
        <v>#N/A</v>
      </c>
      <c r="AI940" s="11" t="s">
        <v>58</v>
      </c>
      <c r="AJ940" s="11" t="str">
        <f>VLOOKUP(L940,[1]rekap!D:M,1,FALSE)</f>
        <v>Sotabar</v>
      </c>
      <c r="AK940" s="11" t="str">
        <f>VLOOKUP(L940,'[1]singkron data'!D:E,2,FALSE)</f>
        <v>PT. Elang Mas Berdikari</v>
      </c>
      <c r="AL940" s="11" t="str">
        <f>VLOOKUP(L940,'[1]update 521'!D:D,1,FALSE)</f>
        <v>Sotabar</v>
      </c>
      <c r="AM940" s="11" t="s">
        <v>337</v>
      </c>
      <c r="AN940" s="11" t="e">
        <f>VLOOKUP(L940,[1]Sheet19!E:L,8,FALSE)</f>
        <v>#N/A</v>
      </c>
      <c r="AO940" s="11" t="s">
        <v>58</v>
      </c>
      <c r="AP940" s="12"/>
    </row>
    <row r="941" spans="1:42" ht="15" x14ac:dyDescent="0.2">
      <c r="A941" s="8" t="s">
        <v>2240</v>
      </c>
      <c r="B941" s="9" t="s">
        <v>43</v>
      </c>
      <c r="C941" s="9">
        <v>956</v>
      </c>
      <c r="D941" s="9" t="s">
        <v>284</v>
      </c>
      <c r="E941" s="9">
        <v>44</v>
      </c>
      <c r="F941" s="9" t="s">
        <v>365</v>
      </c>
      <c r="G941" s="9" t="s">
        <v>297</v>
      </c>
      <c r="H941" s="9" t="s">
        <v>287</v>
      </c>
      <c r="I941" s="9" t="s">
        <v>369</v>
      </c>
      <c r="J941" s="9" t="s">
        <v>2259</v>
      </c>
      <c r="K941" s="9" t="s">
        <v>2260</v>
      </c>
      <c r="L941" s="10" t="s">
        <v>2260</v>
      </c>
      <c r="M941" s="9" t="s">
        <v>51</v>
      </c>
      <c r="N941" s="9">
        <v>76</v>
      </c>
      <c r="O941" s="9" t="s">
        <v>72</v>
      </c>
      <c r="P941" s="9">
        <v>76</v>
      </c>
      <c r="Q941" s="9">
        <v>76</v>
      </c>
      <c r="R941" s="9">
        <v>1</v>
      </c>
      <c r="S941" s="9">
        <v>-6.9066000000000001</v>
      </c>
      <c r="T941" s="9">
        <v>113.385434</v>
      </c>
      <c r="U941" s="9" t="s">
        <v>52</v>
      </c>
      <c r="V941" s="11" t="s">
        <v>2261</v>
      </c>
      <c r="W941" s="13">
        <f>VLOOKUP(L941,'[1]data 1129'!F:H,3,FALSE)</f>
        <v>3454266000</v>
      </c>
      <c r="X941" s="11"/>
      <c r="Y941" s="11" t="str">
        <f>VLOOKUP(L941,'[1]singkron data'!D:H,5,FALSE)</f>
        <v>Sampang (kecil)</v>
      </c>
      <c r="Z941" s="11" t="str">
        <f>VLOOKUP(L941,'[1]singkron data'!D:I,6,FALSE)</f>
        <v>Online</v>
      </c>
      <c r="AA941" s="11" t="s">
        <v>2262</v>
      </c>
      <c r="AB941" s="11" t="s">
        <v>54</v>
      </c>
      <c r="AC941" s="11" t="s">
        <v>2263</v>
      </c>
      <c r="AD941" s="11" t="str">
        <f>VLOOKUP(L941,'[1]data 1129'!F:O,10,FALSE)</f>
        <v>Tahap IV 200</v>
      </c>
      <c r="AE941" s="11" t="str">
        <f>VLOOKUP(L941,'[1]singkron data'!D:P,13,FALSE)</f>
        <v>sudah</v>
      </c>
      <c r="AF941" s="11"/>
      <c r="AG941" s="11" t="e">
        <f>VLOOKUP(L941,'[1]update kontrak'!E:K,6,FALSE)</f>
        <v>#N/A</v>
      </c>
      <c r="AH941" s="11" t="e">
        <f>VLOOKUP(L941,'[1]update kontrak'!E:K,7,FALSE)</f>
        <v>#N/A</v>
      </c>
      <c r="AI941" s="11" t="s">
        <v>58</v>
      </c>
      <c r="AJ941" s="11" t="str">
        <f>VLOOKUP(L941,[1]rekap!D:M,1,FALSE)</f>
        <v>Bira Tengah</v>
      </c>
      <c r="AK941" s="11" t="str">
        <f>VLOOKUP(L941,'[1]singkron data'!D:E,2,FALSE)</f>
        <v>CV. Kometro Mega Solusi</v>
      </c>
      <c r="AL941" s="11" t="str">
        <f>VLOOKUP(L941,'[1]update 521'!D:D,1,FALSE)</f>
        <v>Bira Tengah</v>
      </c>
      <c r="AM941" s="11" t="s">
        <v>57</v>
      </c>
      <c r="AN941" s="11" t="e">
        <f>VLOOKUP(L941,[1]Sheet19!E:L,8,FALSE)</f>
        <v>#N/A</v>
      </c>
      <c r="AO941" s="11" t="s">
        <v>58</v>
      </c>
      <c r="AP941" s="12"/>
    </row>
    <row r="942" spans="1:42" ht="15" x14ac:dyDescent="0.2">
      <c r="A942" s="8" t="s">
        <v>2240</v>
      </c>
      <c r="B942" s="9" t="s">
        <v>43</v>
      </c>
      <c r="C942" s="9">
        <v>957</v>
      </c>
      <c r="D942" s="9" t="s">
        <v>284</v>
      </c>
      <c r="E942" s="9">
        <v>45</v>
      </c>
      <c r="F942" s="9" t="s">
        <v>365</v>
      </c>
      <c r="G942" s="9" t="s">
        <v>297</v>
      </c>
      <c r="H942" s="9" t="s">
        <v>287</v>
      </c>
      <c r="I942" s="9" t="s">
        <v>376</v>
      </c>
      <c r="J942" s="9" t="s">
        <v>2264</v>
      </c>
      <c r="K942" s="9" t="s">
        <v>2265</v>
      </c>
      <c r="L942" s="10" t="s">
        <v>2265</v>
      </c>
      <c r="M942" s="9" t="s">
        <v>51</v>
      </c>
      <c r="N942" s="9">
        <v>96</v>
      </c>
      <c r="O942" s="9" t="s">
        <v>72</v>
      </c>
      <c r="P942" s="9">
        <v>96</v>
      </c>
      <c r="Q942" s="9">
        <v>96</v>
      </c>
      <c r="R942" s="9">
        <v>1.5</v>
      </c>
      <c r="S942" s="9">
        <v>-6.8876099999999996</v>
      </c>
      <c r="T942" s="9">
        <v>113.73356</v>
      </c>
      <c r="U942" s="9" t="s">
        <v>52</v>
      </c>
      <c r="V942" s="11" t="str">
        <f>VLOOKUP(L942,'[1]singkron data'!D:E,2,FALSE)</f>
        <v>CV. Nur Buana</v>
      </c>
      <c r="W942" s="13">
        <f>VLOOKUP(L942,'[1]data 1129'!F:H,3,FALSE)</f>
        <v>3454266000</v>
      </c>
      <c r="X942" s="11" t="s">
        <v>55</v>
      </c>
      <c r="Y942" s="11">
        <f>VLOOKUP(L942,'[1]singkron data'!D:H,5,FALSE)</f>
        <v>0</v>
      </c>
      <c r="Z942" s="11">
        <f>VLOOKUP(L942,'[1]singkron data'!D:I,6,FALSE)</f>
        <v>0</v>
      </c>
      <c r="AA942" s="11" t="str">
        <f>VLOOKUP(L942,'[1]singkron data'!D:L,9,FALSE)</f>
        <v>82302408223/suriaydi</v>
      </c>
      <c r="AB942" s="11" t="s">
        <v>54</v>
      </c>
      <c r="AC942" s="11" t="str">
        <f>VLOOKUP(L942,'[1]singkron data'!D:M,10,FALSE)</f>
        <v>put</v>
      </c>
      <c r="AD942" s="11" t="str">
        <f>VLOOKUP(L942,'[1]data 1129'!F:O,10,FALSE)</f>
        <v>Tahap IV 200</v>
      </c>
      <c r="AE942" s="11" t="str">
        <f>VLOOKUP(L942,'[1]singkron data'!D:P,13,FALSE)</f>
        <v>sudah</v>
      </c>
      <c r="AF942" s="11" t="s">
        <v>55</v>
      </c>
      <c r="AG942" s="11" t="e">
        <f>VLOOKUP(L942,'[1]update kontrak'!E:K,6,FALSE)</f>
        <v>#N/A</v>
      </c>
      <c r="AH942" s="11" t="e">
        <f>VLOOKUP(L942,'[1]update kontrak'!E:K,7,FALSE)</f>
        <v>#N/A</v>
      </c>
      <c r="AI942" s="11" t="s">
        <v>58</v>
      </c>
      <c r="AJ942" s="11" t="str">
        <f>VLOOKUP(L942,[1]rekap!D:M,1,FALSE)</f>
        <v>Ambunten Tengah</v>
      </c>
      <c r="AK942" s="11" t="str">
        <f>VLOOKUP(L942,'[1]singkron data'!D:E,2,FALSE)</f>
        <v>CV. Nur Buana</v>
      </c>
      <c r="AL942" s="11" t="str">
        <f>VLOOKUP(L942,'[1]update 521'!D:D,1,FALSE)</f>
        <v>Ambunten Tengah</v>
      </c>
      <c r="AM942" s="11" t="s">
        <v>57</v>
      </c>
      <c r="AN942" s="11" t="e">
        <f>VLOOKUP(L942,[1]Sheet19!E:L,8,FALSE)</f>
        <v>#N/A</v>
      </c>
      <c r="AO942" s="11" t="s">
        <v>58</v>
      </c>
      <c r="AP942" s="12"/>
    </row>
    <row r="943" spans="1:42" ht="15" x14ac:dyDescent="0.2">
      <c r="A943" s="8" t="s">
        <v>2240</v>
      </c>
      <c r="B943" s="9" t="s">
        <v>43</v>
      </c>
      <c r="C943" s="9">
        <v>958</v>
      </c>
      <c r="D943" s="9" t="s">
        <v>284</v>
      </c>
      <c r="E943" s="9">
        <v>46</v>
      </c>
      <c r="F943" s="9" t="s">
        <v>365</v>
      </c>
      <c r="G943" s="9" t="s">
        <v>297</v>
      </c>
      <c r="H943" s="9" t="s">
        <v>287</v>
      </c>
      <c r="I943" s="9" t="s">
        <v>376</v>
      </c>
      <c r="J943" s="9" t="s">
        <v>2266</v>
      </c>
      <c r="K943" s="9" t="s">
        <v>2267</v>
      </c>
      <c r="L943" s="10" t="s">
        <v>2267</v>
      </c>
      <c r="M943" s="9" t="s">
        <v>51</v>
      </c>
      <c r="N943" s="9">
        <v>98</v>
      </c>
      <c r="O943" s="9">
        <v>7</v>
      </c>
      <c r="P943" s="9">
        <v>89</v>
      </c>
      <c r="Q943" s="9">
        <v>96</v>
      </c>
      <c r="R943" s="9">
        <v>1.05</v>
      </c>
      <c r="S943" s="9">
        <v>-7.2053330000000004</v>
      </c>
      <c r="T943" s="9">
        <v>113.937944</v>
      </c>
      <c r="U943" s="9" t="s">
        <v>52</v>
      </c>
      <c r="V943" s="11" t="str">
        <f>VLOOKUP(L943,'[1]singkron data'!D:E,2,FALSE)</f>
        <v>CV. Nabiha Perkasa</v>
      </c>
      <c r="W943" s="13">
        <f>VLOOKUP(L943,'[1]data 1129'!F:H,3,FALSE)</f>
        <v>3454266000</v>
      </c>
      <c r="X943" s="11" t="s">
        <v>55</v>
      </c>
      <c r="Y943" s="11">
        <f>VLOOKUP(L943,'[1]singkron data'!D:H,5,FALSE)</f>
        <v>0</v>
      </c>
      <c r="Z943" s="11" t="str">
        <f>VLOOKUP(L943,'[1]singkron data'!D:I,6,FALSE)</f>
        <v>Offline</v>
      </c>
      <c r="AA943" s="11" t="str">
        <f>VLOOKUP(L943,'[1]singkron data'!D:L,9,FALSE)</f>
        <v>082337628369/agus</v>
      </c>
      <c r="AB943" s="11" t="s">
        <v>54</v>
      </c>
      <c r="AC943" s="11" t="str">
        <f>VLOOKUP(L943,'[1]singkron data'!D:M,10,FALSE)</f>
        <v>p</v>
      </c>
      <c r="AD943" s="11" t="str">
        <f>VLOOKUP(L943,'[1]data 1129'!F:O,10,FALSE)</f>
        <v>Tahap IV 200</v>
      </c>
      <c r="AE943" s="11" t="str">
        <f>VLOOKUP(L943,'[1]singkron data'!D:P,13,FALSE)</f>
        <v>sudah</v>
      </c>
      <c r="AF943" s="11" t="s">
        <v>55</v>
      </c>
      <c r="AG943" s="11" t="e">
        <f>VLOOKUP(L943,'[1]update kontrak'!E:K,6,FALSE)</f>
        <v>#N/A</v>
      </c>
      <c r="AH943" s="11" t="e">
        <f>VLOOKUP(L943,'[1]update kontrak'!E:K,7,FALSE)</f>
        <v>#N/A</v>
      </c>
      <c r="AI943" s="11" t="s">
        <v>58</v>
      </c>
      <c r="AJ943" s="11" t="str">
        <f>VLOOKUP(L943,[1]rekap!D:M,1,FALSE)</f>
        <v>Gedugan</v>
      </c>
      <c r="AK943" s="11" t="str">
        <f>VLOOKUP(L943,'[1]singkron data'!D:E,2,FALSE)</f>
        <v>CV. Nabiha Perkasa</v>
      </c>
      <c r="AL943" s="11" t="str">
        <f>VLOOKUP(L943,'[1]update 521'!D:D,1,FALSE)</f>
        <v>Gedugan</v>
      </c>
      <c r="AM943" s="11" t="s">
        <v>57</v>
      </c>
      <c r="AN943" s="11" t="e">
        <f>VLOOKUP(L943,[1]Sheet19!E:L,8,FALSE)</f>
        <v>#N/A</v>
      </c>
      <c r="AO943" s="11" t="s">
        <v>58</v>
      </c>
      <c r="AP943" s="12"/>
    </row>
    <row r="944" spans="1:42" ht="15" x14ac:dyDescent="0.2">
      <c r="A944" s="27" t="s">
        <v>2240</v>
      </c>
      <c r="B944" s="28" t="s">
        <v>43</v>
      </c>
      <c r="C944" s="28">
        <v>959</v>
      </c>
      <c r="D944" s="28" t="s">
        <v>284</v>
      </c>
      <c r="E944" s="28">
        <v>47</v>
      </c>
      <c r="F944" s="28" t="s">
        <v>365</v>
      </c>
      <c r="G944" s="28" t="s">
        <v>297</v>
      </c>
      <c r="H944" s="28" t="s">
        <v>287</v>
      </c>
      <c r="I944" s="28" t="s">
        <v>376</v>
      </c>
      <c r="J944" s="28" t="s">
        <v>2268</v>
      </c>
      <c r="K944" s="28" t="s">
        <v>2269</v>
      </c>
      <c r="L944" s="35" t="s">
        <v>2269</v>
      </c>
      <c r="M944" s="28" t="s">
        <v>51</v>
      </c>
      <c r="N944" s="28">
        <v>203</v>
      </c>
      <c r="O944" s="28" t="s">
        <v>72</v>
      </c>
      <c r="P944" s="28">
        <v>197</v>
      </c>
      <c r="Q944" s="28">
        <v>197</v>
      </c>
      <c r="R944" s="28">
        <v>0.98</v>
      </c>
      <c r="S944" s="28">
        <v>-5.0442257000000001</v>
      </c>
      <c r="T944" s="28">
        <v>114.6096309</v>
      </c>
      <c r="U944" s="28" t="s">
        <v>52</v>
      </c>
      <c r="V944" s="11" t="s">
        <v>2261</v>
      </c>
      <c r="W944" s="36">
        <f>VLOOKUP(L944,'[1]data 1129'!F:H,3,FALSE)</f>
        <v>3454266000</v>
      </c>
      <c r="X944" s="29"/>
      <c r="Y944" s="29">
        <f>VLOOKUP(L944,'[1]singkron data'!D:H,5,FALSE)</f>
        <v>0</v>
      </c>
      <c r="Z944" s="29">
        <f>VLOOKUP(L944,'[1]singkron data'!D:I,6,FALSE)</f>
        <v>0</v>
      </c>
      <c r="AA944" s="11" t="s">
        <v>2262</v>
      </c>
      <c r="AB944" s="29" t="s">
        <v>54</v>
      </c>
      <c r="AC944" s="29" t="s">
        <v>2270</v>
      </c>
      <c r="AD944" s="29" t="str">
        <f>VLOOKUP(L944,'[1]data 1129'!F:O,10,FALSE)</f>
        <v>Tahap IV 200</v>
      </c>
      <c r="AE944" s="29"/>
      <c r="AF944" s="29"/>
      <c r="AG944" s="29" t="e">
        <f>VLOOKUP(L944,'[1]update kontrak'!E:K,6,FALSE)</f>
        <v>#N/A</v>
      </c>
      <c r="AH944" s="29" t="e">
        <f>VLOOKUP(L944,'[1]update kontrak'!E:K,7,FALSE)</f>
        <v>#N/A</v>
      </c>
      <c r="AI944" s="29"/>
      <c r="AJ944" s="29" t="str">
        <f>VLOOKUP(L944,[1]rekap!D:M,1,FALSE)</f>
        <v>Kramian</v>
      </c>
      <c r="AK944" s="29" t="str">
        <f>VLOOKUP(L944,'[1]singkron data'!D:E,2,FALSE)</f>
        <v>CV. Kometro Mega Solusi</v>
      </c>
      <c r="AL944" s="29" t="str">
        <f>VLOOKUP(L944,'[1]update 521'!D:D,1,FALSE)</f>
        <v>Kramian</v>
      </c>
      <c r="AM944" s="11" t="s">
        <v>57</v>
      </c>
      <c r="AN944" s="11" t="e">
        <f>VLOOKUP(L944,[1]Sheet19!E:L,8,FALSE)</f>
        <v>#N/A</v>
      </c>
      <c r="AO944" s="11" t="s">
        <v>58</v>
      </c>
      <c r="AP944" s="12"/>
    </row>
    <row r="945" spans="1:42" ht="15" x14ac:dyDescent="0.2">
      <c r="A945" s="8" t="s">
        <v>2240</v>
      </c>
      <c r="B945" s="9" t="s">
        <v>43</v>
      </c>
      <c r="C945" s="9">
        <v>960</v>
      </c>
      <c r="D945" s="9" t="s">
        <v>284</v>
      </c>
      <c r="E945" s="9">
        <v>48</v>
      </c>
      <c r="F945" s="9" t="s">
        <v>365</v>
      </c>
      <c r="G945" s="9" t="s">
        <v>297</v>
      </c>
      <c r="H945" s="9" t="s">
        <v>287</v>
      </c>
      <c r="I945" s="9" t="s">
        <v>376</v>
      </c>
      <c r="J945" s="9" t="s">
        <v>2271</v>
      </c>
      <c r="K945" s="9" t="s">
        <v>2272</v>
      </c>
      <c r="L945" s="10" t="s">
        <v>2272</v>
      </c>
      <c r="M945" s="9" t="s">
        <v>81</v>
      </c>
      <c r="N945" s="9">
        <v>354</v>
      </c>
      <c r="O945" s="9">
        <v>27</v>
      </c>
      <c r="P945" s="9">
        <v>247</v>
      </c>
      <c r="Q945" s="9">
        <v>274</v>
      </c>
      <c r="R945" s="9">
        <v>0.98</v>
      </c>
      <c r="S945" s="9">
        <v>-7.0020530000000001</v>
      </c>
      <c r="T945" s="9">
        <v>114.166506</v>
      </c>
      <c r="U945" s="9" t="s">
        <v>52</v>
      </c>
      <c r="V945" s="11" t="str">
        <f>VLOOKUP(L945,'[1]singkron data'!D:E,2,FALSE)</f>
        <v>CV. Nur Buana</v>
      </c>
      <c r="W945" s="13">
        <f>VLOOKUP(L945,'[1]data 1129'!F:H,3,FALSE)</f>
        <v>3454266000</v>
      </c>
      <c r="X945" s="11" t="s">
        <v>55</v>
      </c>
      <c r="Y945" s="11" t="str">
        <f>VLOOKUP(L945,'[1]singkron data'!D:H,5,FALSE)</f>
        <v>Surabaya</v>
      </c>
      <c r="Z945" s="11" t="str">
        <f>VLOOKUP(L945,'[1]singkron data'!D:I,6,FALSE)</f>
        <v>Online</v>
      </c>
      <c r="AA945" s="11" t="str">
        <f>VLOOKUP(L945,'[1]singkron data'!D:L,9,FALSE)</f>
        <v>82302408223/suriaydi</v>
      </c>
      <c r="AB945" s="11" t="s">
        <v>54</v>
      </c>
      <c r="AC945" s="11" t="str">
        <f>VLOOKUP(L945,'[1]singkron data'!D:M,10,FALSE)</f>
        <v>Put</v>
      </c>
      <c r="AD945" s="11" t="str">
        <f>VLOOKUP(L945,'[1]data 1129'!F:O,10,FALSE)</f>
        <v>Tahap IV 200</v>
      </c>
      <c r="AE945" s="11" t="str">
        <f>VLOOKUP(L945,'[1]singkron data'!D:P,13,FALSE)</f>
        <v>sudah</v>
      </c>
      <c r="AF945" s="11" t="s">
        <v>55</v>
      </c>
      <c r="AG945" s="11" t="e">
        <f>VLOOKUP(L945,'[1]update kontrak'!E:K,6,FALSE)</f>
        <v>#N/A</v>
      </c>
      <c r="AH945" s="11" t="e">
        <f>VLOOKUP(L945,'[1]update kontrak'!E:K,7,FALSE)</f>
        <v>#N/A</v>
      </c>
      <c r="AI945" s="11" t="s">
        <v>58</v>
      </c>
      <c r="AJ945" s="11" t="str">
        <f>VLOOKUP(L945,[1]rekap!D:M,1,FALSE)</f>
        <v>Bancamara</v>
      </c>
      <c r="AK945" s="11" t="str">
        <f>VLOOKUP(L945,'[1]singkron data'!D:E,2,FALSE)</f>
        <v>CV. Nur Buana</v>
      </c>
      <c r="AL945" s="11" t="str">
        <f>VLOOKUP(L945,'[1]update 521'!D:D,1,FALSE)</f>
        <v>Bancamara</v>
      </c>
      <c r="AM945" s="11" t="s">
        <v>57</v>
      </c>
      <c r="AN945" s="11" t="e">
        <f>VLOOKUP(L945,[1]Sheet19!E:L,8,FALSE)</f>
        <v>#N/A</v>
      </c>
      <c r="AO945" s="11" t="s">
        <v>58</v>
      </c>
      <c r="AP945" s="12"/>
    </row>
    <row r="946" spans="1:42" ht="16" x14ac:dyDescent="0.2">
      <c r="A946" s="8" t="s">
        <v>2240</v>
      </c>
      <c r="B946" s="9" t="s">
        <v>43</v>
      </c>
      <c r="C946" s="9">
        <v>961</v>
      </c>
      <c r="D946" s="9" t="s">
        <v>284</v>
      </c>
      <c r="E946" s="9">
        <v>49</v>
      </c>
      <c r="F946" s="15" t="s">
        <v>2273</v>
      </c>
      <c r="G946" s="9" t="s">
        <v>297</v>
      </c>
      <c r="H946" s="9" t="s">
        <v>287</v>
      </c>
      <c r="I946" s="9" t="s">
        <v>2274</v>
      </c>
      <c r="J946" s="9" t="s">
        <v>2275</v>
      </c>
      <c r="K946" s="9" t="s">
        <v>2273</v>
      </c>
      <c r="L946" s="10" t="s">
        <v>2273</v>
      </c>
      <c r="M946" s="9" t="s">
        <v>65</v>
      </c>
      <c r="N946" s="9">
        <v>236</v>
      </c>
      <c r="O946" s="9" t="s">
        <v>72</v>
      </c>
      <c r="P946" s="9">
        <v>235</v>
      </c>
      <c r="Q946" s="9">
        <v>235</v>
      </c>
      <c r="R946" s="9">
        <v>3.2</v>
      </c>
      <c r="S946" s="9">
        <v>-5.7924150000000001</v>
      </c>
      <c r="T946" s="9">
        <v>112.584778</v>
      </c>
      <c r="U946" s="9" t="s">
        <v>52</v>
      </c>
      <c r="V946" s="11" t="str">
        <f>VLOOKUP(L946,'[1]singkron data'!D:E,2,FALSE)</f>
        <v>CV. Berkah Karya Makmur Sentosa</v>
      </c>
      <c r="W946" s="13">
        <f>VLOOKUP(L946,'[1]data 1129'!F:H,3,FALSE)</f>
        <v>7500000000</v>
      </c>
      <c r="X946" s="11" t="s">
        <v>55</v>
      </c>
      <c r="Y946" s="11">
        <f>VLOOKUP(L946,'[1]singkron data'!D:H,5,FALSE)</f>
        <v>0</v>
      </c>
      <c r="Z946" s="11">
        <f>VLOOKUP(L946,'[1]singkron data'!D:I,6,FALSE)</f>
        <v>0</v>
      </c>
      <c r="AA946" s="11" t="str">
        <f>VLOOKUP(L946,'[1]singkron data'!D:L,9,FALSE)</f>
        <v>085847201292/dodon</v>
      </c>
      <c r="AB946" s="11" t="s">
        <v>54</v>
      </c>
      <c r="AC946" s="11" t="s">
        <v>1660</v>
      </c>
      <c r="AD946" s="11" t="str">
        <f>VLOOKUP(L946,'[1]data 1129'!F:O,10,FALSE)</f>
        <v>Tahap IV 200</v>
      </c>
      <c r="AE946" s="11" t="str">
        <f>VLOOKUP(L946,'[1]singkron data'!D:P,13,FALSE)</f>
        <v>drop sosek</v>
      </c>
      <c r="AF946" s="11" t="s">
        <v>55</v>
      </c>
      <c r="AG946" s="11" t="e">
        <f>VLOOKUP(L946,'[1]update kontrak'!E:K,6,FALSE)</f>
        <v>#N/A</v>
      </c>
      <c r="AH946" s="11" t="e">
        <f>VLOOKUP(L946,'[1]update kontrak'!E:K,7,FALSE)</f>
        <v>#N/A</v>
      </c>
      <c r="AI946" s="11" t="s">
        <v>58</v>
      </c>
      <c r="AJ946" s="11" t="str">
        <f>VLOOKUP(L946,[1]rekap!D:M,1,FALSE)</f>
        <v>Dekatagung</v>
      </c>
      <c r="AK946" s="11" t="str">
        <f>VLOOKUP(L946,'[1]singkron data'!D:E,2,FALSE)</f>
        <v>CV. Berkah Karya Makmur Sentosa</v>
      </c>
      <c r="AL946" s="11" t="str">
        <f>VLOOKUP(L946,'[1]update 521'!D:D,1,FALSE)</f>
        <v>Dekatagung</v>
      </c>
      <c r="AM946" s="11" t="s">
        <v>337</v>
      </c>
      <c r="AN946" s="11" t="e">
        <f>VLOOKUP(L946,[1]Sheet19!E:L,8,FALSE)</f>
        <v>#N/A</v>
      </c>
      <c r="AO946" s="11" t="s">
        <v>58</v>
      </c>
      <c r="AP946" s="12"/>
    </row>
    <row r="947" spans="1:42" ht="16" x14ac:dyDescent="0.2">
      <c r="A947" s="8" t="s">
        <v>2240</v>
      </c>
      <c r="B947" s="9" t="s">
        <v>43</v>
      </c>
      <c r="C947" s="9">
        <v>962</v>
      </c>
      <c r="D947" s="9" t="s">
        <v>284</v>
      </c>
      <c r="E947" s="9">
        <v>50</v>
      </c>
      <c r="F947" s="15" t="s">
        <v>2273</v>
      </c>
      <c r="G947" s="9" t="s">
        <v>297</v>
      </c>
      <c r="H947" s="9" t="s">
        <v>287</v>
      </c>
      <c r="I947" s="9" t="s">
        <v>2274</v>
      </c>
      <c r="J947" s="9" t="s">
        <v>2275</v>
      </c>
      <c r="K947" s="9" t="s">
        <v>2276</v>
      </c>
      <c r="L947" s="10" t="s">
        <v>2276</v>
      </c>
      <c r="M947" s="9" t="s">
        <v>51</v>
      </c>
      <c r="N947" s="9">
        <v>392</v>
      </c>
      <c r="O947" s="9" t="s">
        <v>72</v>
      </c>
      <c r="P947" s="9">
        <v>385</v>
      </c>
      <c r="Q947" s="9">
        <v>385</v>
      </c>
      <c r="R947" s="9">
        <v>0.1</v>
      </c>
      <c r="S947" s="9">
        <v>-5.8077500000000004</v>
      </c>
      <c r="T947" s="9">
        <v>112.730075</v>
      </c>
      <c r="U947" s="9" t="s">
        <v>52</v>
      </c>
      <c r="V947" s="11" t="str">
        <f>VLOOKUP(L947,'[1]singkron data'!D:E,2,FALSE)</f>
        <v>CV. Sinar Surya</v>
      </c>
      <c r="W947" s="13">
        <f>VLOOKUP(L947,'[1]data 1129'!F:H,3,FALSE)</f>
        <v>3454266000</v>
      </c>
      <c r="X947" s="11" t="s">
        <v>55</v>
      </c>
      <c r="Y947" s="11">
        <f>VLOOKUP(L947,'[1]singkron data'!D:H,5,FALSE)</f>
        <v>0</v>
      </c>
      <c r="Z947" s="11">
        <f>VLOOKUP(L947,'[1]singkron data'!D:I,6,FALSE)</f>
        <v>0</v>
      </c>
      <c r="AA947" s="11" t="str">
        <f>VLOOKUP(L947,'[1]singkron data'!D:L,9,FALSE)</f>
        <v>081358154982/salim</v>
      </c>
      <c r="AB947" s="11" t="s">
        <v>54</v>
      </c>
      <c r="AC947" s="11" t="str">
        <f>VLOOKUP(L947,'[1]singkron data'!D:M,10,FALSE)</f>
        <v>Rid-Riki</v>
      </c>
      <c r="AD947" s="11" t="str">
        <f>VLOOKUP(L947,'[1]data 1129'!F:O,10,FALSE)</f>
        <v>Tahap IV 200</v>
      </c>
      <c r="AE947" s="11" t="str">
        <f>VLOOKUP(L947,'[1]singkron data'!D:P,13,FALSE)</f>
        <v>sudah</v>
      </c>
      <c r="AF947" s="11" t="s">
        <v>55</v>
      </c>
      <c r="AG947" s="11" t="e">
        <f>VLOOKUP(L947,'[1]update kontrak'!E:K,6,FALSE)</f>
        <v>#N/A</v>
      </c>
      <c r="AH947" s="11" t="e">
        <f>VLOOKUP(L947,'[1]update kontrak'!E:K,7,FALSE)</f>
        <v>#N/A</v>
      </c>
      <c r="AI947" s="11"/>
      <c r="AJ947" s="11" t="str">
        <f>VLOOKUP(L947,[1]rekap!D:M,1,FALSE)</f>
        <v>Sidogedungbatu</v>
      </c>
      <c r="AK947" s="11" t="str">
        <f>VLOOKUP(L947,'[1]singkron data'!D:E,2,FALSE)</f>
        <v>CV. Sinar Surya</v>
      </c>
      <c r="AL947" s="11" t="str">
        <f>VLOOKUP(L947,'[1]update 521'!D:D,1,FALSE)</f>
        <v>Sidogedungbatu</v>
      </c>
      <c r="AM947" s="11" t="s">
        <v>1253</v>
      </c>
      <c r="AN947" s="11" t="e">
        <f>VLOOKUP(L947,[1]Sheet19!E:L,8,FALSE)</f>
        <v>#N/A</v>
      </c>
      <c r="AO947" s="11" t="s">
        <v>58</v>
      </c>
      <c r="AP947" s="12"/>
    </row>
    <row r="948" spans="1:42" ht="15" x14ac:dyDescent="0.2">
      <c r="A948" s="8" t="s">
        <v>2240</v>
      </c>
      <c r="B948" s="9" t="s">
        <v>43</v>
      </c>
      <c r="C948" s="9">
        <v>968</v>
      </c>
      <c r="D948" s="9" t="s">
        <v>284</v>
      </c>
      <c r="E948" s="9">
        <v>56</v>
      </c>
      <c r="F948" s="9" t="s">
        <v>386</v>
      </c>
      <c r="G948" s="9" t="s">
        <v>297</v>
      </c>
      <c r="H948" s="9" t="s">
        <v>287</v>
      </c>
      <c r="I948" s="9" t="s">
        <v>387</v>
      </c>
      <c r="J948" s="9" t="s">
        <v>2277</v>
      </c>
      <c r="K948" s="9" t="s">
        <v>2278</v>
      </c>
      <c r="L948" s="10" t="s">
        <v>2278</v>
      </c>
      <c r="M948" s="9" t="s">
        <v>51</v>
      </c>
      <c r="N948" s="9">
        <v>137</v>
      </c>
      <c r="O948" s="9" t="s">
        <v>72</v>
      </c>
      <c r="P948" s="9">
        <v>130</v>
      </c>
      <c r="Q948" s="9">
        <v>130</v>
      </c>
      <c r="R948" s="9">
        <v>6.7000000000000004E-2</v>
      </c>
      <c r="S948" s="9">
        <v>-8.2728940000000009</v>
      </c>
      <c r="T948" s="9">
        <v>111.17889599999999</v>
      </c>
      <c r="U948" s="9" t="s">
        <v>52</v>
      </c>
      <c r="V948" s="11" t="str">
        <f>VLOOKUP(L948,'[1]singkron data'!D:E,2,FALSE)</f>
        <v>CV. Sinar Surya</v>
      </c>
      <c r="W948" s="13">
        <f>VLOOKUP(L948,'[1]data 1129'!F:H,3,FALSE)</f>
        <v>2314000000</v>
      </c>
      <c r="X948" s="11" t="s">
        <v>55</v>
      </c>
      <c r="Y948" s="11">
        <f>VLOOKUP(L948,'[1]singkron data'!D:H,5,FALSE)</f>
        <v>0</v>
      </c>
      <c r="Z948" s="11">
        <f>VLOOKUP(L948,'[1]singkron data'!D:I,6,FALSE)</f>
        <v>0</v>
      </c>
      <c r="AA948" s="11" t="str">
        <f>VLOOKUP(L948,'[1]singkron data'!D:L,9,FALSE)</f>
        <v>081358154982/salim</v>
      </c>
      <c r="AB948" s="11" t="s">
        <v>54</v>
      </c>
      <c r="AC948" s="11" t="str">
        <f>VLOOKUP(L948,'[1]singkron data'!D:M,10,FALSE)</f>
        <v>Rid-Riki</v>
      </c>
      <c r="AD948" s="11" t="str">
        <f>VLOOKUP(L948,'[1]data 1129'!F:O,10,FALSE)</f>
        <v>Tahap III 166</v>
      </c>
      <c r="AE948" s="11" t="str">
        <f>VLOOKUP(L948,'[1]singkron data'!D:P,13,FALSE)</f>
        <v>sudah</v>
      </c>
      <c r="AF948" s="11" t="s">
        <v>55</v>
      </c>
      <c r="AG948" s="11" t="e">
        <f>VLOOKUP(L948,'[1]update kontrak'!E:K,6,FALSE)</f>
        <v>#N/A</v>
      </c>
      <c r="AH948" s="11" t="e">
        <f>VLOOKUP(L948,'[1]update kontrak'!E:K,7,FALSE)</f>
        <v>#N/A</v>
      </c>
      <c r="AI948" s="11" t="s">
        <v>58</v>
      </c>
      <c r="AJ948" s="11" t="str">
        <f>VLOOKUP(L948,[1]rekap!D:M,1,FALSE)</f>
        <v>Klesem</v>
      </c>
      <c r="AK948" s="11" t="str">
        <f>VLOOKUP(L948,'[1]singkron data'!D:E,2,FALSE)</f>
        <v>CV. Sinar Surya</v>
      </c>
      <c r="AL948" s="11" t="str">
        <f>VLOOKUP(L948,'[1]update 521'!D:D,1,FALSE)</f>
        <v>Klesem</v>
      </c>
      <c r="AM948" s="11" t="s">
        <v>57</v>
      </c>
      <c r="AN948" s="17">
        <f>VLOOKUP(L948,[1]Sheet19!E:L,8,FALSE)</f>
        <v>3549563000</v>
      </c>
      <c r="AO948" s="11" t="str">
        <f>VLOOKUP(L948,[1]Sheet19!E:K,7,FALSE)</f>
        <v>KONTRAK</v>
      </c>
      <c r="AP948" s="12" t="s">
        <v>41</v>
      </c>
    </row>
    <row r="949" spans="1:42" ht="15" x14ac:dyDescent="0.2">
      <c r="A949" s="8" t="s">
        <v>2240</v>
      </c>
      <c r="B949" s="9" t="s">
        <v>43</v>
      </c>
      <c r="C949" s="9">
        <v>973</v>
      </c>
      <c r="D949" s="9" t="s">
        <v>284</v>
      </c>
      <c r="E949" s="9">
        <v>61</v>
      </c>
      <c r="F949" s="9" t="s">
        <v>389</v>
      </c>
      <c r="G949" s="9" t="s">
        <v>301</v>
      </c>
      <c r="H949" s="9" t="s">
        <v>287</v>
      </c>
      <c r="I949" s="9" t="s">
        <v>394</v>
      </c>
      <c r="J949" s="9" t="s">
        <v>2279</v>
      </c>
      <c r="K949" s="9" t="s">
        <v>2280</v>
      </c>
      <c r="L949" s="10" t="s">
        <v>2280</v>
      </c>
      <c r="M949" s="9" t="s">
        <v>51</v>
      </c>
      <c r="N949" s="9">
        <v>62</v>
      </c>
      <c r="O949" s="9" t="s">
        <v>72</v>
      </c>
      <c r="P949" s="9">
        <v>49</v>
      </c>
      <c r="Q949" s="9">
        <v>49</v>
      </c>
      <c r="R949" s="9">
        <v>0.49</v>
      </c>
      <c r="S949" s="9">
        <v>-7.7582040000000001</v>
      </c>
      <c r="T949" s="9">
        <v>109.46684</v>
      </c>
      <c r="U949" s="9" t="s">
        <v>52</v>
      </c>
      <c r="V949" s="11" t="str">
        <f>VLOOKUP(L949,'[1]singkron data'!D:E,2,FALSE)</f>
        <v>CV. Alkomber Karya</v>
      </c>
      <c r="W949" s="13">
        <f>VLOOKUP(L949,'[1]data 1129'!F:H,3,FALSE)</f>
        <v>2314000000</v>
      </c>
      <c r="X949" s="11" t="s">
        <v>55</v>
      </c>
      <c r="Y949" s="11" t="str">
        <f>VLOOKUP(L949,'[1]singkron data'!D:H,5,FALSE)</f>
        <v>Surabaya</v>
      </c>
      <c r="Z949" s="11" t="str">
        <f>VLOOKUP(L949,'[1]singkron data'!D:I,6,FALSE)</f>
        <v>Online</v>
      </c>
      <c r="AA949" s="11" t="str">
        <f>VLOOKUP(L949,'[1]singkron data'!D:L,9,FALSE)</f>
        <v>081286452407/prio</v>
      </c>
      <c r="AB949" s="11" t="s">
        <v>54</v>
      </c>
      <c r="AC949" s="11" t="str">
        <f>VLOOKUP(L949,'[1]singkron data'!D:M,10,FALSE)</f>
        <v>g</v>
      </c>
      <c r="AD949" s="11" t="str">
        <f>VLOOKUP(L949,'[1]data 1129'!F:O,10,FALSE)</f>
        <v>Tahap III 166</v>
      </c>
      <c r="AE949" s="11" t="str">
        <f>VLOOKUP(L949,'[1]singkron data'!D:P,13,FALSE)</f>
        <v>sudah</v>
      </c>
      <c r="AF949" s="11" t="s">
        <v>55</v>
      </c>
      <c r="AG949" s="11" t="e">
        <f>VLOOKUP(L949,'[1]update kontrak'!E:K,6,FALSE)</f>
        <v>#N/A</v>
      </c>
      <c r="AH949" s="11" t="e">
        <f>VLOOKUP(L949,'[1]update kontrak'!E:K,7,FALSE)</f>
        <v>#N/A</v>
      </c>
      <c r="AI949" s="11" t="s">
        <v>58</v>
      </c>
      <c r="AJ949" s="11" t="str">
        <f>VLOOKUP(L949,[1]rekap!D:M,1,FALSE)</f>
        <v>Karangbolong</v>
      </c>
      <c r="AK949" s="11" t="str">
        <f>VLOOKUP(L949,'[1]singkron data'!D:E,2,FALSE)</f>
        <v>CV. Alkomber Karya</v>
      </c>
      <c r="AL949" s="11" t="str">
        <f>VLOOKUP(L949,'[1]update 521'!D:D,1,FALSE)</f>
        <v>Karangbolong</v>
      </c>
      <c r="AM949" s="11" t="s">
        <v>57</v>
      </c>
      <c r="AN949" s="11" t="e">
        <f>VLOOKUP(L949,[1]Sheet19!E:L,8,FALSE)</f>
        <v>#N/A</v>
      </c>
      <c r="AO949" s="11" t="s">
        <v>58</v>
      </c>
      <c r="AP949" s="12"/>
    </row>
    <row r="950" spans="1:42" ht="15" x14ac:dyDescent="0.2">
      <c r="A950" s="8" t="s">
        <v>2240</v>
      </c>
      <c r="B950" s="9" t="s">
        <v>43</v>
      </c>
      <c r="C950" s="9">
        <v>977</v>
      </c>
      <c r="D950" s="9" t="s">
        <v>284</v>
      </c>
      <c r="E950" s="9">
        <v>65</v>
      </c>
      <c r="F950" s="9" t="s">
        <v>2281</v>
      </c>
      <c r="G950" s="9" t="s">
        <v>297</v>
      </c>
      <c r="H950" s="9" t="s">
        <v>287</v>
      </c>
      <c r="I950" s="9" t="s">
        <v>2282</v>
      </c>
      <c r="J950" s="9" t="s">
        <v>2283</v>
      </c>
      <c r="K950" s="9" t="s">
        <v>2281</v>
      </c>
      <c r="L950" s="10" t="s">
        <v>2281</v>
      </c>
      <c r="M950" s="9" t="s">
        <v>65</v>
      </c>
      <c r="N950" s="9">
        <v>280</v>
      </c>
      <c r="O950" s="9" t="s">
        <v>72</v>
      </c>
      <c r="P950" s="9">
        <v>281</v>
      </c>
      <c r="Q950" s="9">
        <v>281</v>
      </c>
      <c r="R950" s="9">
        <v>4</v>
      </c>
      <c r="S950" s="9">
        <v>-6.871829</v>
      </c>
      <c r="T950" s="9">
        <v>112.400211</v>
      </c>
      <c r="U950" s="9" t="s">
        <v>52</v>
      </c>
      <c r="V950" s="11" t="str">
        <f>VLOOKUP(L950,'[1]singkron data'!D:E,2,FALSE)</f>
        <v>CV. Sapta Manunggal Lestari</v>
      </c>
      <c r="W950" s="13">
        <f>VLOOKUP(L950,'[1]data 1129'!F:H,3,FALSE)</f>
        <v>7500000000</v>
      </c>
      <c r="X950" s="11" t="s">
        <v>55</v>
      </c>
      <c r="Y950" s="11">
        <f>VLOOKUP(L950,'[1]singkron data'!D:H,5,FALSE)</f>
        <v>0</v>
      </c>
      <c r="Z950" s="11" t="str">
        <f>VLOOKUP(L950,'[1]singkron data'!D:I,6,FALSE)</f>
        <v>Online</v>
      </c>
      <c r="AA950" s="11" t="str">
        <f>VLOOKUP(L950,'[1]singkron data'!D:L,9,FALSE)</f>
        <v>085847201292/ Dodon</v>
      </c>
      <c r="AB950" s="11" t="s">
        <v>54</v>
      </c>
      <c r="AC950" s="11" t="str">
        <f>VLOOKUP(L950,'[1]singkron data'!D:M,10,FALSE)</f>
        <v>g</v>
      </c>
      <c r="AD950" s="11" t="str">
        <f>VLOOKUP(L950,'[1]data 1129'!F:O,10,FALSE)</f>
        <v>Tahap IV 200</v>
      </c>
      <c r="AE950" s="11" t="str">
        <f>VLOOKUP(L950,'[1]singkron data'!D:P,13,FALSE)</f>
        <v>sudah</v>
      </c>
      <c r="AF950" s="11" t="s">
        <v>55</v>
      </c>
      <c r="AG950" s="11" t="e">
        <f>VLOOKUP(L950,'[1]update kontrak'!E:K,6,FALSE)</f>
        <v>#N/A</v>
      </c>
      <c r="AH950" s="11" t="e">
        <f>VLOOKUP(L950,'[1]update kontrak'!E:K,7,FALSE)</f>
        <v>#N/A</v>
      </c>
      <c r="AI950" s="11" t="s">
        <v>58</v>
      </c>
      <c r="AJ950" s="11" t="str">
        <f>VLOOKUP(L950,[1]rekap!D:M,1,FALSE)</f>
        <v>Kemantren</v>
      </c>
      <c r="AK950" s="11" t="str">
        <f>VLOOKUP(L950,'[1]singkron data'!D:E,2,FALSE)</f>
        <v>CV. Sapta Manunggal Lestari</v>
      </c>
      <c r="AL950" s="11" t="str">
        <f>VLOOKUP(L950,'[1]update 521'!D:D,1,FALSE)</f>
        <v>Kemantren</v>
      </c>
      <c r="AM950" s="11" t="s">
        <v>57</v>
      </c>
      <c r="AN950" s="17">
        <f>VLOOKUP(L950,[1]Sheet19!E:L,8,FALSE)</f>
        <v>9482314693.9200001</v>
      </c>
      <c r="AO950" s="11" t="str">
        <f>VLOOKUP(L950,[1]Sheet19!E:K,7,FALSE)</f>
        <v>SPPBJ</v>
      </c>
      <c r="AP950" s="12"/>
    </row>
    <row r="951" spans="1:42" ht="15" x14ac:dyDescent="0.2">
      <c r="A951" s="8" t="s">
        <v>2240</v>
      </c>
      <c r="B951" s="9" t="s">
        <v>43</v>
      </c>
      <c r="C951" s="9">
        <v>978</v>
      </c>
      <c r="D951" s="9" t="s">
        <v>284</v>
      </c>
      <c r="E951" s="9">
        <v>66</v>
      </c>
      <c r="F951" s="9" t="s">
        <v>2281</v>
      </c>
      <c r="G951" s="9" t="s">
        <v>297</v>
      </c>
      <c r="H951" s="9" t="s">
        <v>287</v>
      </c>
      <c r="I951" s="9" t="s">
        <v>2282</v>
      </c>
      <c r="J951" s="9" t="s">
        <v>2284</v>
      </c>
      <c r="K951" s="9" t="s">
        <v>2285</v>
      </c>
      <c r="L951" s="10" t="s">
        <v>2285</v>
      </c>
      <c r="M951" s="9" t="s">
        <v>51</v>
      </c>
      <c r="N951" s="9">
        <v>371</v>
      </c>
      <c r="O951" s="9" t="s">
        <v>72</v>
      </c>
      <c r="P951" s="9">
        <v>318</v>
      </c>
      <c r="Q951" s="9">
        <v>318</v>
      </c>
      <c r="R951" s="9">
        <v>0.05</v>
      </c>
      <c r="S951" s="9">
        <v>-6.8815657000000003</v>
      </c>
      <c r="T951" s="9">
        <v>112.210587</v>
      </c>
      <c r="U951" s="9" t="s">
        <v>52</v>
      </c>
      <c r="V951" s="11" t="s">
        <v>2261</v>
      </c>
      <c r="W951" s="11"/>
      <c r="X951" s="11"/>
      <c r="Y951" s="11">
        <f>VLOOKUP(L951,'[1]singkron data'!D:H,5,FALSE)</f>
        <v>0</v>
      </c>
      <c r="Z951" s="11">
        <f>VLOOKUP(L951,'[1]singkron data'!D:I,6,FALSE)</f>
        <v>0</v>
      </c>
      <c r="AA951" s="11" t="s">
        <v>2262</v>
      </c>
      <c r="AB951" s="11" t="s">
        <v>54</v>
      </c>
      <c r="AC951" s="11" t="s">
        <v>2270</v>
      </c>
      <c r="AD951" s="11" t="e">
        <f>VLOOKUP(L951,'[1]data 1129'!F:O,10,FALSE)</f>
        <v>#N/A</v>
      </c>
      <c r="AE951" s="11" t="e">
        <f>VLOOKUP(L951,'[1]singkron data'!D:P,13,FALSE)</f>
        <v>#N/A</v>
      </c>
      <c r="AF951" s="11" t="s">
        <v>55</v>
      </c>
      <c r="AG951" s="11" t="e">
        <f>VLOOKUP(L951,'[1]update kontrak'!E:K,6,FALSE)</f>
        <v>#N/A</v>
      </c>
      <c r="AH951" s="11" t="e">
        <f>VLOOKUP(L951,'[1]update kontrak'!E:K,7,FALSE)</f>
        <v>#N/A</v>
      </c>
      <c r="AI951" s="11"/>
      <c r="AJ951" s="11" t="e">
        <f>VLOOKUP(L951,[1]rekap!D:M,1,FALSE)</f>
        <v>#N/A</v>
      </c>
      <c r="AK951" s="11" t="str">
        <f>VLOOKUP(L951,'[1]singkron data'!D:E,2,FALSE)</f>
        <v>CV. Kometro Mega Solusi</v>
      </c>
      <c r="AL951" s="11" t="e">
        <f>VLOOKUP(L951,'[1]update 521'!D:D,1,FALSE)</f>
        <v>#N/A</v>
      </c>
      <c r="AM951" s="11" t="s">
        <v>1253</v>
      </c>
      <c r="AN951" s="11" t="e">
        <f>VLOOKUP(L951,[1]Sheet19!E:L,8,FALSE)</f>
        <v>#N/A</v>
      </c>
      <c r="AO951" s="11" t="e">
        <f>VLOOKUP(L951,[1]Sheet19!E:K,7,FALSE)</f>
        <v>#N/A</v>
      </c>
      <c r="AP951" s="12"/>
    </row>
    <row r="952" spans="1:42" ht="15" x14ac:dyDescent="0.2">
      <c r="A952" s="27" t="s">
        <v>2240</v>
      </c>
      <c r="B952" s="28" t="s">
        <v>43</v>
      </c>
      <c r="C952" s="28">
        <v>979</v>
      </c>
      <c r="D952" s="28" t="s">
        <v>284</v>
      </c>
      <c r="E952" s="28">
        <v>67</v>
      </c>
      <c r="F952" s="28" t="s">
        <v>2281</v>
      </c>
      <c r="G952" s="28" t="s">
        <v>297</v>
      </c>
      <c r="H952" s="28" t="s">
        <v>287</v>
      </c>
      <c r="I952" s="28" t="s">
        <v>2274</v>
      </c>
      <c r="J952" s="28" t="s">
        <v>2286</v>
      </c>
      <c r="K952" s="28" t="s">
        <v>2287</v>
      </c>
      <c r="L952" s="35" t="s">
        <v>2287</v>
      </c>
      <c r="M952" s="28" t="s">
        <v>51</v>
      </c>
      <c r="N952" s="28">
        <v>120</v>
      </c>
      <c r="O952" s="28" t="s">
        <v>72</v>
      </c>
      <c r="P952" s="28">
        <v>101</v>
      </c>
      <c r="Q952" s="28">
        <v>101</v>
      </c>
      <c r="R952" s="28">
        <v>0.5</v>
      </c>
      <c r="S952" s="28">
        <v>-6.8923860000000001</v>
      </c>
      <c r="T952" s="28">
        <v>112.46832000000001</v>
      </c>
      <c r="U952" s="28" t="s">
        <v>52</v>
      </c>
      <c r="V952" s="29" t="s">
        <v>2288</v>
      </c>
      <c r="W952" s="36">
        <f>VLOOKUP(L952,'[1]data 1129'!F:H,3,FALSE)</f>
        <v>3454266000</v>
      </c>
      <c r="X952" s="29"/>
      <c r="Y952" s="29">
        <f>VLOOKUP(L952,'[1]singkron data'!D:H,5,FALSE)</f>
        <v>0</v>
      </c>
      <c r="Z952" s="29">
        <f>VLOOKUP(L952,'[1]singkron data'!D:I,6,FALSE)</f>
        <v>0</v>
      </c>
      <c r="AA952" s="29" t="s">
        <v>2289</v>
      </c>
      <c r="AB952" s="29" t="s">
        <v>54</v>
      </c>
      <c r="AC952" s="29" t="s">
        <v>2290</v>
      </c>
      <c r="AD952" s="29" t="str">
        <f>VLOOKUP(L952,'[1]data 1129'!F:O,10,FALSE)</f>
        <v>Tahap IV 200</v>
      </c>
      <c r="AE952" s="29" t="str">
        <f>VLOOKUP(L952,'[1]singkron data'!D:P,13,FALSE)</f>
        <v>sudah</v>
      </c>
      <c r="AF952" s="29"/>
      <c r="AG952" s="29" t="e">
        <f>VLOOKUP(L952,'[1]update kontrak'!E:K,6,FALSE)</f>
        <v>#N/A</v>
      </c>
      <c r="AH952" s="29" t="e">
        <f>VLOOKUP(L952,'[1]update kontrak'!E:K,7,FALSE)</f>
        <v>#N/A</v>
      </c>
      <c r="AI952" s="29" t="s">
        <v>58</v>
      </c>
      <c r="AJ952" s="29" t="str">
        <f>VLOOKUP(L952,[1]rekap!D:M,1,FALSE)</f>
        <v>Dalegan</v>
      </c>
      <c r="AK952" s="29">
        <f>VLOOKUP(L952,'[1]singkron data'!D:E,2,FALSE)</f>
        <v>0</v>
      </c>
      <c r="AL952" s="29" t="str">
        <f>VLOOKUP(L952,'[1]update 521'!D:D,1,FALSE)</f>
        <v>Dalegan</v>
      </c>
      <c r="AM952" s="11" t="s">
        <v>57</v>
      </c>
      <c r="AN952" s="11" t="e">
        <f>VLOOKUP(L952,[1]Sheet19!E:L,8,FALSE)</f>
        <v>#N/A</v>
      </c>
      <c r="AO952" s="11" t="s">
        <v>58</v>
      </c>
      <c r="AP952" s="12"/>
    </row>
    <row r="953" spans="1:42" ht="15" x14ac:dyDescent="0.2">
      <c r="A953" s="8" t="s">
        <v>2240</v>
      </c>
      <c r="B953" s="9" t="s">
        <v>43</v>
      </c>
      <c r="C953" s="9">
        <v>980</v>
      </c>
      <c r="D953" s="9" t="s">
        <v>284</v>
      </c>
      <c r="E953" s="9">
        <v>68</v>
      </c>
      <c r="F953" s="9" t="s">
        <v>2281</v>
      </c>
      <c r="G953" s="9" t="s">
        <v>297</v>
      </c>
      <c r="H953" s="9" t="s">
        <v>287</v>
      </c>
      <c r="I953" s="9" t="s">
        <v>2282</v>
      </c>
      <c r="J953" s="9" t="s">
        <v>2283</v>
      </c>
      <c r="K953" s="9" t="s">
        <v>2291</v>
      </c>
      <c r="L953" s="9" t="s">
        <v>2291</v>
      </c>
      <c r="M953" s="9" t="s">
        <v>51</v>
      </c>
      <c r="N953" s="9">
        <v>293</v>
      </c>
      <c r="O953" s="9" t="s">
        <v>72</v>
      </c>
      <c r="P953" s="9">
        <v>225</v>
      </c>
      <c r="Q953" s="9">
        <v>225</v>
      </c>
      <c r="R953" s="9">
        <v>1</v>
      </c>
      <c r="S953" s="9">
        <v>-6.867731</v>
      </c>
      <c r="T953" s="9">
        <v>112.319857</v>
      </c>
      <c r="U953" s="9" t="s">
        <v>52</v>
      </c>
      <c r="V953" s="11" t="str">
        <f>VLOOKUP(L953,'[1]singkron data'!D:E,2,FALSE)</f>
        <v>CV. Sapta Manunggal Lestari</v>
      </c>
      <c r="W953" s="13">
        <f>VLOOKUP(L953,'[1]data 1129'!F:H,3,FALSE)</f>
        <v>3454266000</v>
      </c>
      <c r="X953" s="11" t="s">
        <v>55</v>
      </c>
      <c r="Y953" s="11">
        <f>VLOOKUP(L953,'[1]singkron data'!D:H,5,FALSE)</f>
        <v>0</v>
      </c>
      <c r="Z953" s="11" t="str">
        <f>VLOOKUP(L953,'[1]singkron data'!D:I,6,FALSE)</f>
        <v>Online</v>
      </c>
      <c r="AA953" s="11" t="str">
        <f>VLOOKUP(L953,'[1]singkron data'!D:L,9,FALSE)</f>
        <v>085847201292/ Dodon</v>
      </c>
      <c r="AB953" s="11" t="s">
        <v>54</v>
      </c>
      <c r="AC953" s="11" t="str">
        <f>VLOOKUP(L953,'[1]singkron data'!D:M,10,FALSE)</f>
        <v>g-drop sosek</v>
      </c>
      <c r="AD953" s="11" t="str">
        <f>VLOOKUP(L953,'[1]data 1129'!F:O,10,FALSE)</f>
        <v>Tahap IV 200</v>
      </c>
      <c r="AE953" s="11" t="str">
        <f>VLOOKUP(L953,'[1]singkron data'!D:P,13,FALSE)</f>
        <v>drop sosek</v>
      </c>
      <c r="AF953" s="11" t="s">
        <v>55</v>
      </c>
      <c r="AG953" s="11" t="e">
        <f>VLOOKUP(L953,'[1]update kontrak'!E:K,6,FALSE)</f>
        <v>#N/A</v>
      </c>
      <c r="AH953" s="11" t="e">
        <f>VLOOKUP(L953,'[1]update kontrak'!E:K,7,FALSE)</f>
        <v>#N/A</v>
      </c>
      <c r="AI953" s="11"/>
      <c r="AJ953" s="11" t="str">
        <f>VLOOKUP(L953,[1]rekap!D:M,1,FALSE)</f>
        <v>Kandangsemangkon</v>
      </c>
      <c r="AK953" s="11" t="str">
        <f>VLOOKUP(L953,'[1]singkron data'!D:E,2,FALSE)</f>
        <v>CV. Sapta Manunggal Lestari</v>
      </c>
      <c r="AL953" s="11" t="str">
        <f>VLOOKUP(L953,'[1]update 521'!D:D,1,FALSE)</f>
        <v>Kandangsemangkon</v>
      </c>
      <c r="AM953" s="11" t="s">
        <v>337</v>
      </c>
      <c r="AN953" s="11" t="e">
        <f>VLOOKUP(L953,[1]Sheet19!E:L,8,FALSE)</f>
        <v>#N/A</v>
      </c>
      <c r="AO953" s="11" t="s">
        <v>58</v>
      </c>
      <c r="AP953" s="12"/>
    </row>
    <row r="954" spans="1:42" ht="15" x14ac:dyDescent="0.2">
      <c r="A954" s="8" t="s">
        <v>2240</v>
      </c>
      <c r="B954" s="9" t="s">
        <v>43</v>
      </c>
      <c r="C954" s="9">
        <v>981</v>
      </c>
      <c r="D954" s="9" t="s">
        <v>284</v>
      </c>
      <c r="E954" s="9">
        <v>69</v>
      </c>
      <c r="F954" s="9" t="s">
        <v>2281</v>
      </c>
      <c r="G954" s="9" t="s">
        <v>297</v>
      </c>
      <c r="H954" s="9" t="s">
        <v>287</v>
      </c>
      <c r="I954" s="9" t="s">
        <v>2282</v>
      </c>
      <c r="J954" s="9" t="s">
        <v>2283</v>
      </c>
      <c r="K954" s="9" t="s">
        <v>2292</v>
      </c>
      <c r="L954" s="10" t="s">
        <v>2292</v>
      </c>
      <c r="M954" s="9" t="s">
        <v>51</v>
      </c>
      <c r="N954" s="9">
        <v>242</v>
      </c>
      <c r="O954" s="9" t="s">
        <v>72</v>
      </c>
      <c r="P954" s="9">
        <v>228</v>
      </c>
      <c r="Q954" s="9">
        <v>228</v>
      </c>
      <c r="R954" s="9">
        <v>0.05</v>
      </c>
      <c r="S954" s="9">
        <v>-6.8750537889999999</v>
      </c>
      <c r="T954" s="9">
        <v>112.3800317</v>
      </c>
      <c r="U954" s="9" t="s">
        <v>52</v>
      </c>
      <c r="V954" s="11" t="str">
        <f>VLOOKUP(L954,'[1]singkron data'!D:E,2,FALSE)</f>
        <v>CV. Sapta Manunggal Lestari</v>
      </c>
      <c r="W954" s="13">
        <f>VLOOKUP(L954,'[1]data 1129'!F:H,3,FALSE)</f>
        <v>3454266000</v>
      </c>
      <c r="X954" s="11" t="s">
        <v>55</v>
      </c>
      <c r="Y954" s="11">
        <f>VLOOKUP(L954,'[1]singkron data'!D:H,5,FALSE)</f>
        <v>0</v>
      </c>
      <c r="Z954" s="11" t="str">
        <f>VLOOKUP(L954,'[1]singkron data'!D:I,6,FALSE)</f>
        <v>Online</v>
      </c>
      <c r="AA954" s="11" t="str">
        <f>VLOOKUP(L954,'[1]singkron data'!D:L,9,FALSE)</f>
        <v>085847201292/ Dodon</v>
      </c>
      <c r="AB954" s="11" t="s">
        <v>54</v>
      </c>
      <c r="AC954" s="11" t="str">
        <f>VLOOKUP(L954,'[1]singkron data'!D:M,10,FALSE)</f>
        <v>g</v>
      </c>
      <c r="AD954" s="11" t="str">
        <f>VLOOKUP(L954,'[1]data 1129'!F:O,10,FALSE)</f>
        <v>Tahap IV 200</v>
      </c>
      <c r="AE954" s="11" t="str">
        <f>VLOOKUP(L954,'[1]singkron data'!D:P,13,FALSE)</f>
        <v>sudah</v>
      </c>
      <c r="AF954" s="11" t="s">
        <v>55</v>
      </c>
      <c r="AG954" s="11" t="e">
        <f>VLOOKUP(L954,'[1]update kontrak'!E:K,6,FALSE)</f>
        <v>#N/A</v>
      </c>
      <c r="AH954" s="11" t="e">
        <f>VLOOKUP(L954,'[1]update kontrak'!E:K,7,FALSE)</f>
        <v>#N/A</v>
      </c>
      <c r="AI954" s="11" t="s">
        <v>58</v>
      </c>
      <c r="AJ954" s="11" t="str">
        <f>VLOOKUP(L954,[1]rekap!D:M,1,FALSE)</f>
        <v>Kranji</v>
      </c>
      <c r="AK954" s="11" t="str">
        <f>VLOOKUP(L954,'[1]singkron data'!D:E,2,FALSE)</f>
        <v>CV. Sapta Manunggal Lestari</v>
      </c>
      <c r="AL954" s="11" t="str">
        <f>VLOOKUP(L954,'[1]update 521'!D:D,1,FALSE)</f>
        <v>Kranji</v>
      </c>
      <c r="AM954" s="11" t="s">
        <v>57</v>
      </c>
      <c r="AN954" s="17">
        <f>VLOOKUP(L954,[1]Sheet19!E:L,8,FALSE)</f>
        <v>2896507535.7399998</v>
      </c>
      <c r="AO954" s="11" t="str">
        <f>VLOOKUP(L954,[1]Sheet19!E:K,7,FALSE)</f>
        <v>SPPBJ</v>
      </c>
      <c r="AP954" s="12"/>
    </row>
    <row r="955" spans="1:42" ht="15" x14ac:dyDescent="0.2">
      <c r="A955" s="8" t="s">
        <v>2240</v>
      </c>
      <c r="B955" s="9" t="s">
        <v>43</v>
      </c>
      <c r="C955" s="9">
        <v>982</v>
      </c>
      <c r="D955" s="9" t="s">
        <v>284</v>
      </c>
      <c r="E955" s="9">
        <v>70</v>
      </c>
      <c r="F955" s="9" t="s">
        <v>2281</v>
      </c>
      <c r="G955" s="9" t="s">
        <v>297</v>
      </c>
      <c r="H955" s="9" t="s">
        <v>287</v>
      </c>
      <c r="I955" s="9" t="s">
        <v>2282</v>
      </c>
      <c r="J955" s="9" t="s">
        <v>2283</v>
      </c>
      <c r="K955" s="9" t="s">
        <v>2293</v>
      </c>
      <c r="L955" s="10" t="s">
        <v>2293</v>
      </c>
      <c r="M955" s="9" t="s">
        <v>51</v>
      </c>
      <c r="N955" s="9">
        <v>119</v>
      </c>
      <c r="O955" s="9" t="s">
        <v>72</v>
      </c>
      <c r="P955" s="9">
        <v>123</v>
      </c>
      <c r="Q955" s="9">
        <v>123</v>
      </c>
      <c r="R955" s="9">
        <v>1</v>
      </c>
      <c r="S955" s="9">
        <v>-6.8819889999999999</v>
      </c>
      <c r="T955" s="9">
        <v>112.455102</v>
      </c>
      <c r="U955" s="9" t="s">
        <v>52</v>
      </c>
      <c r="V955" s="11" t="str">
        <f>VLOOKUP(L955,'[1]singkron data'!D:E,2,FALSE)</f>
        <v>CV. Bumi Jaya Berkah Abadi</v>
      </c>
      <c r="W955" s="13">
        <f>VLOOKUP(L955,'[1]data 1129'!F:H,3,FALSE)</f>
        <v>3454266000</v>
      </c>
      <c r="X955" s="11" t="s">
        <v>55</v>
      </c>
      <c r="Y955" s="11">
        <f>VLOOKUP(L955,'[1]singkron data'!D:H,5,FALSE)</f>
        <v>0</v>
      </c>
      <c r="Z955" s="11" t="str">
        <f>VLOOKUP(L955,'[1]singkron data'!D:I,6,FALSE)</f>
        <v>Online</v>
      </c>
      <c r="AA955" s="11" t="str">
        <f>VLOOKUP(L955,'[1]singkron data'!D:L,9,FALSE)</f>
        <v>087776689958/iwan</v>
      </c>
      <c r="AB955" s="11" t="s">
        <v>54</v>
      </c>
      <c r="AC955" s="11" t="str">
        <f>VLOOKUP(L955,'[1]singkron data'!D:M,10,FALSE)</f>
        <v>g</v>
      </c>
      <c r="AD955" s="11" t="str">
        <f>VLOOKUP(L955,'[1]data 1129'!F:O,10,FALSE)</f>
        <v>Tahap IV 200</v>
      </c>
      <c r="AE955" s="11" t="str">
        <f>VLOOKUP(L955,'[1]singkron data'!D:P,13,FALSE)</f>
        <v>sudah</v>
      </c>
      <c r="AF955" s="11" t="s">
        <v>55</v>
      </c>
      <c r="AG955" s="11" t="e">
        <f>VLOOKUP(L955,'[1]update kontrak'!E:K,6,FALSE)</f>
        <v>#N/A</v>
      </c>
      <c r="AH955" s="11" t="e">
        <f>VLOOKUP(L955,'[1]update kontrak'!E:K,7,FALSE)</f>
        <v>#N/A</v>
      </c>
      <c r="AI955" s="11" t="s">
        <v>58</v>
      </c>
      <c r="AJ955" s="11" t="str">
        <f>VLOOKUP(L955,[1]rekap!D:M,1,FALSE)</f>
        <v>Warulor</v>
      </c>
      <c r="AK955" s="11" t="str">
        <f>VLOOKUP(L955,'[1]singkron data'!D:E,2,FALSE)</f>
        <v>CV. Bumi Jaya Berkah Abadi</v>
      </c>
      <c r="AL955" s="11" t="str">
        <f>VLOOKUP(L955,'[1]update 521'!D:D,1,FALSE)</f>
        <v>Warulor</v>
      </c>
      <c r="AM955" s="11" t="s">
        <v>57</v>
      </c>
      <c r="AN955" s="11" t="e">
        <f>VLOOKUP(L955,[1]Sheet19!E:L,8,FALSE)</f>
        <v>#N/A</v>
      </c>
      <c r="AO955" s="11" t="s">
        <v>58</v>
      </c>
      <c r="AP955" s="12"/>
    </row>
    <row r="956" spans="1:42" ht="15" x14ac:dyDescent="0.2">
      <c r="A956" s="8" t="s">
        <v>2240</v>
      </c>
      <c r="B956" s="9" t="s">
        <v>43</v>
      </c>
      <c r="C956" s="9">
        <v>983</v>
      </c>
      <c r="D956" s="9" t="s">
        <v>284</v>
      </c>
      <c r="E956" s="9">
        <v>71</v>
      </c>
      <c r="F956" s="9" t="s">
        <v>2281</v>
      </c>
      <c r="G956" s="9" t="s">
        <v>297</v>
      </c>
      <c r="H956" s="9" t="s">
        <v>287</v>
      </c>
      <c r="I956" s="9" t="s">
        <v>2274</v>
      </c>
      <c r="J956" s="9" t="s">
        <v>2286</v>
      </c>
      <c r="K956" s="9" t="s">
        <v>2294</v>
      </c>
      <c r="L956" s="10" t="s">
        <v>2294</v>
      </c>
      <c r="M956" s="9" t="s">
        <v>81</v>
      </c>
      <c r="N956" s="9">
        <v>1244</v>
      </c>
      <c r="O956" s="9">
        <v>2</v>
      </c>
      <c r="P956" s="14">
        <v>1040</v>
      </c>
      <c r="Q956" s="14">
        <v>1042</v>
      </c>
      <c r="R956" s="9">
        <v>0.05</v>
      </c>
      <c r="S956" s="9">
        <v>-6.8855931750000003</v>
      </c>
      <c r="T956" s="9">
        <v>112.4581238</v>
      </c>
      <c r="U956" s="9" t="s">
        <v>52</v>
      </c>
      <c r="V956" s="11" t="str">
        <f>VLOOKUP(L956,'[1]singkron data'!D:E,2,FALSE)</f>
        <v>PT. Kaisar Putra Perkasa</v>
      </c>
      <c r="W956" s="13">
        <f>VLOOKUP(L956,'[1]data 1129'!F:H,3,FALSE)</f>
        <v>3454266000</v>
      </c>
      <c r="X956" s="11" t="s">
        <v>55</v>
      </c>
      <c r="Y956" s="11">
        <f>VLOOKUP(L956,'[1]singkron data'!D:H,5,FALSE)</f>
        <v>0</v>
      </c>
      <c r="Z956" s="11">
        <f>VLOOKUP(L956,'[1]singkron data'!D:I,6,FALSE)</f>
        <v>0</v>
      </c>
      <c r="AA956" s="11" t="str">
        <f>VLOOKUP(L956,'[1]singkron data'!D:L,9,FALSE)</f>
        <v>0811302967 (mustofirin)</v>
      </c>
      <c r="AB956" s="11" t="s">
        <v>54</v>
      </c>
      <c r="AC956" s="11" t="str">
        <f>VLOOKUP(L956,'[1]singkron data'!D:M,10,FALSE)</f>
        <v>mengkopangan-rid</v>
      </c>
      <c r="AD956" s="11" t="str">
        <f>VLOOKUP(L956,'[1]data 1129'!F:O,10,FALSE)</f>
        <v>Tahap IV 200</v>
      </c>
      <c r="AE956" s="11" t="str">
        <f>VLOOKUP(L956,'[1]singkron data'!D:P,13,FALSE)</f>
        <v>drop sosek</v>
      </c>
      <c r="AF956" s="11" t="s">
        <v>55</v>
      </c>
      <c r="AG956" s="11" t="e">
        <f>VLOOKUP(L956,'[1]update kontrak'!E:K,6,FALSE)</f>
        <v>#N/A</v>
      </c>
      <c r="AH956" s="11" t="e">
        <f>VLOOKUP(L956,'[1]update kontrak'!E:K,7,FALSE)</f>
        <v>#N/A</v>
      </c>
      <c r="AI956" s="11"/>
      <c r="AJ956" s="11" t="str">
        <f>VLOOKUP(L956,[1]rekap!D:M,1,FALSE)</f>
        <v>Campurejo</v>
      </c>
      <c r="AK956" s="11" t="str">
        <f>VLOOKUP(L956,'[1]singkron data'!D:E,2,FALSE)</f>
        <v>PT. Kaisar Putra Perkasa</v>
      </c>
      <c r="AL956" s="11" t="str">
        <f>VLOOKUP(L956,'[1]update 521'!D:D,1,FALSE)</f>
        <v>Campurejo</v>
      </c>
      <c r="AM956" s="11" t="s">
        <v>337</v>
      </c>
      <c r="AN956" s="11" t="e">
        <f>VLOOKUP(L956,[1]Sheet19!E:L,8,FALSE)</f>
        <v>#N/A</v>
      </c>
      <c r="AO956" s="11" t="s">
        <v>58</v>
      </c>
      <c r="AP956" s="12"/>
    </row>
    <row r="957" spans="1:42" ht="15" x14ac:dyDescent="0.2">
      <c r="A957" s="8" t="s">
        <v>2240</v>
      </c>
      <c r="B957" s="9" t="s">
        <v>43</v>
      </c>
      <c r="C957" s="9">
        <v>974</v>
      </c>
      <c r="D957" s="9" t="s">
        <v>284</v>
      </c>
      <c r="E957" s="9">
        <v>62</v>
      </c>
      <c r="F957" s="9" t="s">
        <v>401</v>
      </c>
      <c r="G957" s="9" t="s">
        <v>301</v>
      </c>
      <c r="H957" s="9" t="s">
        <v>287</v>
      </c>
      <c r="I957" s="9" t="s">
        <v>394</v>
      </c>
      <c r="J957" s="9" t="s">
        <v>2295</v>
      </c>
      <c r="K957" s="9" t="s">
        <v>2296</v>
      </c>
      <c r="L957" s="9" t="s">
        <v>2296</v>
      </c>
      <c r="M957" s="9" t="s">
        <v>51</v>
      </c>
      <c r="N957" s="9">
        <v>118</v>
      </c>
      <c r="O957" s="9" t="s">
        <v>72</v>
      </c>
      <c r="P957" s="9">
        <v>73</v>
      </c>
      <c r="Q957" s="9">
        <v>73</v>
      </c>
      <c r="R957" s="9">
        <v>1.9472</v>
      </c>
      <c r="S957" s="9">
        <v>-7.8060640000000001</v>
      </c>
      <c r="T957" s="9">
        <v>109.831788</v>
      </c>
      <c r="U957" s="9" t="s">
        <v>52</v>
      </c>
      <c r="V957" s="11" t="str">
        <f>VLOOKUP(L957,'[1]singkron data'!D:E,2,FALSE)</f>
        <v>CV. Putera Fahlevi</v>
      </c>
      <c r="W957" s="13">
        <f>VLOOKUP(L957,'[1]data 1129'!F:H,3,FALSE)</f>
        <v>2314000000</v>
      </c>
      <c r="X957" s="11" t="s">
        <v>55</v>
      </c>
      <c r="Y957" s="11">
        <f>VLOOKUP(L957,'[1]singkron data'!D:H,5,FALSE)</f>
        <v>0</v>
      </c>
      <c r="Z957" s="11">
        <f>VLOOKUP(L957,'[1]singkron data'!D:I,6,FALSE)</f>
        <v>0</v>
      </c>
      <c r="AA957" s="11" t="str">
        <f>VLOOKUP(L957,'[1]singkron data'!D:L,9,FALSE)</f>
        <v>081286452407/prio</v>
      </c>
      <c r="AB957" s="11" t="s">
        <v>54</v>
      </c>
      <c r="AC957" s="11" t="str">
        <f>VLOOKUP(L957,'[1]singkron data'!D:M,10,FALSE)</f>
        <v>g-drop sosek</v>
      </c>
      <c r="AD957" s="11" t="str">
        <f>VLOOKUP(L957,'[1]data 1129'!F:O,10,FALSE)</f>
        <v>Tahap III 166</v>
      </c>
      <c r="AE957" s="11" t="str">
        <f>VLOOKUP(L957,'[1]singkron data'!D:P,13,FALSE)</f>
        <v>drop sosek</v>
      </c>
      <c r="AF957" s="11" t="s">
        <v>55</v>
      </c>
      <c r="AG957" s="11" t="e">
        <f>VLOOKUP(L957,'[1]update kontrak'!E:K,6,FALSE)</f>
        <v>#N/A</v>
      </c>
      <c r="AH957" s="11" t="e">
        <f>VLOOKUP(L957,'[1]update kontrak'!E:K,7,FALSE)</f>
        <v>#N/A</v>
      </c>
      <c r="AI957" s="11"/>
      <c r="AJ957" s="11" t="str">
        <f>VLOOKUP(L957,[1]rekap!D:M,1,FALSE)</f>
        <v>Rowo</v>
      </c>
      <c r="AK957" s="11" t="str">
        <f>VLOOKUP(L957,'[1]singkron data'!D:E,2,FALSE)</f>
        <v>CV. Putera Fahlevi</v>
      </c>
      <c r="AL957" s="11" t="str">
        <f>VLOOKUP(L957,'[1]update 521'!D:D,1,FALSE)</f>
        <v>Rowo</v>
      </c>
      <c r="AM957" s="11" t="s">
        <v>337</v>
      </c>
      <c r="AN957" s="11" t="e">
        <f>VLOOKUP(L957,[1]Sheet19!E:L,8,FALSE)</f>
        <v>#N/A</v>
      </c>
      <c r="AO957" s="11" t="s">
        <v>58</v>
      </c>
      <c r="AP957" s="12"/>
    </row>
    <row r="958" spans="1:42" ht="15" x14ac:dyDescent="0.2">
      <c r="A958" s="8" t="s">
        <v>2240</v>
      </c>
      <c r="B958" s="9" t="s">
        <v>43</v>
      </c>
      <c r="C958" s="9">
        <v>984</v>
      </c>
      <c r="D958" s="9" t="s">
        <v>284</v>
      </c>
      <c r="E958" s="9">
        <v>72</v>
      </c>
      <c r="F958" s="9" t="s">
        <v>405</v>
      </c>
      <c r="G958" s="9" t="s">
        <v>297</v>
      </c>
      <c r="H958" s="9" t="s">
        <v>287</v>
      </c>
      <c r="I958" s="9" t="s">
        <v>406</v>
      </c>
      <c r="J958" s="9" t="s">
        <v>406</v>
      </c>
      <c r="K958" s="9" t="s">
        <v>2297</v>
      </c>
      <c r="L958" s="10" t="s">
        <v>2297</v>
      </c>
      <c r="M958" s="9" t="s">
        <v>51</v>
      </c>
      <c r="N958" s="9">
        <v>224</v>
      </c>
      <c r="O958" s="9" t="s">
        <v>72</v>
      </c>
      <c r="P958" s="9">
        <v>186</v>
      </c>
      <c r="Q958" s="9">
        <v>186</v>
      </c>
      <c r="R958" s="9">
        <v>6.56</v>
      </c>
      <c r="S958" s="9">
        <v>-8.2298954999999996</v>
      </c>
      <c r="T958" s="9">
        <v>114.3898468</v>
      </c>
      <c r="U958" s="9" t="s">
        <v>52</v>
      </c>
      <c r="V958" s="11" t="str">
        <f>VLOOKUP(L958,'[1]singkron data'!D:E,2,FALSE)</f>
        <v>CV. EMWE Perkasa</v>
      </c>
      <c r="W958" s="13">
        <f>VLOOKUP(L958,'[1]data 1129'!F:H,3,FALSE)</f>
        <v>3454266000</v>
      </c>
      <c r="X958" s="11" t="s">
        <v>55</v>
      </c>
      <c r="Y958" s="11">
        <f>VLOOKUP(L958,'[1]singkron data'!D:H,5,FALSE)</f>
        <v>0</v>
      </c>
      <c r="Z958" s="11">
        <f>VLOOKUP(L958,'[1]singkron data'!D:I,6,FALSE)</f>
        <v>0</v>
      </c>
      <c r="AA958" s="11" t="str">
        <f>VLOOKUP(L958,'[1]singkron data'!D:L,9,FALSE)</f>
        <v>082302408223/alamsyah</v>
      </c>
      <c r="AB958" s="11" t="s">
        <v>54</v>
      </c>
      <c r="AC958" s="11" t="str">
        <f>VLOOKUP(L958,'[1]singkron data'!D:M,10,FALSE)</f>
        <v>Put</v>
      </c>
      <c r="AD958" s="11" t="str">
        <f>VLOOKUP(L958,'[1]data 1129'!F:O,10,FALSE)</f>
        <v>Tahap IV 200</v>
      </c>
      <c r="AE958" s="11" t="str">
        <f>VLOOKUP(L958,'[1]singkron data'!D:P,13,FALSE)</f>
        <v>sudah</v>
      </c>
      <c r="AF958" s="11" t="s">
        <v>55</v>
      </c>
      <c r="AG958" s="11" t="e">
        <f>VLOOKUP(L958,'[1]update kontrak'!E:K,6,FALSE)</f>
        <v>#N/A</v>
      </c>
      <c r="AH958" s="11" t="e">
        <f>VLOOKUP(L958,'[1]update kontrak'!E:K,7,FALSE)</f>
        <v>#N/A</v>
      </c>
      <c r="AI958" s="11" t="s">
        <v>58</v>
      </c>
      <c r="AJ958" s="11" t="str">
        <f>VLOOKUP(L958,[1]rekap!D:M,1,FALSE)</f>
        <v>Karangrejo</v>
      </c>
      <c r="AK958" s="11" t="str">
        <f>VLOOKUP(L958,'[1]singkron data'!D:E,2,FALSE)</f>
        <v>CV. EMWE Perkasa</v>
      </c>
      <c r="AL958" s="11" t="str">
        <f>VLOOKUP(L958,'[1]update 521'!D:D,1,FALSE)</f>
        <v>Karangrejo</v>
      </c>
      <c r="AM958" s="11" t="s">
        <v>57</v>
      </c>
      <c r="AN958" s="11" t="e">
        <f>VLOOKUP(L958,[1]Sheet19!E:L,8,FALSE)</f>
        <v>#N/A</v>
      </c>
      <c r="AO958" s="11" t="s">
        <v>58</v>
      </c>
      <c r="AP958" s="12"/>
    </row>
    <row r="959" spans="1:42" ht="15" x14ac:dyDescent="0.2">
      <c r="A959" s="8" t="s">
        <v>2240</v>
      </c>
      <c r="B959" s="9" t="s">
        <v>43</v>
      </c>
      <c r="C959" s="9">
        <v>987</v>
      </c>
      <c r="D959" s="9" t="s">
        <v>284</v>
      </c>
      <c r="E959" s="9">
        <v>75</v>
      </c>
      <c r="F959" s="9" t="s">
        <v>409</v>
      </c>
      <c r="G959" s="9" t="s">
        <v>323</v>
      </c>
      <c r="H959" s="9" t="s">
        <v>287</v>
      </c>
      <c r="I959" s="9" t="s">
        <v>410</v>
      </c>
      <c r="J959" s="9" t="s">
        <v>2298</v>
      </c>
      <c r="K959" s="9" t="s">
        <v>2299</v>
      </c>
      <c r="L959" s="9" t="s">
        <v>2299</v>
      </c>
      <c r="M959" s="9" t="s">
        <v>51</v>
      </c>
      <c r="N959" s="9">
        <v>113</v>
      </c>
      <c r="O959" s="9" t="s">
        <v>72</v>
      </c>
      <c r="P959" s="9">
        <v>111</v>
      </c>
      <c r="Q959" s="9">
        <v>111</v>
      </c>
      <c r="R959" s="9">
        <v>1.04</v>
      </c>
      <c r="S959" s="9">
        <v>-5.9645299999999999</v>
      </c>
      <c r="T959" s="9">
        <v>106.10536999999999</v>
      </c>
      <c r="U959" s="9" t="s">
        <v>52</v>
      </c>
      <c r="V959" s="11" t="str">
        <f>VLOOKUP(L959,'[1]singkron data'!D:E,2,FALSE)</f>
        <v>CV. Masa Barokah</v>
      </c>
      <c r="W959" s="13">
        <f>VLOOKUP(L959,'[1]data 1129'!F:H,3,FALSE)</f>
        <v>3569000000</v>
      </c>
      <c r="X959" s="11" t="s">
        <v>55</v>
      </c>
      <c r="Y959" s="11">
        <f>VLOOKUP(L959,'[1]singkron data'!D:H,5,FALSE)</f>
        <v>0</v>
      </c>
      <c r="Z959" s="11" t="str">
        <f>VLOOKUP(L959,'[1]singkron data'!D:I,6,FALSE)</f>
        <v>Online</v>
      </c>
      <c r="AA959" s="11" t="str">
        <f>VLOOKUP(L959,'[1]singkron data'!D:L,9,FALSE)</f>
        <v>081212846377/eko</v>
      </c>
      <c r="AB959" s="11" t="s">
        <v>54</v>
      </c>
      <c r="AC959" s="11" t="str">
        <f>VLOOKUP(L959,'[1]singkron data'!D:M,10,FALSE)</f>
        <v>TK ganti perusahaan kecil karena pagu dibawah 15 miliar</v>
      </c>
      <c r="AD959" s="11" t="str">
        <f>VLOOKUP(L959,'[1]data 1129'!F:O,10,FALSE)</f>
        <v>Tahap IV 200</v>
      </c>
      <c r="AE959" s="11" t="str">
        <f>VLOOKUP(L959,'[1]singkron data'!D:P,13,FALSE)</f>
        <v>sudah</v>
      </c>
      <c r="AF959" s="11" t="s">
        <v>55</v>
      </c>
      <c r="AG959" s="11" t="e">
        <f>VLOOKUP(L959,'[1]update kontrak'!E:K,6,FALSE)</f>
        <v>#N/A</v>
      </c>
      <c r="AH959" s="11" t="e">
        <f>VLOOKUP(L959,'[1]update kontrak'!E:K,7,FALSE)</f>
        <v>#N/A</v>
      </c>
      <c r="AI959" s="11" t="s">
        <v>58</v>
      </c>
      <c r="AJ959" s="11" t="str">
        <f>VLOOKUP(L959,[1]rekap!D:M,1,FALSE)</f>
        <v>Margagiri</v>
      </c>
      <c r="AK959" s="11" t="str">
        <f>VLOOKUP(L959,'[1]singkron data'!D:E,2,FALSE)</f>
        <v>CV. Masa Barokah</v>
      </c>
      <c r="AL959" s="11" t="str">
        <f>VLOOKUP(L959,'[1]update 521'!D:D,1,FALSE)</f>
        <v>Margagiri</v>
      </c>
      <c r="AM959" s="11" t="s">
        <v>57</v>
      </c>
      <c r="AN959" s="11" t="e">
        <f>VLOOKUP(L959,[1]Sheet19!E:L,8,FALSE)</f>
        <v>#N/A</v>
      </c>
      <c r="AO959" s="11" t="s">
        <v>58</v>
      </c>
      <c r="AP959" s="12"/>
    </row>
    <row r="960" spans="1:42" ht="15" x14ac:dyDescent="0.2">
      <c r="A960" s="8" t="s">
        <v>2240</v>
      </c>
      <c r="B960" s="9" t="s">
        <v>43</v>
      </c>
      <c r="C960" s="9">
        <v>1011</v>
      </c>
      <c r="D960" s="9" t="s">
        <v>284</v>
      </c>
      <c r="E960" s="9">
        <v>99</v>
      </c>
      <c r="F960" s="9" t="s">
        <v>447</v>
      </c>
      <c r="G960" s="9" t="s">
        <v>301</v>
      </c>
      <c r="H960" s="9" t="s">
        <v>287</v>
      </c>
      <c r="I960" s="9" t="s">
        <v>316</v>
      </c>
      <c r="J960" s="9" t="s">
        <v>2300</v>
      </c>
      <c r="K960" s="9" t="s">
        <v>2301</v>
      </c>
      <c r="L960" s="9" t="s">
        <v>2301</v>
      </c>
      <c r="M960" s="9" t="s">
        <v>51</v>
      </c>
      <c r="N960" s="9">
        <v>202</v>
      </c>
      <c r="O960" s="9" t="s">
        <v>72</v>
      </c>
      <c r="P960" s="9">
        <v>245</v>
      </c>
      <c r="Q960" s="9">
        <v>245</v>
      </c>
      <c r="R960" s="9">
        <v>0.05</v>
      </c>
      <c r="S960" s="9">
        <v>-6.6870222699999999</v>
      </c>
      <c r="T960" s="9">
        <v>111.2324362</v>
      </c>
      <c r="U960" s="9" t="s">
        <v>52</v>
      </c>
      <c r="V960" s="11" t="str">
        <f>VLOOKUP(L960,'[1]singkron data'!D:E,2,FALSE)</f>
        <v>CV. Bumi Jaya Berkah Abadi</v>
      </c>
      <c r="W960" s="13">
        <f>VLOOKUP(L960,'[1]data 1129'!F:H,3,FALSE)</f>
        <v>4441806000</v>
      </c>
      <c r="X960" s="11" t="s">
        <v>55</v>
      </c>
      <c r="Y960" s="11" t="str">
        <f>VLOOKUP(L960,'[1]singkron data'!D:H,5,FALSE)</f>
        <v>Bandung (Kecil)</v>
      </c>
      <c r="Z960" s="11" t="str">
        <f>VLOOKUP(L960,'[1]singkron data'!D:I,6,FALSE)</f>
        <v>Online</v>
      </c>
      <c r="AA960" s="11" t="str">
        <f>VLOOKUP(L960,'[1]singkron data'!D:L,9,FALSE)</f>
        <v>087776689958/iwan</v>
      </c>
      <c r="AB960" s="11" t="s">
        <v>54</v>
      </c>
      <c r="AC960" s="11" t="str">
        <f>VLOOKUP(L960,'[1]singkron data'!D:M,10,FALSE)</f>
        <v>g-drop sosek</v>
      </c>
      <c r="AD960" s="11" t="str">
        <f>VLOOKUP(L960,'[1]data 1129'!F:O,10,FALSE)</f>
        <v>Tahap IV 200</v>
      </c>
      <c r="AE960" s="11" t="str">
        <f>VLOOKUP(L960,'[1]singkron data'!D:P,13,FALSE)</f>
        <v>drop sosek</v>
      </c>
      <c r="AF960" s="11" t="s">
        <v>55</v>
      </c>
      <c r="AG960" s="11" t="e">
        <f>VLOOKUP(L960,'[1]update kontrak'!E:K,6,FALSE)</f>
        <v>#N/A</v>
      </c>
      <c r="AH960" s="11" t="e">
        <f>VLOOKUP(L960,'[1]update kontrak'!E:K,7,FALSE)</f>
        <v>#N/A</v>
      </c>
      <c r="AI960" s="11"/>
      <c r="AJ960" s="11" t="str">
        <f>VLOOKUP(L960,[1]rekap!D:M,1,FALSE)</f>
        <v>Pecangaan</v>
      </c>
      <c r="AK960" s="11" t="str">
        <f>VLOOKUP(L960,'[1]singkron data'!D:E,2,FALSE)</f>
        <v>CV. Bumi Jaya Berkah Abadi</v>
      </c>
      <c r="AL960" s="11" t="str">
        <f>VLOOKUP(L960,'[1]update 521'!D:D,1,FALSE)</f>
        <v>Pecangaan</v>
      </c>
      <c r="AM960" s="11" t="s">
        <v>337</v>
      </c>
      <c r="AN960" s="11" t="e">
        <f>VLOOKUP(L960,[1]Sheet19!E:L,8,FALSE)</f>
        <v>#N/A</v>
      </c>
      <c r="AO960" s="11" t="s">
        <v>58</v>
      </c>
      <c r="AP960" s="12"/>
    </row>
    <row r="961" spans="1:42" ht="15" x14ac:dyDescent="0.2">
      <c r="A961" s="8" t="s">
        <v>2240</v>
      </c>
      <c r="B961" s="9" t="s">
        <v>43</v>
      </c>
      <c r="C961" s="9">
        <v>1012</v>
      </c>
      <c r="D961" s="9" t="s">
        <v>284</v>
      </c>
      <c r="E961" s="9">
        <v>100</v>
      </c>
      <c r="F961" s="9" t="s">
        <v>447</v>
      </c>
      <c r="G961" s="9" t="s">
        <v>301</v>
      </c>
      <c r="H961" s="9" t="s">
        <v>287</v>
      </c>
      <c r="I961" s="9" t="s">
        <v>316</v>
      </c>
      <c r="J961" s="9" t="s">
        <v>2300</v>
      </c>
      <c r="K961" s="9" t="s">
        <v>2302</v>
      </c>
      <c r="L961" s="9" t="s">
        <v>2302</v>
      </c>
      <c r="M961" s="9" t="s">
        <v>51</v>
      </c>
      <c r="N961" s="9">
        <v>57</v>
      </c>
      <c r="O961" s="9" t="s">
        <v>72</v>
      </c>
      <c r="P961" s="9">
        <v>82</v>
      </c>
      <c r="Q961" s="9">
        <v>82</v>
      </c>
      <c r="R961" s="9">
        <v>0.28000000000000003</v>
      </c>
      <c r="S961" s="9">
        <v>-6.7014389999999997</v>
      </c>
      <c r="T961" s="9">
        <v>111.23491799999999</v>
      </c>
      <c r="U961" s="9" t="s">
        <v>52</v>
      </c>
      <c r="V961" s="11" t="str">
        <f>VLOOKUP(L961,'[1]singkron data'!D:E,2,FALSE)</f>
        <v>CV. Bumi Jaya Berkah Abadi</v>
      </c>
      <c r="W961" s="13">
        <f>VLOOKUP(L961,'[1]data 1129'!F:H,3,FALSE)</f>
        <v>5437000000</v>
      </c>
      <c r="X961" s="11" t="s">
        <v>55</v>
      </c>
      <c r="Y961" s="11" t="str">
        <f>VLOOKUP(L961,'[1]singkron data'!D:H,5,FALSE)</f>
        <v>Bandung (Kecil)</v>
      </c>
      <c r="Z961" s="11" t="str">
        <f>VLOOKUP(L961,'[1]singkron data'!D:I,6,FALSE)</f>
        <v>Online</v>
      </c>
      <c r="AA961" s="11" t="str">
        <f>VLOOKUP(L961,'[1]singkron data'!D:L,9,FALSE)</f>
        <v>087776689958/iwan</v>
      </c>
      <c r="AB961" s="11" t="s">
        <v>54</v>
      </c>
      <c r="AC961" s="11" t="str">
        <f>VLOOKUP(L961,'[1]singkron data'!D:M,10,FALSE)</f>
        <v>g-drop sosek</v>
      </c>
      <c r="AD961" s="11" t="str">
        <f>VLOOKUP(L961,'[1]data 1129'!F:O,10,FALSE)</f>
        <v>Tahap IV 200</v>
      </c>
      <c r="AE961" s="11" t="str">
        <f>VLOOKUP(L961,'[1]singkron data'!D:P,13,FALSE)</f>
        <v>drop sosek</v>
      </c>
      <c r="AF961" s="11" t="s">
        <v>55</v>
      </c>
      <c r="AG961" s="11" t="e">
        <f>VLOOKUP(L961,'[1]update kontrak'!E:K,6,FALSE)</f>
        <v>#N/A</v>
      </c>
      <c r="AH961" s="11" t="e">
        <f>VLOOKUP(L961,'[1]update kontrak'!E:K,7,FALSE)</f>
        <v>#N/A</v>
      </c>
      <c r="AI961" s="11"/>
      <c r="AJ961" s="11" t="str">
        <f>VLOOKUP(L961,[1]rekap!D:M,1,FALSE)</f>
        <v>Gajahkumpul</v>
      </c>
      <c r="AK961" s="11" t="str">
        <f>VLOOKUP(L961,'[1]singkron data'!D:E,2,FALSE)</f>
        <v>CV. Bumi Jaya Berkah Abadi</v>
      </c>
      <c r="AL961" s="11" t="str">
        <f>VLOOKUP(L961,'[1]update 521'!D:D,1,FALSE)</f>
        <v>Gajahkumpul</v>
      </c>
      <c r="AM961" s="11" t="s">
        <v>337</v>
      </c>
      <c r="AN961" s="11" t="e">
        <f>VLOOKUP(L961,[1]Sheet19!E:L,8,FALSE)</f>
        <v>#N/A</v>
      </c>
      <c r="AO961" s="11" t="s">
        <v>58</v>
      </c>
      <c r="AP961" s="12"/>
    </row>
    <row r="962" spans="1:42" ht="15" x14ac:dyDescent="0.2">
      <c r="A962" s="8" t="s">
        <v>2240</v>
      </c>
      <c r="B962" s="9" t="s">
        <v>43</v>
      </c>
      <c r="C962" s="9">
        <v>1013</v>
      </c>
      <c r="D962" s="9" t="s">
        <v>284</v>
      </c>
      <c r="E962" s="9">
        <v>101</v>
      </c>
      <c r="F962" s="9" t="s">
        <v>447</v>
      </c>
      <c r="G962" s="9" t="s">
        <v>301</v>
      </c>
      <c r="H962" s="9" t="s">
        <v>287</v>
      </c>
      <c r="I962" s="9" t="s">
        <v>316</v>
      </c>
      <c r="J962" s="9" t="s">
        <v>2303</v>
      </c>
      <c r="K962" s="9" t="s">
        <v>2304</v>
      </c>
      <c r="L962" s="9" t="s">
        <v>2304</v>
      </c>
      <c r="M962" s="9" t="s">
        <v>51</v>
      </c>
      <c r="N962" s="9">
        <v>172</v>
      </c>
      <c r="O962" s="9" t="s">
        <v>72</v>
      </c>
      <c r="P962" s="9">
        <v>117</v>
      </c>
      <c r="Q962" s="9">
        <v>117</v>
      </c>
      <c r="R962" s="9">
        <v>0.74099999999999999</v>
      </c>
      <c r="S962" s="9">
        <v>-6.7014250000000004</v>
      </c>
      <c r="T962" s="9">
        <v>111.15182799999999</v>
      </c>
      <c r="U962" s="9" t="s">
        <v>52</v>
      </c>
      <c r="V962" s="11" t="str">
        <f>VLOOKUP(L962,'[1]singkron data'!D:E,2,FALSE)</f>
        <v>CV. Bumi Jaya Berkah Abadi</v>
      </c>
      <c r="W962" s="13">
        <f>VLOOKUP(L962,'[1]data 1129'!F:H,3,FALSE)</f>
        <v>5437000000</v>
      </c>
      <c r="X962" s="11" t="s">
        <v>55</v>
      </c>
      <c r="Y962" s="11" t="str">
        <f>VLOOKUP(L962,'[1]singkron data'!D:H,5,FALSE)</f>
        <v>Bandung (Kecil)</v>
      </c>
      <c r="Z962" s="11" t="str">
        <f>VLOOKUP(L962,'[1]singkron data'!D:I,6,FALSE)</f>
        <v>Online</v>
      </c>
      <c r="AA962" s="11" t="str">
        <f>VLOOKUP(L962,'[1]singkron data'!D:L,9,FALSE)</f>
        <v>087776689958/iwan</v>
      </c>
      <c r="AB962" s="11" t="s">
        <v>54</v>
      </c>
      <c r="AC962" s="11" t="str">
        <f>VLOOKUP(L962,'[1]singkron data'!D:M,10,FALSE)</f>
        <v>g-drop sosek</v>
      </c>
      <c r="AD962" s="11" t="str">
        <f>VLOOKUP(L962,'[1]data 1129'!F:O,10,FALSE)</f>
        <v>Tahap IV 200</v>
      </c>
      <c r="AE962" s="11" t="str">
        <f>VLOOKUP(L962,'[1]singkron data'!D:P,13,FALSE)</f>
        <v>drop sosek</v>
      </c>
      <c r="AF962" s="11" t="s">
        <v>55</v>
      </c>
      <c r="AG962" s="11" t="e">
        <f>VLOOKUP(L962,'[1]update kontrak'!E:K,6,FALSE)</f>
        <v>#N/A</v>
      </c>
      <c r="AH962" s="11" t="e">
        <f>VLOOKUP(L962,'[1]update kontrak'!E:K,7,FALSE)</f>
        <v>#N/A</v>
      </c>
      <c r="AI962" s="11"/>
      <c r="AJ962" s="11" t="str">
        <f>VLOOKUP(L962,[1]rekap!D:M,1,FALSE)</f>
        <v>Bajomulyo</v>
      </c>
      <c r="AK962" s="11" t="str">
        <f>VLOOKUP(L962,'[1]singkron data'!D:E,2,FALSE)</f>
        <v>CV. Bumi Jaya Berkah Abadi</v>
      </c>
      <c r="AL962" s="11" t="str">
        <f>VLOOKUP(L962,'[1]update 521'!D:D,1,FALSE)</f>
        <v>Bajomulyo</v>
      </c>
      <c r="AM962" s="11" t="s">
        <v>337</v>
      </c>
      <c r="AN962" s="11" t="e">
        <f>VLOOKUP(L962,[1]Sheet19!E:L,8,FALSE)</f>
        <v>#N/A</v>
      </c>
      <c r="AO962" s="11" t="s">
        <v>58</v>
      </c>
      <c r="AP962" s="12"/>
    </row>
    <row r="963" spans="1:42" ht="15" x14ac:dyDescent="0.2">
      <c r="A963" s="8" t="s">
        <v>2240</v>
      </c>
      <c r="B963" s="9" t="s">
        <v>43</v>
      </c>
      <c r="C963" s="9">
        <v>1015</v>
      </c>
      <c r="D963" s="9" t="s">
        <v>284</v>
      </c>
      <c r="E963" s="9">
        <v>103</v>
      </c>
      <c r="F963" s="9" t="s">
        <v>454</v>
      </c>
      <c r="G963" s="9" t="s">
        <v>297</v>
      </c>
      <c r="H963" s="9" t="s">
        <v>287</v>
      </c>
      <c r="I963" s="9" t="s">
        <v>2305</v>
      </c>
      <c r="J963" s="9" t="s">
        <v>2306</v>
      </c>
      <c r="K963" s="9" t="s">
        <v>174</v>
      </c>
      <c r="L963" s="9" t="s">
        <v>174</v>
      </c>
      <c r="M963" s="9" t="s">
        <v>51</v>
      </c>
      <c r="N963" s="9">
        <v>64</v>
      </c>
      <c r="O963" s="9">
        <v>10</v>
      </c>
      <c r="P963" s="9">
        <v>17</v>
      </c>
      <c r="Q963" s="9">
        <v>27</v>
      </c>
      <c r="R963" s="9">
        <v>0.05</v>
      </c>
      <c r="S963" s="9">
        <v>-7.5379889210000002</v>
      </c>
      <c r="T963" s="9">
        <v>112.87139089999999</v>
      </c>
      <c r="U963" s="9" t="s">
        <v>52</v>
      </c>
      <c r="V963" s="11" t="str">
        <f>VLOOKUP(L963,'[1]singkron data'!D:E,2,FALSE)</f>
        <v>CV. Wapike Bali</v>
      </c>
      <c r="W963" s="13">
        <f>VLOOKUP(L963,'[1]data 1129'!F:H,3,FALSE)</f>
        <v>4441806000</v>
      </c>
      <c r="X963" s="11" t="s">
        <v>55</v>
      </c>
      <c r="Y963" s="11" t="str">
        <f>VLOOKUP(L963,'[1]singkron data'!D:H,5,FALSE)</f>
        <v>Sidoarjo (Kecil)</v>
      </c>
      <c r="Z963" s="11" t="str">
        <f>VLOOKUP(L963,'[1]singkron data'!D:I,6,FALSE)</f>
        <v>Online</v>
      </c>
      <c r="AA963" s="11" t="str">
        <f>VLOOKUP(L963,'[1]singkron data'!D:L,9,FALSE)</f>
        <v>813-3035-4355/Siroj</v>
      </c>
      <c r="AB963" s="11" t="s">
        <v>54</v>
      </c>
      <c r="AC963" s="11" t="str">
        <f>VLOOKUP(L963,'[1]singkron data'!D:M,10,FALSE)</f>
        <v>g-drop sosek</v>
      </c>
      <c r="AD963" s="11" t="str">
        <f>VLOOKUP(L963,'[1]data 1129'!F:O,10,FALSE)</f>
        <v>Tahap IV 200</v>
      </c>
      <c r="AE963" s="11" t="str">
        <f>VLOOKUP(L963,'[1]singkron data'!D:P,13,FALSE)</f>
        <v>drop sosek</v>
      </c>
      <c r="AF963" s="11" t="s">
        <v>55</v>
      </c>
      <c r="AG963" s="11" t="e">
        <f>VLOOKUP(L963,'[1]update kontrak'!E:K,6,FALSE)</f>
        <v>#N/A</v>
      </c>
      <c r="AH963" s="11" t="e">
        <f>VLOOKUP(L963,'[1]update kontrak'!E:K,7,FALSE)</f>
        <v>#N/A</v>
      </c>
      <c r="AI963" s="11"/>
      <c r="AJ963" s="11" t="str">
        <f>VLOOKUP(L963,[1]rekap!D:M,1,FALSE)</f>
        <v>Kupang</v>
      </c>
      <c r="AK963" s="11" t="str">
        <f>VLOOKUP(L963,'[1]singkron data'!D:E,2,FALSE)</f>
        <v>CV. Wapike Bali</v>
      </c>
      <c r="AL963" s="11" t="str">
        <f>VLOOKUP(L963,'[1]update 521'!D:D,1,FALSE)</f>
        <v>Kupang</v>
      </c>
      <c r="AM963" s="11" t="s">
        <v>337</v>
      </c>
      <c r="AN963" s="11" t="e">
        <f>VLOOKUP(L963,[1]Sheet19!E:L,8,FALSE)</f>
        <v>#N/A</v>
      </c>
      <c r="AO963" s="11" t="s">
        <v>58</v>
      </c>
      <c r="AP963" s="12"/>
    </row>
    <row r="964" spans="1:42" ht="15" x14ac:dyDescent="0.2">
      <c r="A964" s="8" t="s">
        <v>2240</v>
      </c>
      <c r="B964" s="9" t="s">
        <v>43</v>
      </c>
      <c r="C964" s="9">
        <v>1016</v>
      </c>
      <c r="D964" s="9" t="s">
        <v>284</v>
      </c>
      <c r="E964" s="9">
        <v>104</v>
      </c>
      <c r="F964" s="9" t="s">
        <v>454</v>
      </c>
      <c r="G964" s="9" t="s">
        <v>297</v>
      </c>
      <c r="H964" s="9" t="s">
        <v>287</v>
      </c>
      <c r="I964" s="9" t="s">
        <v>454</v>
      </c>
      <c r="J964" s="9" t="s">
        <v>455</v>
      </c>
      <c r="K964" s="9" t="s">
        <v>2307</v>
      </c>
      <c r="L964" s="9" t="s">
        <v>2307</v>
      </c>
      <c r="M964" s="9" t="s">
        <v>65</v>
      </c>
      <c r="N964" s="9">
        <v>1056</v>
      </c>
      <c r="O964" s="9" t="s">
        <v>72</v>
      </c>
      <c r="P964" s="14">
        <v>1053</v>
      </c>
      <c r="Q964" s="14">
        <v>1053</v>
      </c>
      <c r="R964" s="9">
        <v>0.2</v>
      </c>
      <c r="S964" s="9">
        <v>-7.6211096029999998</v>
      </c>
      <c r="T964" s="9">
        <v>112.8950924</v>
      </c>
      <c r="U964" s="9" t="s">
        <v>52</v>
      </c>
      <c r="V964" s="11" t="str">
        <f>VLOOKUP(L964,'[1]singkron data'!D:E,2,FALSE)</f>
        <v>CV. Wapike Bali</v>
      </c>
      <c r="W964" s="13">
        <f>VLOOKUP(L964,'[1]data 1129'!F:H,3,FALSE)</f>
        <v>6105695000</v>
      </c>
      <c r="X964" s="11" t="s">
        <v>55</v>
      </c>
      <c r="Y964" s="11" t="str">
        <f>VLOOKUP(L964,'[1]singkron data'!D:H,5,FALSE)</f>
        <v>Sidoarjo (Kecil)</v>
      </c>
      <c r="Z964" s="11" t="str">
        <f>VLOOKUP(L964,'[1]singkron data'!D:I,6,FALSE)</f>
        <v>Online</v>
      </c>
      <c r="AA964" s="11" t="str">
        <f>VLOOKUP(L964,'[1]singkron data'!D:L,9,FALSE)</f>
        <v>813-3035-4355/Siroj</v>
      </c>
      <c r="AB964" s="11" t="s">
        <v>54</v>
      </c>
      <c r="AC964" s="11" t="str">
        <f>VLOOKUP(L964,'[1]singkron data'!D:M,10,FALSE)</f>
        <v>g-drop sosek</v>
      </c>
      <c r="AD964" s="11" t="str">
        <f>VLOOKUP(L964,'[1]data 1129'!F:O,10,FALSE)</f>
        <v>Tahap IV 200</v>
      </c>
      <c r="AE964" s="11" t="str">
        <f>VLOOKUP(L964,'[1]singkron data'!D:P,13,FALSE)</f>
        <v>lokasi batal</v>
      </c>
      <c r="AF964" s="11" t="s">
        <v>55</v>
      </c>
      <c r="AG964" s="11" t="e">
        <f>VLOOKUP(L964,'[1]update kontrak'!E:K,6,FALSE)</f>
        <v>#N/A</v>
      </c>
      <c r="AH964" s="11" t="e">
        <f>VLOOKUP(L964,'[1]update kontrak'!E:K,7,FALSE)</f>
        <v>#N/A</v>
      </c>
      <c r="AI964" s="11"/>
      <c r="AJ964" s="11" t="str">
        <f>VLOOKUP(L964,[1]rekap!D:M,1,FALSE)</f>
        <v>Kalirejo</v>
      </c>
      <c r="AK964" s="11" t="str">
        <f>VLOOKUP(L964,'[1]singkron data'!D:E,2,FALSE)</f>
        <v>CV. Wapike Bali</v>
      </c>
      <c r="AL964" s="11" t="str">
        <f>VLOOKUP(L964,'[1]update 521'!D:D,1,FALSE)</f>
        <v>Kalirejo</v>
      </c>
      <c r="AM964" s="11" t="s">
        <v>337</v>
      </c>
      <c r="AN964" s="11" t="e">
        <f>VLOOKUP(L964,[1]Sheet19!E:L,8,FALSE)</f>
        <v>#N/A</v>
      </c>
      <c r="AO964" s="11" t="s">
        <v>58</v>
      </c>
      <c r="AP964" s="12"/>
    </row>
    <row r="965" spans="1:42" ht="15" x14ac:dyDescent="0.2">
      <c r="A965" s="8" t="s">
        <v>2240</v>
      </c>
      <c r="B965" s="9" t="s">
        <v>43</v>
      </c>
      <c r="C965" s="9">
        <v>1017</v>
      </c>
      <c r="D965" s="9" t="s">
        <v>284</v>
      </c>
      <c r="E965" s="9">
        <v>105</v>
      </c>
      <c r="F965" s="9" t="s">
        <v>454</v>
      </c>
      <c r="G965" s="9" t="s">
        <v>297</v>
      </c>
      <c r="H965" s="9" t="s">
        <v>287</v>
      </c>
      <c r="I965" s="9" t="s">
        <v>2308</v>
      </c>
      <c r="J965" s="9" t="s">
        <v>2309</v>
      </c>
      <c r="K965" s="9" t="s">
        <v>2310</v>
      </c>
      <c r="L965" s="10" t="s">
        <v>2310</v>
      </c>
      <c r="M965" s="9" t="s">
        <v>51</v>
      </c>
      <c r="N965" s="9">
        <v>236</v>
      </c>
      <c r="O965" s="9" t="s">
        <v>72</v>
      </c>
      <c r="P965" s="9">
        <v>221</v>
      </c>
      <c r="Q965" s="9">
        <v>221</v>
      </c>
      <c r="R965" s="9">
        <v>1.28</v>
      </c>
      <c r="S965" s="9">
        <v>-7.6301810000000003</v>
      </c>
      <c r="T965" s="9">
        <v>112.911889</v>
      </c>
      <c r="U965" s="9" t="s">
        <v>52</v>
      </c>
      <c r="V965" s="11" t="str">
        <f>VLOOKUP(L965,'[1]singkron data'!D:E,2,FALSE)</f>
        <v>PT. Gemilang Anugerah Pratama</v>
      </c>
      <c r="W965" s="13">
        <f>VLOOKUP(L965,'[1]data 1129'!F:H,3,FALSE)</f>
        <v>4441806000</v>
      </c>
      <c r="X965" s="11" t="s">
        <v>55</v>
      </c>
      <c r="Y965" s="11">
        <f>VLOOKUP(L965,'[1]singkron data'!D:H,5,FALSE)</f>
        <v>0</v>
      </c>
      <c r="Z965" s="11">
        <f>VLOOKUP(L965,'[1]singkron data'!D:I,6,FALSE)</f>
        <v>0</v>
      </c>
      <c r="AA965" s="11" t="str">
        <f>VLOOKUP(L965,'[1]singkron data'!D:L,9,FALSE)</f>
        <v>085179851110/rohman</v>
      </c>
      <c r="AB965" s="11" t="s">
        <v>54</v>
      </c>
      <c r="AC965" s="11" t="str">
        <f>VLOOKUP(L965,'[1]singkron data'!D:M,10,FALSE)</f>
        <v>Put</v>
      </c>
      <c r="AD965" s="11" t="str">
        <f>VLOOKUP(L965,'[1]data 1129'!F:O,10,FALSE)</f>
        <v>Tahap IV 200</v>
      </c>
      <c r="AE965" s="11" t="str">
        <f>VLOOKUP(L965,'[1]singkron data'!D:P,13,FALSE)</f>
        <v>sudah</v>
      </c>
      <c r="AF965" s="11" t="s">
        <v>55</v>
      </c>
      <c r="AG965" s="11" t="e">
        <f>VLOOKUP(L965,'[1]update kontrak'!E:K,6,FALSE)</f>
        <v>#N/A</v>
      </c>
      <c r="AH965" s="11" t="e">
        <f>VLOOKUP(L965,'[1]update kontrak'!E:K,7,FALSE)</f>
        <v>#N/A</v>
      </c>
      <c r="AI965" s="11" t="s">
        <v>58</v>
      </c>
      <c r="AJ965" s="11" t="str">
        <f>VLOOKUP(L965,[1]rekap!D:M,1,FALSE)</f>
        <v>Ngemplakrejo</v>
      </c>
      <c r="AK965" s="11" t="str">
        <f>VLOOKUP(L965,'[1]singkron data'!D:E,2,FALSE)</f>
        <v>PT. Gemilang Anugerah Pratama</v>
      </c>
      <c r="AL965" s="11" t="str">
        <f>VLOOKUP(L965,'[1]update 521'!D:D,1,FALSE)</f>
        <v>Ngemplakrejo</v>
      </c>
      <c r="AM965" s="11" t="s">
        <v>57</v>
      </c>
      <c r="AN965" s="11" t="e">
        <f>VLOOKUP(L965,[1]Sheet19!E:L,8,FALSE)</f>
        <v>#N/A</v>
      </c>
      <c r="AO965" s="11" t="s">
        <v>58</v>
      </c>
      <c r="AP965" s="12"/>
    </row>
    <row r="966" spans="1:42" ht="15" x14ac:dyDescent="0.2">
      <c r="A966" s="8" t="s">
        <v>2240</v>
      </c>
      <c r="B966" s="9" t="s">
        <v>43</v>
      </c>
      <c r="C966" s="9">
        <v>1021</v>
      </c>
      <c r="D966" s="9" t="s">
        <v>284</v>
      </c>
      <c r="E966" s="9">
        <v>109</v>
      </c>
      <c r="F966" s="9" t="s">
        <v>459</v>
      </c>
      <c r="G966" s="9" t="s">
        <v>297</v>
      </c>
      <c r="H966" s="9" t="s">
        <v>287</v>
      </c>
      <c r="I966" s="9" t="s">
        <v>461</v>
      </c>
      <c r="J966" s="9" t="s">
        <v>2311</v>
      </c>
      <c r="K966" s="9" t="s">
        <v>2312</v>
      </c>
      <c r="L966" s="9" t="s">
        <v>2312</v>
      </c>
      <c r="M966" s="9" t="s">
        <v>51</v>
      </c>
      <c r="N966" s="9">
        <v>604</v>
      </c>
      <c r="O966" s="9">
        <v>184</v>
      </c>
      <c r="P966" s="9">
        <v>362</v>
      </c>
      <c r="Q966" s="9">
        <v>546</v>
      </c>
      <c r="R966" s="9">
        <v>0.05</v>
      </c>
      <c r="S966" s="9">
        <v>-7.680540712</v>
      </c>
      <c r="T966" s="9">
        <v>113.2470077</v>
      </c>
      <c r="U966" s="9" t="s">
        <v>52</v>
      </c>
      <c r="V966" s="11" t="str">
        <f>VLOOKUP(L966,'[1]singkron data'!D:E,2,FALSE)</f>
        <v>CV. Wapike Bali</v>
      </c>
      <c r="W966" s="13">
        <f>VLOOKUP(L966,'[1]data 1129'!F:H,3,FALSE)</f>
        <v>4441806000</v>
      </c>
      <c r="X966" s="11" t="s">
        <v>55</v>
      </c>
      <c r="Y966" s="11">
        <f>VLOOKUP(L966,'[1]singkron data'!D:H,5,FALSE)</f>
        <v>0</v>
      </c>
      <c r="Z966" s="11">
        <f>VLOOKUP(L966,'[1]singkron data'!D:I,6,FALSE)</f>
        <v>0</v>
      </c>
      <c r="AA966" s="11">
        <f>VLOOKUP(L966,'[1]singkron data'!D:L,9,FALSE)</f>
        <v>0</v>
      </c>
      <c r="AB966" s="11" t="s">
        <v>54</v>
      </c>
      <c r="AC966" s="11" t="s">
        <v>2313</v>
      </c>
      <c r="AD966" s="11" t="str">
        <f>VLOOKUP(L966,'[1]data 1129'!F:O,10,FALSE)</f>
        <v>Tahap IV 200</v>
      </c>
      <c r="AE966" s="11" t="str">
        <f>VLOOKUP(L966,'[1]singkron data'!D:P,13,FALSE)</f>
        <v>lokasi batal</v>
      </c>
      <c r="AF966" s="11" t="s">
        <v>55</v>
      </c>
      <c r="AG966" s="11" t="e">
        <f>VLOOKUP(L966,'[1]update kontrak'!E:K,6,FALSE)</f>
        <v>#N/A</v>
      </c>
      <c r="AH966" s="11" t="e">
        <f>VLOOKUP(L966,'[1]update kontrak'!E:K,7,FALSE)</f>
        <v>#N/A</v>
      </c>
      <c r="AI966" s="11"/>
      <c r="AJ966" s="11" t="str">
        <f>VLOOKUP(L966,[1]rekap!D:M,1,FALSE)</f>
        <v>Gili Ketapang</v>
      </c>
      <c r="AK966" s="11" t="str">
        <f>VLOOKUP(L966,'[1]singkron data'!D:E,2,FALSE)</f>
        <v>CV. Wapike Bali</v>
      </c>
      <c r="AL966" s="11" t="str">
        <f>VLOOKUP(L966,'[1]update 521'!D:D,1,FALSE)</f>
        <v>Gili Ketapang</v>
      </c>
      <c r="AM966" s="11" t="s">
        <v>337</v>
      </c>
      <c r="AN966" s="11" t="e">
        <f>VLOOKUP(L966,[1]Sheet19!E:L,8,FALSE)</f>
        <v>#N/A</v>
      </c>
      <c r="AO966" s="11" t="s">
        <v>58</v>
      </c>
      <c r="AP966" s="12"/>
    </row>
    <row r="967" spans="1:42" ht="15" x14ac:dyDescent="0.2">
      <c r="A967" s="8" t="s">
        <v>2240</v>
      </c>
      <c r="B967" s="9" t="s">
        <v>43</v>
      </c>
      <c r="C967" s="9">
        <v>1027</v>
      </c>
      <c r="D967" s="9" t="s">
        <v>284</v>
      </c>
      <c r="E967" s="9">
        <v>115</v>
      </c>
      <c r="F967" s="9" t="s">
        <v>477</v>
      </c>
      <c r="G967" s="9" t="s">
        <v>297</v>
      </c>
      <c r="H967" s="9" t="s">
        <v>287</v>
      </c>
      <c r="I967" s="9" t="s">
        <v>478</v>
      </c>
      <c r="J967" s="9" t="s">
        <v>2314</v>
      </c>
      <c r="K967" s="9" t="s">
        <v>2315</v>
      </c>
      <c r="L967" s="9" t="s">
        <v>2315</v>
      </c>
      <c r="M967" s="9" t="s">
        <v>51</v>
      </c>
      <c r="N967" s="9">
        <v>81</v>
      </c>
      <c r="O967" s="9" t="s">
        <v>72</v>
      </c>
      <c r="P967" s="9">
        <v>33</v>
      </c>
      <c r="Q967" s="9">
        <v>33</v>
      </c>
      <c r="R967" s="9">
        <v>1</v>
      </c>
      <c r="S967" s="9">
        <v>-8.3853329999999993</v>
      </c>
      <c r="T967" s="9">
        <v>112.78147199999999</v>
      </c>
      <c r="U967" s="9" t="s">
        <v>52</v>
      </c>
      <c r="V967" s="11" t="str">
        <f>VLOOKUP(L967,'[1]singkron data'!D:E,2,FALSE)</f>
        <v>CV. Astana Mas</v>
      </c>
      <c r="W967" s="13">
        <f>VLOOKUP(L967,'[1]data 1129'!F:H,3,FALSE)</f>
        <v>4441806000</v>
      </c>
      <c r="X967" s="11"/>
      <c r="Y967" s="11">
        <f>VLOOKUP(L967,'[1]singkron data'!D:H,5,FALSE)</f>
        <v>0</v>
      </c>
      <c r="Z967" s="11" t="str">
        <f>VLOOKUP(L967,'[1]singkron data'!D:I,6,FALSE)</f>
        <v>Online</v>
      </c>
      <c r="AA967" s="11" t="str">
        <f>VLOOKUP(L967,'[1]singkron data'!D:L,9,FALSE)</f>
        <v>081330065040/ARI</v>
      </c>
      <c r="AB967" s="11" t="s">
        <v>54</v>
      </c>
      <c r="AC967" s="11" t="str">
        <f>VLOOKUP(L967,'[1]singkron data'!D:M,10,FALSE)</f>
        <v>g-drop sosek</v>
      </c>
      <c r="AD967" s="11" t="str">
        <f>VLOOKUP(L967,'[1]data 1129'!F:O,10,FALSE)</f>
        <v>Tahap IV 200</v>
      </c>
      <c r="AE967" s="11" t="str">
        <f>VLOOKUP(L967,'[1]singkron data'!D:P,13,FALSE)</f>
        <v>lokasi batal</v>
      </c>
      <c r="AF967" s="11" t="s">
        <v>55</v>
      </c>
      <c r="AG967" s="11" t="e">
        <f>VLOOKUP(L967,'[1]update kontrak'!E:K,6,FALSE)</f>
        <v>#N/A</v>
      </c>
      <c r="AH967" s="11" t="e">
        <f>VLOOKUP(L967,'[1]update kontrak'!E:K,7,FALSE)</f>
        <v>#N/A</v>
      </c>
      <c r="AI967" s="11"/>
      <c r="AJ967" s="11" t="str">
        <f>VLOOKUP(L967,[1]rekap!D:M,1,FALSE)</f>
        <v>Sidoasri</v>
      </c>
      <c r="AK967" s="11" t="str">
        <f>VLOOKUP(L967,'[1]singkron data'!D:E,2,FALSE)</f>
        <v>CV. Astana Mas</v>
      </c>
      <c r="AL967" s="11" t="str">
        <f>VLOOKUP(L967,'[1]update 521'!D:D,1,FALSE)</f>
        <v>Sidoasri</v>
      </c>
      <c r="AM967" s="11" t="s">
        <v>337</v>
      </c>
      <c r="AN967" s="11" t="e">
        <f>VLOOKUP(L967,[1]Sheet19!E:L,8,FALSE)</f>
        <v>#N/A</v>
      </c>
      <c r="AO967" s="11" t="s">
        <v>58</v>
      </c>
      <c r="AP967" s="12"/>
    </row>
    <row r="968" spans="1:42" ht="15" x14ac:dyDescent="0.2">
      <c r="A968" s="8" t="s">
        <v>2240</v>
      </c>
      <c r="B968" s="9" t="s">
        <v>43</v>
      </c>
      <c r="C968" s="9">
        <v>1028</v>
      </c>
      <c r="D968" s="9" t="s">
        <v>284</v>
      </c>
      <c r="E968" s="9">
        <v>116</v>
      </c>
      <c r="F968" s="9" t="s">
        <v>477</v>
      </c>
      <c r="G968" s="9" t="s">
        <v>297</v>
      </c>
      <c r="H968" s="9" t="s">
        <v>287</v>
      </c>
      <c r="I968" s="9" t="s">
        <v>478</v>
      </c>
      <c r="J968" s="9" t="s">
        <v>2314</v>
      </c>
      <c r="K968" s="9" t="s">
        <v>2316</v>
      </c>
      <c r="L968" s="10" t="s">
        <v>2316</v>
      </c>
      <c r="M968" s="9" t="s">
        <v>51</v>
      </c>
      <c r="N968" s="9">
        <v>500</v>
      </c>
      <c r="O968" s="9">
        <v>69</v>
      </c>
      <c r="P968" s="9">
        <v>161</v>
      </c>
      <c r="Q968" s="9">
        <v>230</v>
      </c>
      <c r="R968" s="9">
        <v>0.05</v>
      </c>
      <c r="S968" s="9">
        <v>-8.4311556030000006</v>
      </c>
      <c r="T968" s="9">
        <v>112.68633850000001</v>
      </c>
      <c r="U968" s="9" t="s">
        <v>52</v>
      </c>
      <c r="V968" s="11" t="str">
        <f>VLOOKUP(L968,'[1]singkron data'!D:E,2,FALSE)</f>
        <v>CV. Astana Mas</v>
      </c>
      <c r="W968" s="13">
        <f>VLOOKUP(L968,'[1]data 1129'!F:H,3,FALSE)</f>
        <v>4441806000</v>
      </c>
      <c r="X968" s="11" t="s">
        <v>55</v>
      </c>
      <c r="Y968" s="11">
        <f>VLOOKUP(L968,'[1]singkron data'!D:H,5,FALSE)</f>
        <v>0</v>
      </c>
      <c r="Z968" s="11" t="str">
        <f>VLOOKUP(L968,'[1]singkron data'!D:I,6,FALSE)</f>
        <v>Online</v>
      </c>
      <c r="AA968" s="11" t="str">
        <f>VLOOKUP(L968,'[1]singkron data'!D:L,9,FALSE)</f>
        <v>081330065040/ARI</v>
      </c>
      <c r="AB968" s="11" t="s">
        <v>54</v>
      </c>
      <c r="AC968" s="11" t="str">
        <f>VLOOKUP(L968,'[1]singkron data'!D:M,10,FALSE)</f>
        <v>g</v>
      </c>
      <c r="AD968" s="11" t="str">
        <f>VLOOKUP(L968,'[1]data 1129'!F:O,10,FALSE)</f>
        <v>Tahap IV 200</v>
      </c>
      <c r="AE968" s="11" t="str">
        <f>VLOOKUP(L968,'[1]singkron data'!D:P,13,FALSE)</f>
        <v>sudah</v>
      </c>
      <c r="AF968" s="11" t="s">
        <v>55</v>
      </c>
      <c r="AG968" s="11" t="e">
        <f>VLOOKUP(L968,'[1]update kontrak'!E:K,6,FALSE)</f>
        <v>#N/A</v>
      </c>
      <c r="AH968" s="11" t="e">
        <f>VLOOKUP(L968,'[1]update kontrak'!E:K,7,FALSE)</f>
        <v>#N/A</v>
      </c>
      <c r="AI968" s="11" t="s">
        <v>58</v>
      </c>
      <c r="AJ968" s="11" t="str">
        <f>VLOOKUP(L968,[1]rekap!D:M,1,FALSE)</f>
        <v>Tambakrejo</v>
      </c>
      <c r="AK968" s="11" t="str">
        <f>VLOOKUP(L968,'[1]singkron data'!D:E,2,FALSE)</f>
        <v>CV. Astana Mas</v>
      </c>
      <c r="AL968" s="11" t="str">
        <f>VLOOKUP(L968,'[1]update 521'!D:D,1,FALSE)</f>
        <v>Tambakrejo</v>
      </c>
      <c r="AM968" s="11" t="s">
        <v>57</v>
      </c>
      <c r="AN968" s="11" t="e">
        <f>VLOOKUP(L968,[1]Sheet19!E:L,8,FALSE)</f>
        <v>#N/A</v>
      </c>
      <c r="AO968" s="11" t="s">
        <v>58</v>
      </c>
      <c r="AP968" s="12"/>
    </row>
    <row r="969" spans="1:42" ht="15" x14ac:dyDescent="0.2">
      <c r="A969" s="8" t="s">
        <v>2240</v>
      </c>
      <c r="B969" s="9" t="s">
        <v>43</v>
      </c>
      <c r="C969" s="9">
        <v>1038</v>
      </c>
      <c r="D969" s="9" t="s">
        <v>284</v>
      </c>
      <c r="E969" s="9">
        <v>126</v>
      </c>
      <c r="F969" s="9" t="s">
        <v>493</v>
      </c>
      <c r="G969" s="9" t="s">
        <v>301</v>
      </c>
      <c r="H969" s="9" t="s">
        <v>287</v>
      </c>
      <c r="I969" s="9" t="s">
        <v>494</v>
      </c>
      <c r="J969" s="9" t="s">
        <v>494</v>
      </c>
      <c r="K969" s="9" t="s">
        <v>2317</v>
      </c>
      <c r="L969" s="10" t="s">
        <v>2317</v>
      </c>
      <c r="M969" s="9" t="s">
        <v>51</v>
      </c>
      <c r="N969" s="9">
        <v>260</v>
      </c>
      <c r="O969" s="9" t="s">
        <v>72</v>
      </c>
      <c r="P969" s="9">
        <v>258</v>
      </c>
      <c r="Q969" s="9">
        <v>258</v>
      </c>
      <c r="R969" s="9">
        <v>0.85719999999999996</v>
      </c>
      <c r="S969" s="9">
        <v>-6.8527779999999998</v>
      </c>
      <c r="T969" s="9">
        <v>109.409167</v>
      </c>
      <c r="U969" s="9" t="s">
        <v>52</v>
      </c>
      <c r="V969" s="11" t="str">
        <f>VLOOKUP(L969,'[1]singkron data'!D:E,2,FALSE)</f>
        <v>CV. Alkomber Karya</v>
      </c>
      <c r="W969" s="13">
        <f>VLOOKUP(L969,'[1]data 1129'!F:H,3,FALSE)</f>
        <v>2314000000</v>
      </c>
      <c r="X969" s="11" t="s">
        <v>55</v>
      </c>
      <c r="Y969" s="11" t="str">
        <f>VLOOKUP(L969,'[1]singkron data'!D:H,5,FALSE)</f>
        <v>Jakarta</v>
      </c>
      <c r="Z969" s="11" t="str">
        <f>VLOOKUP(L969,'[1]singkron data'!D:I,6,FALSE)</f>
        <v>Online</v>
      </c>
      <c r="AA969" s="11" t="str">
        <f>VLOOKUP(L969,'[1]singkron data'!D:L,9,FALSE)</f>
        <v>081286452407/prio</v>
      </c>
      <c r="AB969" s="11" t="s">
        <v>54</v>
      </c>
      <c r="AC969" s="11" t="str">
        <f>VLOOKUP(L969,'[1]singkron data'!D:M,10,FALSE)</f>
        <v>g</v>
      </c>
      <c r="AD969" s="11" t="str">
        <f>VLOOKUP(L969,'[1]data 1129'!F:O,10,FALSE)</f>
        <v>Tahap III 166</v>
      </c>
      <c r="AE969" s="11" t="str">
        <f>VLOOKUP(L969,'[1]singkron data'!D:P,13,FALSE)</f>
        <v>sudah</v>
      </c>
      <c r="AF969" s="11" t="s">
        <v>55</v>
      </c>
      <c r="AG969" s="11" t="e">
        <f>VLOOKUP(L969,'[1]update kontrak'!E:K,6,FALSE)</f>
        <v>#N/A</v>
      </c>
      <c r="AH969" s="11" t="e">
        <f>VLOOKUP(L969,'[1]update kontrak'!E:K,7,FALSE)</f>
        <v>#N/A</v>
      </c>
      <c r="AI969" s="11" t="s">
        <v>58</v>
      </c>
      <c r="AJ969" s="11" t="str">
        <f>VLOOKUP(L969,[1]rekap!D:M,1,FALSE)</f>
        <v>Danasari</v>
      </c>
      <c r="AK969" s="11" t="str">
        <f>VLOOKUP(L969,'[1]singkron data'!D:E,2,FALSE)</f>
        <v>CV. Alkomber Karya</v>
      </c>
      <c r="AL969" s="11" t="str">
        <f>VLOOKUP(L969,'[1]update 521'!D:D,1,FALSE)</f>
        <v>Danasari</v>
      </c>
      <c r="AM969" s="11" t="s">
        <v>57</v>
      </c>
      <c r="AN969" s="11" t="e">
        <f>VLOOKUP(L969,[1]Sheet19!E:L,8,FALSE)</f>
        <v>#N/A</v>
      </c>
      <c r="AO969" s="11" t="s">
        <v>58</v>
      </c>
      <c r="AP969" s="12"/>
    </row>
    <row r="970" spans="1:42" ht="15" x14ac:dyDescent="0.2">
      <c r="A970" s="38" t="s">
        <v>2240</v>
      </c>
      <c r="B970" s="39" t="s">
        <v>43</v>
      </c>
      <c r="C970" s="39">
        <v>1039</v>
      </c>
      <c r="D970" s="39" t="s">
        <v>284</v>
      </c>
      <c r="E970" s="39">
        <v>127</v>
      </c>
      <c r="F970" s="39" t="s">
        <v>493</v>
      </c>
      <c r="G970" s="39" t="s">
        <v>301</v>
      </c>
      <c r="H970" s="39" t="s">
        <v>287</v>
      </c>
      <c r="I970" s="39" t="s">
        <v>502</v>
      </c>
      <c r="J970" s="39" t="s">
        <v>503</v>
      </c>
      <c r="K970" s="39" t="s">
        <v>2318</v>
      </c>
      <c r="L970" s="40" t="s">
        <v>2318</v>
      </c>
      <c r="M970" s="39" t="s">
        <v>51</v>
      </c>
      <c r="N970" s="39">
        <v>189</v>
      </c>
      <c r="O970" s="39" t="s">
        <v>72</v>
      </c>
      <c r="P970" s="39">
        <v>197</v>
      </c>
      <c r="Q970" s="39">
        <v>197</v>
      </c>
      <c r="R970" s="39">
        <v>0.05</v>
      </c>
      <c r="S970" s="39">
        <v>-6.8734945300000003</v>
      </c>
      <c r="T970" s="39">
        <v>109.287977</v>
      </c>
      <c r="U970" s="39" t="s">
        <v>52</v>
      </c>
      <c r="V970" s="41" t="str">
        <f>VLOOKUP(L970,'[1]singkron data'!D:E,2,FALSE)</f>
        <v>PT. Indo Jaya Negara Abadi</v>
      </c>
      <c r="W970" s="42">
        <f>VLOOKUP(L970,'[1]data 1129'!F:H,3,FALSE)</f>
        <v>5437000000</v>
      </c>
      <c r="X970" s="41" t="s">
        <v>55</v>
      </c>
      <c r="Y970" s="41">
        <f>VLOOKUP(L970,'[1]singkron data'!D:H,5,FALSE)</f>
        <v>0</v>
      </c>
      <c r="Z970" s="41">
        <f>VLOOKUP(L970,'[1]singkron data'!D:I,6,FALSE)</f>
        <v>0</v>
      </c>
      <c r="AA970" s="41" t="s">
        <v>2319</v>
      </c>
      <c r="AB970" s="41" t="s">
        <v>54</v>
      </c>
      <c r="AC970" s="41" t="s">
        <v>2320</v>
      </c>
      <c r="AD970" s="41" t="str">
        <f>VLOOKUP(L970,'[1]data 1129'!F:O,10,FALSE)</f>
        <v>Tahap IV 200</v>
      </c>
      <c r="AE970" s="41" t="str">
        <f>VLOOKUP(L970,'[1]singkron data'!D:P,13,FALSE)</f>
        <v>lokasi batal</v>
      </c>
      <c r="AF970" s="41" t="s">
        <v>55</v>
      </c>
      <c r="AG970" s="41" t="e">
        <f>VLOOKUP(L970,'[1]update kontrak'!E:K,6,FALSE)</f>
        <v>#N/A</v>
      </c>
      <c r="AH970" s="41" t="e">
        <f>VLOOKUP(L970,'[1]update kontrak'!E:K,7,FALSE)</f>
        <v>#N/A</v>
      </c>
      <c r="AI970" s="41"/>
      <c r="AJ970" s="41" t="str">
        <f>VLOOKUP(L970,[1]rekap!D:M,1,FALSE)</f>
        <v>Bojongsana</v>
      </c>
      <c r="AK970" s="41" t="str">
        <f>VLOOKUP(L970,'[1]singkron data'!D:E,2,FALSE)</f>
        <v>PT. Indo Jaya Negara Abadi</v>
      </c>
      <c r="AL970" s="41" t="str">
        <f>VLOOKUP(L970,'[1]update 521'!D:D,1,FALSE)</f>
        <v>Bojongsana</v>
      </c>
      <c r="AM970" s="41" t="s">
        <v>337</v>
      </c>
      <c r="AN970" s="41" t="e">
        <f>VLOOKUP(L970,[1]Sheet19!E:L,8,FALSE)</f>
        <v>#N/A</v>
      </c>
      <c r="AO970" s="41" t="s">
        <v>58</v>
      </c>
      <c r="AP970" s="43"/>
    </row>
    <row r="971" spans="1:42" ht="15" x14ac:dyDescent="0.2">
      <c r="A971" s="8" t="s">
        <v>2240</v>
      </c>
      <c r="B971" s="9" t="s">
        <v>43</v>
      </c>
      <c r="C971" s="9">
        <v>1041</v>
      </c>
      <c r="D971" s="9" t="s">
        <v>284</v>
      </c>
      <c r="E971" s="9">
        <v>129</v>
      </c>
      <c r="F971" s="9" t="s">
        <v>493</v>
      </c>
      <c r="G971" s="9" t="s">
        <v>301</v>
      </c>
      <c r="H971" s="9" t="s">
        <v>287</v>
      </c>
      <c r="I971" s="9" t="s">
        <v>2321</v>
      </c>
      <c r="J971" s="9" t="s">
        <v>2322</v>
      </c>
      <c r="K971" s="9" t="s">
        <v>2323</v>
      </c>
      <c r="L971" s="10" t="s">
        <v>2323</v>
      </c>
      <c r="M971" s="9" t="s">
        <v>81</v>
      </c>
      <c r="N971" s="9">
        <v>878</v>
      </c>
      <c r="O971" s="9">
        <v>1</v>
      </c>
      <c r="P971" s="9">
        <v>726</v>
      </c>
      <c r="Q971" s="9">
        <v>727</v>
      </c>
      <c r="R971" s="9">
        <v>1.3581000000000001</v>
      </c>
      <c r="S971" s="9">
        <v>-6.8494710000000003</v>
      </c>
      <c r="T971" s="9">
        <v>109.123925</v>
      </c>
      <c r="U971" s="9" t="s">
        <v>52</v>
      </c>
      <c r="V971" s="11" t="str">
        <f>VLOOKUP(L971,'[1]singkron data'!D:E,2,FALSE)</f>
        <v>CV. Putera Fahlevi</v>
      </c>
      <c r="W971" s="13">
        <f>VLOOKUP(L971,'[1]data 1129'!F:H,3,FALSE)</f>
        <v>3250000000</v>
      </c>
      <c r="X971" s="11" t="s">
        <v>55</v>
      </c>
      <c r="Y971" s="11" t="str">
        <f>VLOOKUP(L971,'[1]singkron data'!D:H,5,FALSE)</f>
        <v>Bekasi</v>
      </c>
      <c r="Z971" s="11" t="str">
        <f>VLOOKUP(L971,'[1]singkron data'!D:I,6,FALSE)</f>
        <v>Online</v>
      </c>
      <c r="AA971" s="11" t="str">
        <f>VLOOKUP(L971,'[1]singkron data'!D:L,9,FALSE)</f>
        <v>081286452407/prio</v>
      </c>
      <c r="AB971" s="11" t="s">
        <v>54</v>
      </c>
      <c r="AC971" s="11" t="str">
        <f>VLOOKUP(L971,'[1]singkron data'!D:M,10,FALSE)</f>
        <v>g</v>
      </c>
      <c r="AD971" s="11" t="str">
        <f>VLOOKUP(L971,'[1]data 1129'!F:O,10,FALSE)</f>
        <v>Tahap III 166</v>
      </c>
      <c r="AE971" s="11" t="str">
        <f>VLOOKUP(L971,'[1]singkron data'!D:P,13,FALSE)</f>
        <v>sudah</v>
      </c>
      <c r="AF971" s="11" t="s">
        <v>55</v>
      </c>
      <c r="AG971" s="11" t="e">
        <f>VLOOKUP(L971,'[1]update kontrak'!E:K,6,FALSE)</f>
        <v>#N/A</v>
      </c>
      <c r="AH971" s="11" t="e">
        <f>VLOOKUP(L971,'[1]update kontrak'!E:K,7,FALSE)</f>
        <v>#N/A</v>
      </c>
      <c r="AI971" s="11" t="s">
        <v>58</v>
      </c>
      <c r="AJ971" s="11" t="str">
        <f>VLOOKUP(L971,[1]rekap!D:M,1,FALSE)</f>
        <v>Tegalsari</v>
      </c>
      <c r="AK971" s="11" t="str">
        <f>VLOOKUP(L971,'[1]singkron data'!D:E,2,FALSE)</f>
        <v>CV. Putera Fahlevi</v>
      </c>
      <c r="AL971" s="11" t="str">
        <f>VLOOKUP(L971,'[1]update 521'!D:D,1,FALSE)</f>
        <v>Tegalsari</v>
      </c>
      <c r="AM971" s="11" t="s">
        <v>57</v>
      </c>
      <c r="AN971" s="17">
        <f>VLOOKUP(L971,[1]Sheet19!E:L,8,FALSE)</f>
        <v>3486186186.7199998</v>
      </c>
      <c r="AO971" s="11" t="str">
        <f>VLOOKUP(L971,[1]Sheet19!E:K,7,FALSE)</f>
        <v>KONTRAK</v>
      </c>
      <c r="AP971" s="12" t="s">
        <v>41</v>
      </c>
    </row>
    <row r="972" spans="1:42" ht="15" x14ac:dyDescent="0.2">
      <c r="A972" s="8" t="s">
        <v>2240</v>
      </c>
      <c r="B972" s="9" t="s">
        <v>43</v>
      </c>
      <c r="C972" s="9">
        <v>1042</v>
      </c>
      <c r="D972" s="9" t="s">
        <v>284</v>
      </c>
      <c r="E972" s="9">
        <v>130</v>
      </c>
      <c r="F972" s="9" t="s">
        <v>493</v>
      </c>
      <c r="G972" s="9" t="s">
        <v>301</v>
      </c>
      <c r="H972" s="9" t="s">
        <v>287</v>
      </c>
      <c r="I972" s="9" t="s">
        <v>494</v>
      </c>
      <c r="J972" s="9" t="s">
        <v>2324</v>
      </c>
      <c r="K972" s="9" t="s">
        <v>2325</v>
      </c>
      <c r="L972" s="10" t="s">
        <v>2325</v>
      </c>
      <c r="M972" s="9" t="s">
        <v>81</v>
      </c>
      <c r="N972" s="9">
        <v>1776</v>
      </c>
      <c r="O972" s="9" t="s">
        <v>72</v>
      </c>
      <c r="P972" s="14">
        <v>1711</v>
      </c>
      <c r="Q972" s="14">
        <v>1711</v>
      </c>
      <c r="R972" s="9">
        <v>0.15</v>
      </c>
      <c r="S972" s="9">
        <v>-6.859051</v>
      </c>
      <c r="T972" s="9">
        <v>109.417304</v>
      </c>
      <c r="U972" s="9" t="s">
        <v>52</v>
      </c>
      <c r="V972" s="11" t="str">
        <f>VLOOKUP(L972,'[1]singkron data'!D:E,2,FALSE)</f>
        <v>CV. Putera Fahlevi</v>
      </c>
      <c r="W972" s="13">
        <f>VLOOKUP(L972,'[1]data 1129'!F:H,3,FALSE)</f>
        <v>3250000000</v>
      </c>
      <c r="X972" s="11" t="s">
        <v>55</v>
      </c>
      <c r="Y972" s="11" t="str">
        <f>VLOOKUP(L972,'[1]singkron data'!D:H,5,FALSE)</f>
        <v>Jakarta</v>
      </c>
      <c r="Z972" s="11" t="str">
        <f>VLOOKUP(L972,'[1]singkron data'!D:I,6,FALSE)</f>
        <v>Online</v>
      </c>
      <c r="AA972" s="11" t="str">
        <f>VLOOKUP(L972,'[1]singkron data'!D:L,9,FALSE)</f>
        <v>081286452407/prio</v>
      </c>
      <c r="AB972" s="11" t="s">
        <v>54</v>
      </c>
      <c r="AC972" s="11" t="str">
        <f>VLOOKUP(L972,'[1]singkron data'!D:M,10,FALSE)</f>
        <v>g</v>
      </c>
      <c r="AD972" s="11" t="str">
        <f>VLOOKUP(L972,'[1]data 1129'!F:O,10,FALSE)</f>
        <v>Tahap III 166</v>
      </c>
      <c r="AE972" s="11" t="str">
        <f>VLOOKUP(L972,'[1]singkron data'!D:P,13,FALSE)</f>
        <v>sudah</v>
      </c>
      <c r="AF972" s="11" t="s">
        <v>55</v>
      </c>
      <c r="AG972" s="11" t="e">
        <f>VLOOKUP(L972,'[1]update kontrak'!E:K,6,FALSE)</f>
        <v>#N/A</v>
      </c>
      <c r="AH972" s="11" t="e">
        <f>VLOOKUP(L972,'[1]update kontrak'!E:K,7,FALSE)</f>
        <v>#N/A</v>
      </c>
      <c r="AI972" s="11" t="s">
        <v>58</v>
      </c>
      <c r="AJ972" s="11" t="str">
        <f>VLOOKUP(L972,[1]rekap!D:M,1,FALSE)</f>
        <v>Asemdoyong</v>
      </c>
      <c r="AK972" s="11" t="str">
        <f>VLOOKUP(L972,'[1]singkron data'!D:E,2,FALSE)</f>
        <v>CV. Putera Fahlevi</v>
      </c>
      <c r="AL972" s="11" t="str">
        <f>VLOOKUP(L972,'[1]update 521'!D:D,1,FALSE)</f>
        <v>Asemdoyong</v>
      </c>
      <c r="AM972" s="11" t="s">
        <v>57</v>
      </c>
      <c r="AN972" s="17">
        <f>VLOOKUP(L972,[1]Sheet19!E:L,8,FALSE)</f>
        <v>3595336748.7399998</v>
      </c>
      <c r="AO972" s="11" t="str">
        <f>VLOOKUP(L972,[1]Sheet19!E:K,7,FALSE)</f>
        <v>KONTRAK</v>
      </c>
      <c r="AP972" s="12" t="s">
        <v>41</v>
      </c>
    </row>
    <row r="973" spans="1:42" ht="15" x14ac:dyDescent="0.2">
      <c r="A973" s="8" t="s">
        <v>2240</v>
      </c>
      <c r="B973" s="9" t="s">
        <v>43</v>
      </c>
      <c r="C973" s="9">
        <v>1044</v>
      </c>
      <c r="D973" s="9" t="s">
        <v>284</v>
      </c>
      <c r="E973" s="9">
        <v>132</v>
      </c>
      <c r="F973" s="9" t="s">
        <v>505</v>
      </c>
      <c r="G973" s="9" t="s">
        <v>297</v>
      </c>
      <c r="H973" s="9" t="s">
        <v>287</v>
      </c>
      <c r="I973" s="9" t="s">
        <v>506</v>
      </c>
      <c r="J973" s="9" t="s">
        <v>2326</v>
      </c>
      <c r="K973" s="9" t="s">
        <v>2327</v>
      </c>
      <c r="L973" s="10" t="s">
        <v>2327</v>
      </c>
      <c r="M973" s="9" t="s">
        <v>51</v>
      </c>
      <c r="N973" s="9">
        <v>131</v>
      </c>
      <c r="O973" s="9" t="s">
        <v>72</v>
      </c>
      <c r="P973" s="9">
        <v>132</v>
      </c>
      <c r="Q973" s="9">
        <v>132</v>
      </c>
      <c r="R973" s="9">
        <v>0.05</v>
      </c>
      <c r="S973" s="9">
        <v>-6.8934142039999999</v>
      </c>
      <c r="T973" s="9">
        <v>112.9031232</v>
      </c>
      <c r="U973" s="9" t="s">
        <v>52</v>
      </c>
      <c r="V973" s="11" t="str">
        <f>VLOOKUP(L973,'[1]singkron data'!D:E,2,FALSE)</f>
        <v>PT. Elang Mas Berdikari</v>
      </c>
      <c r="W973" s="13">
        <f>VLOOKUP(L973,'[1]data 1129'!F:H,3,FALSE)</f>
        <v>4441806000</v>
      </c>
      <c r="X973" s="11" t="s">
        <v>55</v>
      </c>
      <c r="Y973" s="11">
        <f>VLOOKUP(L973,'[1]singkron data'!D:H,5,FALSE)</f>
        <v>0</v>
      </c>
      <c r="Z973" s="11" t="str">
        <f>VLOOKUP(L973,'[1]singkron data'!D:I,6,FALSE)</f>
        <v>Offline</v>
      </c>
      <c r="AA973" s="11" t="str">
        <f>VLOOKUP(L973,'[1]singkron data'!D:L,9,FALSE)</f>
        <v>085203533456/jibo</v>
      </c>
      <c r="AB973" s="11" t="s">
        <v>54</v>
      </c>
      <c r="AC973" s="11" t="str">
        <f>VLOOKUP(L973,'[1]singkron data'!D:M,10,FALSE)</f>
        <v>g</v>
      </c>
      <c r="AD973" s="11" t="str">
        <f>VLOOKUP(L973,'[1]data 1129'!F:O,10,FALSE)</f>
        <v>Tahap IV 200</v>
      </c>
      <c r="AE973" s="11" t="str">
        <f>VLOOKUP(L973,'[1]singkron data'!D:P,13,FALSE)</f>
        <v>sudah</v>
      </c>
      <c r="AF973" s="11" t="s">
        <v>55</v>
      </c>
      <c r="AG973" s="11" t="e">
        <f>VLOOKUP(L973,'[1]update kontrak'!E:K,6,FALSE)</f>
        <v>#N/A</v>
      </c>
      <c r="AH973" s="11" t="e">
        <f>VLOOKUP(L973,'[1]update kontrak'!E:K,7,FALSE)</f>
        <v>#N/A</v>
      </c>
      <c r="AI973" s="11" t="s">
        <v>58</v>
      </c>
      <c r="AJ973" s="11" t="str">
        <f>VLOOKUP(L973,[1]rekap!D:M,1,FALSE)</f>
        <v>Klampis Barat</v>
      </c>
      <c r="AK973" s="11" t="str">
        <f>VLOOKUP(L973,'[1]singkron data'!D:E,2,FALSE)</f>
        <v>PT. Elang Mas Berdikari</v>
      </c>
      <c r="AL973" s="11" t="str">
        <f>VLOOKUP(L973,'[1]update 521'!D:D,1,FALSE)</f>
        <v>Klampis Barat</v>
      </c>
      <c r="AM973" s="11" t="s">
        <v>57</v>
      </c>
      <c r="AN973" s="17">
        <f>VLOOKUP(L973,[1]Sheet19!E:L,8,FALSE)</f>
        <v>2311137856.4699998</v>
      </c>
      <c r="AO973" s="11" t="str">
        <f>VLOOKUP(L973,[1]Sheet19!E:K,7,FALSE)</f>
        <v>SPPBJ</v>
      </c>
      <c r="AP973" s="12"/>
    </row>
    <row r="974" spans="1:42" ht="15" x14ac:dyDescent="0.2">
      <c r="A974" s="8" t="s">
        <v>2240</v>
      </c>
      <c r="B974" s="9" t="s">
        <v>43</v>
      </c>
      <c r="C974" s="9">
        <v>1045</v>
      </c>
      <c r="D974" s="9" t="s">
        <v>284</v>
      </c>
      <c r="E974" s="9">
        <v>133</v>
      </c>
      <c r="F974" s="9" t="s">
        <v>505</v>
      </c>
      <c r="G974" s="9" t="s">
        <v>297</v>
      </c>
      <c r="H974" s="9" t="s">
        <v>287</v>
      </c>
      <c r="I974" s="9" t="s">
        <v>506</v>
      </c>
      <c r="J974" s="9" t="s">
        <v>2326</v>
      </c>
      <c r="K974" s="9" t="s">
        <v>2328</v>
      </c>
      <c r="L974" s="10" t="s">
        <v>2328</v>
      </c>
      <c r="M974" s="9" t="s">
        <v>51</v>
      </c>
      <c r="N974" s="9">
        <v>90</v>
      </c>
      <c r="O974" s="9" t="s">
        <v>72</v>
      </c>
      <c r="P974" s="9">
        <v>72</v>
      </c>
      <c r="Q974" s="9">
        <v>72</v>
      </c>
      <c r="R974" s="9">
        <v>0.05</v>
      </c>
      <c r="S974" s="9">
        <v>-6.8933640680000003</v>
      </c>
      <c r="T974" s="9">
        <v>112.9121672</v>
      </c>
      <c r="U974" s="9" t="s">
        <v>52</v>
      </c>
      <c r="V974" s="11" t="str">
        <f>VLOOKUP(L974,'[1]singkron data'!D:E,2,FALSE)</f>
        <v>PT. Elang Mas Berdikari</v>
      </c>
      <c r="W974" s="13">
        <f>VLOOKUP(L974,'[1]data 1129'!F:H,3,FALSE)</f>
        <v>4441806000</v>
      </c>
      <c r="X974" s="11" t="s">
        <v>55</v>
      </c>
      <c r="Y974" s="11">
        <f>VLOOKUP(L974,'[1]singkron data'!D:H,5,FALSE)</f>
        <v>0</v>
      </c>
      <c r="Z974" s="11" t="str">
        <f>VLOOKUP(L974,'[1]singkron data'!D:I,6,FALSE)</f>
        <v>Offline</v>
      </c>
      <c r="AA974" s="11" t="str">
        <f>VLOOKUP(L974,'[1]singkron data'!D:L,9,FALSE)</f>
        <v>085203533456/jibo</v>
      </c>
      <c r="AB974" s="11" t="s">
        <v>54</v>
      </c>
      <c r="AC974" s="11" t="str">
        <f>VLOOKUP(L974,'[1]singkron data'!D:M,10,FALSE)</f>
        <v>g</v>
      </c>
      <c r="AD974" s="11" t="str">
        <f>VLOOKUP(L974,'[1]data 1129'!F:O,10,FALSE)</f>
        <v>Tahap IV 200</v>
      </c>
      <c r="AE974" s="11" t="str">
        <f>VLOOKUP(L974,'[1]singkron data'!D:P,13,FALSE)</f>
        <v>sudah</v>
      </c>
      <c r="AF974" s="11" t="s">
        <v>55</v>
      </c>
      <c r="AG974" s="11" t="e">
        <f>VLOOKUP(L974,'[1]update kontrak'!E:K,6,FALSE)</f>
        <v>#N/A</v>
      </c>
      <c r="AH974" s="11" t="e">
        <f>VLOOKUP(L974,'[1]update kontrak'!E:K,7,FALSE)</f>
        <v>#N/A</v>
      </c>
      <c r="AI974" s="11" t="s">
        <v>58</v>
      </c>
      <c r="AJ974" s="11" t="str">
        <f>VLOOKUP(L974,[1]rekap!D:M,1,FALSE)</f>
        <v>Klampis Timur</v>
      </c>
      <c r="AK974" s="11" t="str">
        <f>VLOOKUP(L974,'[1]singkron data'!D:E,2,FALSE)</f>
        <v>PT. Elang Mas Berdikari</v>
      </c>
      <c r="AL974" s="11" t="str">
        <f>VLOOKUP(L974,'[1]update 521'!D:D,1,FALSE)</f>
        <v>Klampis Timur</v>
      </c>
      <c r="AM974" s="11" t="s">
        <v>57</v>
      </c>
      <c r="AN974" s="17">
        <f>VLOOKUP(L974,[1]Sheet19!E:L,8,FALSE)</f>
        <v>3254890585.71</v>
      </c>
      <c r="AO974" s="11" t="str">
        <f>VLOOKUP(L974,[1]Sheet19!E:K,7,FALSE)</f>
        <v>SPPBJ</v>
      </c>
      <c r="AP974" s="12"/>
    </row>
    <row r="975" spans="1:42" ht="15" x14ac:dyDescent="0.2">
      <c r="A975" s="8" t="s">
        <v>2240</v>
      </c>
      <c r="B975" s="9" t="s">
        <v>43</v>
      </c>
      <c r="C975" s="9">
        <v>1046</v>
      </c>
      <c r="D975" s="9" t="s">
        <v>284</v>
      </c>
      <c r="E975" s="9">
        <v>134</v>
      </c>
      <c r="F975" s="9" t="s">
        <v>505</v>
      </c>
      <c r="G975" s="9" t="s">
        <v>297</v>
      </c>
      <c r="H975" s="9" t="s">
        <v>287</v>
      </c>
      <c r="I975" s="9" t="s">
        <v>506</v>
      </c>
      <c r="J975" s="9" t="s">
        <v>2329</v>
      </c>
      <c r="K975" s="9" t="s">
        <v>2330</v>
      </c>
      <c r="L975" s="10" t="s">
        <v>2330</v>
      </c>
      <c r="M975" s="9" t="s">
        <v>51</v>
      </c>
      <c r="N975" s="9">
        <v>96</v>
      </c>
      <c r="O975" s="9">
        <v>1</v>
      </c>
      <c r="P975" s="9">
        <v>83</v>
      </c>
      <c r="Q975" s="9">
        <v>84</v>
      </c>
      <c r="R975" s="9">
        <v>1.04</v>
      </c>
      <c r="S975" s="9">
        <v>-7.1850560000000003</v>
      </c>
      <c r="T975" s="9">
        <v>112.913386</v>
      </c>
      <c r="U975" s="9" t="s">
        <v>52</v>
      </c>
      <c r="V975" s="11" t="str">
        <f>VLOOKUP(L975,'[1]singkron data'!D:E,2,FALSE)</f>
        <v>PT. Elang Mas Berdikari</v>
      </c>
      <c r="W975" s="13">
        <f>VLOOKUP(L975,'[1]data 1129'!F:H,3,FALSE)</f>
        <v>2314000000</v>
      </c>
      <c r="X975" s="11" t="s">
        <v>55</v>
      </c>
      <c r="Y975" s="11">
        <f>VLOOKUP(L975,'[1]singkron data'!D:H,5,FALSE)</f>
        <v>0</v>
      </c>
      <c r="Z975" s="11">
        <f>VLOOKUP(L975,'[1]singkron data'!D:I,6,FALSE)</f>
        <v>0</v>
      </c>
      <c r="AA975" s="11" t="str">
        <f>VLOOKUP(L975,'[1]singkron data'!D:L,9,FALSE)</f>
        <v>085203533456/jibo</v>
      </c>
      <c r="AB975" s="11" t="s">
        <v>54</v>
      </c>
      <c r="AC975" s="11" t="str">
        <f>VLOOKUP(L975,'[1]singkron data'!D:M,10,FALSE)</f>
        <v>g</v>
      </c>
      <c r="AD975" s="11" t="str">
        <f>VLOOKUP(L975,'[1]data 1129'!F:O,10,FALSE)</f>
        <v>Tahap III 166</v>
      </c>
      <c r="AE975" s="11" t="str">
        <f>VLOOKUP(L975,'[1]singkron data'!D:P,13,FALSE)</f>
        <v>sudah</v>
      </c>
      <c r="AF975" s="11" t="s">
        <v>55</v>
      </c>
      <c r="AG975" s="11" t="e">
        <f>VLOOKUP(L975,'[1]update kontrak'!E:K,6,FALSE)</f>
        <v>#N/A</v>
      </c>
      <c r="AH975" s="11" t="e">
        <f>VLOOKUP(L975,'[1]update kontrak'!E:K,7,FALSE)</f>
        <v>#N/A</v>
      </c>
      <c r="AI975" s="11"/>
      <c r="AJ975" s="11" t="str">
        <f>VLOOKUP(L975,[1]rekap!D:M,1,FALSE)</f>
        <v>Batah Timur</v>
      </c>
      <c r="AK975" s="11" t="str">
        <f>VLOOKUP(L975,'[1]singkron data'!D:E,2,FALSE)</f>
        <v>PT. Elang Mas Berdikari</v>
      </c>
      <c r="AL975" s="11" t="str">
        <f>VLOOKUP(L975,'[1]update 521'!D:D,1,FALSE)</f>
        <v>Batah Timur</v>
      </c>
      <c r="AM975" s="11" t="s">
        <v>57</v>
      </c>
      <c r="AN975" s="17">
        <f>VLOOKUP(L975,[1]Sheet19!E:L,8,FALSE)</f>
        <v>4609789873.5</v>
      </c>
      <c r="AO975" s="11" t="str">
        <f>VLOOKUP(L975,[1]Sheet19!E:K,7,FALSE)</f>
        <v>SPPBJ</v>
      </c>
      <c r="AP975" s="12"/>
    </row>
    <row r="976" spans="1:42" ht="15" x14ac:dyDescent="0.2">
      <c r="A976" s="8" t="s">
        <v>2240</v>
      </c>
      <c r="B976" s="9" t="s">
        <v>43</v>
      </c>
      <c r="C976" s="9">
        <v>1047</v>
      </c>
      <c r="D976" s="9" t="s">
        <v>284</v>
      </c>
      <c r="E976" s="9">
        <v>135</v>
      </c>
      <c r="F976" s="9" t="s">
        <v>505</v>
      </c>
      <c r="G976" s="9" t="s">
        <v>297</v>
      </c>
      <c r="H976" s="9" t="s">
        <v>287</v>
      </c>
      <c r="I976" s="9" t="s">
        <v>506</v>
      </c>
      <c r="J976" s="9" t="s">
        <v>2331</v>
      </c>
      <c r="K976" s="9" t="s">
        <v>2332</v>
      </c>
      <c r="L976" s="10" t="s">
        <v>2332</v>
      </c>
      <c r="M976" s="9" t="s">
        <v>51</v>
      </c>
      <c r="N976" s="9">
        <v>232</v>
      </c>
      <c r="O976" s="9">
        <v>2</v>
      </c>
      <c r="P976" s="9">
        <v>227</v>
      </c>
      <c r="Q976" s="9">
        <v>229</v>
      </c>
      <c r="R976" s="9">
        <v>0.05</v>
      </c>
      <c r="S976" s="9">
        <v>-7.0874616929999998</v>
      </c>
      <c r="T976" s="9">
        <v>112.6848031</v>
      </c>
      <c r="U976" s="9" t="s">
        <v>52</v>
      </c>
      <c r="V976" s="11" t="str">
        <f>VLOOKUP(L976,'[1]singkron data'!D:E,2,FALSE)</f>
        <v>PT. Elang Mas Berdikari</v>
      </c>
      <c r="W976" s="13">
        <f>VLOOKUP(L976,'[1]data 1129'!F:H,3,FALSE)</f>
        <v>2314000000</v>
      </c>
      <c r="X976" s="11" t="s">
        <v>55</v>
      </c>
      <c r="Y976" s="11">
        <f>VLOOKUP(L976,'[1]singkron data'!D:H,5,FALSE)</f>
        <v>0</v>
      </c>
      <c r="Z976" s="11" t="str">
        <f>VLOOKUP(L976,'[1]singkron data'!D:I,6,FALSE)</f>
        <v>Offline</v>
      </c>
      <c r="AA976" s="11" t="str">
        <f>VLOOKUP(L976,'[1]singkron data'!D:L,9,FALSE)</f>
        <v>085203533456/jibo</v>
      </c>
      <c r="AB976" s="11" t="s">
        <v>54</v>
      </c>
      <c r="AC976" s="11" t="str">
        <f>VLOOKUP(L976,'[1]singkron data'!D:M,10,FALSE)</f>
        <v>g</v>
      </c>
      <c r="AD976" s="11" t="str">
        <f>VLOOKUP(L976,'[1]data 1129'!F:O,10,FALSE)</f>
        <v>Tahap III 166</v>
      </c>
      <c r="AE976" s="11" t="str">
        <f>VLOOKUP(L976,'[1]singkron data'!D:P,13,FALSE)</f>
        <v>sudah</v>
      </c>
      <c r="AF976" s="11" t="s">
        <v>55</v>
      </c>
      <c r="AG976" s="11" t="e">
        <f>VLOOKUP(L976,'[1]update kontrak'!E:K,6,FALSE)</f>
        <v>#N/A</v>
      </c>
      <c r="AH976" s="11" t="e">
        <f>VLOOKUP(L976,'[1]update kontrak'!E:K,7,FALSE)</f>
        <v>#N/A</v>
      </c>
      <c r="AI976" s="11" t="s">
        <v>58</v>
      </c>
      <c r="AJ976" s="11" t="str">
        <f>VLOOKUP(L976,[1]rekap!D:M,1,FALSE)</f>
        <v>Junganyar</v>
      </c>
      <c r="AK976" s="11" t="str">
        <f>VLOOKUP(L976,'[1]singkron data'!D:E,2,FALSE)</f>
        <v>PT. Elang Mas Berdikari</v>
      </c>
      <c r="AL976" s="11" t="str">
        <f>VLOOKUP(L976,'[1]update 521'!D:D,1,FALSE)</f>
        <v>Junganyar</v>
      </c>
      <c r="AM976" s="11" t="s">
        <v>57</v>
      </c>
      <c r="AN976" s="17">
        <f>VLOOKUP(L976,[1]Sheet19!E:L,8,FALSE)</f>
        <v>4214598494.9099998</v>
      </c>
      <c r="AO976" s="11" t="str">
        <f>VLOOKUP(L976,[1]Sheet19!E:K,7,FALSE)</f>
        <v>SPPBJ</v>
      </c>
      <c r="AP976" s="12"/>
    </row>
    <row r="977" spans="1:42" ht="15" x14ac:dyDescent="0.2">
      <c r="A977" s="27" t="s">
        <v>2240</v>
      </c>
      <c r="B977" s="28" t="s">
        <v>43</v>
      </c>
      <c r="C977" s="28">
        <v>1048</v>
      </c>
      <c r="D977" s="28" t="s">
        <v>284</v>
      </c>
      <c r="E977" s="28">
        <v>136</v>
      </c>
      <c r="F977" s="28" t="s">
        <v>505</v>
      </c>
      <c r="G977" s="28" t="s">
        <v>297</v>
      </c>
      <c r="H977" s="28" t="s">
        <v>287</v>
      </c>
      <c r="I977" s="28" t="s">
        <v>369</v>
      </c>
      <c r="J977" s="28" t="s">
        <v>2333</v>
      </c>
      <c r="K977" s="28" t="s">
        <v>2334</v>
      </c>
      <c r="L977" s="35" t="s">
        <v>2334</v>
      </c>
      <c r="M977" s="28" t="s">
        <v>51</v>
      </c>
      <c r="N977" s="28">
        <v>67</v>
      </c>
      <c r="O977" s="28" t="s">
        <v>72</v>
      </c>
      <c r="P977" s="28">
        <v>63</v>
      </c>
      <c r="Q977" s="28">
        <v>63</v>
      </c>
      <c r="R977" s="28">
        <v>0.09</v>
      </c>
      <c r="S977" s="28">
        <v>-6.897818</v>
      </c>
      <c r="T977" s="28">
        <v>113.148651</v>
      </c>
      <c r="U977" s="28" t="s">
        <v>52</v>
      </c>
      <c r="V977" s="29" t="str">
        <f>VLOOKUP(L977,'[1]singkron data'!D:E,2,FALSE)</f>
        <v>PT. Puji Rahmad (Besar)</v>
      </c>
      <c r="W977" s="36">
        <f>VLOOKUP(L977,'[1]data 1129'!F:H,3,FALSE)</f>
        <v>4441806000</v>
      </c>
      <c r="X977" s="29"/>
      <c r="Y977" s="29">
        <f>VLOOKUP(L977,'[1]singkron data'!D:H,5,FALSE)</f>
        <v>0</v>
      </c>
      <c r="Z977" s="29" t="str">
        <f>VLOOKUP(L977,'[1]singkron data'!D:I,6,FALSE)</f>
        <v>Online</v>
      </c>
      <c r="AA977" s="29" t="str">
        <f>VLOOKUP(L977,'[1]singkron data'!D:L,9,FALSE)</f>
        <v>08170070040/sanidin</v>
      </c>
      <c r="AB977" s="29" t="s">
        <v>54</v>
      </c>
      <c r="AC977" s="29" t="str">
        <f>VLOOKUP(L977,'[1]singkron data'!D:M,10,FALSE)</f>
        <v>Put</v>
      </c>
      <c r="AD977" s="29" t="str">
        <f>VLOOKUP(L977,'[1]data 1129'!F:O,10,FALSE)</f>
        <v>Tahap IV 200</v>
      </c>
      <c r="AE977" s="29">
        <f>VLOOKUP(L977,'[1]singkron data'!D:P,13,FALSE)</f>
        <v>0</v>
      </c>
      <c r="AF977" s="29"/>
      <c r="AG977" s="29" t="e">
        <f>VLOOKUP(L977,'[1]update kontrak'!E:K,6,FALSE)</f>
        <v>#N/A</v>
      </c>
      <c r="AH977" s="29" t="e">
        <f>VLOOKUP(L977,'[1]update kontrak'!E:K,7,FALSE)</f>
        <v>#N/A</v>
      </c>
      <c r="AI977" s="29" t="s">
        <v>58</v>
      </c>
      <c r="AJ977" s="29" t="str">
        <f>VLOOKUP(L977,[1]rekap!D:M,1,FALSE)</f>
        <v>Jatra Timur</v>
      </c>
      <c r="AK977" s="29" t="str">
        <f>VLOOKUP(L977,'[1]singkron data'!D:E,2,FALSE)</f>
        <v>PT. Puji Rahmad (Besar)</v>
      </c>
      <c r="AL977" s="29" t="str">
        <f>VLOOKUP(L977,'[1]update 521'!D:D,1,FALSE)</f>
        <v>Jatra Timur</v>
      </c>
      <c r="AM977" s="11" t="s">
        <v>57</v>
      </c>
      <c r="AN977" s="11" t="e">
        <f>VLOOKUP(L977,[1]Sheet19!E:L,8,FALSE)</f>
        <v>#N/A</v>
      </c>
      <c r="AO977" s="11" t="s">
        <v>58</v>
      </c>
      <c r="AP977" s="12"/>
    </row>
    <row r="978" spans="1:42" ht="15" x14ac:dyDescent="0.2">
      <c r="A978" s="8" t="s">
        <v>2240</v>
      </c>
      <c r="B978" s="9" t="s">
        <v>43</v>
      </c>
      <c r="C978" s="9">
        <v>205</v>
      </c>
      <c r="D978" s="9" t="s">
        <v>688</v>
      </c>
      <c r="E978" s="9">
        <v>105</v>
      </c>
      <c r="F978" s="9" t="s">
        <v>689</v>
      </c>
      <c r="G978" s="9" t="s">
        <v>690</v>
      </c>
      <c r="H978" s="9" t="s">
        <v>287</v>
      </c>
      <c r="I978" s="9" t="s">
        <v>691</v>
      </c>
      <c r="J978" s="9" t="s">
        <v>2335</v>
      </c>
      <c r="K978" s="9" t="s">
        <v>2336</v>
      </c>
      <c r="L978" s="9" t="s">
        <v>2336</v>
      </c>
      <c r="M978" s="9" t="s">
        <v>51</v>
      </c>
      <c r="N978" s="9">
        <v>100</v>
      </c>
      <c r="O978" s="9">
        <v>40</v>
      </c>
      <c r="P978" s="9">
        <v>2</v>
      </c>
      <c r="Q978" s="9">
        <v>42</v>
      </c>
      <c r="R978" s="9">
        <v>0.75</v>
      </c>
      <c r="S978" s="9">
        <v>-3.31976</v>
      </c>
      <c r="T978" s="9">
        <v>130.63083800000001</v>
      </c>
      <c r="U978" s="9"/>
      <c r="V978" s="11">
        <f>VLOOKUP(L978,'[1]singkron data'!D:E,2,FALSE)</f>
        <v>0</v>
      </c>
      <c r="W978" s="11">
        <f>VLOOKUP(L978,'[1]data 1129'!F:H,3,FALSE)</f>
        <v>0</v>
      </c>
      <c r="X978" s="11"/>
      <c r="Y978" s="11">
        <f>VLOOKUP(L978,'[1]singkron data'!D:H,5,FALSE)</f>
        <v>0</v>
      </c>
      <c r="Z978" s="11">
        <f>VLOOKUP(L978,'[1]singkron data'!D:I,6,FALSE)</f>
        <v>0</v>
      </c>
      <c r="AA978" s="11">
        <f>VLOOKUP(L978,'[1]singkron data'!D:L,9,FALSE)</f>
        <v>0</v>
      </c>
      <c r="AB978" s="11" t="s">
        <v>694</v>
      </c>
      <c r="AC978" s="11">
        <f>VLOOKUP(L978,'[1]singkron data'!D:M,10,FALSE)</f>
        <v>0</v>
      </c>
      <c r="AD978" s="11"/>
      <c r="AE978" s="11">
        <f>VLOOKUP(L978,'[1]singkron data'!D:P,13,FALSE)</f>
        <v>0</v>
      </c>
      <c r="AF978" s="11"/>
      <c r="AG978" s="11" t="e">
        <f>VLOOKUP(L978,'[1]update kontrak'!E:K,6,FALSE)</f>
        <v>#N/A</v>
      </c>
      <c r="AH978" s="11" t="e">
        <f>VLOOKUP(L978,'[1]update kontrak'!E:K,7,FALSE)</f>
        <v>#N/A</v>
      </c>
      <c r="AI978" s="11"/>
      <c r="AJ978" s="11" t="str">
        <f>VLOOKUP(L978,[1]rekap!D:M,1,FALSE)</f>
        <v>Dawang</v>
      </c>
      <c r="AK978" s="11">
        <f>VLOOKUP(L978,'[1]singkron data'!D:E,2,FALSE)</f>
        <v>0</v>
      </c>
      <c r="AL978" s="11" t="str">
        <f>VLOOKUP(L978,'[1]update 521'!D:D,1,FALSE)</f>
        <v>Dawang</v>
      </c>
      <c r="AM978" s="11" t="s">
        <v>96</v>
      </c>
      <c r="AN978" s="11" t="e">
        <f>VLOOKUP(L978,[1]Sheet19!E:L,8,FALSE)</f>
        <v>#N/A</v>
      </c>
      <c r="AO978" s="11" t="e">
        <f>VLOOKUP(L978,[1]Sheet19!E:K,7,FALSE)</f>
        <v>#N/A</v>
      </c>
      <c r="AP978" s="12"/>
    </row>
    <row r="979" spans="1:42" ht="15" x14ac:dyDescent="0.2">
      <c r="A979" s="8" t="s">
        <v>2240</v>
      </c>
      <c r="B979" s="9" t="s">
        <v>43</v>
      </c>
      <c r="C979" s="9">
        <v>206</v>
      </c>
      <c r="D979" s="9" t="s">
        <v>688</v>
      </c>
      <c r="E979" s="9">
        <v>106</v>
      </c>
      <c r="F979" s="9" t="s">
        <v>697</v>
      </c>
      <c r="G979" s="9" t="s">
        <v>690</v>
      </c>
      <c r="H979" s="9" t="s">
        <v>287</v>
      </c>
      <c r="I979" s="9" t="s">
        <v>691</v>
      </c>
      <c r="J979" s="9" t="s">
        <v>699</v>
      </c>
      <c r="K979" s="9" t="s">
        <v>2337</v>
      </c>
      <c r="L979" s="9" t="s">
        <v>2337</v>
      </c>
      <c r="M979" s="9" t="s">
        <v>51</v>
      </c>
      <c r="N979" s="9">
        <v>36</v>
      </c>
      <c r="O979" s="9">
        <v>6</v>
      </c>
      <c r="P979" s="9">
        <v>25</v>
      </c>
      <c r="Q979" s="9">
        <v>31</v>
      </c>
      <c r="R979" s="9">
        <v>0.04</v>
      </c>
      <c r="S979" s="9">
        <v>-4.3799400000000004</v>
      </c>
      <c r="T979" s="9">
        <v>131.58127999999999</v>
      </c>
      <c r="U979" s="9"/>
      <c r="V979" s="11">
        <f>VLOOKUP(L979,'[1]singkron data'!D:E,2,FALSE)</f>
        <v>0</v>
      </c>
      <c r="W979" s="11">
        <f>VLOOKUP(L979,'[1]data 1129'!F:H,3,FALSE)</f>
        <v>0</v>
      </c>
      <c r="X979" s="11"/>
      <c r="Y979" s="11">
        <f>VLOOKUP(L979,'[1]singkron data'!D:H,5,FALSE)</f>
        <v>0</v>
      </c>
      <c r="Z979" s="11">
        <f>VLOOKUP(L979,'[1]singkron data'!D:I,6,FALSE)</f>
        <v>0</v>
      </c>
      <c r="AA979" s="11">
        <f>VLOOKUP(L979,'[1]singkron data'!D:L,9,FALSE)</f>
        <v>0</v>
      </c>
      <c r="AB979" s="11" t="s">
        <v>694</v>
      </c>
      <c r="AC979" s="11">
        <f>VLOOKUP(L979,'[1]singkron data'!D:M,10,FALSE)</f>
        <v>0</v>
      </c>
      <c r="AD979" s="11"/>
      <c r="AE979" s="11">
        <f>VLOOKUP(L979,'[1]singkron data'!D:P,13,FALSE)</f>
        <v>0</v>
      </c>
      <c r="AF979" s="11"/>
      <c r="AG979" s="11" t="e">
        <f>VLOOKUP(L979,'[1]update kontrak'!E:K,6,FALSE)</f>
        <v>#N/A</v>
      </c>
      <c r="AH979" s="11" t="e">
        <f>VLOOKUP(L979,'[1]update kontrak'!E:K,7,FALSE)</f>
        <v>#N/A</v>
      </c>
      <c r="AI979" s="11"/>
      <c r="AJ979" s="11" t="str">
        <f>VLOOKUP(L979,[1]rekap!D:M,1,FALSE)</f>
        <v>Ilili</v>
      </c>
      <c r="AK979" s="11">
        <f>VLOOKUP(L979,'[1]singkron data'!D:E,2,FALSE)</f>
        <v>0</v>
      </c>
      <c r="AL979" s="11" t="str">
        <f>VLOOKUP(L979,'[1]update 521'!D:D,1,FALSE)</f>
        <v>Ilili</v>
      </c>
      <c r="AM979" s="11" t="s">
        <v>96</v>
      </c>
      <c r="AN979" s="11" t="e">
        <f>VLOOKUP(L979,[1]Sheet19!E:L,8,FALSE)</f>
        <v>#N/A</v>
      </c>
      <c r="AO979" s="11" t="e">
        <f>VLOOKUP(L979,[1]Sheet19!E:K,7,FALSE)</f>
        <v>#N/A</v>
      </c>
      <c r="AP979" s="12"/>
    </row>
    <row r="980" spans="1:42" ht="15" x14ac:dyDescent="0.2">
      <c r="A980" s="8" t="s">
        <v>2240</v>
      </c>
      <c r="B980" s="9" t="s">
        <v>43</v>
      </c>
      <c r="C980" s="9">
        <v>207</v>
      </c>
      <c r="D980" s="9" t="s">
        <v>688</v>
      </c>
      <c r="E980" s="9">
        <v>107</v>
      </c>
      <c r="F980" s="9" t="s">
        <v>697</v>
      </c>
      <c r="G980" s="9" t="s">
        <v>690</v>
      </c>
      <c r="H980" s="9" t="s">
        <v>287</v>
      </c>
      <c r="I980" s="9" t="s">
        <v>691</v>
      </c>
      <c r="J980" s="9" t="s">
        <v>699</v>
      </c>
      <c r="K980" s="9" t="s">
        <v>2338</v>
      </c>
      <c r="L980" s="9" t="s">
        <v>2338</v>
      </c>
      <c r="M980" s="9" t="s">
        <v>51</v>
      </c>
      <c r="N980" s="9">
        <v>25</v>
      </c>
      <c r="O980" s="9">
        <v>5</v>
      </c>
      <c r="P980" s="9">
        <v>25</v>
      </c>
      <c r="Q980" s="9">
        <v>30</v>
      </c>
      <c r="R980" s="9">
        <v>0.09</v>
      </c>
      <c r="S980" s="9">
        <v>-4.4815019999999999</v>
      </c>
      <c r="T980" s="9">
        <v>131.65931699999999</v>
      </c>
      <c r="U980" s="9"/>
      <c r="V980" s="11">
        <f>VLOOKUP(L980,'[1]singkron data'!D:E,2,FALSE)</f>
        <v>0</v>
      </c>
      <c r="W980" s="11">
        <f>VLOOKUP(L980,'[1]data 1129'!F:H,3,FALSE)</f>
        <v>0</v>
      </c>
      <c r="X980" s="11"/>
      <c r="Y980" s="11">
        <f>VLOOKUP(L980,'[1]singkron data'!D:H,5,FALSE)</f>
        <v>0</v>
      </c>
      <c r="Z980" s="11">
        <f>VLOOKUP(L980,'[1]singkron data'!D:I,6,FALSE)</f>
        <v>0</v>
      </c>
      <c r="AA980" s="11">
        <f>VLOOKUP(L980,'[1]singkron data'!D:L,9,FALSE)</f>
        <v>0</v>
      </c>
      <c r="AB980" s="11" t="s">
        <v>694</v>
      </c>
      <c r="AC980" s="11">
        <f>VLOOKUP(L980,'[1]singkron data'!D:M,10,FALSE)</f>
        <v>0</v>
      </c>
      <c r="AD980" s="11"/>
      <c r="AE980" s="11">
        <f>VLOOKUP(L980,'[1]singkron data'!D:P,13,FALSE)</f>
        <v>0</v>
      </c>
      <c r="AF980" s="11"/>
      <c r="AG980" s="11" t="e">
        <f>VLOOKUP(L980,'[1]update kontrak'!E:K,6,FALSE)</f>
        <v>#N/A</v>
      </c>
      <c r="AH980" s="11" t="e">
        <f>VLOOKUP(L980,'[1]update kontrak'!E:K,7,FALSE)</f>
        <v>#N/A</v>
      </c>
      <c r="AI980" s="11"/>
      <c r="AJ980" s="11" t="str">
        <f>VLOOKUP(L980,[1]rekap!D:M,1,FALSE)</f>
        <v>Kurwara</v>
      </c>
      <c r="AK980" s="11">
        <f>VLOOKUP(L980,'[1]singkron data'!D:E,2,FALSE)</f>
        <v>0</v>
      </c>
      <c r="AL980" s="11" t="str">
        <f>VLOOKUP(L980,'[1]update 521'!D:D,1,FALSE)</f>
        <v>Kurwara</v>
      </c>
      <c r="AM980" s="11" t="s">
        <v>96</v>
      </c>
      <c r="AN980" s="11" t="e">
        <f>VLOOKUP(L980,[1]Sheet19!E:L,8,FALSE)</f>
        <v>#N/A</v>
      </c>
      <c r="AO980" s="11" t="e">
        <f>VLOOKUP(L980,[1]Sheet19!E:K,7,FALSE)</f>
        <v>#N/A</v>
      </c>
      <c r="AP980" s="12"/>
    </row>
    <row r="981" spans="1:42" ht="15" x14ac:dyDescent="0.2">
      <c r="A981" s="8" t="s">
        <v>2240</v>
      </c>
      <c r="B981" s="9" t="s">
        <v>43</v>
      </c>
      <c r="C981" s="9">
        <v>214</v>
      </c>
      <c r="D981" s="9" t="s">
        <v>688</v>
      </c>
      <c r="E981" s="9">
        <v>114</v>
      </c>
      <c r="F981" s="9" t="s">
        <v>727</v>
      </c>
      <c r="G981" s="9" t="s">
        <v>715</v>
      </c>
      <c r="H981" s="9" t="s">
        <v>287</v>
      </c>
      <c r="I981" s="9" t="s">
        <v>728</v>
      </c>
      <c r="J981" s="9" t="s">
        <v>2339</v>
      </c>
      <c r="K981" s="9" t="s">
        <v>2340</v>
      </c>
      <c r="L981" s="9" t="s">
        <v>2340</v>
      </c>
      <c r="M981" s="9" t="s">
        <v>51</v>
      </c>
      <c r="N981" s="9">
        <v>132</v>
      </c>
      <c r="O981" s="9" t="s">
        <v>72</v>
      </c>
      <c r="P981" s="9">
        <v>124</v>
      </c>
      <c r="Q981" s="9">
        <v>124</v>
      </c>
      <c r="R981" s="9">
        <v>1</v>
      </c>
      <c r="S981" s="9">
        <v>-2.0064625</v>
      </c>
      <c r="T981" s="9">
        <v>125.8865533</v>
      </c>
      <c r="U981" s="9"/>
      <c r="V981" s="11">
        <f>VLOOKUP(L981,'[1]singkron data'!D:E,2,FALSE)</f>
        <v>0</v>
      </c>
      <c r="W981" s="13" t="str">
        <f>VLOOKUP(L981,[1]Sheet18!E:F,2,FALSE)</f>
        <v>belum ada</v>
      </c>
      <c r="X981" s="11"/>
      <c r="Y981" s="11">
        <f>VLOOKUP(L981,'[1]singkron data'!D:H,5,FALSE)</f>
        <v>0</v>
      </c>
      <c r="Z981" s="11">
        <f>VLOOKUP(L981,'[1]singkron data'!D:I,6,FALSE)</f>
        <v>0</v>
      </c>
      <c r="AA981" s="11">
        <f>VLOOKUP(L981,'[1]singkron data'!D:L,9,FALSE)</f>
        <v>0</v>
      </c>
      <c r="AB981" s="11" t="s">
        <v>694</v>
      </c>
      <c r="AC981" s="11">
        <f>VLOOKUP(L981,'[1]singkron data'!D:M,10,FALSE)</f>
        <v>0</v>
      </c>
      <c r="AD981" s="11"/>
      <c r="AE981" s="11">
        <f>VLOOKUP(L981,'[1]singkron data'!D:P,13,FALSE)</f>
        <v>0</v>
      </c>
      <c r="AF981" s="11" t="s">
        <v>55</v>
      </c>
      <c r="AG981" s="11" t="e">
        <f>VLOOKUP(L981,'[1]update kontrak'!E:K,6,FALSE)</f>
        <v>#N/A</v>
      </c>
      <c r="AH981" s="11" t="e">
        <f>VLOOKUP(L981,'[1]update kontrak'!E:K,7,FALSE)</f>
        <v>#N/A</v>
      </c>
      <c r="AI981" s="11"/>
      <c r="AJ981" s="11" t="str">
        <f>VLOOKUP(L981,[1]rekap!D:M,1,FALSE)</f>
        <v>Malbufa</v>
      </c>
      <c r="AK981" s="11">
        <f>VLOOKUP(L981,'[1]singkron data'!D:E,2,FALSE)</f>
        <v>0</v>
      </c>
      <c r="AL981" s="11" t="str">
        <f>VLOOKUP(L981,'[1]update 521'!D:D,1,FALSE)</f>
        <v>Malbufa</v>
      </c>
      <c r="AM981" s="11" t="s">
        <v>96</v>
      </c>
      <c r="AN981" s="11" t="e">
        <f>VLOOKUP(L981,[1]Sheet19!E:L,8,FALSE)</f>
        <v>#N/A</v>
      </c>
      <c r="AO981" s="11" t="e">
        <f>VLOOKUP(L981,[1]Sheet19!E:K,7,FALSE)</f>
        <v>#N/A</v>
      </c>
      <c r="AP981" s="12"/>
    </row>
    <row r="982" spans="1:42" ht="15" x14ac:dyDescent="0.2">
      <c r="A982" s="8" t="s">
        <v>2240</v>
      </c>
      <c r="B982" s="9" t="s">
        <v>43</v>
      </c>
      <c r="C982" s="9">
        <v>204</v>
      </c>
      <c r="D982" s="9" t="s">
        <v>688</v>
      </c>
      <c r="E982" s="9">
        <v>104</v>
      </c>
      <c r="F982" s="9" t="s">
        <v>2341</v>
      </c>
      <c r="G982" s="9" t="s">
        <v>690</v>
      </c>
      <c r="H982" s="9" t="s">
        <v>287</v>
      </c>
      <c r="I982" s="9" t="s">
        <v>691</v>
      </c>
      <c r="J982" s="9" t="s">
        <v>2342</v>
      </c>
      <c r="K982" s="9" t="s">
        <v>2343</v>
      </c>
      <c r="L982" s="9" t="s">
        <v>2343</v>
      </c>
      <c r="M982" s="9" t="s">
        <v>51</v>
      </c>
      <c r="N982" s="9">
        <v>125</v>
      </c>
      <c r="O982" s="9">
        <v>25</v>
      </c>
      <c r="P982" s="9">
        <v>40</v>
      </c>
      <c r="Q982" s="9">
        <v>65</v>
      </c>
      <c r="R982" s="9">
        <v>0.25</v>
      </c>
      <c r="S982" s="9">
        <v>-3.5476999999999999</v>
      </c>
      <c r="T982" s="9">
        <v>130.17830000000001</v>
      </c>
      <c r="U982" s="9"/>
      <c r="V982" s="11">
        <f>VLOOKUP(L982,'[1]singkron data'!D:E,2,FALSE)</f>
        <v>0</v>
      </c>
      <c r="W982" s="11">
        <f>VLOOKUP(L982,'[1]data 1129'!F:H,3,FALSE)</f>
        <v>0</v>
      </c>
      <c r="X982" s="11"/>
      <c r="Y982" s="11">
        <f>VLOOKUP(L982,'[1]singkron data'!D:H,5,FALSE)</f>
        <v>0</v>
      </c>
      <c r="Z982" s="11">
        <f>VLOOKUP(L982,'[1]singkron data'!D:I,6,FALSE)</f>
        <v>0</v>
      </c>
      <c r="AA982" s="11">
        <f>VLOOKUP(L982,'[1]singkron data'!D:L,9,FALSE)</f>
        <v>0</v>
      </c>
      <c r="AB982" s="11" t="s">
        <v>694</v>
      </c>
      <c r="AC982" s="11">
        <f>VLOOKUP(L982,'[1]singkron data'!D:M,10,FALSE)</f>
        <v>0</v>
      </c>
      <c r="AD982" s="11"/>
      <c r="AE982" s="11">
        <f>VLOOKUP(L982,'[1]singkron data'!D:P,13,FALSE)</f>
        <v>0</v>
      </c>
      <c r="AF982" s="11"/>
      <c r="AG982" s="11" t="e">
        <f>VLOOKUP(L982,'[1]update kontrak'!E:K,6,FALSE)</f>
        <v>#N/A</v>
      </c>
      <c r="AH982" s="11" t="e">
        <f>VLOOKUP(L982,'[1]update kontrak'!E:K,7,FALSE)</f>
        <v>#N/A</v>
      </c>
      <c r="AI982" s="11"/>
      <c r="AJ982" s="11" t="str">
        <f>VLOOKUP(L982,[1]rekap!D:M,1,FALSE)</f>
        <v>Batuasa</v>
      </c>
      <c r="AK982" s="11">
        <f>VLOOKUP(L982,'[1]singkron data'!D:E,2,FALSE)</f>
        <v>0</v>
      </c>
      <c r="AL982" s="11" t="str">
        <f>VLOOKUP(L982,'[1]update 521'!D:D,1,FALSE)</f>
        <v>Batuasa</v>
      </c>
      <c r="AM982" s="11" t="s">
        <v>96</v>
      </c>
      <c r="AN982" s="11" t="e">
        <f>VLOOKUP(L982,[1]Sheet19!E:L,8,FALSE)</f>
        <v>#N/A</v>
      </c>
      <c r="AO982" s="11" t="e">
        <f>VLOOKUP(L982,[1]Sheet19!E:K,7,FALSE)</f>
        <v>#N/A</v>
      </c>
      <c r="AP982" s="12"/>
    </row>
    <row r="983" spans="1:42" ht="15" x14ac:dyDescent="0.2">
      <c r="A983" s="8" t="s">
        <v>2240</v>
      </c>
      <c r="B983" s="9" t="s">
        <v>43</v>
      </c>
      <c r="C983" s="9">
        <v>208</v>
      </c>
      <c r="D983" s="9" t="s">
        <v>688</v>
      </c>
      <c r="E983" s="9">
        <v>108</v>
      </c>
      <c r="F983" s="9" t="s">
        <v>742</v>
      </c>
      <c r="G983" s="9" t="s">
        <v>690</v>
      </c>
      <c r="H983" s="9" t="s">
        <v>287</v>
      </c>
      <c r="I983" s="9" t="s">
        <v>743</v>
      </c>
      <c r="J983" s="9" t="s">
        <v>2344</v>
      </c>
      <c r="K983" s="9" t="s">
        <v>2345</v>
      </c>
      <c r="L983" s="9" t="s">
        <v>2345</v>
      </c>
      <c r="M983" s="9" t="s">
        <v>51</v>
      </c>
      <c r="N983" s="9">
        <v>824</v>
      </c>
      <c r="O983" s="9" t="s">
        <v>72</v>
      </c>
      <c r="P983" s="9">
        <v>824</v>
      </c>
      <c r="Q983" s="9">
        <v>824</v>
      </c>
      <c r="R983" s="9">
        <v>0.6</v>
      </c>
      <c r="S983" s="9">
        <v>-3.1597400000000002</v>
      </c>
      <c r="T983" s="9">
        <v>127.83825</v>
      </c>
      <c r="U983" s="9"/>
      <c r="V983" s="11">
        <f>VLOOKUP(L983,'[1]singkron data'!D:E,2,FALSE)</f>
        <v>0</v>
      </c>
      <c r="W983" s="11">
        <f>VLOOKUP(L983,'[1]data 1129'!F:H,3,FALSE)</f>
        <v>0</v>
      </c>
      <c r="X983" s="11"/>
      <c r="Y983" s="11">
        <f>VLOOKUP(L983,'[1]singkron data'!D:H,5,FALSE)</f>
        <v>0</v>
      </c>
      <c r="Z983" s="11">
        <f>VLOOKUP(L983,'[1]singkron data'!D:I,6,FALSE)</f>
        <v>0</v>
      </c>
      <c r="AA983" s="11">
        <f>VLOOKUP(L983,'[1]singkron data'!D:L,9,FALSE)</f>
        <v>0</v>
      </c>
      <c r="AB983" s="11" t="s">
        <v>694</v>
      </c>
      <c r="AC983" s="11">
        <f>VLOOKUP(L983,'[1]singkron data'!D:M,10,FALSE)</f>
        <v>0</v>
      </c>
      <c r="AD983" s="11"/>
      <c r="AE983" s="11">
        <f>VLOOKUP(L983,'[1]singkron data'!D:P,13,FALSE)</f>
        <v>0</v>
      </c>
      <c r="AF983" s="11"/>
      <c r="AG983" s="11" t="e">
        <f>VLOOKUP(L983,'[1]update kontrak'!E:K,6,FALSE)</f>
        <v>#N/A</v>
      </c>
      <c r="AH983" s="11" t="e">
        <f>VLOOKUP(L983,'[1]update kontrak'!E:K,7,FALSE)</f>
        <v>#N/A</v>
      </c>
      <c r="AI983" s="11"/>
      <c r="AJ983" s="11" t="str">
        <f>VLOOKUP(L983,[1]rekap!D:M,1,FALSE)</f>
        <v>Waesala</v>
      </c>
      <c r="AK983" s="11">
        <f>VLOOKUP(L983,'[1]singkron data'!D:E,2,FALSE)</f>
        <v>0</v>
      </c>
      <c r="AL983" s="11" t="str">
        <f>VLOOKUP(L983,'[1]update 521'!D:D,1,FALSE)</f>
        <v>Waesala</v>
      </c>
      <c r="AM983" s="11" t="s">
        <v>96</v>
      </c>
      <c r="AN983" s="11" t="e">
        <f>VLOOKUP(L983,[1]Sheet19!E:L,8,FALSE)</f>
        <v>#N/A</v>
      </c>
      <c r="AO983" s="11" t="e">
        <f>VLOOKUP(L983,[1]Sheet19!E:K,7,FALSE)</f>
        <v>#N/A</v>
      </c>
      <c r="AP983" s="12"/>
    </row>
    <row r="984" spans="1:42" ht="15" x14ac:dyDescent="0.2">
      <c r="A984" s="8" t="s">
        <v>2240</v>
      </c>
      <c r="B984" s="9" t="s">
        <v>43</v>
      </c>
      <c r="C984" s="9">
        <v>211</v>
      </c>
      <c r="D984" s="9" t="s">
        <v>688</v>
      </c>
      <c r="E984" s="9">
        <v>111</v>
      </c>
      <c r="F984" s="9" t="s">
        <v>750</v>
      </c>
      <c r="G984" s="9" t="s">
        <v>690</v>
      </c>
      <c r="H984" s="9" t="s">
        <v>287</v>
      </c>
      <c r="I984" s="9" t="s">
        <v>707</v>
      </c>
      <c r="J984" s="9" t="s">
        <v>751</v>
      </c>
      <c r="K984" s="9" t="s">
        <v>2346</v>
      </c>
      <c r="L984" s="9" t="s">
        <v>2346</v>
      </c>
      <c r="M984" s="9" t="s">
        <v>51</v>
      </c>
      <c r="N984" s="9">
        <v>217</v>
      </c>
      <c r="O984" s="9">
        <v>1</v>
      </c>
      <c r="P984" s="9">
        <v>216</v>
      </c>
      <c r="Q984" s="9">
        <v>217</v>
      </c>
      <c r="R984" s="9">
        <v>0.76</v>
      </c>
      <c r="S984" s="9">
        <v>-7.5647120000000001</v>
      </c>
      <c r="T984" s="9">
        <v>131.20246900000001</v>
      </c>
      <c r="U984" s="9"/>
      <c r="V984" s="11">
        <f>VLOOKUP(L984,'[1]singkron data'!D:E,2,FALSE)</f>
        <v>0</v>
      </c>
      <c r="W984" s="11">
        <f>VLOOKUP(L984,'[1]data 1129'!F:H,3,FALSE)</f>
        <v>0</v>
      </c>
      <c r="X984" s="11"/>
      <c r="Y984" s="11">
        <f>VLOOKUP(L984,'[1]singkron data'!D:H,5,FALSE)</f>
        <v>0</v>
      </c>
      <c r="Z984" s="11">
        <f>VLOOKUP(L984,'[1]singkron data'!D:I,6,FALSE)</f>
        <v>0</v>
      </c>
      <c r="AA984" s="11">
        <f>VLOOKUP(L984,'[1]singkron data'!D:L,9,FALSE)</f>
        <v>0</v>
      </c>
      <c r="AB984" s="11" t="s">
        <v>694</v>
      </c>
      <c r="AC984" s="11">
        <f>VLOOKUP(L984,'[1]singkron data'!D:M,10,FALSE)</f>
        <v>0</v>
      </c>
      <c r="AD984" s="11"/>
      <c r="AE984" s="11">
        <f>VLOOKUP(L984,'[1]singkron data'!D:P,13,FALSE)</f>
        <v>0</v>
      </c>
      <c r="AF984" s="11"/>
      <c r="AG984" s="11" t="e">
        <f>VLOOKUP(L984,'[1]update kontrak'!E:K,6,FALSE)</f>
        <v>#N/A</v>
      </c>
      <c r="AH984" s="11" t="e">
        <f>VLOOKUP(L984,'[1]update kontrak'!E:K,7,FALSE)</f>
        <v>#N/A</v>
      </c>
      <c r="AI984" s="11"/>
      <c r="AJ984" s="11" t="str">
        <f>VLOOKUP(L984,[1]rekap!D:M,1,FALSE)</f>
        <v>Makatian</v>
      </c>
      <c r="AK984" s="11">
        <f>VLOOKUP(L984,'[1]singkron data'!D:E,2,FALSE)</f>
        <v>0</v>
      </c>
      <c r="AL984" s="11" t="str">
        <f>VLOOKUP(L984,'[1]update 521'!D:D,1,FALSE)</f>
        <v>Makatian</v>
      </c>
      <c r="AM984" s="11" t="s">
        <v>96</v>
      </c>
      <c r="AN984" s="11" t="e">
        <f>VLOOKUP(L984,[1]Sheet19!E:L,8,FALSE)</f>
        <v>#N/A</v>
      </c>
      <c r="AO984" s="11" t="e">
        <f>VLOOKUP(L984,[1]Sheet19!E:K,7,FALSE)</f>
        <v>#N/A</v>
      </c>
      <c r="AP984" s="12"/>
    </row>
    <row r="985" spans="1:42" ht="15" x14ac:dyDescent="0.2">
      <c r="A985" s="8" t="s">
        <v>2240</v>
      </c>
      <c r="B985" s="9" t="s">
        <v>43</v>
      </c>
      <c r="C985" s="9">
        <v>209</v>
      </c>
      <c r="D985" s="9" t="s">
        <v>688</v>
      </c>
      <c r="E985" s="9">
        <v>109</v>
      </c>
      <c r="F985" s="9" t="s">
        <v>766</v>
      </c>
      <c r="G985" s="9" t="s">
        <v>690</v>
      </c>
      <c r="H985" s="9" t="s">
        <v>287</v>
      </c>
      <c r="I985" s="9" t="s">
        <v>775</v>
      </c>
      <c r="J985" s="9" t="s">
        <v>776</v>
      </c>
      <c r="K985" s="9" t="s">
        <v>2347</v>
      </c>
      <c r="L985" s="9" t="s">
        <v>2347</v>
      </c>
      <c r="M985" s="9" t="s">
        <v>51</v>
      </c>
      <c r="N985" s="9">
        <v>30</v>
      </c>
      <c r="O985" s="9">
        <v>14</v>
      </c>
      <c r="P985" s="9">
        <v>15</v>
      </c>
      <c r="Q985" s="9">
        <v>29</v>
      </c>
      <c r="R985" s="9">
        <v>0.05</v>
      </c>
      <c r="S985" s="9">
        <v>-5.6017099999999997</v>
      </c>
      <c r="T985" s="9">
        <v>132.7516</v>
      </c>
      <c r="U985" s="9"/>
      <c r="V985" s="11">
        <f>VLOOKUP(L985,'[1]singkron data'!D:E,2,FALSE)</f>
        <v>0</v>
      </c>
      <c r="W985" s="11">
        <f>VLOOKUP(L985,'[1]data 1129'!F:H,3,FALSE)</f>
        <v>0</v>
      </c>
      <c r="X985" s="11"/>
      <c r="Y985" s="11">
        <f>VLOOKUP(L985,'[1]singkron data'!D:H,5,FALSE)</f>
        <v>0</v>
      </c>
      <c r="Z985" s="11">
        <f>VLOOKUP(L985,'[1]singkron data'!D:I,6,FALSE)</f>
        <v>0</v>
      </c>
      <c r="AA985" s="11">
        <f>VLOOKUP(L985,'[1]singkron data'!D:L,9,FALSE)</f>
        <v>0</v>
      </c>
      <c r="AB985" s="11" t="s">
        <v>694</v>
      </c>
      <c r="AC985" s="11">
        <f>VLOOKUP(L985,'[1]singkron data'!D:M,10,FALSE)</f>
        <v>0</v>
      </c>
      <c r="AD985" s="11"/>
      <c r="AE985" s="11">
        <f>VLOOKUP(L985,'[1]singkron data'!D:P,13,FALSE)</f>
        <v>0</v>
      </c>
      <c r="AF985" s="11"/>
      <c r="AG985" s="11" t="e">
        <f>VLOOKUP(L985,'[1]update kontrak'!E:K,6,FALSE)</f>
        <v>#N/A</v>
      </c>
      <c r="AH985" s="11" t="e">
        <f>VLOOKUP(L985,'[1]update kontrak'!E:K,7,FALSE)</f>
        <v>#N/A</v>
      </c>
      <c r="AI985" s="11"/>
      <c r="AJ985" s="11" t="str">
        <f>VLOOKUP(L985,[1]rekap!D:M,1,FALSE)</f>
        <v>Dullah</v>
      </c>
      <c r="AK985" s="11">
        <f>VLOOKUP(L985,'[1]singkron data'!D:E,2,FALSE)</f>
        <v>0</v>
      </c>
      <c r="AL985" s="11" t="str">
        <f>VLOOKUP(L985,'[1]update 521'!D:D,1,FALSE)</f>
        <v>Dullah</v>
      </c>
      <c r="AM985" s="11" t="s">
        <v>96</v>
      </c>
      <c r="AN985" s="11" t="e">
        <f>VLOOKUP(L985,[1]Sheet19!E:L,8,FALSE)</f>
        <v>#N/A</v>
      </c>
      <c r="AO985" s="11" t="e">
        <f>VLOOKUP(L985,[1]Sheet19!E:K,7,FALSE)</f>
        <v>#N/A</v>
      </c>
      <c r="AP985" s="12"/>
    </row>
    <row r="986" spans="1:42" ht="15" x14ac:dyDescent="0.2">
      <c r="A986" s="8" t="s">
        <v>2240</v>
      </c>
      <c r="B986" s="9" t="s">
        <v>43</v>
      </c>
      <c r="C986" s="9">
        <v>210</v>
      </c>
      <c r="D986" s="9" t="s">
        <v>688</v>
      </c>
      <c r="E986" s="9">
        <v>110</v>
      </c>
      <c r="F986" s="9" t="s">
        <v>887</v>
      </c>
      <c r="G986" s="9" t="s">
        <v>690</v>
      </c>
      <c r="H986" s="9" t="s">
        <v>287</v>
      </c>
      <c r="I986" s="9" t="s">
        <v>707</v>
      </c>
      <c r="J986" s="9" t="s">
        <v>2348</v>
      </c>
      <c r="K986" s="9" t="s">
        <v>2349</v>
      </c>
      <c r="L986" s="9" t="s">
        <v>2349</v>
      </c>
      <c r="M986" s="9" t="s">
        <v>51</v>
      </c>
      <c r="N986" s="9">
        <v>120</v>
      </c>
      <c r="O986" s="9" t="s">
        <v>72</v>
      </c>
      <c r="P986" s="9">
        <v>120</v>
      </c>
      <c r="Q986" s="9">
        <v>120</v>
      </c>
      <c r="R986" s="9">
        <v>0.66</v>
      </c>
      <c r="S986" s="9">
        <v>-6.7989959999999998</v>
      </c>
      <c r="T986" s="9">
        <v>131.523865</v>
      </c>
      <c r="U986" s="9"/>
      <c r="V986" s="11">
        <f>VLOOKUP(L986,'[1]singkron data'!D:E,2,FALSE)</f>
        <v>0</v>
      </c>
      <c r="W986" s="11">
        <f>VLOOKUP(L986,'[1]data 1129'!F:H,3,FALSE)</f>
        <v>0</v>
      </c>
      <c r="X986" s="11"/>
      <c r="Y986" s="11">
        <f>VLOOKUP(L986,'[1]singkron data'!D:H,5,FALSE)</f>
        <v>0</v>
      </c>
      <c r="Z986" s="11">
        <f>VLOOKUP(L986,'[1]singkron data'!D:I,6,FALSE)</f>
        <v>0</v>
      </c>
      <c r="AA986" s="11">
        <f>VLOOKUP(L986,'[1]singkron data'!D:L,9,FALSE)</f>
        <v>0</v>
      </c>
      <c r="AB986" s="11" t="s">
        <v>694</v>
      </c>
      <c r="AC986" s="11">
        <f>VLOOKUP(L986,'[1]singkron data'!D:M,10,FALSE)</f>
        <v>0</v>
      </c>
      <c r="AD986" s="11"/>
      <c r="AE986" s="11">
        <f>VLOOKUP(L986,'[1]singkron data'!D:P,13,FALSE)</f>
        <v>0</v>
      </c>
      <c r="AF986" s="11"/>
      <c r="AG986" s="11" t="e">
        <f>VLOOKUP(L986,'[1]update kontrak'!E:K,6,FALSE)</f>
        <v>#N/A</v>
      </c>
      <c r="AH986" s="11" t="e">
        <f>VLOOKUP(L986,'[1]update kontrak'!E:K,7,FALSE)</f>
        <v>#N/A</v>
      </c>
      <c r="AI986" s="11"/>
      <c r="AJ986" s="11" t="str">
        <f>VLOOKUP(L986,[1]rekap!D:M,1,FALSE)</f>
        <v>Tutunametal</v>
      </c>
      <c r="AK986" s="11">
        <f>VLOOKUP(L986,'[1]singkron data'!D:E,2,FALSE)</f>
        <v>0</v>
      </c>
      <c r="AL986" s="11" t="str">
        <f>VLOOKUP(L986,'[1]update 521'!D:D,1,FALSE)</f>
        <v>Tutunametal</v>
      </c>
      <c r="AM986" s="11" t="s">
        <v>96</v>
      </c>
      <c r="AN986" s="11" t="e">
        <f>VLOOKUP(L986,[1]Sheet19!E:L,8,FALSE)</f>
        <v>#N/A</v>
      </c>
      <c r="AO986" s="11" t="e">
        <f>VLOOKUP(L986,[1]Sheet19!E:K,7,FALSE)</f>
        <v>#N/A</v>
      </c>
      <c r="AP986" s="12"/>
    </row>
    <row r="987" spans="1:42" ht="15" x14ac:dyDescent="0.2">
      <c r="A987" s="8" t="s">
        <v>2240</v>
      </c>
      <c r="B987" s="9" t="s">
        <v>43</v>
      </c>
      <c r="C987" s="9">
        <v>212</v>
      </c>
      <c r="D987" s="9" t="s">
        <v>688</v>
      </c>
      <c r="E987" s="9">
        <v>112</v>
      </c>
      <c r="F987" s="9" t="s">
        <v>887</v>
      </c>
      <c r="G987" s="9" t="s">
        <v>690</v>
      </c>
      <c r="H987" s="9" t="s">
        <v>287</v>
      </c>
      <c r="I987" s="9" t="s">
        <v>707</v>
      </c>
      <c r="J987" s="9" t="s">
        <v>2348</v>
      </c>
      <c r="K987" s="9" t="s">
        <v>2350</v>
      </c>
      <c r="L987" s="9" t="s">
        <v>2350</v>
      </c>
      <c r="M987" s="9" t="s">
        <v>51</v>
      </c>
      <c r="N987" s="9">
        <v>200</v>
      </c>
      <c r="O987" s="9" t="s">
        <v>72</v>
      </c>
      <c r="P987" s="9">
        <v>50</v>
      </c>
      <c r="Q987" s="9">
        <v>50</v>
      </c>
      <c r="R987" s="9">
        <v>0.35</v>
      </c>
      <c r="S987" s="9">
        <v>-6.7086980000000001</v>
      </c>
      <c r="T987" s="9">
        <v>131.560349</v>
      </c>
      <c r="U987" s="9"/>
      <c r="V987" s="11">
        <f>VLOOKUP(L987,'[1]singkron data'!D:E,2,FALSE)</f>
        <v>0</v>
      </c>
      <c r="W987" s="11">
        <f>VLOOKUP(L987,'[1]data 1129'!F:H,3,FALSE)</f>
        <v>0</v>
      </c>
      <c r="X987" s="11"/>
      <c r="Y987" s="11">
        <f>VLOOKUP(L987,'[1]singkron data'!D:H,5,FALSE)</f>
        <v>0</v>
      </c>
      <c r="Z987" s="11">
        <f>VLOOKUP(L987,'[1]singkron data'!D:I,6,FALSE)</f>
        <v>0</v>
      </c>
      <c r="AA987" s="11">
        <f>VLOOKUP(L987,'[1]singkron data'!D:L,9,FALSE)</f>
        <v>0</v>
      </c>
      <c r="AB987" s="11" t="s">
        <v>694</v>
      </c>
      <c r="AC987" s="11">
        <f>VLOOKUP(L987,'[1]singkron data'!D:M,10,FALSE)</f>
        <v>0</v>
      </c>
      <c r="AD987" s="11"/>
      <c r="AE987" s="11">
        <f>VLOOKUP(L987,'[1]singkron data'!D:P,13,FALSE)</f>
        <v>0</v>
      </c>
      <c r="AF987" s="11"/>
      <c r="AG987" s="11" t="e">
        <f>VLOOKUP(L987,'[1]update kontrak'!E:K,6,FALSE)</f>
        <v>#N/A</v>
      </c>
      <c r="AH987" s="11" t="e">
        <f>VLOOKUP(L987,'[1]update kontrak'!E:K,7,FALSE)</f>
        <v>#N/A</v>
      </c>
      <c r="AI987" s="11"/>
      <c r="AJ987" s="11" t="str">
        <f>VLOOKUP(L987,[1]rekap!D:M,1,FALSE)</f>
        <v>Adodo Molu</v>
      </c>
      <c r="AK987" s="11">
        <f>VLOOKUP(L987,'[1]singkron data'!D:E,2,FALSE)</f>
        <v>0</v>
      </c>
      <c r="AL987" s="11" t="str">
        <f>VLOOKUP(L987,'[1]update 521'!D:D,1,FALSE)</f>
        <v>Adodo Molu</v>
      </c>
      <c r="AM987" s="11" t="s">
        <v>96</v>
      </c>
      <c r="AN987" s="11" t="e">
        <f>VLOOKUP(L987,[1]Sheet19!E:L,8,FALSE)</f>
        <v>#N/A</v>
      </c>
      <c r="AO987" s="11" t="e">
        <f>VLOOKUP(L987,[1]Sheet19!E:K,7,FALSE)</f>
        <v>#N/A</v>
      </c>
      <c r="AP987" s="12"/>
    </row>
    <row r="988" spans="1:42" ht="15" x14ac:dyDescent="0.2">
      <c r="A988" s="8" t="s">
        <v>2240</v>
      </c>
      <c r="B988" s="9" t="s">
        <v>43</v>
      </c>
      <c r="C988" s="9">
        <v>467</v>
      </c>
      <c r="D988" s="9" t="s">
        <v>1631</v>
      </c>
      <c r="E988" s="9">
        <v>254</v>
      </c>
      <c r="F988" s="9" t="s">
        <v>1764</v>
      </c>
      <c r="G988" s="9" t="s">
        <v>1656</v>
      </c>
      <c r="H988" s="9" t="s">
        <v>47</v>
      </c>
      <c r="I988" s="9" t="s">
        <v>1768</v>
      </c>
      <c r="J988" s="9" t="s">
        <v>2351</v>
      </c>
      <c r="K988" s="9" t="s">
        <v>2352</v>
      </c>
      <c r="L988" s="9" t="s">
        <v>2352</v>
      </c>
      <c r="M988" s="9" t="s">
        <v>51</v>
      </c>
      <c r="N988" s="9">
        <v>330</v>
      </c>
      <c r="O988" s="9">
        <v>5</v>
      </c>
      <c r="P988" s="9">
        <v>29</v>
      </c>
      <c r="Q988" s="9">
        <v>34</v>
      </c>
      <c r="R988" s="9">
        <v>1.3</v>
      </c>
      <c r="S988" s="9">
        <v>5.2098000000000004</v>
      </c>
      <c r="T988" s="9">
        <v>96.601399999999998</v>
      </c>
      <c r="U988" s="9"/>
      <c r="V988" s="11" t="e">
        <f>VLOOKUP(L988,'[1]singkron data'!D:E,2,FALSE)</f>
        <v>#N/A</v>
      </c>
      <c r="W988" s="11" t="e">
        <f>VLOOKUP(L988,'[1]update tim 2'!D:F,3,FALSE)</f>
        <v>#N/A</v>
      </c>
      <c r="X988" s="11" t="s">
        <v>55</v>
      </c>
      <c r="Y988" s="11" t="e">
        <f>VLOOKUP(L988,'[1]singkron data'!D:H,5,FALSE)</f>
        <v>#N/A</v>
      </c>
      <c r="Z988" s="11" t="e">
        <f>VLOOKUP(L988,'[1]singkron data'!D:I,6,FALSE)</f>
        <v>#N/A</v>
      </c>
      <c r="AA988" s="11" t="e">
        <f>VLOOKUP(L988,'[1]singkron data'!D:L,9,FALSE)</f>
        <v>#N/A</v>
      </c>
      <c r="AB988" s="11" t="s">
        <v>694</v>
      </c>
      <c r="AC988" s="11" t="e">
        <f>VLOOKUP(L988,'[1]singkron data'!D:M,10,FALSE)</f>
        <v>#N/A</v>
      </c>
      <c r="AD988" s="11" t="s">
        <v>364</v>
      </c>
      <c r="AE988" s="11" t="e">
        <f>VLOOKUP(L988,'[1]singkron data'!D:P,13,FALSE)</f>
        <v>#N/A</v>
      </c>
      <c r="AF988" s="11" t="s">
        <v>55</v>
      </c>
      <c r="AG988" s="11" t="e">
        <f>VLOOKUP(L988,'[1]update kontrak'!E:K,6,FALSE)</f>
        <v>#N/A</v>
      </c>
      <c r="AH988" s="11" t="e">
        <f>VLOOKUP(L988,'[1]update kontrak'!E:K,7,FALSE)</f>
        <v>#N/A</v>
      </c>
      <c r="AI988" s="11"/>
      <c r="AJ988" s="11" t="str">
        <f>VLOOKUP(L988,[1]rekap!D:M,1,FALSE)</f>
        <v>Matang Pasi</v>
      </c>
      <c r="AK988" s="11" t="e">
        <f>VLOOKUP(L988,'[1]singkron data'!D:E,2,FALSE)</f>
        <v>#N/A</v>
      </c>
      <c r="AL988" s="11" t="str">
        <f>VLOOKUP(L988,'[1]update 521'!D:D,1,FALSE)</f>
        <v>Matang Pasi</v>
      </c>
      <c r="AM988" s="11" t="s">
        <v>57</v>
      </c>
      <c r="AN988" s="11" t="e">
        <f>VLOOKUP(L988,[1]Sheet19!E:L,8,FALSE)</f>
        <v>#N/A</v>
      </c>
      <c r="AO988" s="11" t="s">
        <v>1129</v>
      </c>
      <c r="AP988" s="12"/>
    </row>
    <row r="989" spans="1:42" ht="15" x14ac:dyDescent="0.2">
      <c r="A989" s="8" t="s">
        <v>2240</v>
      </c>
      <c r="B989" s="9" t="s">
        <v>43</v>
      </c>
      <c r="C989" s="9">
        <v>468</v>
      </c>
      <c r="D989" s="9" t="s">
        <v>1631</v>
      </c>
      <c r="E989" s="9">
        <v>255</v>
      </c>
      <c r="F989" s="9" t="s">
        <v>1826</v>
      </c>
      <c r="G989" s="9" t="s">
        <v>1656</v>
      </c>
      <c r="H989" s="9" t="s">
        <v>47</v>
      </c>
      <c r="I989" s="9" t="s">
        <v>1809</v>
      </c>
      <c r="J989" s="9" t="s">
        <v>1827</v>
      </c>
      <c r="K989" s="9" t="s">
        <v>2353</v>
      </c>
      <c r="L989" s="9" t="s">
        <v>2353</v>
      </c>
      <c r="M989" s="9" t="s">
        <v>51</v>
      </c>
      <c r="N989" s="9">
        <v>365</v>
      </c>
      <c r="O989" s="9">
        <v>20</v>
      </c>
      <c r="P989" s="9">
        <v>135</v>
      </c>
      <c r="Q989" s="9">
        <v>155</v>
      </c>
      <c r="R989" s="9">
        <v>1</v>
      </c>
      <c r="S989" s="9">
        <v>2.6484999999999999</v>
      </c>
      <c r="T989" s="9">
        <v>96.195499999999996</v>
      </c>
      <c r="U989" s="9"/>
      <c r="V989" s="11" t="e">
        <f>VLOOKUP(L989,'[1]singkron data'!D:E,2,FALSE)</f>
        <v>#N/A</v>
      </c>
      <c r="W989" s="11"/>
      <c r="X989" s="11"/>
      <c r="Y989" s="11" t="e">
        <f>VLOOKUP(L989,'[1]singkron data'!D:H,5,FALSE)</f>
        <v>#N/A</v>
      </c>
      <c r="Z989" s="11" t="e">
        <f>VLOOKUP(L989,'[1]singkron data'!D:I,6,FALSE)</f>
        <v>#N/A</v>
      </c>
      <c r="AA989" s="11" t="e">
        <f>VLOOKUP(L989,'[1]singkron data'!D:L,9,FALSE)</f>
        <v>#N/A</v>
      </c>
      <c r="AB989" s="11" t="s">
        <v>694</v>
      </c>
      <c r="AC989" s="11" t="e">
        <f>VLOOKUP(L989,'[1]singkron data'!D:M,10,FALSE)</f>
        <v>#N/A</v>
      </c>
      <c r="AD989" s="11" t="s">
        <v>364</v>
      </c>
      <c r="AE989" s="11" t="e">
        <f>VLOOKUP(L989,'[1]singkron data'!D:P,13,FALSE)</f>
        <v>#N/A</v>
      </c>
      <c r="AF989" s="11" t="s">
        <v>55</v>
      </c>
      <c r="AG989" s="11" t="e">
        <f>VLOOKUP(L989,'[1]update kontrak'!E:K,6,FALSE)</f>
        <v>#N/A</v>
      </c>
      <c r="AH989" s="11" t="e">
        <f>VLOOKUP(L989,'[1]update kontrak'!E:K,7,FALSE)</f>
        <v>#N/A</v>
      </c>
      <c r="AI989" s="11"/>
      <c r="AJ989" s="11" t="str">
        <f>VLOOKUP(L989,[1]rekap!D:M,1,FALSE)</f>
        <v>Sambay</v>
      </c>
      <c r="AK989" s="11" t="e">
        <f>VLOOKUP(L989,'[1]singkron data'!D:E,2,FALSE)</f>
        <v>#N/A</v>
      </c>
      <c r="AL989" s="11" t="str">
        <f>VLOOKUP(L989,'[1]update 521'!D:D,1,FALSE)</f>
        <v>Sambay</v>
      </c>
      <c r="AM989" s="11" t="s">
        <v>96</v>
      </c>
      <c r="AN989" s="11" t="e">
        <f>VLOOKUP(L989,[1]Sheet19!E:L,8,FALSE)</f>
        <v>#N/A</v>
      </c>
      <c r="AO989" s="11" t="e">
        <f>VLOOKUP(L989,[1]Sheet19!E:K,7,FALSE)</f>
        <v>#N/A</v>
      </c>
      <c r="AP989" s="12"/>
    </row>
    <row r="990" spans="1:42" ht="15" x14ac:dyDescent="0.2">
      <c r="A990" s="8" t="s">
        <v>2240</v>
      </c>
      <c r="B990" s="9" t="s">
        <v>43</v>
      </c>
      <c r="C990" s="9">
        <v>469</v>
      </c>
      <c r="D990" s="9" t="s">
        <v>1631</v>
      </c>
      <c r="E990" s="9">
        <v>256</v>
      </c>
      <c r="F990" s="9" t="s">
        <v>1826</v>
      </c>
      <c r="G990" s="9" t="s">
        <v>1656</v>
      </c>
      <c r="H990" s="9" t="s">
        <v>47</v>
      </c>
      <c r="I990" s="9" t="s">
        <v>1809</v>
      </c>
      <c r="J990" s="9" t="s">
        <v>2354</v>
      </c>
      <c r="K990" s="9" t="s">
        <v>2355</v>
      </c>
      <c r="L990" s="9" t="s">
        <v>2355</v>
      </c>
      <c r="M990" s="9" t="s">
        <v>51</v>
      </c>
      <c r="N990" s="9">
        <v>135</v>
      </c>
      <c r="O990" s="9">
        <v>42</v>
      </c>
      <c r="P990" s="9">
        <v>70</v>
      </c>
      <c r="Q990" s="9">
        <v>112</v>
      </c>
      <c r="R990" s="9">
        <v>1</v>
      </c>
      <c r="S990" s="9">
        <v>2.8109000000000002</v>
      </c>
      <c r="T990" s="9">
        <v>95.968599999999995</v>
      </c>
      <c r="U990" s="9"/>
      <c r="V990" s="11" t="e">
        <f>VLOOKUP(L990,'[1]singkron data'!D:E,2,FALSE)</f>
        <v>#N/A</v>
      </c>
      <c r="W990" s="11"/>
      <c r="X990" s="11"/>
      <c r="Y990" s="11" t="e">
        <f>VLOOKUP(L990,'[1]singkron data'!D:H,5,FALSE)</f>
        <v>#N/A</v>
      </c>
      <c r="Z990" s="11" t="e">
        <f>VLOOKUP(L990,'[1]singkron data'!D:I,6,FALSE)</f>
        <v>#N/A</v>
      </c>
      <c r="AA990" s="11" t="e">
        <f>VLOOKUP(L990,'[1]singkron data'!D:L,9,FALSE)</f>
        <v>#N/A</v>
      </c>
      <c r="AB990" s="11" t="s">
        <v>694</v>
      </c>
      <c r="AC990" s="11" t="e">
        <f>VLOOKUP(L990,'[1]singkron data'!D:M,10,FALSE)</f>
        <v>#N/A</v>
      </c>
      <c r="AD990" s="11" t="s">
        <v>364</v>
      </c>
      <c r="AE990" s="11" t="e">
        <f>VLOOKUP(L990,'[1]singkron data'!D:P,13,FALSE)</f>
        <v>#N/A</v>
      </c>
      <c r="AF990" s="11" t="s">
        <v>55</v>
      </c>
      <c r="AG990" s="11" t="e">
        <f>VLOOKUP(L990,'[1]update kontrak'!E:K,6,FALSE)</f>
        <v>#N/A</v>
      </c>
      <c r="AH990" s="11" t="e">
        <f>VLOOKUP(L990,'[1]update kontrak'!E:K,7,FALSE)</f>
        <v>#N/A</v>
      </c>
      <c r="AI990" s="11"/>
      <c r="AJ990" s="11" t="str">
        <f>VLOOKUP(L990,[1]rekap!D:M,1,FALSE)</f>
        <v>Sigulai</v>
      </c>
      <c r="AK990" s="11" t="e">
        <f>VLOOKUP(L990,'[1]singkron data'!D:E,2,FALSE)</f>
        <v>#N/A</v>
      </c>
      <c r="AL990" s="11" t="str">
        <f>VLOOKUP(L990,'[1]update 521'!D:D,1,FALSE)</f>
        <v>Sigulai</v>
      </c>
      <c r="AM990" s="11" t="s">
        <v>96</v>
      </c>
      <c r="AN990" s="11" t="e">
        <f>VLOOKUP(L990,[1]Sheet19!E:L,8,FALSE)</f>
        <v>#N/A</v>
      </c>
      <c r="AO990" s="11" t="e">
        <f>VLOOKUP(L990,[1]Sheet19!E:K,7,FALSE)</f>
        <v>#N/A</v>
      </c>
      <c r="AP990" s="12"/>
    </row>
    <row r="991" spans="1:42" ht="15" x14ac:dyDescent="0.2">
      <c r="A991" s="8" t="s">
        <v>2240</v>
      </c>
      <c r="B991" s="9" t="s">
        <v>43</v>
      </c>
      <c r="C991" s="9">
        <v>470</v>
      </c>
      <c r="D991" s="9" t="s">
        <v>1631</v>
      </c>
      <c r="E991" s="9">
        <v>257</v>
      </c>
      <c r="F991" s="9" t="s">
        <v>1929</v>
      </c>
      <c r="G991" s="9" t="s">
        <v>1724</v>
      </c>
      <c r="H991" s="9" t="s">
        <v>47</v>
      </c>
      <c r="I991" s="9" t="s">
        <v>1930</v>
      </c>
      <c r="J991" s="9" t="s">
        <v>1934</v>
      </c>
      <c r="K991" s="9" t="s">
        <v>2356</v>
      </c>
      <c r="L991" s="10" t="s">
        <v>2356</v>
      </c>
      <c r="M991" s="9" t="s">
        <v>51</v>
      </c>
      <c r="N991" s="9">
        <v>2637</v>
      </c>
      <c r="O991" s="9" t="s">
        <v>72</v>
      </c>
      <c r="P991" s="9">
        <v>35</v>
      </c>
      <c r="Q991" s="9">
        <v>35</v>
      </c>
      <c r="R991" s="9">
        <v>0.04</v>
      </c>
      <c r="S991" s="9">
        <v>3.0167000000000002</v>
      </c>
      <c r="T991" s="9">
        <v>99.8596</v>
      </c>
      <c r="U991" s="9" t="s">
        <v>52</v>
      </c>
      <c r="V991" s="11" t="str">
        <f>VLOOKUP(L991,'[1]singkron data'!D:E,2,FALSE)</f>
        <v>CV. Mahanaim</v>
      </c>
      <c r="W991" s="11"/>
      <c r="X991" s="11"/>
      <c r="Y991" s="11">
        <f>VLOOKUP(L991,'[1]singkron data'!D:H,5,FALSE)</f>
        <v>0</v>
      </c>
      <c r="Z991" s="11">
        <f>VLOOKUP(L991,'[1]singkron data'!D:I,6,FALSE)</f>
        <v>0</v>
      </c>
      <c r="AA991" s="11">
        <v>81369625211</v>
      </c>
      <c r="AB991" s="11" t="s">
        <v>54</v>
      </c>
      <c r="AC991" s="11">
        <f>VLOOKUP(L991,'[1]singkron data'!D:M,10,FALSE)</f>
        <v>0</v>
      </c>
      <c r="AD991" s="11" t="str">
        <f>VLOOKUP(L991,'[1]data 1129'!F:O,10,FALSE)</f>
        <v>Tahap III 166</v>
      </c>
      <c r="AE991" s="11">
        <f>VLOOKUP(L991,'[1]singkron data'!D:P,13,FALSE)</f>
        <v>0</v>
      </c>
      <c r="AF991" s="11" t="s">
        <v>55</v>
      </c>
      <c r="AG991" s="11" t="e">
        <f>VLOOKUP(L991,'[1]update kontrak'!E:K,6,FALSE)</f>
        <v>#N/A</v>
      </c>
      <c r="AH991" s="11" t="e">
        <f>VLOOKUP(L991,'[1]update kontrak'!E:K,7,FALSE)</f>
        <v>#N/A</v>
      </c>
      <c r="AI991" s="11"/>
      <c r="AJ991" s="11" t="str">
        <f>VLOOKUP(L991,[1]rekap!D:M,1,FALSE)</f>
        <v>Bagan Asahan Pekan</v>
      </c>
      <c r="AK991" s="11" t="str">
        <f>VLOOKUP(L991,'[1]singkron data'!D:E,2,FALSE)</f>
        <v>CV. Mahanaim</v>
      </c>
      <c r="AL991" s="11" t="str">
        <f>VLOOKUP(L991,'[1]update 521'!D:D,1,FALSE)</f>
        <v>Bagan Asahan Pekan</v>
      </c>
      <c r="AM991" s="11" t="s">
        <v>96</v>
      </c>
      <c r="AN991" s="11" t="e">
        <f>VLOOKUP(L991,[1]Sheet19!E:L,8,FALSE)</f>
        <v>#N/A</v>
      </c>
      <c r="AO991" s="11" t="e">
        <f>VLOOKUP(L991,[1]Sheet19!E:K,7,FALSE)</f>
        <v>#N/A</v>
      </c>
      <c r="AP991" s="12"/>
    </row>
    <row r="992" spans="1:42" ht="15" x14ac:dyDescent="0.2">
      <c r="A992" s="8" t="s">
        <v>2240</v>
      </c>
      <c r="B992" s="9" t="s">
        <v>43</v>
      </c>
      <c r="C992" s="9">
        <v>466</v>
      </c>
      <c r="D992" s="9" t="s">
        <v>1631</v>
      </c>
      <c r="E992" s="9">
        <v>253</v>
      </c>
      <c r="F992" s="9" t="s">
        <v>1655</v>
      </c>
      <c r="G992" s="9" t="s">
        <v>1656</v>
      </c>
      <c r="H992" s="9" t="s">
        <v>47</v>
      </c>
      <c r="I992" s="9" t="s">
        <v>1661</v>
      </c>
      <c r="J992" s="9" t="s">
        <v>2357</v>
      </c>
      <c r="K992" s="9" t="s">
        <v>2358</v>
      </c>
      <c r="L992" s="9" t="s">
        <v>2358</v>
      </c>
      <c r="M992" s="9" t="s">
        <v>51</v>
      </c>
      <c r="N992" s="9">
        <v>70</v>
      </c>
      <c r="O992" s="9" t="s">
        <v>72</v>
      </c>
      <c r="P992" s="9">
        <v>60</v>
      </c>
      <c r="Q992" s="9">
        <v>60</v>
      </c>
      <c r="R992" s="9">
        <v>0.35</v>
      </c>
      <c r="S992" s="9">
        <v>5.2896000000000001</v>
      </c>
      <c r="T992" s="9">
        <v>95.228300000000004</v>
      </c>
      <c r="U992" s="9"/>
      <c r="V992" s="11" t="e">
        <f>VLOOKUP(L992,'[1]singkron data'!D:E,2,FALSE)</f>
        <v>#N/A</v>
      </c>
      <c r="W992" s="11" t="e">
        <f>VLOOKUP(L992,'[1]update tim 2'!D:F,3,FALSE)</f>
        <v>#N/A</v>
      </c>
      <c r="X992" s="11" t="s">
        <v>55</v>
      </c>
      <c r="Y992" s="11" t="e">
        <f>VLOOKUP(L992,'[1]singkron data'!D:H,5,FALSE)</f>
        <v>#N/A</v>
      </c>
      <c r="Z992" s="11" t="e">
        <f>VLOOKUP(L992,'[1]singkron data'!D:I,6,FALSE)</f>
        <v>#N/A</v>
      </c>
      <c r="AA992" s="11" t="e">
        <f>VLOOKUP(L992,'[1]singkron data'!D:L,9,FALSE)</f>
        <v>#N/A</v>
      </c>
      <c r="AB992" s="11" t="s">
        <v>694</v>
      </c>
      <c r="AC992" s="11" t="s">
        <v>1660</v>
      </c>
      <c r="AD992" s="11" t="s">
        <v>364</v>
      </c>
      <c r="AE992" s="11" t="e">
        <f>VLOOKUP(L992,'[1]singkron data'!D:P,13,FALSE)</f>
        <v>#N/A</v>
      </c>
      <c r="AF992" s="11" t="s">
        <v>55</v>
      </c>
      <c r="AG992" s="11" t="e">
        <f>VLOOKUP(L992,'[1]update kontrak'!E:K,6,FALSE)</f>
        <v>#N/A</v>
      </c>
      <c r="AH992" s="11" t="e">
        <f>VLOOKUP(L992,'[1]update kontrak'!E:K,7,FALSE)</f>
        <v>#N/A</v>
      </c>
      <c r="AI992" s="11"/>
      <c r="AJ992" s="11" t="str">
        <f>VLOOKUP(L992,[1]rekap!D:M,1,FALSE)</f>
        <v>Kareung</v>
      </c>
      <c r="AK992" s="11" t="e">
        <f>VLOOKUP(L992,'[1]singkron data'!D:E,2,FALSE)</f>
        <v>#N/A</v>
      </c>
      <c r="AL992" s="11" t="str">
        <f>VLOOKUP(L992,'[1]update 521'!D:D,1,FALSE)</f>
        <v>Kareung</v>
      </c>
      <c r="AM992" s="11" t="s">
        <v>57</v>
      </c>
      <c r="AN992" s="11" t="e">
        <f>VLOOKUP(L992,[1]Sheet19!E:L,8,FALSE)</f>
        <v>#N/A</v>
      </c>
      <c r="AO992" s="11" t="s">
        <v>1129</v>
      </c>
      <c r="AP992" s="12"/>
    </row>
    <row r="993" spans="1:42" ht="15" x14ac:dyDescent="0.2">
      <c r="A993" s="8" t="s">
        <v>2359</v>
      </c>
      <c r="B993" s="9" t="s">
        <v>43</v>
      </c>
      <c r="C993" s="9">
        <v>803</v>
      </c>
      <c r="D993" s="9" t="s">
        <v>44</v>
      </c>
      <c r="E993" s="9">
        <v>100</v>
      </c>
      <c r="F993" s="9" t="s">
        <v>2360</v>
      </c>
      <c r="G993" s="9" t="s">
        <v>74</v>
      </c>
      <c r="H993" s="9" t="s">
        <v>47</v>
      </c>
      <c r="I993" s="9" t="s">
        <v>194</v>
      </c>
      <c r="J993" s="9" t="s">
        <v>2361</v>
      </c>
      <c r="K993" s="9" t="s">
        <v>2362</v>
      </c>
      <c r="L993" s="10" t="s">
        <v>2362</v>
      </c>
      <c r="M993" s="9" t="s">
        <v>51</v>
      </c>
      <c r="N993" s="9">
        <v>37</v>
      </c>
      <c r="O993" s="9">
        <v>14</v>
      </c>
      <c r="P993" s="9">
        <v>13</v>
      </c>
      <c r="Q993" s="9">
        <v>27</v>
      </c>
      <c r="R993" s="9">
        <v>0.6</v>
      </c>
      <c r="S993" s="9">
        <v>-8.8101599999999998</v>
      </c>
      <c r="T993" s="9">
        <v>121.37214</v>
      </c>
      <c r="U993" s="9" t="s">
        <v>52</v>
      </c>
      <c r="V993" s="11" t="s">
        <v>196</v>
      </c>
      <c r="W993" s="11"/>
      <c r="X993" s="11"/>
      <c r="Y993" s="11" t="str">
        <f>VLOOKUP(L993,'[1]singkron data'!D:H,5,FALSE)</f>
        <v>Bandung</v>
      </c>
      <c r="Z993" s="11" t="str">
        <f>VLOOKUP(L993,'[1]singkron data'!D:I,6,FALSE)</f>
        <v>Online</v>
      </c>
      <c r="AA993" s="11" t="s">
        <v>197</v>
      </c>
      <c r="AB993" s="11" t="s">
        <v>54</v>
      </c>
      <c r="AC993" s="11" t="str">
        <f>VLOOKUP(L993,'[1]singkron data'!D:M,10,FALSE)</f>
        <v>Gal-Angga</v>
      </c>
      <c r="AD993" s="11" t="str">
        <f>VLOOKUP(L993,'[1]data 1129'!F:O,10,FALSE)</f>
        <v>Tahap III 166</v>
      </c>
      <c r="AE993" s="11">
        <f>VLOOKUP(L993,'[1]singkron data'!D:P,13,FALSE)</f>
        <v>0</v>
      </c>
      <c r="AF993" s="11" t="s">
        <v>55</v>
      </c>
      <c r="AG993" s="11" t="e">
        <f>VLOOKUP(L993,'[1]update kontrak'!E:K,6,FALSE)</f>
        <v>#N/A</v>
      </c>
      <c r="AH993" s="11" t="e">
        <f>VLOOKUP(L993,'[1]update kontrak'!E:K,7,FALSE)</f>
        <v>#N/A</v>
      </c>
      <c r="AI993" s="11"/>
      <c r="AJ993" s="11" t="str">
        <f>VLOOKUP(L993,[1]rekap!D:M,1,FALSE)</f>
        <v>Woewutu</v>
      </c>
      <c r="AK993" s="11" t="str">
        <f>VLOOKUP(L993,'[1]singkron data'!D:E,2,FALSE)</f>
        <v>PT. Rajasa Nusa Jaya</v>
      </c>
      <c r="AL993" s="11" t="str">
        <f>VLOOKUP(L993,'[1]update 521'!D:D,1,FALSE)</f>
        <v>Woewutu</v>
      </c>
      <c r="AM993" s="11" t="s">
        <v>96</v>
      </c>
      <c r="AN993" s="11" t="e">
        <f>VLOOKUP(L993,[1]Sheet19!E:L,8,FALSE)</f>
        <v>#N/A</v>
      </c>
      <c r="AO993" s="11" t="e">
        <f>VLOOKUP(L993,[1]Sheet19!E:K,7,FALSE)</f>
        <v>#N/A</v>
      </c>
      <c r="AP993" s="12"/>
    </row>
    <row r="994" spans="1:42" ht="15" x14ac:dyDescent="0.2">
      <c r="A994" s="8" t="s">
        <v>2359</v>
      </c>
      <c r="B994" s="9" t="s">
        <v>43</v>
      </c>
      <c r="C994" s="9">
        <v>804</v>
      </c>
      <c r="D994" s="9" t="s">
        <v>44</v>
      </c>
      <c r="E994" s="9">
        <v>101</v>
      </c>
      <c r="F994" s="9" t="s">
        <v>2360</v>
      </c>
      <c r="G994" s="9" t="s">
        <v>74</v>
      </c>
      <c r="H994" s="9" t="s">
        <v>47</v>
      </c>
      <c r="I994" s="9" t="s">
        <v>194</v>
      </c>
      <c r="J994" s="9" t="s">
        <v>2363</v>
      </c>
      <c r="K994" s="9" t="s">
        <v>2364</v>
      </c>
      <c r="L994" s="10" t="s">
        <v>2364</v>
      </c>
      <c r="M994" s="9" t="s">
        <v>51</v>
      </c>
      <c r="N994" s="9">
        <v>100</v>
      </c>
      <c r="O994" s="9">
        <v>10</v>
      </c>
      <c r="P994" s="9">
        <v>42</v>
      </c>
      <c r="Q994" s="9">
        <v>52</v>
      </c>
      <c r="R994" s="9">
        <v>1</v>
      </c>
      <c r="S994" s="9">
        <v>-8.6157500000000002</v>
      </c>
      <c r="T994" s="9">
        <v>121.51860000000001</v>
      </c>
      <c r="U994" s="9" t="s">
        <v>52</v>
      </c>
      <c r="V994" s="11" t="s">
        <v>196</v>
      </c>
      <c r="W994" s="11"/>
      <c r="X994" s="11"/>
      <c r="Y994" s="11" t="str">
        <f>VLOOKUP(L994,'[1]singkron data'!D:H,5,FALSE)</f>
        <v>Bandung</v>
      </c>
      <c r="Z994" s="11" t="str">
        <f>VLOOKUP(L994,'[1]singkron data'!D:I,6,FALSE)</f>
        <v>Online</v>
      </c>
      <c r="AA994" s="11" t="s">
        <v>197</v>
      </c>
      <c r="AB994" s="11" t="s">
        <v>54</v>
      </c>
      <c r="AC994" s="11" t="str">
        <f>VLOOKUP(L994,'[1]singkron data'!D:M,10,FALSE)</f>
        <v>Gal-Angga</v>
      </c>
      <c r="AD994" s="11" t="str">
        <f>VLOOKUP(L994,'[1]data 1129'!F:O,10,FALSE)</f>
        <v>Tahap III 166</v>
      </c>
      <c r="AE994" s="11">
        <f>VLOOKUP(L994,'[1]singkron data'!D:P,13,FALSE)</f>
        <v>0</v>
      </c>
      <c r="AF994" s="11" t="s">
        <v>55</v>
      </c>
      <c r="AG994" s="11" t="e">
        <f>VLOOKUP(L994,'[1]update kontrak'!E:K,6,FALSE)</f>
        <v>#N/A</v>
      </c>
      <c r="AH994" s="11" t="e">
        <f>VLOOKUP(L994,'[1]update kontrak'!E:K,7,FALSE)</f>
        <v>#N/A</v>
      </c>
      <c r="AI994" s="11"/>
      <c r="AJ994" s="11" t="str">
        <f>VLOOKUP(L994,[1]rekap!D:M,1,FALSE)</f>
        <v>Tendakinde</v>
      </c>
      <c r="AK994" s="11" t="str">
        <f>VLOOKUP(L994,'[1]singkron data'!D:E,2,FALSE)</f>
        <v>PT. Rajasa Nusa Jaya</v>
      </c>
      <c r="AL994" s="11" t="str">
        <f>VLOOKUP(L994,'[1]update 521'!D:D,1,FALSE)</f>
        <v>Tendakinde</v>
      </c>
      <c r="AM994" s="11" t="s">
        <v>96</v>
      </c>
      <c r="AN994" s="11" t="e">
        <f>VLOOKUP(L994,[1]Sheet19!E:L,8,FALSE)</f>
        <v>#N/A</v>
      </c>
      <c r="AO994" s="11" t="e">
        <f>VLOOKUP(L994,[1]Sheet19!E:K,7,FALSE)</f>
        <v>#N/A</v>
      </c>
      <c r="AP994" s="12"/>
    </row>
    <row r="995" spans="1:42" ht="15" x14ac:dyDescent="0.2">
      <c r="A995" s="27" t="s">
        <v>2359</v>
      </c>
      <c r="B995" s="28" t="s">
        <v>43</v>
      </c>
      <c r="C995" s="28">
        <v>1049</v>
      </c>
      <c r="D995" s="28" t="s">
        <v>284</v>
      </c>
      <c r="E995" s="28">
        <v>137</v>
      </c>
      <c r="F995" s="28" t="s">
        <v>505</v>
      </c>
      <c r="G995" s="28" t="s">
        <v>297</v>
      </c>
      <c r="H995" s="28" t="s">
        <v>287</v>
      </c>
      <c r="I995" s="28" t="s">
        <v>369</v>
      </c>
      <c r="J995" s="28" t="s">
        <v>369</v>
      </c>
      <c r="K995" s="28" t="s">
        <v>2365</v>
      </c>
      <c r="L995" s="35" t="s">
        <v>2365</v>
      </c>
      <c r="M995" s="28" t="s">
        <v>81</v>
      </c>
      <c r="N995" s="28">
        <v>2454</v>
      </c>
      <c r="O995" s="28">
        <v>3</v>
      </c>
      <c r="P995" s="44">
        <v>2424</v>
      </c>
      <c r="Q995" s="44">
        <v>2427</v>
      </c>
      <c r="R995" s="28">
        <v>0.05</v>
      </c>
      <c r="S995" s="28">
        <v>-7.3141966189999996</v>
      </c>
      <c r="T995" s="28">
        <v>113.2141099</v>
      </c>
      <c r="U995" s="28" t="s">
        <v>52</v>
      </c>
      <c r="V995" s="29">
        <f>VLOOKUP(L995,'[1]singkron data'!D:E,2,FALSE)</f>
        <v>0</v>
      </c>
      <c r="W995" s="36">
        <f>VLOOKUP(L995,'[1]data 1129'!F:H,3,FALSE)</f>
        <v>4441806000</v>
      </c>
      <c r="X995" s="29"/>
      <c r="Y995" s="29">
        <f>VLOOKUP(L995,'[1]singkron data'!D:H,5,FALSE)</f>
        <v>0</v>
      </c>
      <c r="Z995" s="29">
        <f>VLOOKUP(L995,'[1]singkron data'!D:I,6,FALSE)</f>
        <v>0</v>
      </c>
      <c r="AA995" s="29">
        <f>VLOOKUP(L995,'[1]singkron data'!D:L,9,FALSE)</f>
        <v>0</v>
      </c>
      <c r="AB995" s="29" t="s">
        <v>54</v>
      </c>
      <c r="AC995" s="29" t="s">
        <v>566</v>
      </c>
      <c r="AD995" s="29" t="str">
        <f>VLOOKUP(L995,'[1]data 1129'!F:O,10,FALSE)</f>
        <v>Tahap IV 200</v>
      </c>
      <c r="AE995" s="29">
        <f>VLOOKUP(L995,'[1]singkron data'!D:P,13,FALSE)</f>
        <v>0</v>
      </c>
      <c r="AF995" s="29"/>
      <c r="AG995" s="29" t="e">
        <f>VLOOKUP(L995,'[1]update kontrak'!E:K,6,FALSE)</f>
        <v>#N/A</v>
      </c>
      <c r="AH995" s="29" t="e">
        <f>VLOOKUP(L995,'[1]update kontrak'!E:K,7,FALSE)</f>
        <v>#N/A</v>
      </c>
      <c r="AI995" s="29"/>
      <c r="AJ995" s="29" t="str">
        <f>VLOOKUP(L995,[1]rekap!D:M,1,FALSE)</f>
        <v>P. Mandangin</v>
      </c>
      <c r="AK995" s="29">
        <f>VLOOKUP(L995,'[1]singkron data'!D:E,2,FALSE)</f>
        <v>0</v>
      </c>
      <c r="AL995" s="29" t="str">
        <f>VLOOKUP(L995,'[1]update 521'!D:D,1,FALSE)</f>
        <v>P. Mandangin</v>
      </c>
      <c r="AM995" s="11" t="s">
        <v>57</v>
      </c>
      <c r="AN995" s="11" t="e">
        <f>VLOOKUP(L995,[1]Sheet19!E:L,8,FALSE)</f>
        <v>#N/A</v>
      </c>
      <c r="AO995" s="11" t="s">
        <v>58</v>
      </c>
      <c r="AP995" s="12"/>
    </row>
    <row r="996" spans="1:42" ht="15" x14ac:dyDescent="0.2">
      <c r="A996" s="8" t="s">
        <v>2359</v>
      </c>
      <c r="B996" s="9" t="s">
        <v>60</v>
      </c>
      <c r="C996" s="9">
        <v>1058</v>
      </c>
      <c r="D996" s="9" t="s">
        <v>688</v>
      </c>
      <c r="E996" s="30"/>
      <c r="F996" s="9" t="s">
        <v>2341</v>
      </c>
      <c r="G996" s="9" t="s">
        <v>690</v>
      </c>
      <c r="H996" s="9" t="s">
        <v>287</v>
      </c>
      <c r="I996" s="9" t="s">
        <v>745</v>
      </c>
      <c r="J996" s="9" t="s">
        <v>2366</v>
      </c>
      <c r="K996" s="9" t="s">
        <v>2341</v>
      </c>
      <c r="L996" s="9" t="s">
        <v>2341</v>
      </c>
      <c r="M996" s="9" t="s">
        <v>51</v>
      </c>
      <c r="N996" s="9">
        <v>172</v>
      </c>
      <c r="O996" s="9">
        <v>69</v>
      </c>
      <c r="P996" s="9">
        <v>108</v>
      </c>
      <c r="Q996" s="9">
        <v>177</v>
      </c>
      <c r="R996" s="9">
        <v>1.5</v>
      </c>
      <c r="S996" s="9">
        <v>-3.4131649999999998</v>
      </c>
      <c r="T996" s="9">
        <v>129.56356199999999</v>
      </c>
      <c r="U996" s="9"/>
      <c r="V996" s="11">
        <f>VLOOKUP(L996,'[1]singkron data'!D:E,2,FALSE)</f>
        <v>0</v>
      </c>
      <c r="W996" s="11">
        <f>VLOOKUP(L996,'[1]data 1129'!F:H,3,FALSE)</f>
        <v>0</v>
      </c>
      <c r="X996" s="11"/>
      <c r="Y996" s="11">
        <f>VLOOKUP(L996,'[1]singkron data'!D:H,5,FALSE)</f>
        <v>0</v>
      </c>
      <c r="Z996" s="11">
        <f>VLOOKUP(L996,'[1]singkron data'!D:I,6,FALSE)</f>
        <v>0</v>
      </c>
      <c r="AA996" s="11">
        <f>VLOOKUP(L996,'[1]singkron data'!D:L,9,FALSE)</f>
        <v>0</v>
      </c>
      <c r="AB996" s="11" t="s">
        <v>694</v>
      </c>
      <c r="AC996" s="11">
        <f>VLOOKUP(L996,'[1]singkron data'!D:M,10,FALSE)</f>
        <v>0</v>
      </c>
      <c r="AD996" s="11"/>
      <c r="AE996" s="11">
        <f>VLOOKUP(L996,'[1]singkron data'!D:P,13,FALSE)</f>
        <v>0</v>
      </c>
      <c r="AF996" s="11"/>
      <c r="AG996" s="11" t="e">
        <f>VLOOKUP(L996,'[1]update kontrak'!E:K,6,FALSE)</f>
        <v>#N/A</v>
      </c>
      <c r="AH996" s="11" t="e">
        <f>VLOOKUP(L996,'[1]update kontrak'!E:K,7,FALSE)</f>
        <v>#N/A</v>
      </c>
      <c r="AI996" s="11"/>
      <c r="AJ996" s="11" t="str">
        <f>VLOOKUP(L996,[1]rekap!D:M,1,FALSE)</f>
        <v>Haya</v>
      </c>
      <c r="AK996" s="11">
        <f>VLOOKUP(L996,'[1]singkron data'!D:E,2,FALSE)</f>
        <v>0</v>
      </c>
      <c r="AL996" s="11" t="str">
        <f>VLOOKUP(L996,'[1]update 521'!D:D,1,FALSE)</f>
        <v>Haya</v>
      </c>
      <c r="AM996" s="11" t="s">
        <v>96</v>
      </c>
      <c r="AN996" s="11" t="e">
        <f>VLOOKUP(L996,[1]Sheet19!E:L,8,FALSE)</f>
        <v>#N/A</v>
      </c>
      <c r="AO996" s="11" t="e">
        <f>VLOOKUP(L996,[1]Sheet19!E:K,7,FALSE)</f>
        <v>#N/A</v>
      </c>
      <c r="AP996" s="12"/>
    </row>
    <row r="997" spans="1:42" ht="15" x14ac:dyDescent="0.2">
      <c r="A997" s="8" t="s">
        <v>2359</v>
      </c>
      <c r="B997" s="9" t="s">
        <v>60</v>
      </c>
      <c r="C997" s="9">
        <v>1056</v>
      </c>
      <c r="D997" s="9" t="s">
        <v>688</v>
      </c>
      <c r="E997" s="30"/>
      <c r="F997" s="9" t="s">
        <v>795</v>
      </c>
      <c r="G997" s="9" t="s">
        <v>690</v>
      </c>
      <c r="H997" s="9" t="s">
        <v>287</v>
      </c>
      <c r="I997" s="9" t="s">
        <v>796</v>
      </c>
      <c r="J997" s="9" t="s">
        <v>2367</v>
      </c>
      <c r="K997" s="9" t="s">
        <v>2368</v>
      </c>
      <c r="L997" s="9" t="s">
        <v>2368</v>
      </c>
      <c r="M997" s="9" t="s">
        <v>51</v>
      </c>
      <c r="N997" s="9">
        <v>138</v>
      </c>
      <c r="O997" s="9">
        <v>60</v>
      </c>
      <c r="P997" s="9">
        <v>33</v>
      </c>
      <c r="Q997" s="9">
        <v>93</v>
      </c>
      <c r="R997" s="9">
        <v>0.66</v>
      </c>
      <c r="S997" s="9">
        <v>-6.508966</v>
      </c>
      <c r="T997" s="9">
        <v>134.09922</v>
      </c>
      <c r="U997" s="9"/>
      <c r="V997" s="11">
        <f>VLOOKUP(L997,'[1]singkron data'!D:E,2,FALSE)</f>
        <v>0</v>
      </c>
      <c r="W997" s="11">
        <f>VLOOKUP(L997,'[1]data 1129'!F:H,3,FALSE)</f>
        <v>0</v>
      </c>
      <c r="X997" s="11"/>
      <c r="Y997" s="11">
        <f>VLOOKUP(L997,'[1]singkron data'!D:H,5,FALSE)</f>
        <v>0</v>
      </c>
      <c r="Z997" s="11">
        <f>VLOOKUP(L997,'[1]singkron data'!D:I,6,FALSE)</f>
        <v>0</v>
      </c>
      <c r="AA997" s="11">
        <f>VLOOKUP(L997,'[1]singkron data'!D:L,9,FALSE)</f>
        <v>0</v>
      </c>
      <c r="AB997" s="11" t="s">
        <v>694</v>
      </c>
      <c r="AC997" s="11">
        <f>VLOOKUP(L997,'[1]singkron data'!D:M,10,FALSE)</f>
        <v>0</v>
      </c>
      <c r="AD997" s="11"/>
      <c r="AE997" s="11">
        <f>VLOOKUP(L997,'[1]singkron data'!D:P,13,FALSE)</f>
        <v>0</v>
      </c>
      <c r="AF997" s="11"/>
      <c r="AG997" s="11" t="e">
        <f>VLOOKUP(L997,'[1]update kontrak'!E:K,6,FALSE)</f>
        <v>#N/A</v>
      </c>
      <c r="AH997" s="11" t="e">
        <f>VLOOKUP(L997,'[1]update kontrak'!E:K,7,FALSE)</f>
        <v>#N/A</v>
      </c>
      <c r="AI997" s="11"/>
      <c r="AJ997" s="11" t="str">
        <f>VLOOKUP(L997,[1]rekap!D:M,1,FALSE)</f>
        <v>Kabalukin</v>
      </c>
      <c r="AK997" s="11">
        <f>VLOOKUP(L997,'[1]singkron data'!D:E,2,FALSE)</f>
        <v>0</v>
      </c>
      <c r="AL997" s="11" t="str">
        <f>VLOOKUP(L997,'[1]update 521'!D:D,1,FALSE)</f>
        <v>Kabalukin</v>
      </c>
      <c r="AM997" s="11" t="s">
        <v>96</v>
      </c>
      <c r="AN997" s="11" t="e">
        <f>VLOOKUP(L997,[1]Sheet19!E:L,8,FALSE)</f>
        <v>#N/A</v>
      </c>
      <c r="AO997" s="11" t="e">
        <f>VLOOKUP(L997,[1]Sheet19!E:K,7,FALSE)</f>
        <v>#N/A</v>
      </c>
      <c r="AP997" s="12"/>
    </row>
    <row r="998" spans="1:42" ht="15" x14ac:dyDescent="0.2">
      <c r="A998" s="8" t="s">
        <v>2359</v>
      </c>
      <c r="B998" s="9" t="s">
        <v>60</v>
      </c>
      <c r="C998" s="9">
        <v>1053</v>
      </c>
      <c r="D998" s="9" t="s">
        <v>688</v>
      </c>
      <c r="E998" s="30"/>
      <c r="F998" s="9" t="s">
        <v>821</v>
      </c>
      <c r="G998" s="9" t="s">
        <v>690</v>
      </c>
      <c r="H998" s="9" t="s">
        <v>287</v>
      </c>
      <c r="I998" s="9" t="s">
        <v>745</v>
      </c>
      <c r="J998" s="9" t="s">
        <v>2369</v>
      </c>
      <c r="K998" s="9" t="s">
        <v>2370</v>
      </c>
      <c r="L998" s="9" t="s">
        <v>2370</v>
      </c>
      <c r="M998" s="9" t="s">
        <v>51</v>
      </c>
      <c r="N998" s="9">
        <v>150</v>
      </c>
      <c r="O998" s="9">
        <v>30</v>
      </c>
      <c r="P998" s="9">
        <v>61</v>
      </c>
      <c r="Q998" s="9">
        <v>91</v>
      </c>
      <c r="R998" s="9">
        <v>0.06</v>
      </c>
      <c r="S998" s="9">
        <v>-3.6484999999999999</v>
      </c>
      <c r="T998" s="9">
        <v>128.77010000000001</v>
      </c>
      <c r="U998" s="9"/>
      <c r="V998" s="11">
        <f>VLOOKUP(L998,'[1]singkron data'!D:E,2,FALSE)</f>
        <v>0</v>
      </c>
      <c r="W998" s="11">
        <f>VLOOKUP(L998,'[1]data 1129'!F:H,3,FALSE)</f>
        <v>0</v>
      </c>
      <c r="X998" s="11"/>
      <c r="Y998" s="11">
        <f>VLOOKUP(L998,'[1]singkron data'!D:H,5,FALSE)</f>
        <v>0</v>
      </c>
      <c r="Z998" s="11">
        <f>VLOOKUP(L998,'[1]singkron data'!D:I,6,FALSE)</f>
        <v>0</v>
      </c>
      <c r="AA998" s="11">
        <f>VLOOKUP(L998,'[1]singkron data'!D:L,9,FALSE)</f>
        <v>0</v>
      </c>
      <c r="AB998" s="11" t="s">
        <v>694</v>
      </c>
      <c r="AC998" s="11">
        <f>VLOOKUP(L998,'[1]singkron data'!D:M,10,FALSE)</f>
        <v>0</v>
      </c>
      <c r="AD998" s="11"/>
      <c r="AE998" s="11">
        <f>VLOOKUP(L998,'[1]singkron data'!D:P,13,FALSE)</f>
        <v>0</v>
      </c>
      <c r="AF998" s="11"/>
      <c r="AG998" s="11" t="e">
        <f>VLOOKUP(L998,'[1]update kontrak'!E:K,6,FALSE)</f>
        <v>#N/A</v>
      </c>
      <c r="AH998" s="11" t="e">
        <f>VLOOKUP(L998,'[1]update kontrak'!E:K,7,FALSE)</f>
        <v>#N/A</v>
      </c>
      <c r="AI998" s="11"/>
      <c r="AJ998" s="11" t="str">
        <f>VLOOKUP(L998,[1]rekap!D:M,1,FALSE)</f>
        <v>Sila</v>
      </c>
      <c r="AK998" s="11">
        <f>VLOOKUP(L998,'[1]singkron data'!D:E,2,FALSE)</f>
        <v>0</v>
      </c>
      <c r="AL998" s="11" t="str">
        <f>VLOOKUP(L998,'[1]update 521'!D:D,1,FALSE)</f>
        <v>Sila</v>
      </c>
      <c r="AM998" s="11" t="s">
        <v>96</v>
      </c>
      <c r="AN998" s="11" t="e">
        <f>VLOOKUP(L998,[1]Sheet19!E:L,8,FALSE)</f>
        <v>#N/A</v>
      </c>
      <c r="AO998" s="11" t="e">
        <f>VLOOKUP(L998,[1]Sheet19!E:K,7,FALSE)</f>
        <v>#N/A</v>
      </c>
      <c r="AP998" s="12"/>
    </row>
    <row r="999" spans="1:42" ht="15" x14ac:dyDescent="0.2">
      <c r="A999" s="8" t="s">
        <v>2359</v>
      </c>
      <c r="B999" s="9" t="s">
        <v>60</v>
      </c>
      <c r="C999" s="9">
        <v>1054</v>
      </c>
      <c r="D999" s="9" t="s">
        <v>688</v>
      </c>
      <c r="E999" s="30"/>
      <c r="F999" s="9" t="s">
        <v>860</v>
      </c>
      <c r="G999" s="9" t="s">
        <v>715</v>
      </c>
      <c r="H999" s="9" t="s">
        <v>287</v>
      </c>
      <c r="I999" s="9" t="s">
        <v>861</v>
      </c>
      <c r="J999" s="9" t="s">
        <v>2371</v>
      </c>
      <c r="K999" s="9" t="s">
        <v>2372</v>
      </c>
      <c r="L999" s="9" t="s">
        <v>2372</v>
      </c>
      <c r="M999" s="9" t="s">
        <v>51</v>
      </c>
      <c r="N999" s="9">
        <v>150</v>
      </c>
      <c r="O999" s="9">
        <v>40</v>
      </c>
      <c r="P999" s="9" t="s">
        <v>72</v>
      </c>
      <c r="Q999" s="9">
        <v>40</v>
      </c>
      <c r="R999" s="9">
        <v>0.1</v>
      </c>
      <c r="S999" s="9">
        <v>2.1558250000000001</v>
      </c>
      <c r="T999" s="9">
        <v>128.58480800000001</v>
      </c>
      <c r="U999" s="9"/>
      <c r="V999" s="11">
        <f>VLOOKUP(L999,'[1]singkron data'!D:E,2,FALSE)</f>
        <v>0</v>
      </c>
      <c r="W999" s="11"/>
      <c r="X999" s="11"/>
      <c r="Y999" s="11">
        <f>VLOOKUP(L999,'[1]singkron data'!D:H,5,FALSE)</f>
        <v>0</v>
      </c>
      <c r="Z999" s="11">
        <f>VLOOKUP(L999,'[1]singkron data'!D:I,6,FALSE)</f>
        <v>0</v>
      </c>
      <c r="AA999" s="11">
        <f>VLOOKUP(L999,'[1]singkron data'!D:L,9,FALSE)</f>
        <v>0</v>
      </c>
      <c r="AB999" s="11" t="s">
        <v>694</v>
      </c>
      <c r="AC999" s="11">
        <f>VLOOKUP(L999,'[1]singkron data'!D:M,10,FALSE)</f>
        <v>0</v>
      </c>
      <c r="AD999" s="11"/>
      <c r="AE999" s="11">
        <f>VLOOKUP(L999,'[1]singkron data'!D:P,13,FALSE)</f>
        <v>0</v>
      </c>
      <c r="AF999" s="11"/>
      <c r="AG999" s="11" t="e">
        <f>VLOOKUP(L999,'[1]update kontrak'!E:K,6,FALSE)</f>
        <v>#N/A</v>
      </c>
      <c r="AH999" s="11" t="e">
        <f>VLOOKUP(L999,'[1]update kontrak'!E:K,7,FALSE)</f>
        <v>#N/A</v>
      </c>
      <c r="AI999" s="11"/>
      <c r="AJ999" s="11" t="str">
        <f>VLOOKUP(L999,[1]rekap!D:M,1,FALSE)</f>
        <v>Mira</v>
      </c>
      <c r="AK999" s="11">
        <f>VLOOKUP(L999,'[1]singkron data'!D:E,2,FALSE)</f>
        <v>0</v>
      </c>
      <c r="AL999" s="11" t="str">
        <f>VLOOKUP(L999,'[1]update 521'!D:D,1,FALSE)</f>
        <v>Mira</v>
      </c>
      <c r="AM999" s="11" t="s">
        <v>96</v>
      </c>
      <c r="AN999" s="11" t="e">
        <f>VLOOKUP(L999,[1]Sheet19!E:L,8,FALSE)</f>
        <v>#N/A</v>
      </c>
      <c r="AO999" s="11" t="e">
        <f>VLOOKUP(L999,[1]Sheet19!E:K,7,FALSE)</f>
        <v>#N/A</v>
      </c>
      <c r="AP999" s="12"/>
    </row>
    <row r="1000" spans="1:42" ht="15" x14ac:dyDescent="0.2">
      <c r="A1000" s="8" t="s">
        <v>2359</v>
      </c>
      <c r="B1000" s="9" t="s">
        <v>60</v>
      </c>
      <c r="C1000" s="9">
        <v>1055</v>
      </c>
      <c r="D1000" s="9" t="s">
        <v>688</v>
      </c>
      <c r="E1000" s="30"/>
      <c r="F1000" s="18" t="s">
        <v>874</v>
      </c>
      <c r="G1000" s="9" t="s">
        <v>715</v>
      </c>
      <c r="H1000" s="9" t="s">
        <v>287</v>
      </c>
      <c r="I1000" s="9" t="s">
        <v>861</v>
      </c>
      <c r="J1000" s="9" t="s">
        <v>875</v>
      </c>
      <c r="K1000" s="9" t="s">
        <v>2373</v>
      </c>
      <c r="L1000" s="9" t="s">
        <v>2373</v>
      </c>
      <c r="M1000" s="9" t="s">
        <v>51</v>
      </c>
      <c r="N1000" s="9">
        <v>130</v>
      </c>
      <c r="O1000" s="9" t="s">
        <v>72</v>
      </c>
      <c r="P1000" s="9">
        <v>62</v>
      </c>
      <c r="Q1000" s="9">
        <v>62</v>
      </c>
      <c r="R1000" s="9">
        <v>7.0000000000000007E-2</v>
      </c>
      <c r="S1000" s="9">
        <v>2.0539480000000001</v>
      </c>
      <c r="T1000" s="9">
        <v>128.21112160000001</v>
      </c>
      <c r="U1000" s="9"/>
      <c r="V1000" s="11">
        <f>VLOOKUP(L1000,'[1]singkron data'!D:E,2,FALSE)</f>
        <v>0</v>
      </c>
      <c r="W1000" s="13" t="str">
        <f>VLOOKUP(L1000,[1]Sheet18!E:F,2,FALSE)</f>
        <v>belum ada</v>
      </c>
      <c r="X1000" s="11"/>
      <c r="Y1000" s="11">
        <f>VLOOKUP(L1000,'[1]singkron data'!D:H,5,FALSE)</f>
        <v>0</v>
      </c>
      <c r="Z1000" s="11">
        <f>VLOOKUP(L1000,'[1]singkron data'!D:I,6,FALSE)</f>
        <v>0</v>
      </c>
      <c r="AA1000" s="11">
        <f>VLOOKUP(L1000,'[1]singkron data'!D:L,9,FALSE)</f>
        <v>0</v>
      </c>
      <c r="AB1000" s="11" t="s">
        <v>694</v>
      </c>
      <c r="AC1000" s="11">
        <f>VLOOKUP(L1000,'[1]singkron data'!D:M,10,FALSE)</f>
        <v>0</v>
      </c>
      <c r="AD1000" s="11"/>
      <c r="AE1000" s="11">
        <f>VLOOKUP(L1000,'[1]singkron data'!D:P,13,FALSE)</f>
        <v>0</v>
      </c>
      <c r="AF1000" s="11" t="s">
        <v>55</v>
      </c>
      <c r="AG1000" s="11" t="e">
        <f>VLOOKUP(L1000,'[1]update kontrak'!E:K,6,FALSE)</f>
        <v>#N/A</v>
      </c>
      <c r="AH1000" s="11" t="e">
        <f>VLOOKUP(L1000,'[1]update kontrak'!E:K,7,FALSE)</f>
        <v>#N/A</v>
      </c>
      <c r="AI1000" s="11"/>
      <c r="AJ1000" s="11" t="str">
        <f>VLOOKUP(L1000,[1]rekap!D:M,1,FALSE)</f>
        <v>Koloray</v>
      </c>
      <c r="AK1000" s="11">
        <f>VLOOKUP(L1000,'[1]singkron data'!D:E,2,FALSE)</f>
        <v>0</v>
      </c>
      <c r="AL1000" s="11" t="str">
        <f>VLOOKUP(L1000,'[1]update 521'!D:D,1,FALSE)</f>
        <v>Koloray</v>
      </c>
      <c r="AM1000" s="11" t="s">
        <v>96</v>
      </c>
      <c r="AN1000" s="11" t="e">
        <f>VLOOKUP(L1000,[1]Sheet19!E:L,8,FALSE)</f>
        <v>#N/A</v>
      </c>
      <c r="AO1000" s="11" t="e">
        <f>VLOOKUP(L1000,[1]Sheet19!E:K,7,FALSE)</f>
        <v>#N/A</v>
      </c>
      <c r="AP1000" s="12"/>
    </row>
    <row r="1001" spans="1:42" ht="15" x14ac:dyDescent="0.2">
      <c r="A1001" s="8" t="s">
        <v>2374</v>
      </c>
      <c r="B1001" s="9" t="s">
        <v>43</v>
      </c>
      <c r="C1001" s="9">
        <v>1051</v>
      </c>
      <c r="D1001" s="9" t="s">
        <v>514</v>
      </c>
      <c r="E1001" s="30"/>
      <c r="F1001" s="9" t="s">
        <v>2375</v>
      </c>
      <c r="G1001" s="9" t="s">
        <v>545</v>
      </c>
      <c r="H1001" s="9" t="s">
        <v>47</v>
      </c>
      <c r="I1001" s="9" t="s">
        <v>2376</v>
      </c>
      <c r="J1001" s="9" t="s">
        <v>2377</v>
      </c>
      <c r="K1001" s="9" t="s">
        <v>2378</v>
      </c>
      <c r="L1001" s="10" t="s">
        <v>2378</v>
      </c>
      <c r="M1001" s="9" t="s">
        <v>51</v>
      </c>
      <c r="N1001" s="9">
        <v>81</v>
      </c>
      <c r="O1001" s="9" t="s">
        <v>72</v>
      </c>
      <c r="P1001" s="9" t="s">
        <v>72</v>
      </c>
      <c r="Q1001" s="9">
        <v>28</v>
      </c>
      <c r="R1001" s="9">
        <v>0.05</v>
      </c>
      <c r="S1001" s="9">
        <v>-0.24027999999999999</v>
      </c>
      <c r="T1001" s="9">
        <v>116.544821</v>
      </c>
      <c r="U1001" s="9" t="s">
        <v>52</v>
      </c>
      <c r="V1001" s="11" t="s">
        <v>2379</v>
      </c>
      <c r="W1001" s="11"/>
      <c r="X1001" s="11"/>
      <c r="Y1001" s="11" t="str">
        <f>VLOOKUP(L1001,'[1]singkron data'!D:H,5,FALSE)</f>
        <v xml:space="preserve"> Kutai Kartanegara</v>
      </c>
      <c r="Z1001" s="11" t="str">
        <f>VLOOKUP(L1001,'[1]singkron data'!D:I,6,FALSE)</f>
        <v>Online</v>
      </c>
      <c r="AA1001" s="11" t="str">
        <f>VLOOKUP(L1001,'[1]singkron data'!D:L,9,FALSE)</f>
        <v>081293305027/iqbal</v>
      </c>
      <c r="AB1001" s="11" t="s">
        <v>54</v>
      </c>
      <c r="AC1001" s="11" t="str">
        <f>VLOOKUP(L1001,'[1]singkron data'!D:M,10,FALSE)</f>
        <v>Iqbal/AM</v>
      </c>
      <c r="AD1001" s="11" t="str">
        <f>VLOOKUP(L1001,'[1]data 1129'!F:O,10,FALSE)</f>
        <v>Tahap III 166</v>
      </c>
      <c r="AE1001" s="11">
        <f>VLOOKUP(L1001,'[1]singkron data'!D:P,13,FALSE)</f>
        <v>0</v>
      </c>
      <c r="AF1001" s="11"/>
      <c r="AG1001" s="11" t="e">
        <f>VLOOKUP(L1001,'[1]update kontrak'!E:K,6,FALSE)</f>
        <v>#N/A</v>
      </c>
      <c r="AH1001" s="11" t="e">
        <f>VLOOKUP(L1001,'[1]update kontrak'!E:K,7,FALSE)</f>
        <v>#N/A</v>
      </c>
      <c r="AI1001" s="11"/>
      <c r="AJ1001" s="11" t="str">
        <f>VLOOKUP(L1001,[1]rekap!D:M,1,FALSE)</f>
        <v>Pela</v>
      </c>
      <c r="AK1001" s="11" t="str">
        <f>VLOOKUP(L1001,'[1]singkron data'!D:E,2,FALSE)</f>
        <v>PT. Global Tri Jaya</v>
      </c>
      <c r="AL1001" s="11" t="str">
        <f>VLOOKUP(L1001,'[1]update 521'!D:D,1,FALSE)</f>
        <v>Pela</v>
      </c>
      <c r="AM1001" s="11" t="s">
        <v>96</v>
      </c>
      <c r="AN1001" s="11" t="e">
        <f>VLOOKUP(L1001,[1]Sheet19!E:L,8,FALSE)</f>
        <v>#N/A</v>
      </c>
      <c r="AO1001" s="11" t="e">
        <f>VLOOKUP(L1001,[1]Sheet19!E:K,7,FALSE)</f>
        <v>#N/A</v>
      </c>
      <c r="AP1001" s="12"/>
    </row>
    <row r="1002" spans="1:42" ht="15" x14ac:dyDescent="0.2">
      <c r="A1002" s="8" t="s">
        <v>2374</v>
      </c>
      <c r="B1002" s="9" t="s">
        <v>43</v>
      </c>
      <c r="C1002" s="9">
        <v>1052</v>
      </c>
      <c r="D1002" s="9" t="s">
        <v>514</v>
      </c>
      <c r="E1002" s="30"/>
      <c r="F1002" s="9" t="s">
        <v>2375</v>
      </c>
      <c r="G1002" s="9" t="s">
        <v>545</v>
      </c>
      <c r="H1002" s="9" t="s">
        <v>47</v>
      </c>
      <c r="I1002" s="9" t="s">
        <v>2376</v>
      </c>
      <c r="J1002" s="9" t="s">
        <v>2377</v>
      </c>
      <c r="K1002" s="9" t="s">
        <v>2380</v>
      </c>
      <c r="L1002" s="10" t="s">
        <v>2380</v>
      </c>
      <c r="M1002" s="9" t="s">
        <v>51</v>
      </c>
      <c r="N1002" s="9">
        <v>355</v>
      </c>
      <c r="O1002" s="9" t="s">
        <v>72</v>
      </c>
      <c r="P1002" s="9" t="s">
        <v>72</v>
      </c>
      <c r="Q1002" s="9">
        <v>201</v>
      </c>
      <c r="R1002" s="9">
        <v>0.56999999999999995</v>
      </c>
      <c r="S1002" s="9">
        <v>-0.24102447799999999</v>
      </c>
      <c r="T1002" s="9">
        <v>116.5523046</v>
      </c>
      <c r="U1002" s="9" t="s">
        <v>52</v>
      </c>
      <c r="V1002" s="11" t="s">
        <v>2379</v>
      </c>
      <c r="W1002" s="11"/>
      <c r="X1002" s="11"/>
      <c r="Y1002" s="11" t="str">
        <f>VLOOKUP(L1002,'[1]singkron data'!D:H,5,FALSE)</f>
        <v xml:space="preserve"> Kutai Kartanegara</v>
      </c>
      <c r="Z1002" s="11" t="str">
        <f>VLOOKUP(L1002,'[1]singkron data'!D:I,6,FALSE)</f>
        <v>Online</v>
      </c>
      <c r="AA1002" s="11" t="str">
        <f>VLOOKUP(L1002,'[1]singkron data'!D:L,9,FALSE)</f>
        <v>081293305027/iqbal</v>
      </c>
      <c r="AB1002" s="11" t="s">
        <v>54</v>
      </c>
      <c r="AC1002" s="11" t="str">
        <f>VLOOKUP(L1002,'[1]singkron data'!D:M,10,FALSE)</f>
        <v>Iqbal/AM</v>
      </c>
      <c r="AD1002" s="11" t="str">
        <f>VLOOKUP(L1002,'[1]data 1129'!F:O,10,FALSE)</f>
        <v>Tahap III 166</v>
      </c>
      <c r="AE1002" s="11">
        <f>VLOOKUP(L1002,'[1]singkron data'!D:P,13,FALSE)</f>
        <v>0</v>
      </c>
      <c r="AF1002" s="11"/>
      <c r="AG1002" s="11" t="e">
        <f>VLOOKUP(L1002,'[1]update kontrak'!E:K,6,FALSE)</f>
        <v>#N/A</v>
      </c>
      <c r="AH1002" s="11" t="e">
        <f>VLOOKUP(L1002,'[1]update kontrak'!E:K,7,FALSE)</f>
        <v>#N/A</v>
      </c>
      <c r="AI1002" s="11"/>
      <c r="AJ1002" s="11" t="str">
        <f>VLOOKUP(L1002,[1]rekap!D:M,1,FALSE)</f>
        <v>Sangkuliman</v>
      </c>
      <c r="AK1002" s="11" t="str">
        <f>VLOOKUP(L1002,'[1]singkron data'!D:E,2,FALSE)</f>
        <v>PT. Global Tri Jaya</v>
      </c>
      <c r="AL1002" s="11" t="str">
        <f>VLOOKUP(L1002,'[1]update 521'!D:D,1,FALSE)</f>
        <v>Sangkuliman</v>
      </c>
      <c r="AM1002" s="11" t="s">
        <v>96</v>
      </c>
      <c r="AN1002" s="11" t="e">
        <f>VLOOKUP(L1002,[1]Sheet19!E:L,8,FALSE)</f>
        <v>#N/A</v>
      </c>
      <c r="AO1002" s="11" t="e">
        <f>VLOOKUP(L1002,[1]Sheet19!E:K,7,FALSE)</f>
        <v>#N/A</v>
      </c>
      <c r="AP1002" s="12"/>
    </row>
    <row r="1003" spans="1:42" ht="15" x14ac:dyDescent="0.2">
      <c r="A1003" s="8" t="s">
        <v>2374</v>
      </c>
      <c r="B1003" s="9" t="s">
        <v>60</v>
      </c>
      <c r="C1003" s="9">
        <v>1059</v>
      </c>
      <c r="D1003" s="9" t="s">
        <v>1112</v>
      </c>
      <c r="E1003" s="30"/>
      <c r="F1003" s="9" t="s">
        <v>1494</v>
      </c>
      <c r="G1003" s="9" t="s">
        <v>1243</v>
      </c>
      <c r="H1003" s="9" t="s">
        <v>287</v>
      </c>
      <c r="I1003" s="9" t="s">
        <v>1244</v>
      </c>
      <c r="J1003" s="9" t="s">
        <v>1495</v>
      </c>
      <c r="K1003" s="9" t="s">
        <v>2381</v>
      </c>
      <c r="L1003" s="10" t="s">
        <v>2381</v>
      </c>
      <c r="M1003" s="9" t="s">
        <v>51</v>
      </c>
      <c r="N1003" s="9">
        <v>220</v>
      </c>
      <c r="O1003" s="9" t="s">
        <v>72</v>
      </c>
      <c r="P1003" s="9">
        <v>220</v>
      </c>
      <c r="Q1003" s="9">
        <v>220</v>
      </c>
      <c r="R1003" s="9">
        <v>0.95879999999999999</v>
      </c>
      <c r="S1003" s="9">
        <v>0.85945070000000001</v>
      </c>
      <c r="T1003" s="9">
        <v>122.8952199</v>
      </c>
      <c r="U1003" s="9" t="s">
        <v>52</v>
      </c>
      <c r="V1003" s="11" t="str">
        <f>VLOOKUP(L1003,'[1]singkron data'!D:E,2,FALSE)</f>
        <v>PT. Nenci Citra Pratama Cabang Gorontalo</v>
      </c>
      <c r="W1003" s="13">
        <f>VLOOKUP(L1003,'[1]data 1129'!F:H,3,FALSE)</f>
        <v>4500000000</v>
      </c>
      <c r="X1003" s="11" t="s">
        <v>55</v>
      </c>
      <c r="Y1003" s="11">
        <f>VLOOKUP(L1003,'[1]singkron data'!D:H,5,FALSE)</f>
        <v>0</v>
      </c>
      <c r="Z1003" s="11">
        <f>VLOOKUP(L1003,'[1]singkron data'!D:I,6,FALSE)</f>
        <v>0</v>
      </c>
      <c r="AA1003" s="11" t="s">
        <v>2382</v>
      </c>
      <c r="AB1003" s="11" t="s">
        <v>54</v>
      </c>
      <c r="AC1003" s="11" t="str">
        <f>VLOOKUP(L1003,'[1]singkron data'!D:M,10,FALSE)</f>
        <v>v</v>
      </c>
      <c r="AD1003" s="11" t="str">
        <f>VLOOKUP(L1003,'[1]data 1129'!F:O,10,FALSE)</f>
        <v>Tahap III 166</v>
      </c>
      <c r="AE1003" s="11" t="str">
        <f>VLOOKUP(L1003,'[1]singkron data'!D:P,13,FALSE)</f>
        <v>sudah</v>
      </c>
      <c r="AF1003" s="11" t="s">
        <v>55</v>
      </c>
      <c r="AG1003" s="17">
        <f>VLOOKUP(L1003,'[1]update kontrak'!E:K,6,FALSE)</f>
        <v>3796630765.4699998</v>
      </c>
      <c r="AH1003" s="11" t="str">
        <f>VLOOKUP(L1003,'[1]update kontrak'!E:K,7,FALSE)</f>
        <v>SPPBJ</v>
      </c>
      <c r="AI1003" s="11" t="s">
        <v>58</v>
      </c>
      <c r="AJ1003" s="11" t="str">
        <f>VLOOKUP(L1003,[1]rekap!D:M,1,FALSE)</f>
        <v>Tihengo</v>
      </c>
      <c r="AK1003" s="11" t="str">
        <f>VLOOKUP(L1003,'[1]singkron data'!D:E,2,FALSE)</f>
        <v>PT. Nenci Citra Pratama Cabang Gorontalo</v>
      </c>
      <c r="AL1003" s="11" t="str">
        <f>VLOOKUP(L1003,'[1]update 521'!D:D,1,FALSE)</f>
        <v>Tihengo</v>
      </c>
      <c r="AM1003" s="11" t="s">
        <v>57</v>
      </c>
      <c r="AN1003" s="17">
        <f>VLOOKUP(L1003,[1]Sheet19!E:L,8,FALSE)</f>
        <v>3796630765.4699998</v>
      </c>
      <c r="AO1003" s="11" t="str">
        <f>VLOOKUP(L1003,[1]Sheet19!E:K,7,FALSE)</f>
        <v>SPPBJ</v>
      </c>
      <c r="AP1003" s="12"/>
    </row>
    <row r="1004" spans="1:42" ht="15" x14ac:dyDescent="0.2">
      <c r="A1004" s="8" t="s">
        <v>2374</v>
      </c>
      <c r="B1004" s="9" t="s">
        <v>60</v>
      </c>
      <c r="C1004" s="9">
        <v>1060</v>
      </c>
      <c r="D1004" s="9" t="s">
        <v>1112</v>
      </c>
      <c r="E1004" s="30"/>
      <c r="F1004" s="9" t="s">
        <v>1494</v>
      </c>
      <c r="G1004" s="9" t="s">
        <v>1243</v>
      </c>
      <c r="H1004" s="9" t="s">
        <v>287</v>
      </c>
      <c r="I1004" s="9" t="s">
        <v>1244</v>
      </c>
      <c r="J1004" s="9" t="s">
        <v>1495</v>
      </c>
      <c r="K1004" s="9" t="s">
        <v>2383</v>
      </c>
      <c r="L1004" s="10" t="s">
        <v>2383</v>
      </c>
      <c r="M1004" s="9" t="s">
        <v>51</v>
      </c>
      <c r="N1004" s="9">
        <v>306</v>
      </c>
      <c r="O1004" s="9">
        <v>20</v>
      </c>
      <c r="P1004" s="9">
        <v>40</v>
      </c>
      <c r="Q1004" s="9">
        <v>60</v>
      </c>
      <c r="R1004" s="9">
        <v>0.318</v>
      </c>
      <c r="S1004" s="9">
        <v>0.89307380000000003</v>
      </c>
      <c r="T1004" s="9">
        <v>122.869559</v>
      </c>
      <c r="U1004" s="9" t="s">
        <v>52</v>
      </c>
      <c r="V1004" s="11" t="str">
        <f>VLOOKUP(L1004,'[1]singkron data'!D:E,2,FALSE)</f>
        <v>PT. Nenci Citra Pratama Cabang Gorontalo</v>
      </c>
      <c r="W1004" s="13">
        <f>VLOOKUP(L1004,'[1]data 1129'!F:H,3,FALSE)</f>
        <v>4780636000</v>
      </c>
      <c r="X1004" s="11" t="s">
        <v>55</v>
      </c>
      <c r="Y1004" s="11">
        <f>VLOOKUP(L1004,'[1]singkron data'!D:H,5,FALSE)</f>
        <v>0</v>
      </c>
      <c r="Z1004" s="11">
        <f>VLOOKUP(L1004,'[1]singkron data'!D:I,6,FALSE)</f>
        <v>0</v>
      </c>
      <c r="AA1004" s="11" t="s">
        <v>2382</v>
      </c>
      <c r="AB1004" s="11" t="s">
        <v>54</v>
      </c>
      <c r="AC1004" s="11" t="str">
        <f>VLOOKUP(L1004,'[1]singkron data'!D:M,10,FALSE)</f>
        <v>v</v>
      </c>
      <c r="AD1004" s="11" t="str">
        <f>VLOOKUP(L1004,'[1]data 1129'!F:O,10,FALSE)</f>
        <v>Tahap IV 200</v>
      </c>
      <c r="AE1004" s="11" t="str">
        <f>VLOOKUP(L1004,'[1]singkron data'!D:P,13,FALSE)</f>
        <v>sudah</v>
      </c>
      <c r="AF1004" s="11" t="s">
        <v>55</v>
      </c>
      <c r="AG1004" s="17">
        <f>VLOOKUP(L1004,'[1]update kontrak'!E:K,6,FALSE)</f>
        <v>3835468894.02</v>
      </c>
      <c r="AH1004" s="11" t="str">
        <f>VLOOKUP(L1004,'[1]update kontrak'!E:K,7,FALSE)</f>
        <v>SPPBJ</v>
      </c>
      <c r="AI1004" s="11" t="s">
        <v>58</v>
      </c>
      <c r="AJ1004" s="11" t="str">
        <f>VLOOKUP(L1004,[1]rekap!D:M,1,FALSE)</f>
        <v>Malambe</v>
      </c>
      <c r="AK1004" s="11" t="str">
        <f>VLOOKUP(L1004,'[1]singkron data'!D:E,2,FALSE)</f>
        <v>PT. Nenci Citra Pratama Cabang Gorontalo</v>
      </c>
      <c r="AL1004" s="11" t="str">
        <f>VLOOKUP(L1004,'[1]update 521'!D:D,1,FALSE)</f>
        <v>Malambe</v>
      </c>
      <c r="AM1004" s="11" t="s">
        <v>57</v>
      </c>
      <c r="AN1004" s="17">
        <f>VLOOKUP(L1004,[1]Sheet19!E:L,8,FALSE)</f>
        <v>3835468894.02</v>
      </c>
      <c r="AO1004" s="11" t="str">
        <f>VLOOKUP(L1004,[1]Sheet19!E:K,7,FALSE)</f>
        <v>SPPBJ</v>
      </c>
      <c r="AP1004" s="12"/>
    </row>
    <row r="1005" spans="1:42" ht="15" x14ac:dyDescent="0.2">
      <c r="A1005" s="8" t="s">
        <v>2374</v>
      </c>
      <c r="B1005" s="9" t="s">
        <v>60</v>
      </c>
      <c r="C1005" s="9">
        <v>1061</v>
      </c>
      <c r="D1005" s="9" t="s">
        <v>1112</v>
      </c>
      <c r="E1005" s="30"/>
      <c r="F1005" s="9" t="s">
        <v>1494</v>
      </c>
      <c r="G1005" s="9" t="s">
        <v>1243</v>
      </c>
      <c r="H1005" s="9" t="s">
        <v>287</v>
      </c>
      <c r="I1005" s="9" t="s">
        <v>1244</v>
      </c>
      <c r="J1005" s="9" t="s">
        <v>2384</v>
      </c>
      <c r="K1005" s="9" t="s">
        <v>2385</v>
      </c>
      <c r="L1005" s="10" t="s">
        <v>2385</v>
      </c>
      <c r="M1005" s="9" t="s">
        <v>51</v>
      </c>
      <c r="N1005" s="9">
        <v>80</v>
      </c>
      <c r="O1005" s="9">
        <v>10</v>
      </c>
      <c r="P1005" s="9">
        <v>30</v>
      </c>
      <c r="Q1005" s="9">
        <v>40</v>
      </c>
      <c r="R1005" s="9">
        <v>0.28999999999999998</v>
      </c>
      <c r="S1005" s="9">
        <v>0.83245939999999996</v>
      </c>
      <c r="T1005" s="9">
        <v>122.8813751</v>
      </c>
      <c r="U1005" s="9" t="s">
        <v>52</v>
      </c>
      <c r="V1005" s="11" t="str">
        <f>VLOOKUP(L1005,'[1]singkron data'!D:E,2,FALSE)</f>
        <v>PT. Nenci Citra Pratama Cabang Gorontalo</v>
      </c>
      <c r="W1005" s="13">
        <f>VLOOKUP(L1005,'[1]data 1129'!F:H,3,FALSE)</f>
        <v>4623459000</v>
      </c>
      <c r="X1005" s="11" t="s">
        <v>55</v>
      </c>
      <c r="Y1005" s="11">
        <f>VLOOKUP(L1005,'[1]singkron data'!D:H,5,FALSE)</f>
        <v>0</v>
      </c>
      <c r="Z1005" s="11">
        <f>VLOOKUP(L1005,'[1]singkron data'!D:I,6,FALSE)</f>
        <v>0</v>
      </c>
      <c r="AA1005" s="11" t="s">
        <v>2382</v>
      </c>
      <c r="AB1005" s="11" t="s">
        <v>54</v>
      </c>
      <c r="AC1005" s="11" t="str">
        <f>VLOOKUP(L1005,'[1]singkron data'!D:M,10,FALSE)</f>
        <v>v</v>
      </c>
      <c r="AD1005" s="11" t="str">
        <f>VLOOKUP(L1005,'[1]data 1129'!F:O,10,FALSE)</f>
        <v>Tahap III 166</v>
      </c>
      <c r="AE1005" s="11" t="str">
        <f>VLOOKUP(L1005,'[1]singkron data'!D:P,13,FALSE)</f>
        <v>sudah</v>
      </c>
      <c r="AF1005" s="11" t="s">
        <v>55</v>
      </c>
      <c r="AG1005" s="17">
        <f>VLOOKUP(L1005,'[1]update kontrak'!E:K,6,FALSE)</f>
        <v>4053844412.1300001</v>
      </c>
      <c r="AH1005" s="11" t="str">
        <f>VLOOKUP(L1005,'[1]update kontrak'!E:K,7,FALSE)</f>
        <v>SPPBJ</v>
      </c>
      <c r="AI1005" s="11" t="s">
        <v>58</v>
      </c>
      <c r="AJ1005" s="11" t="str">
        <f>VLOOKUP(L1005,[1]rekap!D:M,1,FALSE)</f>
        <v>Bulalo</v>
      </c>
      <c r="AK1005" s="11" t="str">
        <f>VLOOKUP(L1005,'[1]singkron data'!D:E,2,FALSE)</f>
        <v>PT. Nenci Citra Pratama Cabang Gorontalo</v>
      </c>
      <c r="AL1005" s="11" t="str">
        <f>VLOOKUP(L1005,'[1]update 521'!D:D,1,FALSE)</f>
        <v>Bulalo</v>
      </c>
      <c r="AM1005" s="11" t="s">
        <v>57</v>
      </c>
      <c r="AN1005" s="17">
        <f>VLOOKUP(L1005,[1]Sheet19!E:L,8,FALSE)</f>
        <v>4053844412.1300001</v>
      </c>
      <c r="AO1005" s="11" t="str">
        <f>VLOOKUP(L1005,[1]Sheet19!E:K,7,FALSE)</f>
        <v>SPPBJ</v>
      </c>
      <c r="AP1005" s="12"/>
    </row>
    <row r="1006" spans="1:42" ht="15" x14ac:dyDescent="0.2">
      <c r="A1006" s="8" t="s">
        <v>2374</v>
      </c>
      <c r="B1006" s="9" t="s">
        <v>60</v>
      </c>
      <c r="C1006" s="9">
        <v>1062</v>
      </c>
      <c r="D1006" s="9" t="s">
        <v>1112</v>
      </c>
      <c r="E1006" s="30"/>
      <c r="F1006" s="9" t="s">
        <v>1494</v>
      </c>
      <c r="G1006" s="9" t="s">
        <v>1243</v>
      </c>
      <c r="H1006" s="9" t="s">
        <v>287</v>
      </c>
      <c r="I1006" s="9" t="s">
        <v>1244</v>
      </c>
      <c r="J1006" s="9" t="s">
        <v>1497</v>
      </c>
      <c r="K1006" s="9" t="s">
        <v>2386</v>
      </c>
      <c r="L1006" s="10" t="s">
        <v>2386</v>
      </c>
      <c r="M1006" s="9" t="s">
        <v>51</v>
      </c>
      <c r="N1006" s="9">
        <v>96</v>
      </c>
      <c r="O1006" s="9">
        <v>10</v>
      </c>
      <c r="P1006" s="9">
        <v>61</v>
      </c>
      <c r="Q1006" s="9">
        <v>71</v>
      </c>
      <c r="R1006" s="9">
        <v>6.6699999999999995E-2</v>
      </c>
      <c r="S1006" s="9">
        <v>0.81891420000000004</v>
      </c>
      <c r="T1006" s="9">
        <v>122.83027800000001</v>
      </c>
      <c r="U1006" s="9" t="s">
        <v>52</v>
      </c>
      <c r="V1006" s="11" t="str">
        <f>VLOOKUP(L1006,'[1]singkron data'!D:E,2,FALSE)</f>
        <v>PT. Nenci Citra Pratama Cabang Gorontalo</v>
      </c>
      <c r="W1006" s="13">
        <f>VLOOKUP(L1006,'[1]data 1129'!F:H,3,FALSE)</f>
        <v>4780636000</v>
      </c>
      <c r="X1006" s="11" t="s">
        <v>55</v>
      </c>
      <c r="Y1006" s="11">
        <f>VLOOKUP(L1006,'[1]singkron data'!D:H,5,FALSE)</f>
        <v>0</v>
      </c>
      <c r="Z1006" s="11">
        <f>VLOOKUP(L1006,'[1]singkron data'!D:I,6,FALSE)</f>
        <v>0</v>
      </c>
      <c r="AA1006" s="11" t="s">
        <v>2382</v>
      </c>
      <c r="AB1006" s="11" t="s">
        <v>54</v>
      </c>
      <c r="AC1006" s="11" t="str">
        <f>VLOOKUP(L1006,'[1]singkron data'!D:M,10,FALSE)</f>
        <v>v</v>
      </c>
      <c r="AD1006" s="11" t="str">
        <f>VLOOKUP(L1006,'[1]data 1129'!F:O,10,FALSE)</f>
        <v>Tahap IV 200</v>
      </c>
      <c r="AE1006" s="11" t="str">
        <f>VLOOKUP(L1006,'[1]singkron data'!D:P,13,FALSE)</f>
        <v>sudah</v>
      </c>
      <c r="AF1006" s="11" t="s">
        <v>55</v>
      </c>
      <c r="AG1006" s="17">
        <f>VLOOKUP(L1006,'[1]update kontrak'!E:K,6,FALSE)</f>
        <v>2949510265.0500002</v>
      </c>
      <c r="AH1006" s="11" t="str">
        <f>VLOOKUP(L1006,'[1]update kontrak'!E:K,7,FALSE)</f>
        <v>SPPBJ</v>
      </c>
      <c r="AI1006" s="11" t="s">
        <v>58</v>
      </c>
      <c r="AJ1006" s="11" t="str">
        <f>VLOOKUP(L1006,[1]rekap!D:M,1,FALSE)</f>
        <v>Ilodulunga</v>
      </c>
      <c r="AK1006" s="11" t="str">
        <f>VLOOKUP(L1006,'[1]singkron data'!D:E,2,FALSE)</f>
        <v>PT. Nenci Citra Pratama Cabang Gorontalo</v>
      </c>
      <c r="AL1006" s="11" t="str">
        <f>VLOOKUP(L1006,'[1]update 521'!D:D,1,FALSE)</f>
        <v>Ilodulunga</v>
      </c>
      <c r="AM1006" s="11" t="s">
        <v>57</v>
      </c>
      <c r="AN1006" s="17">
        <f>VLOOKUP(L1006,[1]Sheet19!E:L,8,FALSE)</f>
        <v>2949510265.0500002</v>
      </c>
      <c r="AO1006" s="11" t="str">
        <f>VLOOKUP(L1006,[1]Sheet19!E:K,7,FALSE)</f>
        <v>SPPBJ</v>
      </c>
      <c r="AP1006" s="12"/>
    </row>
    <row r="1007" spans="1:42" ht="15" x14ac:dyDescent="0.2">
      <c r="A1007" s="8" t="s">
        <v>2387</v>
      </c>
      <c r="B1007" s="9" t="s">
        <v>43</v>
      </c>
      <c r="C1007" s="9">
        <v>1130</v>
      </c>
      <c r="D1007" s="9" t="s">
        <v>688</v>
      </c>
      <c r="E1007" s="30"/>
      <c r="F1007" s="9" t="s">
        <v>714</v>
      </c>
      <c r="G1007" s="9" t="s">
        <v>715</v>
      </c>
      <c r="H1007" s="9" t="s">
        <v>287</v>
      </c>
      <c r="I1007" s="9" t="s">
        <v>716</v>
      </c>
      <c r="J1007" s="9" t="s">
        <v>2388</v>
      </c>
      <c r="K1007" s="9" t="s">
        <v>2389</v>
      </c>
      <c r="L1007" s="9" t="s">
        <v>2389</v>
      </c>
      <c r="M1007" s="9" t="s">
        <v>51</v>
      </c>
      <c r="N1007" s="9">
        <v>40</v>
      </c>
      <c r="O1007" s="9" t="s">
        <v>72</v>
      </c>
      <c r="P1007" s="9">
        <v>23</v>
      </c>
      <c r="Q1007" s="9">
        <v>23</v>
      </c>
      <c r="R1007" s="9">
        <v>1</v>
      </c>
      <c r="S1007" s="9">
        <v>-0.69348299999999996</v>
      </c>
      <c r="T1007" s="9">
        <v>127.454365</v>
      </c>
      <c r="U1007" s="9"/>
      <c r="V1007" s="11">
        <f>VLOOKUP(L1007,'[1]singkron data'!D:E,2,FALSE)</f>
        <v>0</v>
      </c>
      <c r="W1007" s="11"/>
      <c r="X1007" s="11"/>
      <c r="Y1007" s="11">
        <f>VLOOKUP(L1007,'[1]singkron data'!D:H,5,FALSE)</f>
        <v>0</v>
      </c>
      <c r="Z1007" s="11">
        <f>VLOOKUP(L1007,'[1]singkron data'!D:I,6,FALSE)</f>
        <v>0</v>
      </c>
      <c r="AA1007" s="11">
        <f>VLOOKUP(L1007,'[1]singkron data'!D:L,9,FALSE)</f>
        <v>0</v>
      </c>
      <c r="AB1007" s="11" t="s">
        <v>694</v>
      </c>
      <c r="AC1007" s="11">
        <f>VLOOKUP(L1007,'[1]singkron data'!D:M,10,FALSE)</f>
        <v>0</v>
      </c>
      <c r="AD1007" s="11"/>
      <c r="AE1007" s="11">
        <f>VLOOKUP(L1007,'[1]singkron data'!D:P,13,FALSE)</f>
        <v>0</v>
      </c>
      <c r="AF1007" s="11"/>
      <c r="AG1007" s="11" t="e">
        <f>VLOOKUP(L1007,'[1]update kontrak'!E:K,6,FALSE)</f>
        <v>#N/A</v>
      </c>
      <c r="AH1007" s="11" t="e">
        <f>VLOOKUP(L1007,'[1]update kontrak'!E:K,7,FALSE)</f>
        <v>#N/A</v>
      </c>
      <c r="AI1007" s="11"/>
      <c r="AJ1007" s="11" t="str">
        <f>VLOOKUP(L1007,[1]rekap!D:M,1,FALSE)</f>
        <v>Panamboang</v>
      </c>
      <c r="AK1007" s="11">
        <f>VLOOKUP(L1007,'[1]singkron data'!D:E,2,FALSE)</f>
        <v>0</v>
      </c>
      <c r="AL1007" s="11" t="str">
        <f>VLOOKUP(L1007,'[1]update 521'!D:D,1,FALSE)</f>
        <v>Panamboang</v>
      </c>
      <c r="AM1007" s="11" t="s">
        <v>96</v>
      </c>
      <c r="AN1007" s="11" t="e">
        <f>VLOOKUP(L1007,[1]Sheet19!E:L,8,FALSE)</f>
        <v>#N/A</v>
      </c>
      <c r="AO1007" s="11" t="e">
        <f>VLOOKUP(L1007,[1]Sheet19!E:K,7,FALSE)</f>
        <v>#N/A</v>
      </c>
      <c r="AP1007" s="12"/>
    </row>
    <row r="1008" spans="1:42" ht="15" x14ac:dyDescent="0.2">
      <c r="A1008" s="8" t="s">
        <v>2387</v>
      </c>
      <c r="B1008" s="9" t="s">
        <v>60</v>
      </c>
      <c r="C1008" s="9">
        <v>1135</v>
      </c>
      <c r="D1008" s="9" t="s">
        <v>44</v>
      </c>
      <c r="E1008" s="30"/>
      <c r="F1008" s="9" t="s">
        <v>273</v>
      </c>
      <c r="G1008" s="9" t="s">
        <v>74</v>
      </c>
      <c r="H1008" s="9" t="s">
        <v>47</v>
      </c>
      <c r="I1008" s="9" t="s">
        <v>274</v>
      </c>
      <c r="J1008" s="9" t="s">
        <v>281</v>
      </c>
      <c r="K1008" s="9" t="s">
        <v>2390</v>
      </c>
      <c r="L1008" s="10" t="s">
        <v>2390</v>
      </c>
      <c r="M1008" s="9" t="s">
        <v>51</v>
      </c>
      <c r="N1008" s="9">
        <v>178</v>
      </c>
      <c r="O1008" s="9" t="s">
        <v>72</v>
      </c>
      <c r="P1008" s="9">
        <v>178</v>
      </c>
      <c r="Q1008" s="9">
        <v>178</v>
      </c>
      <c r="R1008" s="9">
        <v>0.44009999999999999</v>
      </c>
      <c r="S1008" s="9">
        <v>-8.2338889999999996</v>
      </c>
      <c r="T1008" s="9">
        <v>123.704342</v>
      </c>
      <c r="U1008" s="9" t="s">
        <v>52</v>
      </c>
      <c r="V1008" s="11" t="str">
        <f>VLOOKUP(L1008,'[1]singkron data'!D:E,2,FALSE)</f>
        <v>PT. Trisama Sakti Contractor</v>
      </c>
      <c r="W1008" s="11"/>
      <c r="X1008" s="11"/>
      <c r="Y1008" s="11">
        <f>VLOOKUP(L1008,'[1]singkron data'!D:H,5,FALSE)</f>
        <v>0</v>
      </c>
      <c r="Z1008" s="11">
        <f>VLOOKUP(L1008,'[1]singkron data'!D:I,6,FALSE)</f>
        <v>0</v>
      </c>
      <c r="AA1008" s="11">
        <f>VLOOKUP(L1008,'[1]singkron data'!D:L,9,FALSE)</f>
        <v>0</v>
      </c>
      <c r="AB1008" s="11" t="s">
        <v>54</v>
      </c>
      <c r="AC1008" s="11" t="str">
        <f>VLOOKUP(L1008,'[1]singkron data'!D:M,10,FALSE)</f>
        <v>fraksi roem</v>
      </c>
      <c r="AD1008" s="11" t="str">
        <f>VLOOKUP(L1008,'[1]data 1129'!F:O,10,FALSE)</f>
        <v>Tahap IV 200</v>
      </c>
      <c r="AE1008" s="11">
        <f>VLOOKUP(L1008,'[1]singkron data'!D:P,13,FALSE)</f>
        <v>0</v>
      </c>
      <c r="AF1008" s="11" t="s">
        <v>55</v>
      </c>
      <c r="AG1008" s="11" t="e">
        <f>VLOOKUP(L1008,'[1]update kontrak'!E:K,6,FALSE)</f>
        <v>#N/A</v>
      </c>
      <c r="AH1008" s="11" t="e">
        <f>VLOOKUP(L1008,'[1]update kontrak'!E:K,7,FALSE)</f>
        <v>#N/A</v>
      </c>
      <c r="AI1008" s="11" t="s">
        <v>58</v>
      </c>
      <c r="AJ1008" s="11" t="str">
        <f>VLOOKUP(L1008,[1]rekap!D:M,1,FALSE)</f>
        <v>Balauring</v>
      </c>
      <c r="AK1008" s="11" t="str">
        <f>VLOOKUP(L1008,'[1]singkron data'!D:E,2,FALSE)</f>
        <v>PT. Trisama Sakti Contractor</v>
      </c>
      <c r="AL1008" s="11" t="str">
        <f>VLOOKUP(L1008,'[1]update 521'!D:D,1,FALSE)</f>
        <v>Balauring</v>
      </c>
      <c r="AM1008" s="11" t="s">
        <v>96</v>
      </c>
      <c r="AN1008" s="11" t="e">
        <f>VLOOKUP(L1008,[1]Sheet19!E:L,8,FALSE)</f>
        <v>#N/A</v>
      </c>
      <c r="AO1008" s="11" t="e">
        <f>VLOOKUP(L1008,[1]Sheet19!E:K,7,FALSE)</f>
        <v>#N/A</v>
      </c>
      <c r="AP1008" s="12"/>
    </row>
    <row r="1009" spans="1:42" ht="15" x14ac:dyDescent="0.2">
      <c r="A1009" s="27" t="s">
        <v>2387</v>
      </c>
      <c r="B1009" s="28" t="s">
        <v>60</v>
      </c>
      <c r="C1009" s="28">
        <v>1131</v>
      </c>
      <c r="D1009" s="28" t="s">
        <v>284</v>
      </c>
      <c r="E1009" s="45"/>
      <c r="F1009" s="28" t="s">
        <v>300</v>
      </c>
      <c r="G1009" s="28" t="s">
        <v>301</v>
      </c>
      <c r="H1009" s="28" t="s">
        <v>287</v>
      </c>
      <c r="I1009" s="28" t="s">
        <v>302</v>
      </c>
      <c r="J1009" s="28" t="s">
        <v>313</v>
      </c>
      <c r="K1009" s="28" t="s">
        <v>2391</v>
      </c>
      <c r="L1009" s="35" t="s">
        <v>2391</v>
      </c>
      <c r="M1009" s="28" t="s">
        <v>51</v>
      </c>
      <c r="N1009" s="28">
        <v>460</v>
      </c>
      <c r="O1009" s="28" t="s">
        <v>72</v>
      </c>
      <c r="P1009" s="28">
        <v>242</v>
      </c>
      <c r="Q1009" s="28">
        <v>242</v>
      </c>
      <c r="R1009" s="28">
        <v>400</v>
      </c>
      <c r="S1009" s="28">
        <v>-6.7933320000000004</v>
      </c>
      <c r="T1009" s="28">
        <v>110.613901</v>
      </c>
      <c r="U1009" s="28" t="s">
        <v>52</v>
      </c>
      <c r="V1009" s="29" t="str">
        <f>VLOOKUP(L1009,'[1]singkron data'!D:E,2,FALSE)</f>
        <v>PT. Insan Pesona (Besar)</v>
      </c>
      <c r="W1009" s="36">
        <f>VLOOKUP(L1009,'[1]data 1129'!F:H,3,FALSE)</f>
        <v>5437000000</v>
      </c>
      <c r="X1009" s="29"/>
      <c r="Y1009" s="29" t="str">
        <f>VLOOKUP(L1009,'[1]singkron data'!D:H,5,FALSE)</f>
        <v>Pati</v>
      </c>
      <c r="Z1009" s="29" t="str">
        <f>VLOOKUP(L1009,'[1]singkron data'!D:I,6,FALSE)</f>
        <v>Online</v>
      </c>
      <c r="AA1009" s="29">
        <f>VLOOKUP(L1009,'[1]singkron data'!D:L,9,FALSE)</f>
        <v>82137429384</v>
      </c>
      <c r="AB1009" s="29" t="s">
        <v>54</v>
      </c>
      <c r="AC1009" s="29" t="str">
        <f>VLOOKUP(L1009,'[1]singkron data'!D:M,10,FALSE)</f>
        <v>haris</v>
      </c>
      <c r="AD1009" s="29" t="str">
        <f>VLOOKUP(L1009,'[1]data 1129'!F:O,10,FALSE)</f>
        <v>Tahap IV 200</v>
      </c>
      <c r="AE1009" s="29">
        <f>VLOOKUP(L1009,'[1]singkron data'!D:P,13,FALSE)</f>
        <v>0</v>
      </c>
      <c r="AF1009" s="29"/>
      <c r="AG1009" s="29" t="e">
        <f>VLOOKUP(L1009,'[1]update kontrak'!E:K,6,FALSE)</f>
        <v>#N/A</v>
      </c>
      <c r="AH1009" s="29" t="e">
        <f>VLOOKUP(L1009,'[1]update kontrak'!E:K,7,FALSE)</f>
        <v>#N/A</v>
      </c>
      <c r="AI1009" s="29"/>
      <c r="AJ1009" s="29" t="str">
        <f>VLOOKUP(L1009,[1]rekap!D:M,1,FALSE)</f>
        <v>Buko</v>
      </c>
      <c r="AK1009" s="29" t="str">
        <f>VLOOKUP(L1009,'[1]singkron data'!D:E,2,FALSE)</f>
        <v>PT. Insan Pesona (Besar)</v>
      </c>
      <c r="AL1009" s="29" t="str">
        <f>VLOOKUP(L1009,'[1]update 521'!D:D,1,FALSE)</f>
        <v>Buko</v>
      </c>
      <c r="AM1009" s="11" t="s">
        <v>57</v>
      </c>
      <c r="AN1009" s="11" t="e">
        <f>VLOOKUP(L1009,[1]Sheet19!E:L,8,FALSE)</f>
        <v>#N/A</v>
      </c>
      <c r="AO1009" s="11" t="s">
        <v>58</v>
      </c>
      <c r="AP1009" s="12"/>
    </row>
    <row r="1010" spans="1:42" ht="15" x14ac:dyDescent="0.2">
      <c r="A1010" s="8" t="s">
        <v>2387</v>
      </c>
      <c r="B1010" s="9" t="s">
        <v>60</v>
      </c>
      <c r="C1010" s="9">
        <v>1132</v>
      </c>
      <c r="D1010" s="9" t="s">
        <v>514</v>
      </c>
      <c r="E1010" s="30"/>
      <c r="F1010" s="9" t="s">
        <v>2392</v>
      </c>
      <c r="G1010" s="9" t="s">
        <v>516</v>
      </c>
      <c r="H1010" s="9" t="s">
        <v>47</v>
      </c>
      <c r="I1010" s="9" t="s">
        <v>2393</v>
      </c>
      <c r="J1010" s="9" t="s">
        <v>2394</v>
      </c>
      <c r="K1010" s="9" t="s">
        <v>2394</v>
      </c>
      <c r="L1010" s="10" t="s">
        <v>2394</v>
      </c>
      <c r="M1010" s="9" t="s">
        <v>51</v>
      </c>
      <c r="N1010" s="9">
        <v>62</v>
      </c>
      <c r="O1010" s="9">
        <v>5</v>
      </c>
      <c r="P1010" s="9">
        <v>50</v>
      </c>
      <c r="Q1010" s="9">
        <v>55</v>
      </c>
      <c r="R1010" s="9">
        <v>0.14000000000000001</v>
      </c>
      <c r="S1010" s="9">
        <v>-2.4963199999999999</v>
      </c>
      <c r="T1010" s="9">
        <v>111.865515</v>
      </c>
      <c r="U1010" s="9" t="s">
        <v>52</v>
      </c>
      <c r="V1010" s="11" t="s">
        <v>528</v>
      </c>
      <c r="W1010" s="11"/>
      <c r="X1010" s="11"/>
      <c r="Y1010" s="11">
        <f>VLOOKUP(L1010,'[1]singkron data'!D:H,5,FALSE)</f>
        <v>0</v>
      </c>
      <c r="Z1010" s="11">
        <f>VLOOKUP(L1010,'[1]singkron data'!D:I,6,FALSE)</f>
        <v>0</v>
      </c>
      <c r="AA1010" s="11" t="s">
        <v>529</v>
      </c>
      <c r="AB1010" s="11" t="s">
        <v>54</v>
      </c>
      <c r="AC1010" s="11" t="s">
        <v>322</v>
      </c>
      <c r="AD1010" s="11" t="str">
        <f>VLOOKUP(L1010,'[1]data 1129'!F:O,10,FALSE)</f>
        <v>Tahap IV 200</v>
      </c>
      <c r="AE1010" s="11">
        <f>VLOOKUP(L1010,'[1]singkron data'!D:P,13,FALSE)</f>
        <v>0</v>
      </c>
      <c r="AF1010" s="11"/>
      <c r="AG1010" s="11" t="e">
        <f>VLOOKUP(L1010,'[1]update kontrak'!E:K,6,FALSE)</f>
        <v>#N/A</v>
      </c>
      <c r="AH1010" s="11" t="e">
        <f>VLOOKUP(L1010,'[1]update kontrak'!E:K,7,FALSE)</f>
        <v>#N/A</v>
      </c>
      <c r="AI1010" s="11"/>
      <c r="AJ1010" s="11" t="str">
        <f>VLOOKUP(L1010,[1]rekap!D:M,1,FALSE)</f>
        <v>Pangkalan Banteng</v>
      </c>
      <c r="AK1010" s="11" t="str">
        <f>VLOOKUP(L1010,'[1]singkron data'!D:E,2,FALSE)</f>
        <v>PT. ............</v>
      </c>
      <c r="AL1010" s="11" t="str">
        <f>VLOOKUP(L1010,'[1]update 521'!D:D,1,FALSE)</f>
        <v>Pangkalan Banteng</v>
      </c>
      <c r="AM1010" s="11" t="s">
        <v>96</v>
      </c>
      <c r="AN1010" s="11" t="e">
        <f>VLOOKUP(L1010,[1]Sheet19!E:L,8,FALSE)</f>
        <v>#N/A</v>
      </c>
      <c r="AO1010" s="11" t="e">
        <f>VLOOKUP(L1010,[1]Sheet19!E:K,7,FALSE)</f>
        <v>#N/A</v>
      </c>
      <c r="AP1010" s="12"/>
    </row>
    <row r="1011" spans="1:42" ht="15" x14ac:dyDescent="0.2">
      <c r="A1011" s="8" t="s">
        <v>2387</v>
      </c>
      <c r="B1011" s="9" t="s">
        <v>60</v>
      </c>
      <c r="C1011" s="9">
        <v>1133</v>
      </c>
      <c r="D1011" s="9" t="s">
        <v>514</v>
      </c>
      <c r="E1011" s="30"/>
      <c r="F1011" s="9" t="s">
        <v>671</v>
      </c>
      <c r="G1011" s="9" t="s">
        <v>516</v>
      </c>
      <c r="H1011" s="9" t="s">
        <v>47</v>
      </c>
      <c r="I1011" s="9" t="s">
        <v>2393</v>
      </c>
      <c r="J1011" s="9" t="s">
        <v>2395</v>
      </c>
      <c r="K1011" s="9" t="s">
        <v>660</v>
      </c>
      <c r="L1011" s="10" t="s">
        <v>660</v>
      </c>
      <c r="M1011" s="9" t="s">
        <v>51</v>
      </c>
      <c r="N1011" s="9">
        <v>486</v>
      </c>
      <c r="O1011" s="9">
        <v>50</v>
      </c>
      <c r="P1011" s="9">
        <v>124</v>
      </c>
      <c r="Q1011" s="9">
        <v>174</v>
      </c>
      <c r="R1011" s="9">
        <v>0.16800000000000001</v>
      </c>
      <c r="S1011" s="9">
        <v>-2.9925190000000002</v>
      </c>
      <c r="T1011" s="9">
        <v>111.582904</v>
      </c>
      <c r="U1011" s="9" t="s">
        <v>52</v>
      </c>
      <c r="V1011" s="11" t="s">
        <v>528</v>
      </c>
      <c r="W1011" s="11"/>
      <c r="X1011" s="11"/>
      <c r="Y1011" s="11">
        <f>VLOOKUP(L1011,'[1]singkron data'!D:H,5,FALSE)</f>
        <v>0</v>
      </c>
      <c r="Z1011" s="11" t="str">
        <f>VLOOKUP(L1011,'[1]singkron data'!D:I,6,FALSE)</f>
        <v>Offline</v>
      </c>
      <c r="AA1011" s="11" t="s">
        <v>529</v>
      </c>
      <c r="AB1011" s="11" t="s">
        <v>54</v>
      </c>
      <c r="AC1011" s="11" t="s">
        <v>322</v>
      </c>
      <c r="AD1011" s="11" t="str">
        <f>VLOOKUP(L1011,'[1]data 1129'!F:O,10,FALSE)</f>
        <v>Tahap III 166</v>
      </c>
      <c r="AE1011" s="11">
        <f>VLOOKUP(L1011,'[1]singkron data'!D:P,13,FALSE)</f>
        <v>0</v>
      </c>
      <c r="AF1011" s="11"/>
      <c r="AG1011" s="11" t="e">
        <f>VLOOKUP(L1011,'[1]update kontrak'!E:K,6,FALSE)</f>
        <v>#N/A</v>
      </c>
      <c r="AH1011" s="11" t="e">
        <f>VLOOKUP(L1011,'[1]update kontrak'!E:K,7,FALSE)</f>
        <v>#N/A</v>
      </c>
      <c r="AI1011" s="11"/>
      <c r="AJ1011" s="11" t="str">
        <f>VLOOKUP(L1011,[1]rekap!D:M,1,FALSE)</f>
        <v>Sungai Bakau</v>
      </c>
      <c r="AK1011" s="11" t="str">
        <f>VLOOKUP(L1011,'[1]singkron data'!D:E,2,FALSE)</f>
        <v>PT. Nusa Indah Permai</v>
      </c>
      <c r="AL1011" s="11" t="str">
        <f>VLOOKUP(L1011,'[1]update 521'!D:D,1,FALSE)</f>
        <v>Sungai Bakau</v>
      </c>
      <c r="AM1011" s="11" t="s">
        <v>96</v>
      </c>
      <c r="AN1011" s="11" t="e">
        <f>VLOOKUP(L1011,[1]Sheet19!E:L,8,FALSE)</f>
        <v>#N/A</v>
      </c>
      <c r="AO1011" s="11" t="e">
        <f>VLOOKUP(L1011,[1]Sheet19!E:K,7,FALSE)</f>
        <v>#N/A</v>
      </c>
      <c r="AP1011" s="12"/>
    </row>
    <row r="1012" spans="1:42" ht="15" x14ac:dyDescent="0.2">
      <c r="A1012" s="8" t="s">
        <v>2387</v>
      </c>
      <c r="B1012" s="9" t="s">
        <v>60</v>
      </c>
      <c r="C1012" s="9">
        <v>1134</v>
      </c>
      <c r="D1012" s="9" t="s">
        <v>514</v>
      </c>
      <c r="E1012" s="30"/>
      <c r="F1012" s="9" t="s">
        <v>671</v>
      </c>
      <c r="G1012" s="9" t="s">
        <v>516</v>
      </c>
      <c r="H1012" s="9" t="s">
        <v>47</v>
      </c>
      <c r="I1012" s="9" t="s">
        <v>2393</v>
      </c>
      <c r="J1012" s="9" t="s">
        <v>2395</v>
      </c>
      <c r="K1012" s="9" t="s">
        <v>2396</v>
      </c>
      <c r="L1012" s="10" t="s">
        <v>2396</v>
      </c>
      <c r="M1012" s="9" t="s">
        <v>51</v>
      </c>
      <c r="N1012" s="9">
        <v>100</v>
      </c>
      <c r="O1012" s="9">
        <v>70</v>
      </c>
      <c r="P1012" s="9">
        <v>30</v>
      </c>
      <c r="Q1012" s="9">
        <v>100</v>
      </c>
      <c r="R1012" s="9">
        <v>0.25750000000000001</v>
      </c>
      <c r="S1012" s="9">
        <v>-2.945217</v>
      </c>
      <c r="T1012" s="9">
        <v>111.49109799999999</v>
      </c>
      <c r="U1012" s="9" t="s">
        <v>52</v>
      </c>
      <c r="V1012" s="11" t="s">
        <v>528</v>
      </c>
      <c r="W1012" s="11"/>
      <c r="X1012" s="11"/>
      <c r="Y1012" s="11"/>
      <c r="Z1012" s="11"/>
      <c r="AA1012" s="11" t="s">
        <v>529</v>
      </c>
      <c r="AB1012" s="11" t="s">
        <v>54</v>
      </c>
      <c r="AC1012" s="11" t="s">
        <v>322</v>
      </c>
      <c r="AD1012" s="11" t="str">
        <f>VLOOKUP(L1012,'[1]data 1129'!F:O,10,FALSE)</f>
        <v>Tahap IV 200</v>
      </c>
      <c r="AE1012" s="11">
        <f>VLOOKUP(L1012,'[1]singkron data'!D:P,13,FALSE)</f>
        <v>0</v>
      </c>
      <c r="AF1012" s="11"/>
      <c r="AG1012" s="11" t="e">
        <f>VLOOKUP(L1012,'[1]update kontrak'!E:K,6,FALSE)</f>
        <v>#N/A</v>
      </c>
      <c r="AH1012" s="11" t="e">
        <f>VLOOKUP(L1012,'[1]update kontrak'!E:K,7,FALSE)</f>
        <v>#N/A</v>
      </c>
      <c r="AI1012" s="11"/>
      <c r="AJ1012" s="11" t="str">
        <f>VLOOKUP(L1012,[1]rekap!D:M,1,FALSE)</f>
        <v>Sabuai</v>
      </c>
      <c r="AK1012" s="11" t="str">
        <f>VLOOKUP(L1012,'[1]singkron data'!D:E,2,FALSE)</f>
        <v>PT. Bangun Mataram Jaya (Menengah)</v>
      </c>
      <c r="AL1012" s="11" t="str">
        <f>VLOOKUP(L1012,'[1]update 521'!D:D,1,FALSE)</f>
        <v>Sabuai</v>
      </c>
      <c r="AM1012" s="11" t="s">
        <v>96</v>
      </c>
      <c r="AN1012" s="11" t="e">
        <f>VLOOKUP(L1012,[1]Sheet19!E:L,8,FALSE)</f>
        <v>#N/A</v>
      </c>
      <c r="AO1012" s="11" t="e">
        <f>VLOOKUP(L1012,[1]Sheet19!E:K,7,FALSE)</f>
        <v>#N/A</v>
      </c>
      <c r="AP1012" s="12"/>
    </row>
    <row r="1013" spans="1:42" ht="15" x14ac:dyDescent="0.2">
      <c r="A1013" s="8" t="s">
        <v>2387</v>
      </c>
      <c r="B1013" s="9" t="s">
        <v>60</v>
      </c>
      <c r="C1013" s="9">
        <v>1136</v>
      </c>
      <c r="D1013" s="9" t="s">
        <v>44</v>
      </c>
      <c r="E1013" s="30"/>
      <c r="F1013" s="9" t="s">
        <v>273</v>
      </c>
      <c r="G1013" s="9" t="s">
        <v>74</v>
      </c>
      <c r="H1013" s="9" t="s">
        <v>47</v>
      </c>
      <c r="I1013" s="9" t="s">
        <v>274</v>
      </c>
      <c r="J1013" s="9" t="s">
        <v>2397</v>
      </c>
      <c r="K1013" s="9" t="s">
        <v>2398</v>
      </c>
      <c r="L1013" s="10" t="s">
        <v>2398</v>
      </c>
      <c r="M1013" s="9" t="s">
        <v>51</v>
      </c>
      <c r="N1013" s="9">
        <v>87</v>
      </c>
      <c r="O1013" s="9" t="s">
        <v>72</v>
      </c>
      <c r="P1013" s="9">
        <v>34</v>
      </c>
      <c r="Q1013" s="9">
        <v>34</v>
      </c>
      <c r="R1013" s="9">
        <v>0.2039</v>
      </c>
      <c r="S1013" s="9">
        <v>-8.3057920000000003</v>
      </c>
      <c r="T1013" s="9">
        <v>123.616839</v>
      </c>
      <c r="U1013" s="9" t="s">
        <v>52</v>
      </c>
      <c r="V1013" s="11" t="str">
        <f>VLOOKUP(L1013,'[1]singkron data'!D:E,2,FALSE)</f>
        <v>PT. Trisama Sakti Contractor</v>
      </c>
      <c r="W1013" s="11"/>
      <c r="X1013" s="11"/>
      <c r="Y1013" s="11">
        <f>VLOOKUP(L1013,'[1]singkron data'!D:H,5,FALSE)</f>
        <v>0</v>
      </c>
      <c r="Z1013" s="11">
        <f>VLOOKUP(L1013,'[1]singkron data'!D:I,6,FALSE)</f>
        <v>0</v>
      </c>
      <c r="AA1013" s="11">
        <f>VLOOKUP(L1013,'[1]singkron data'!D:L,9,FALSE)</f>
        <v>0</v>
      </c>
      <c r="AB1013" s="11" t="s">
        <v>54</v>
      </c>
      <c r="AC1013" s="11" t="str">
        <f>VLOOKUP(L1013,'[1]singkron data'!D:M,10,FALSE)</f>
        <v>fraksi roem</v>
      </c>
      <c r="AD1013" s="11" t="str">
        <f>VLOOKUP(L1013,'[1]data 1129'!F:O,10,FALSE)</f>
        <v>Tahap IV 200</v>
      </c>
      <c r="AE1013" s="11">
        <f>VLOOKUP(L1013,'[1]singkron data'!D:P,13,FALSE)</f>
        <v>0</v>
      </c>
      <c r="AF1013" s="11" t="s">
        <v>55</v>
      </c>
      <c r="AG1013" s="11" t="e">
        <f>VLOOKUP(L1013,'[1]update kontrak'!E:K,6,FALSE)</f>
        <v>#N/A</v>
      </c>
      <c r="AH1013" s="11" t="e">
        <f>VLOOKUP(L1013,'[1]update kontrak'!E:K,7,FALSE)</f>
        <v>#N/A</v>
      </c>
      <c r="AI1013" s="11" t="s">
        <v>58</v>
      </c>
      <c r="AJ1013" s="11" t="str">
        <f>VLOOKUP(L1013,[1]rekap!D:M,1,FALSE)</f>
        <v>Tapolangu</v>
      </c>
      <c r="AK1013" s="11" t="str">
        <f>VLOOKUP(L1013,'[1]singkron data'!D:E,2,FALSE)</f>
        <v>PT. Trisama Sakti Contractor</v>
      </c>
      <c r="AL1013" s="11" t="str">
        <f>VLOOKUP(L1013,'[1]update 521'!D:D,1,FALSE)</f>
        <v>Tapolangu</v>
      </c>
      <c r="AM1013" s="11" t="s">
        <v>96</v>
      </c>
      <c r="AN1013" s="11" t="e">
        <f>VLOOKUP(L1013,[1]Sheet19!E:L,8,FALSE)</f>
        <v>#N/A</v>
      </c>
      <c r="AO1013" s="11" t="e">
        <f>VLOOKUP(L1013,[1]Sheet19!E:K,7,FALSE)</f>
        <v>#N/A</v>
      </c>
      <c r="AP1013" s="12"/>
    </row>
    <row r="1014" spans="1:42" ht="16" x14ac:dyDescent="0.2">
      <c r="A1014" s="8" t="s">
        <v>2387</v>
      </c>
      <c r="B1014" s="9" t="s">
        <v>60</v>
      </c>
      <c r="C1014" s="9">
        <v>1137</v>
      </c>
      <c r="D1014" s="9" t="s">
        <v>44</v>
      </c>
      <c r="E1014" s="30"/>
      <c r="F1014" s="9" t="s">
        <v>2399</v>
      </c>
      <c r="G1014" s="9" t="s">
        <v>74</v>
      </c>
      <c r="H1014" s="9" t="s">
        <v>47</v>
      </c>
      <c r="I1014" s="9" t="s">
        <v>144</v>
      </c>
      <c r="J1014" s="9" t="s">
        <v>2400</v>
      </c>
      <c r="K1014" s="15" t="s">
        <v>2401</v>
      </c>
      <c r="L1014" s="16" t="s">
        <v>2401</v>
      </c>
      <c r="M1014" s="9" t="s">
        <v>51</v>
      </c>
      <c r="N1014" s="9">
        <v>139</v>
      </c>
      <c r="O1014" s="9" t="s">
        <v>72</v>
      </c>
      <c r="P1014" s="9">
        <v>30</v>
      </c>
      <c r="Q1014" s="9">
        <v>30</v>
      </c>
      <c r="R1014" s="9">
        <v>0.46550000000000002</v>
      </c>
      <c r="S1014" s="9">
        <v>-8.4239025999999999</v>
      </c>
      <c r="T1014" s="9">
        <v>122.80896199999999</v>
      </c>
      <c r="U1014" s="9" t="s">
        <v>52</v>
      </c>
      <c r="V1014" s="11" t="str">
        <f>VLOOKUP(L1014,'[1]singkron data'!D:E,2,FALSE)</f>
        <v>PT. Arum Daya Sentausa</v>
      </c>
      <c r="W1014" s="11"/>
      <c r="X1014" s="11"/>
      <c r="Y1014" s="11" t="str">
        <f>VLOOKUP(L1014,'[1]singkron data'!D:H,5,FALSE)</f>
        <v>Ende</v>
      </c>
      <c r="Z1014" s="11" t="str">
        <f>VLOOKUP(L1014,'[1]singkron data'!D:I,6,FALSE)</f>
        <v>Offline</v>
      </c>
      <c r="AA1014" s="11">
        <f>VLOOKUP(L1014,'[1]singkron data'!D:L,9,FALSE)</f>
        <v>81287843669</v>
      </c>
      <c r="AB1014" s="11" t="s">
        <v>54</v>
      </c>
      <c r="AC1014" s="11" t="str">
        <f>VLOOKUP(L1014,'[1]singkron data'!D:M,10,FALSE)</f>
        <v>Galuh-B</v>
      </c>
      <c r="AD1014" s="11" t="str">
        <f>VLOOKUP(L1014,'[1]data 1129'!F:O,10,FALSE)</f>
        <v>Tahap IV 200</v>
      </c>
      <c r="AE1014" s="11">
        <f>VLOOKUP(L1014,'[1]singkron data'!D:P,13,FALSE)</f>
        <v>0</v>
      </c>
      <c r="AF1014" s="11" t="s">
        <v>55</v>
      </c>
      <c r="AG1014" s="11" t="e">
        <f>VLOOKUP(L1014,'[1]update kontrak'!E:K,6,FALSE)</f>
        <v>#N/A</v>
      </c>
      <c r="AH1014" s="11" t="e">
        <f>VLOOKUP(L1014,'[1]update kontrak'!E:K,7,FALSE)</f>
        <v>#N/A</v>
      </c>
      <c r="AI1014" s="11"/>
      <c r="AJ1014" s="11" t="str">
        <f>VLOOKUP(L1014,[1]rekap!D:M,1,FALSE)</f>
        <v>Lewolaga</v>
      </c>
      <c r="AK1014" s="11" t="str">
        <f>VLOOKUP(L1014,'[1]singkron data'!D:E,2,FALSE)</f>
        <v>PT. Arum Daya Sentausa</v>
      </c>
      <c r="AL1014" s="11" t="str">
        <f>VLOOKUP(L1014,'[1]update 521'!D:D,1,FALSE)</f>
        <v>Lewolaga</v>
      </c>
      <c r="AM1014" s="11" t="s">
        <v>96</v>
      </c>
      <c r="AN1014" s="11" t="e">
        <f>VLOOKUP(L1014,[1]Sheet19!E:L,8,FALSE)</f>
        <v>#N/A</v>
      </c>
      <c r="AO1014" s="11" t="e">
        <f>VLOOKUP(L1014,[1]Sheet19!E:K,7,FALSE)</f>
        <v>#N/A</v>
      </c>
      <c r="AP1014" s="12"/>
    </row>
    <row r="1015" spans="1:42" ht="15" x14ac:dyDescent="0.2">
      <c r="A1015" s="8" t="s">
        <v>2387</v>
      </c>
      <c r="B1015" s="9" t="s">
        <v>60</v>
      </c>
      <c r="C1015" s="9">
        <v>1138</v>
      </c>
      <c r="D1015" s="9" t="s">
        <v>688</v>
      </c>
      <c r="E1015" s="30"/>
      <c r="F1015" s="9" t="s">
        <v>714</v>
      </c>
      <c r="G1015" s="9" t="s">
        <v>715</v>
      </c>
      <c r="H1015" s="9" t="s">
        <v>287</v>
      </c>
      <c r="I1015" s="9" t="s">
        <v>716</v>
      </c>
      <c r="J1015" s="9" t="s">
        <v>2402</v>
      </c>
      <c r="K1015" s="9" t="s">
        <v>2403</v>
      </c>
      <c r="L1015" s="9" t="s">
        <v>2403</v>
      </c>
      <c r="M1015" s="9" t="s">
        <v>51</v>
      </c>
      <c r="N1015" s="9">
        <v>225</v>
      </c>
      <c r="O1015" s="9" t="s">
        <v>72</v>
      </c>
      <c r="P1015" s="9">
        <v>60</v>
      </c>
      <c r="Q1015" s="9">
        <v>60</v>
      </c>
      <c r="R1015" s="9">
        <v>1</v>
      </c>
      <c r="S1015" s="9">
        <v>-2.0317999999999999E-2</v>
      </c>
      <c r="T1015" s="9">
        <v>127.198487</v>
      </c>
      <c r="U1015" s="9"/>
      <c r="V1015" s="11">
        <f>VLOOKUP(L1015,'[1]singkron data'!D:E,2,FALSE)</f>
        <v>0</v>
      </c>
      <c r="W1015" s="11"/>
      <c r="X1015" s="11"/>
      <c r="Y1015" s="11">
        <f>VLOOKUP(L1015,'[1]singkron data'!D:H,5,FALSE)</f>
        <v>0</v>
      </c>
      <c r="Z1015" s="11">
        <f>VLOOKUP(L1015,'[1]singkron data'!D:I,6,FALSE)</f>
        <v>0</v>
      </c>
      <c r="AA1015" s="11">
        <f>VLOOKUP(L1015,'[1]singkron data'!D:L,9,FALSE)</f>
        <v>0</v>
      </c>
      <c r="AB1015" s="11" t="s">
        <v>694</v>
      </c>
      <c r="AC1015" s="11">
        <f>VLOOKUP(L1015,'[1]singkron data'!D:M,10,FALSE)</f>
        <v>0</v>
      </c>
      <c r="AD1015" s="11"/>
      <c r="AE1015" s="11">
        <f>VLOOKUP(L1015,'[1]singkron data'!D:P,13,FALSE)</f>
        <v>0</v>
      </c>
      <c r="AF1015" s="11"/>
      <c r="AG1015" s="11" t="e">
        <f>VLOOKUP(L1015,'[1]update kontrak'!E:K,6,FALSE)</f>
        <v>#N/A</v>
      </c>
      <c r="AH1015" s="11" t="e">
        <f>VLOOKUP(L1015,'[1]update kontrak'!E:K,7,FALSE)</f>
        <v>#N/A</v>
      </c>
      <c r="AI1015" s="11"/>
      <c r="AJ1015" s="11" t="str">
        <f>VLOOKUP(L1015,[1]rekap!D:M,1,FALSE)</f>
        <v>Talimau</v>
      </c>
      <c r="AK1015" s="11">
        <f>VLOOKUP(L1015,'[1]singkron data'!D:E,2,FALSE)</f>
        <v>0</v>
      </c>
      <c r="AL1015" s="11" t="str">
        <f>VLOOKUP(L1015,'[1]update 521'!D:D,1,FALSE)</f>
        <v>Talimau</v>
      </c>
      <c r="AM1015" s="11" t="s">
        <v>96</v>
      </c>
      <c r="AN1015" s="11" t="e">
        <f>VLOOKUP(L1015,[1]Sheet19!E:L,8,FALSE)</f>
        <v>#N/A</v>
      </c>
      <c r="AO1015" s="11" t="e">
        <f>VLOOKUP(L1015,[1]Sheet19!E:K,7,FALSE)</f>
        <v>#N/A</v>
      </c>
      <c r="AP1015" s="12"/>
    </row>
    <row r="1016" spans="1:42" ht="15" x14ac:dyDescent="0.2">
      <c r="A1016" s="8" t="s">
        <v>2387</v>
      </c>
      <c r="B1016" s="9" t="s">
        <v>60</v>
      </c>
      <c r="C1016" s="9">
        <v>1139</v>
      </c>
      <c r="D1016" s="9" t="s">
        <v>44</v>
      </c>
      <c r="E1016" s="30"/>
      <c r="F1016" s="9" t="s">
        <v>143</v>
      </c>
      <c r="G1016" s="9" t="s">
        <v>74</v>
      </c>
      <c r="H1016" s="9" t="s">
        <v>47</v>
      </c>
      <c r="I1016" s="9" t="s">
        <v>144</v>
      </c>
      <c r="J1016" s="9" t="s">
        <v>2404</v>
      </c>
      <c r="K1016" s="9" t="s">
        <v>2405</v>
      </c>
      <c r="L1016" s="10" t="s">
        <v>2405</v>
      </c>
      <c r="M1016" s="9" t="s">
        <v>51</v>
      </c>
      <c r="N1016" s="9">
        <v>500</v>
      </c>
      <c r="O1016" s="9">
        <v>10</v>
      </c>
      <c r="P1016" s="9">
        <v>400</v>
      </c>
      <c r="Q1016" s="9">
        <v>410</v>
      </c>
      <c r="R1016" s="9">
        <v>0.2</v>
      </c>
      <c r="S1016" s="9">
        <v>-8.2386359999999996</v>
      </c>
      <c r="T1016" s="9">
        <v>123.211889</v>
      </c>
      <c r="U1016" s="9" t="s">
        <v>52</v>
      </c>
      <c r="V1016" s="11" t="str">
        <f>VLOOKUP(L1016,'[1]singkron data'!D:E,2,FALSE)</f>
        <v>CV. Jasa Mandiri Bersama</v>
      </c>
      <c r="W1016" s="11"/>
      <c r="X1016" s="11"/>
      <c r="Y1016" s="11">
        <f>VLOOKUP(L1016,'[1]singkron data'!D:H,5,FALSE)</f>
        <v>0</v>
      </c>
      <c r="Z1016" s="11">
        <f>VLOOKUP(L1016,'[1]singkron data'!D:I,6,FALSE)</f>
        <v>0</v>
      </c>
      <c r="AA1016" s="11" t="str">
        <f>VLOOKUP(L1016,'[1]singkron data'!D:L,9,FALSE)</f>
        <v>083836843683/zulham/cvjasamandiribersama32@gmail.com</v>
      </c>
      <c r="AB1016" s="11" t="s">
        <v>54</v>
      </c>
      <c r="AC1016" s="11" t="str">
        <f>VLOOKUP(L1016,'[1]singkron data'!D:M,10,FALSE)</f>
        <v>Dedd</v>
      </c>
      <c r="AD1016" s="11" t="str">
        <f>VLOOKUP(L1016,'[1]data 1129'!F:O,10,FALSE)</f>
        <v>Tahap IV 200</v>
      </c>
      <c r="AE1016" s="11">
        <f>VLOOKUP(L1016,'[1]singkron data'!D:P,13,FALSE)</f>
        <v>0</v>
      </c>
      <c r="AF1016" s="11" t="s">
        <v>55</v>
      </c>
      <c r="AG1016" s="11" t="e">
        <f>VLOOKUP(L1016,'[1]update kontrak'!E:K,6,FALSE)</f>
        <v>#N/A</v>
      </c>
      <c r="AH1016" s="11" t="e">
        <f>VLOOKUP(L1016,'[1]update kontrak'!E:K,7,FALSE)</f>
        <v>#N/A</v>
      </c>
      <c r="AI1016" s="11"/>
      <c r="AJ1016" s="11" t="str">
        <f>VLOOKUP(L1016,[1]rekap!D:M,1,FALSE)</f>
        <v>Sagu</v>
      </c>
      <c r="AK1016" s="11" t="str">
        <f>VLOOKUP(L1016,'[1]singkron data'!D:E,2,FALSE)</f>
        <v>CV. Jasa Mandiri Bersama</v>
      </c>
      <c r="AL1016" s="11" t="str">
        <f>VLOOKUP(L1016,'[1]update 521'!D:D,1,FALSE)</f>
        <v>Sagu</v>
      </c>
      <c r="AM1016" s="11" t="s">
        <v>96</v>
      </c>
      <c r="AN1016" s="11" t="e">
        <f>VLOOKUP(L1016,[1]Sheet19!E:L,8,FALSE)</f>
        <v>#N/A</v>
      </c>
      <c r="AO1016" s="11" t="e">
        <f>VLOOKUP(L1016,[1]Sheet19!E:K,7,FALSE)</f>
        <v>#N/A</v>
      </c>
      <c r="AP1016" s="12"/>
    </row>
    <row r="1017" spans="1:42" ht="15" x14ac:dyDescent="0.2">
      <c r="A1017" s="8" t="s">
        <v>2387</v>
      </c>
      <c r="B1017" s="9" t="s">
        <v>60</v>
      </c>
      <c r="C1017" s="9">
        <v>1140</v>
      </c>
      <c r="D1017" s="9" t="s">
        <v>44</v>
      </c>
      <c r="E1017" s="30"/>
      <c r="F1017" s="9" t="s">
        <v>143</v>
      </c>
      <c r="G1017" s="9" t="s">
        <v>74</v>
      </c>
      <c r="H1017" s="9" t="s">
        <v>47</v>
      </c>
      <c r="I1017" s="9" t="s">
        <v>144</v>
      </c>
      <c r="J1017" s="9" t="s">
        <v>2406</v>
      </c>
      <c r="K1017" s="9" t="s">
        <v>2407</v>
      </c>
      <c r="L1017" s="10" t="s">
        <v>2407</v>
      </c>
      <c r="M1017" s="9" t="s">
        <v>51</v>
      </c>
      <c r="N1017" s="9">
        <v>280</v>
      </c>
      <c r="O1017" s="9">
        <v>205</v>
      </c>
      <c r="P1017" s="9">
        <v>25</v>
      </c>
      <c r="Q1017" s="9">
        <v>230</v>
      </c>
      <c r="R1017" s="9">
        <v>0.27529999999999999</v>
      </c>
      <c r="S1017" s="9">
        <v>-8.2957780000000003</v>
      </c>
      <c r="T1017" s="9">
        <v>123.304635</v>
      </c>
      <c r="U1017" s="9" t="s">
        <v>52</v>
      </c>
      <c r="V1017" s="11" t="str">
        <f>VLOOKUP(L1017,'[1]singkron data'!D:E,2,FALSE)</f>
        <v>CV. Jasa Mandiri Bersama</v>
      </c>
      <c r="W1017" s="11"/>
      <c r="X1017" s="11"/>
      <c r="Y1017" s="11">
        <f>VLOOKUP(L1017,'[1]singkron data'!D:H,5,FALSE)</f>
        <v>0</v>
      </c>
      <c r="Z1017" s="11">
        <f>VLOOKUP(L1017,'[1]singkron data'!D:I,6,FALSE)</f>
        <v>0</v>
      </c>
      <c r="AA1017" s="11" t="str">
        <f>VLOOKUP(L1017,'[1]singkron data'!D:L,9,FALSE)</f>
        <v>083836843683/zulham/cvjasamandiribersama32@gmail.com</v>
      </c>
      <c r="AB1017" s="11" t="s">
        <v>54</v>
      </c>
      <c r="AC1017" s="11" t="str">
        <f>VLOOKUP(L1017,'[1]singkron data'!D:M,10,FALSE)</f>
        <v>Dedd</v>
      </c>
      <c r="AD1017" s="11" t="str">
        <f>VLOOKUP(L1017,'[1]data 1129'!F:O,10,FALSE)</f>
        <v>Tahap IV 200</v>
      </c>
      <c r="AE1017" s="11">
        <f>VLOOKUP(L1017,'[1]singkron data'!D:P,13,FALSE)</f>
        <v>0</v>
      </c>
      <c r="AF1017" s="11" t="s">
        <v>55</v>
      </c>
      <c r="AG1017" s="11" t="e">
        <f>VLOOKUP(L1017,'[1]update kontrak'!E:K,6,FALSE)</f>
        <v>#N/A</v>
      </c>
      <c r="AH1017" s="11" t="e">
        <f>VLOOKUP(L1017,'[1]update kontrak'!E:K,7,FALSE)</f>
        <v>#N/A</v>
      </c>
      <c r="AI1017" s="11"/>
      <c r="AJ1017" s="11" t="str">
        <f>VLOOKUP(L1017,[1]rekap!D:M,1,FALSE)</f>
        <v>Waiwuring</v>
      </c>
      <c r="AK1017" s="11" t="str">
        <f>VLOOKUP(L1017,'[1]singkron data'!D:E,2,FALSE)</f>
        <v>CV. Jasa Mandiri Bersama</v>
      </c>
      <c r="AL1017" s="11" t="str">
        <f>VLOOKUP(L1017,'[1]update 521'!D:D,1,FALSE)</f>
        <v>Waiwuring</v>
      </c>
      <c r="AM1017" s="11" t="s">
        <v>96</v>
      </c>
      <c r="AN1017" s="11" t="e">
        <f>VLOOKUP(L1017,[1]Sheet19!E:L,8,FALSE)</f>
        <v>#N/A</v>
      </c>
      <c r="AO1017" s="11" t="e">
        <f>VLOOKUP(L1017,[1]Sheet19!E:K,7,FALSE)</f>
        <v>#N/A</v>
      </c>
      <c r="AP1017" s="12"/>
    </row>
    <row r="1018" spans="1:42" ht="15" x14ac:dyDescent="0.2">
      <c r="A1018" s="8" t="s">
        <v>2387</v>
      </c>
      <c r="B1018" s="9" t="s">
        <v>60</v>
      </c>
      <c r="C1018" s="9">
        <v>1141</v>
      </c>
      <c r="D1018" s="9" t="s">
        <v>1112</v>
      </c>
      <c r="E1018" s="30"/>
      <c r="F1018" s="9" t="s">
        <v>1584</v>
      </c>
      <c r="G1018" s="9" t="s">
        <v>1243</v>
      </c>
      <c r="H1018" s="9" t="s">
        <v>287</v>
      </c>
      <c r="I1018" s="9" t="s">
        <v>2408</v>
      </c>
      <c r="J1018" s="9" t="s">
        <v>2409</v>
      </c>
      <c r="K1018" s="9" t="s">
        <v>2410</v>
      </c>
      <c r="L1018" s="10" t="s">
        <v>2410</v>
      </c>
      <c r="M1018" s="9" t="s">
        <v>51</v>
      </c>
      <c r="N1018" s="9">
        <v>90</v>
      </c>
      <c r="O1018" s="9">
        <v>11</v>
      </c>
      <c r="P1018" s="9">
        <v>48</v>
      </c>
      <c r="Q1018" s="9">
        <v>59</v>
      </c>
      <c r="R1018" s="9">
        <v>0.69520000000000004</v>
      </c>
      <c r="S1018" s="9">
        <v>0.97827200000000003</v>
      </c>
      <c r="T1018" s="9">
        <v>122.51593099999999</v>
      </c>
      <c r="U1018" s="9" t="s">
        <v>52</v>
      </c>
      <c r="V1018" s="11" t="s">
        <v>1403</v>
      </c>
      <c r="W1018" s="13">
        <f>VLOOKUP(L1018,'[1]data 1129'!F:H,3,FALSE)</f>
        <v>6312774000</v>
      </c>
      <c r="X1018" s="11" t="s">
        <v>55</v>
      </c>
      <c r="Y1018" s="11">
        <f>VLOOKUP(L1018,'[1]singkron data'!D:H,5,FALSE)</f>
        <v>0</v>
      </c>
      <c r="Z1018" s="11">
        <f>VLOOKUP(L1018,'[1]singkron data'!D:I,6,FALSE)</f>
        <v>0</v>
      </c>
      <c r="AA1018" s="11" t="str">
        <f>VLOOKUP(L1018,'[1]singkron data'!D:L,9,FALSE)</f>
        <v>0811946557/sutanto</v>
      </c>
      <c r="AB1018" s="11" t="s">
        <v>54</v>
      </c>
      <c r="AC1018" s="11" t="str">
        <f>VLOOKUP(L1018,'[1]singkron data'!D:M,10,FALSE)</f>
        <v>Hyl</v>
      </c>
      <c r="AD1018" s="11" t="str">
        <f>VLOOKUP(L1018,'[1]data 1129'!F:O,10,FALSE)</f>
        <v>Tahap IV 200</v>
      </c>
      <c r="AE1018" s="11" t="str">
        <f>VLOOKUP(L1018,'[1]singkron data'!D:P,13,FALSE)</f>
        <v>sudah</v>
      </c>
      <c r="AF1018" s="11" t="s">
        <v>55</v>
      </c>
      <c r="AG1018" s="11" t="e">
        <f>VLOOKUP(L1018,'[1]update kontrak'!E:K,6,FALSE)</f>
        <v>#N/A</v>
      </c>
      <c r="AH1018" s="11" t="e">
        <f>VLOOKUP(L1018,'[1]update kontrak'!E:K,7,FALSE)</f>
        <v>#N/A</v>
      </c>
      <c r="AI1018" s="11" t="s">
        <v>58</v>
      </c>
      <c r="AJ1018" s="11" t="str">
        <f>VLOOKUP(L1018,[1]rekap!D:M,1,FALSE)</f>
        <v>Deme Ii</v>
      </c>
      <c r="AK1018" s="11" t="str">
        <f>VLOOKUP(L1018,'[1]singkron data'!D:E,2,FALSE)</f>
        <v>PT. KARYA PALMALINDO ANUGERAH</v>
      </c>
      <c r="AL1018" s="11" t="str">
        <f>VLOOKUP(L1018,'[1]update 521'!D:D,1,FALSE)</f>
        <v>Deme Ii</v>
      </c>
      <c r="AM1018" s="11" t="s">
        <v>57</v>
      </c>
      <c r="AN1018" s="11" t="e">
        <f>VLOOKUP(L1018,[1]Sheet19!E:L,8,FALSE)</f>
        <v>#N/A</v>
      </c>
      <c r="AO1018" s="11" t="s">
        <v>58</v>
      </c>
      <c r="AP1018" s="12"/>
    </row>
    <row r="1019" spans="1:42" ht="16" x14ac:dyDescent="0.2">
      <c r="A1019" s="8" t="s">
        <v>2387</v>
      </c>
      <c r="B1019" s="9" t="s">
        <v>60</v>
      </c>
      <c r="C1019" s="9">
        <v>1142</v>
      </c>
      <c r="D1019" s="9" t="s">
        <v>1631</v>
      </c>
      <c r="E1019" s="30"/>
      <c r="F1019" s="9" t="s">
        <v>1979</v>
      </c>
      <c r="G1019" s="15" t="s">
        <v>1980</v>
      </c>
      <c r="H1019" s="9" t="s">
        <v>47</v>
      </c>
      <c r="I1019" s="15" t="s">
        <v>1981</v>
      </c>
      <c r="J1019" s="15" t="s">
        <v>2411</v>
      </c>
      <c r="K1019" s="9" t="s">
        <v>2412</v>
      </c>
      <c r="L1019" s="10" t="s">
        <v>2412</v>
      </c>
      <c r="M1019" s="9" t="s">
        <v>51</v>
      </c>
      <c r="N1019" s="9">
        <v>204</v>
      </c>
      <c r="O1019" s="9">
        <v>104</v>
      </c>
      <c r="P1019" s="9">
        <v>100</v>
      </c>
      <c r="Q1019" s="9">
        <v>204</v>
      </c>
      <c r="R1019" s="9">
        <v>0.15</v>
      </c>
      <c r="S1019" s="9">
        <v>-3.53606</v>
      </c>
      <c r="T1019" s="9">
        <v>104.54826</v>
      </c>
      <c r="U1019" s="9" t="s">
        <v>52</v>
      </c>
      <c r="V1019" s="11" t="str">
        <f>VLOOKUP(L1019,'[1]singkron data'!D:E,2,FALSE)</f>
        <v>PT. Karang Baru Pratama</v>
      </c>
      <c r="W1019" s="13">
        <f>VLOOKUP(L1019,'[1]update tim 2'!D:F,3,FALSE)</f>
        <v>2478904000</v>
      </c>
      <c r="X1019" s="11" t="s">
        <v>55</v>
      </c>
      <c r="Y1019" s="11">
        <f>VLOOKUP(L1019,'[1]singkron data'!D:H,5,FALSE)</f>
        <v>0</v>
      </c>
      <c r="Z1019" s="11">
        <f>VLOOKUP(L1019,'[1]singkron data'!D:I,6,FALSE)</f>
        <v>0</v>
      </c>
      <c r="AA1019" s="11" t="str">
        <f>VLOOKUP(L1019,'[1]singkron data'!D:L,9,FALSE)</f>
        <v>082175189977/ Ferial</v>
      </c>
      <c r="AB1019" s="11" t="s">
        <v>54</v>
      </c>
      <c r="AC1019" s="11" t="str">
        <f>VLOOKUP(L1019,'[1]singkron data'!D:M,10,FALSE)</f>
        <v>Usulan pak arlan-rid</v>
      </c>
      <c r="AD1019" s="11" t="str">
        <f>VLOOKUP(L1019,'[1]data 1129'!F:O,10,FALSE)</f>
        <v>Tahap IV 200</v>
      </c>
      <c r="AE1019" s="11">
        <f>VLOOKUP(L1019,'[1]singkron data'!D:P,13,FALSE)</f>
        <v>0</v>
      </c>
      <c r="AF1019" s="11" t="s">
        <v>55</v>
      </c>
      <c r="AG1019" s="11" t="e">
        <f>VLOOKUP(L1019,'[1]update kontrak'!E:K,6,FALSE)</f>
        <v>#N/A</v>
      </c>
      <c r="AH1019" s="11" t="e">
        <f>VLOOKUP(L1019,'[1]update kontrak'!E:K,7,FALSE)</f>
        <v>#N/A</v>
      </c>
      <c r="AI1019" s="11"/>
      <c r="AJ1019" s="11" t="str">
        <f>VLOOKUP(L1019,[1]rekap!D:M,1,FALSE)</f>
        <v>Sunur</v>
      </c>
      <c r="AK1019" s="11" t="str">
        <f>VLOOKUP(L1019,'[1]singkron data'!D:E,2,FALSE)</f>
        <v>PT. Karang Baru Pratama</v>
      </c>
      <c r="AL1019" s="11" t="str">
        <f>VLOOKUP(L1019,'[1]update 521'!D:D,1,FALSE)</f>
        <v>Sunur</v>
      </c>
      <c r="AM1019" s="11" t="s">
        <v>57</v>
      </c>
      <c r="AN1019" s="11" t="e">
        <f>VLOOKUP(L1019,[1]Sheet19!E:L,8,FALSE)</f>
        <v>#N/A</v>
      </c>
      <c r="AO1019" s="11" t="s">
        <v>58</v>
      </c>
      <c r="AP1019" s="12"/>
    </row>
    <row r="1020" spans="1:42" ht="16" x14ac:dyDescent="0.2">
      <c r="A1020" s="8" t="s">
        <v>2387</v>
      </c>
      <c r="B1020" s="9" t="s">
        <v>60</v>
      </c>
      <c r="C1020" s="9">
        <v>1143</v>
      </c>
      <c r="D1020" s="9" t="s">
        <v>1631</v>
      </c>
      <c r="E1020" s="30"/>
      <c r="F1020" s="9" t="s">
        <v>2413</v>
      </c>
      <c r="G1020" s="15" t="s">
        <v>1980</v>
      </c>
      <c r="H1020" s="9" t="s">
        <v>47</v>
      </c>
      <c r="I1020" s="15" t="s">
        <v>2414</v>
      </c>
      <c r="J1020" s="15" t="s">
        <v>2415</v>
      </c>
      <c r="K1020" s="15" t="s">
        <v>2415</v>
      </c>
      <c r="L1020" s="16" t="s">
        <v>2415</v>
      </c>
      <c r="M1020" s="9" t="s">
        <v>51</v>
      </c>
      <c r="N1020" s="9">
        <v>80</v>
      </c>
      <c r="O1020" s="9">
        <v>30</v>
      </c>
      <c r="P1020" s="9">
        <v>50</v>
      </c>
      <c r="Q1020" s="9">
        <v>80</v>
      </c>
      <c r="R1020" s="9">
        <v>0.05</v>
      </c>
      <c r="S1020" s="9">
        <v>-3.0739700000000001</v>
      </c>
      <c r="T1020" s="9">
        <v>103.23124</v>
      </c>
      <c r="U1020" s="9" t="s">
        <v>52</v>
      </c>
      <c r="V1020" s="11" t="str">
        <f>VLOOKUP(L1020,'[1]singkron data'!D:E,2,FALSE)</f>
        <v>PT. Nanda Sungai Melintang (Kecil)</v>
      </c>
      <c r="W1020" s="13">
        <f>VLOOKUP(L1020,'[1]update tim 2'!D:F,3,FALSE)</f>
        <v>2939814000</v>
      </c>
      <c r="X1020" s="11" t="s">
        <v>55</v>
      </c>
      <c r="Y1020" s="11" t="str">
        <f>VLOOKUP(L1020,'[1]singkron data'!D:H,5,FALSE)</f>
        <v>Musi Rawas</v>
      </c>
      <c r="Z1020" s="11" t="str">
        <f>VLOOKUP(L1020,'[1]singkron data'!D:I,6,FALSE)</f>
        <v>Online</v>
      </c>
      <c r="AA1020" s="11">
        <f>VLOOKUP(L1020,'[1]singkron data'!D:L,9,FALSE)</f>
        <v>0</v>
      </c>
      <c r="AB1020" s="11" t="s">
        <v>54</v>
      </c>
      <c r="AC1020" s="11" t="s">
        <v>520</v>
      </c>
      <c r="AD1020" s="11" t="str">
        <f>VLOOKUP(L1020,'[1]data 1129'!F:O,10,FALSE)</f>
        <v>Tahap IV 200</v>
      </c>
      <c r="AE1020" s="11">
        <f>VLOOKUP(L1020,'[1]singkron data'!D:P,13,FALSE)</f>
        <v>0</v>
      </c>
      <c r="AF1020" s="11" t="s">
        <v>55</v>
      </c>
      <c r="AG1020" s="11" t="e">
        <f>VLOOKUP(L1020,'[1]update kontrak'!E:K,6,FALSE)</f>
        <v>#N/A</v>
      </c>
      <c r="AH1020" s="11" t="e">
        <f>VLOOKUP(L1020,'[1]update kontrak'!E:K,7,FALSE)</f>
        <v>#N/A</v>
      </c>
      <c r="AI1020" s="11"/>
      <c r="AJ1020" s="11" t="str">
        <f>VLOOKUP(L1020,[1]rekap!D:M,1,FALSE)</f>
        <v>Muara Kelingi</v>
      </c>
      <c r="AK1020" s="11" t="str">
        <f>VLOOKUP(L1020,'[1]singkron data'!D:E,2,FALSE)</f>
        <v>PT. Nanda Sungai Melintang (Kecil)</v>
      </c>
      <c r="AL1020" s="11" t="str">
        <f>VLOOKUP(L1020,'[1]update 521'!D:D,1,FALSE)</f>
        <v>Muara Kelingi</v>
      </c>
      <c r="AM1020" s="11" t="s">
        <v>57</v>
      </c>
      <c r="AN1020" s="11" t="e">
        <f>VLOOKUP(L1020,[1]Sheet19!E:L,8,FALSE)</f>
        <v>#N/A</v>
      </c>
      <c r="AO1020" s="11" t="s">
        <v>58</v>
      </c>
      <c r="AP1020" s="12"/>
    </row>
    <row r="1021" spans="1:42" ht="16" x14ac:dyDescent="0.2">
      <c r="A1021" s="8" t="s">
        <v>2387</v>
      </c>
      <c r="B1021" s="9" t="s">
        <v>60</v>
      </c>
      <c r="C1021" s="9">
        <v>1144</v>
      </c>
      <c r="D1021" s="9" t="s">
        <v>1631</v>
      </c>
      <c r="E1021" s="30"/>
      <c r="F1021" s="9" t="s">
        <v>2029</v>
      </c>
      <c r="G1021" s="15" t="s">
        <v>1980</v>
      </c>
      <c r="H1021" s="9" t="s">
        <v>47</v>
      </c>
      <c r="I1021" s="15" t="s">
        <v>2030</v>
      </c>
      <c r="J1021" s="15" t="s">
        <v>2416</v>
      </c>
      <c r="K1021" s="15" t="s">
        <v>2073</v>
      </c>
      <c r="L1021" s="16" t="s">
        <v>2073</v>
      </c>
      <c r="M1021" s="9" t="s">
        <v>51</v>
      </c>
      <c r="N1021" s="9">
        <v>186</v>
      </c>
      <c r="O1021" s="9">
        <v>120</v>
      </c>
      <c r="P1021" s="9">
        <v>66</v>
      </c>
      <c r="Q1021" s="9">
        <v>186</v>
      </c>
      <c r="R1021" s="9">
        <v>0.15</v>
      </c>
      <c r="S1021" s="9">
        <v>-2.5573000000000001</v>
      </c>
      <c r="T1021" s="9">
        <v>104.7837</v>
      </c>
      <c r="U1021" s="9" t="s">
        <v>52</v>
      </c>
      <c r="V1021" s="11" t="str">
        <f>VLOOKUP(L1021,'[1]singkron data'!D:E,2,FALSE)</f>
        <v>PT. Cahaya Sriwijaya Abadi</v>
      </c>
      <c r="W1021" s="13">
        <f>VLOOKUP(L1021,'[1]update tim 2'!D:F,3,FALSE)</f>
        <v>5278938000</v>
      </c>
      <c r="X1021" s="11" t="s">
        <v>55</v>
      </c>
      <c r="Y1021" s="11" t="str">
        <f>VLOOKUP(L1021,'[1]singkron data'!D:H,5,FALSE)</f>
        <v>Palembang</v>
      </c>
      <c r="Z1021" s="11" t="str">
        <f>VLOOKUP(L1021,'[1]singkron data'!D:I,6,FALSE)</f>
        <v>Online</v>
      </c>
      <c r="AA1021" s="11">
        <f>VLOOKUP(L1021,'[1]singkron data'!D:L,9,FALSE)</f>
        <v>819686116</v>
      </c>
      <c r="AB1021" s="11" t="s">
        <v>54</v>
      </c>
      <c r="AC1021" s="11" t="s">
        <v>520</v>
      </c>
      <c r="AD1021" s="11" t="str">
        <f>VLOOKUP(L1021,'[1]data 1129'!F:O,10,FALSE)</f>
        <v>Tahap II 146</v>
      </c>
      <c r="AE1021" s="11">
        <f>VLOOKUP(L1021,'[1]singkron data'!D:P,13,FALSE)</f>
        <v>0</v>
      </c>
      <c r="AF1021" s="11" t="s">
        <v>55</v>
      </c>
      <c r="AG1021" s="11" t="e">
        <f>VLOOKUP(L1021,'[1]update kontrak'!E:K,6,FALSE)</f>
        <v>#N/A</v>
      </c>
      <c r="AH1021" s="11" t="e">
        <f>VLOOKUP(L1021,'[1]update kontrak'!E:K,7,FALSE)</f>
        <v>#N/A</v>
      </c>
      <c r="AI1021" s="11"/>
      <c r="AJ1021" s="11" t="str">
        <f>VLOOKUP(L1021,[1]rekap!D:M,1,FALSE)</f>
        <v>Karang Anyar</v>
      </c>
      <c r="AK1021" s="11" t="str">
        <f>VLOOKUP(L1021,'[1]singkron data'!D:E,2,FALSE)</f>
        <v>PT. Cahaya Sriwijaya Abadi</v>
      </c>
      <c r="AL1021" s="11" t="str">
        <f>VLOOKUP(L1021,'[1]update 521'!D:D,1,FALSE)</f>
        <v>Karang Anyar</v>
      </c>
      <c r="AM1021" s="11" t="s">
        <v>57</v>
      </c>
      <c r="AN1021" s="11" t="e">
        <f>VLOOKUP(L1021,[1]Sheet19!E:L,8,FALSE)</f>
        <v>#N/A</v>
      </c>
      <c r="AO1021" s="11" t="s">
        <v>58</v>
      </c>
      <c r="AP1021" s="12"/>
    </row>
    <row r="1022" spans="1:42" ht="15" x14ac:dyDescent="0.2">
      <c r="A1022" s="8" t="s">
        <v>2387</v>
      </c>
      <c r="B1022" s="9" t="s">
        <v>60</v>
      </c>
      <c r="C1022" s="9">
        <v>1145</v>
      </c>
      <c r="D1022" s="9" t="s">
        <v>1631</v>
      </c>
      <c r="E1022" s="30"/>
      <c r="F1022" s="9" t="s">
        <v>1939</v>
      </c>
      <c r="G1022" s="9" t="s">
        <v>1854</v>
      </c>
      <c r="H1022" s="9" t="s">
        <v>47</v>
      </c>
      <c r="I1022" s="9" t="s">
        <v>2417</v>
      </c>
      <c r="J1022" s="9" t="s">
        <v>2418</v>
      </c>
      <c r="K1022" s="9" t="s">
        <v>2419</v>
      </c>
      <c r="L1022" s="10" t="s">
        <v>2419</v>
      </c>
      <c r="M1022" s="9" t="s">
        <v>51</v>
      </c>
      <c r="N1022" s="9">
        <v>406</v>
      </c>
      <c r="O1022" s="9" t="s">
        <v>72</v>
      </c>
      <c r="P1022" s="9">
        <v>25</v>
      </c>
      <c r="Q1022" s="9">
        <v>25</v>
      </c>
      <c r="R1022" s="9">
        <v>1</v>
      </c>
      <c r="S1022" s="9">
        <v>-4.4084399999999997</v>
      </c>
      <c r="T1022" s="9">
        <v>102.85136</v>
      </c>
      <c r="U1022" s="9" t="s">
        <v>52</v>
      </c>
      <c r="V1022" s="11" t="str">
        <f>VLOOKUP(L1022,'[1]singkron data'!D:E,2,FALSE)</f>
        <v>PT. Aruna Karya Bangunindo</v>
      </c>
      <c r="W1022" s="13">
        <f>VLOOKUP(L1022,'[1]update tim 2'!D:F,3,FALSE)</f>
        <v>3390613000</v>
      </c>
      <c r="X1022" s="11" t="s">
        <v>55</v>
      </c>
      <c r="Y1022" s="11" t="str">
        <f>VLOOKUP(L1022,'[1]singkron data'!D:H,5,FALSE)</f>
        <v>Kota Bengkulu</v>
      </c>
      <c r="Z1022" s="11" t="str">
        <f>VLOOKUP(L1022,'[1]singkron data'!D:I,6,FALSE)</f>
        <v>Offline</v>
      </c>
      <c r="AA1022" s="11" t="str">
        <f>VLOOKUP(L1022,'[1]singkron data'!D:L,9,FALSE)</f>
        <v>082183648885/anggadewa</v>
      </c>
      <c r="AB1022" s="11" t="s">
        <v>54</v>
      </c>
      <c r="AC1022" s="11" t="str">
        <f>VLOOKUP(L1022,'[1]singkron data'!D:M,10,FALSE)</f>
        <v>aufar</v>
      </c>
      <c r="AD1022" s="11" t="str">
        <f>VLOOKUP(L1022,'[1]data 1129'!F:O,10,FALSE)</f>
        <v>Tahap IV 200</v>
      </c>
      <c r="AE1022" s="11">
        <f>VLOOKUP(L1022,'[1]singkron data'!D:P,13,FALSE)</f>
        <v>0</v>
      </c>
      <c r="AF1022" s="11" t="s">
        <v>55</v>
      </c>
      <c r="AG1022" s="11" t="e">
        <f>VLOOKUP(L1022,'[1]update kontrak'!E:K,6,FALSE)</f>
        <v>#N/A</v>
      </c>
      <c r="AH1022" s="11" t="e">
        <f>VLOOKUP(L1022,'[1]update kontrak'!E:K,7,FALSE)</f>
        <v>#N/A</v>
      </c>
      <c r="AI1022" s="11"/>
      <c r="AJ1022" s="11" t="str">
        <f>VLOOKUP(L1022,[1]rekap!D:M,1,FALSE)</f>
        <v>Pasar Pino</v>
      </c>
      <c r="AK1022" s="11" t="str">
        <f>VLOOKUP(L1022,'[1]singkron data'!D:E,2,FALSE)</f>
        <v>PT. Aruna Karya Bangunindo</v>
      </c>
      <c r="AL1022" s="11" t="str">
        <f>VLOOKUP(L1022,'[1]update 521'!D:D,1,FALSE)</f>
        <v>Pasar Pino</v>
      </c>
      <c r="AM1022" s="11" t="s">
        <v>57</v>
      </c>
      <c r="AN1022" s="11" t="e">
        <f>VLOOKUP(L1022,[1]Sheet19!E:L,8,FALSE)</f>
        <v>#N/A</v>
      </c>
      <c r="AO1022" s="11" t="s">
        <v>58</v>
      </c>
      <c r="AP1022" s="12"/>
    </row>
    <row r="1023" spans="1:42" ht="15" x14ac:dyDescent="0.2">
      <c r="A1023" s="8" t="s">
        <v>2387</v>
      </c>
      <c r="B1023" s="9" t="s">
        <v>60</v>
      </c>
      <c r="C1023" s="9">
        <v>1146</v>
      </c>
      <c r="D1023" s="9" t="s">
        <v>1631</v>
      </c>
      <c r="E1023" s="30"/>
      <c r="F1023" s="9" t="s">
        <v>1939</v>
      </c>
      <c r="G1023" s="9" t="s">
        <v>1854</v>
      </c>
      <c r="H1023" s="9" t="s">
        <v>47</v>
      </c>
      <c r="I1023" s="9" t="s">
        <v>2417</v>
      </c>
      <c r="J1023" s="9" t="s">
        <v>2420</v>
      </c>
      <c r="K1023" s="9" t="s">
        <v>2421</v>
      </c>
      <c r="L1023" s="10" t="s">
        <v>2421</v>
      </c>
      <c r="M1023" s="9" t="s">
        <v>51</v>
      </c>
      <c r="N1023" s="9">
        <v>549</v>
      </c>
      <c r="O1023" s="9" t="s">
        <v>72</v>
      </c>
      <c r="P1023" s="9">
        <v>151</v>
      </c>
      <c r="Q1023" s="9">
        <v>151</v>
      </c>
      <c r="R1023" s="9">
        <v>0.02</v>
      </c>
      <c r="S1023" s="9">
        <v>-4.48386</v>
      </c>
      <c r="T1023" s="9">
        <v>102.89790000000001</v>
      </c>
      <c r="U1023" s="9" t="s">
        <v>52</v>
      </c>
      <c r="V1023" s="11" t="str">
        <f>VLOOKUP(L1023,'[1]singkron data'!D:E,2,FALSE)</f>
        <v>PT. Aruna Karya Bangunindo</v>
      </c>
      <c r="W1023" s="13">
        <f>VLOOKUP(L1023,'[1]update tim 2'!D:F,3,FALSE)</f>
        <v>4382559000</v>
      </c>
      <c r="X1023" s="11" t="s">
        <v>55</v>
      </c>
      <c r="Y1023" s="11" t="str">
        <f>VLOOKUP(L1023,'[1]singkron data'!D:H,5,FALSE)</f>
        <v>Kota Bengkulu</v>
      </c>
      <c r="Z1023" s="11" t="str">
        <f>VLOOKUP(L1023,'[1]singkron data'!D:I,6,FALSE)</f>
        <v>Offline</v>
      </c>
      <c r="AA1023" s="11" t="str">
        <f>VLOOKUP(L1023,'[1]singkron data'!D:L,9,FALSE)</f>
        <v>082183648885/anggadewa</v>
      </c>
      <c r="AB1023" s="11" t="s">
        <v>54</v>
      </c>
      <c r="AC1023" s="11" t="str">
        <f>VLOOKUP(L1023,'[1]singkron data'!D:M,10,FALSE)</f>
        <v>aufar</v>
      </c>
      <c r="AD1023" s="11" t="str">
        <f>VLOOKUP(L1023,'[1]data 1129'!F:O,10,FALSE)</f>
        <v>Tahap IV 200</v>
      </c>
      <c r="AE1023" s="11">
        <f>VLOOKUP(L1023,'[1]singkron data'!D:P,13,FALSE)</f>
        <v>0</v>
      </c>
      <c r="AF1023" s="11" t="s">
        <v>55</v>
      </c>
      <c r="AG1023" s="11" t="e">
        <f>VLOOKUP(L1023,'[1]update kontrak'!E:K,6,FALSE)</f>
        <v>#N/A</v>
      </c>
      <c r="AH1023" s="11" t="e">
        <f>VLOOKUP(L1023,'[1]update kontrak'!E:K,7,FALSE)</f>
        <v>#N/A</v>
      </c>
      <c r="AI1023" s="11"/>
      <c r="AJ1023" s="11" t="str">
        <f>VLOOKUP(L1023,[1]rekap!D:M,1,FALSE)</f>
        <v>Pasar Bawah</v>
      </c>
      <c r="AK1023" s="11" t="str">
        <f>VLOOKUP(L1023,'[1]singkron data'!D:E,2,FALSE)</f>
        <v>PT. Aruna Karya Bangunindo</v>
      </c>
      <c r="AL1023" s="11" t="str">
        <f>VLOOKUP(L1023,'[1]update 521'!D:D,1,FALSE)</f>
        <v>Pasar Bawah</v>
      </c>
      <c r="AM1023" s="11" t="s">
        <v>57</v>
      </c>
      <c r="AN1023" s="11" t="e">
        <f>VLOOKUP(L1023,[1]Sheet19!E:L,8,FALSE)</f>
        <v>#N/A</v>
      </c>
      <c r="AO1023" s="11" t="s">
        <v>58</v>
      </c>
      <c r="AP1023" s="12"/>
    </row>
    <row r="1024" spans="1:42" ht="15" x14ac:dyDescent="0.2">
      <c r="A1024" s="8" t="s">
        <v>2422</v>
      </c>
      <c r="B1024" s="9" t="s">
        <v>60</v>
      </c>
      <c r="C1024" s="9">
        <v>1147</v>
      </c>
      <c r="D1024" s="9" t="s">
        <v>1631</v>
      </c>
      <c r="E1024" s="30"/>
      <c r="F1024" s="9" t="s">
        <v>1682</v>
      </c>
      <c r="G1024" s="9" t="s">
        <v>1656</v>
      </c>
      <c r="H1024" s="9" t="s">
        <v>47</v>
      </c>
      <c r="I1024" s="9" t="s">
        <v>1683</v>
      </c>
      <c r="J1024" s="9" t="s">
        <v>2423</v>
      </c>
      <c r="K1024" s="9" t="s">
        <v>2424</v>
      </c>
      <c r="L1024" s="9" t="s">
        <v>2424</v>
      </c>
      <c r="M1024" s="9" t="s">
        <v>51</v>
      </c>
      <c r="N1024" s="9">
        <v>305</v>
      </c>
      <c r="O1024" s="9">
        <v>10</v>
      </c>
      <c r="P1024" s="9">
        <v>15</v>
      </c>
      <c r="Q1024" s="9">
        <v>25</v>
      </c>
      <c r="R1024" s="9">
        <v>0.95</v>
      </c>
      <c r="S1024" s="9">
        <v>4.9516999999999998</v>
      </c>
      <c r="T1024" s="9">
        <v>97.766580000000005</v>
      </c>
      <c r="U1024" s="9"/>
      <c r="V1024" s="11" t="e">
        <f>VLOOKUP(L1024,'[1]singkron data'!D:E,2,FALSE)</f>
        <v>#N/A</v>
      </c>
      <c r="W1024" s="11"/>
      <c r="X1024" s="11"/>
      <c r="Y1024" s="11" t="e">
        <f>VLOOKUP(L1024,'[1]singkron data'!D:H,5,FALSE)</f>
        <v>#N/A</v>
      </c>
      <c r="Z1024" s="11" t="e">
        <f>VLOOKUP(L1024,'[1]singkron data'!D:I,6,FALSE)</f>
        <v>#N/A</v>
      </c>
      <c r="AA1024" s="11" t="e">
        <f>VLOOKUP(L1024,'[1]singkron data'!D:L,9,FALSE)</f>
        <v>#N/A</v>
      </c>
      <c r="AB1024" s="11" t="s">
        <v>694</v>
      </c>
      <c r="AC1024" s="11" t="e">
        <f>VLOOKUP(L1024,'[1]singkron data'!D:M,10,FALSE)</f>
        <v>#N/A</v>
      </c>
      <c r="AD1024" s="11" t="s">
        <v>364</v>
      </c>
      <c r="AE1024" s="11" t="e">
        <f>VLOOKUP(L1024,'[1]singkron data'!D:P,13,FALSE)</f>
        <v>#N/A</v>
      </c>
      <c r="AF1024" s="11" t="s">
        <v>55</v>
      </c>
      <c r="AG1024" s="11" t="e">
        <f>VLOOKUP(L1024,'[1]update kontrak'!E:K,6,FALSE)</f>
        <v>#N/A</v>
      </c>
      <c r="AH1024" s="11" t="e">
        <f>VLOOKUP(L1024,'[1]update kontrak'!E:K,7,FALSE)</f>
        <v>#N/A</v>
      </c>
      <c r="AI1024" s="11"/>
      <c r="AJ1024" s="11" t="str">
        <f>VLOOKUP(L1024,[1]rekap!D:M,1,FALSE)</f>
        <v>Gampong Aceh</v>
      </c>
      <c r="AK1024" s="11" t="e">
        <f>VLOOKUP(L1024,'[1]singkron data'!D:E,2,FALSE)</f>
        <v>#N/A</v>
      </c>
      <c r="AL1024" s="11" t="str">
        <f>VLOOKUP(L1024,'[1]update 521'!D:D,1,FALSE)</f>
        <v>Gampong Aceh</v>
      </c>
      <c r="AM1024" s="11" t="s">
        <v>96</v>
      </c>
      <c r="AN1024" s="11" t="e">
        <f>VLOOKUP(L1024,[1]Sheet19!E:L,8,FALSE)</f>
        <v>#N/A</v>
      </c>
      <c r="AO1024" s="11" t="e">
        <f>VLOOKUP(L1024,[1]Sheet19!E:K,7,FALSE)</f>
        <v>#N/A</v>
      </c>
      <c r="AP1024" s="12"/>
    </row>
    <row r="1025" spans="1:42" ht="15" x14ac:dyDescent="0.2">
      <c r="A1025" s="8" t="s">
        <v>2422</v>
      </c>
      <c r="B1025" s="9" t="s">
        <v>60</v>
      </c>
      <c r="C1025" s="9">
        <v>1148</v>
      </c>
      <c r="D1025" s="9" t="s">
        <v>1631</v>
      </c>
      <c r="E1025" s="30"/>
      <c r="F1025" s="9" t="s">
        <v>2094</v>
      </c>
      <c r="G1025" s="9" t="s">
        <v>1647</v>
      </c>
      <c r="H1025" s="9" t="s">
        <v>47</v>
      </c>
      <c r="I1025" s="9" t="s">
        <v>2095</v>
      </c>
      <c r="J1025" s="9" t="s">
        <v>2096</v>
      </c>
      <c r="K1025" s="9" t="s">
        <v>2425</v>
      </c>
      <c r="L1025" s="10" t="s">
        <v>2425</v>
      </c>
      <c r="M1025" s="9" t="s">
        <v>51</v>
      </c>
      <c r="N1025" s="9">
        <v>30</v>
      </c>
      <c r="O1025" s="9">
        <v>20</v>
      </c>
      <c r="P1025" s="9">
        <v>30</v>
      </c>
      <c r="Q1025" s="9">
        <v>50</v>
      </c>
      <c r="R1025" s="9">
        <v>0.75</v>
      </c>
      <c r="S1025" s="9">
        <v>-1.653818</v>
      </c>
      <c r="T1025" s="9">
        <v>105.66214600000001</v>
      </c>
      <c r="U1025" s="9" t="s">
        <v>52</v>
      </c>
      <c r="V1025" s="11" t="str">
        <f>VLOOKUP(L1025,'[1]singkron data'!D:E,2,FALSE)</f>
        <v>PT. Wimala Nusantara Jaya</v>
      </c>
      <c r="W1025" s="11"/>
      <c r="X1025" s="11"/>
      <c r="Y1025" s="11">
        <f>VLOOKUP(L1025,'[1]singkron data'!D:H,5,FALSE)</f>
        <v>0</v>
      </c>
      <c r="Z1025" s="11">
        <f>VLOOKUP(L1025,'[1]singkron data'!D:I,6,FALSE)</f>
        <v>0</v>
      </c>
      <c r="AA1025" s="11" t="s">
        <v>2103</v>
      </c>
      <c r="AB1025" s="11" t="s">
        <v>54</v>
      </c>
      <c r="AC1025" s="11">
        <f>VLOOKUP(L1025,'[1]singkron data'!D:M,10,FALSE)</f>
        <v>0</v>
      </c>
      <c r="AD1025" s="11" t="str">
        <f>VLOOKUP(L1025,'[1]data 1129'!F:O,10,FALSE)</f>
        <v>Tahap IV 200</v>
      </c>
      <c r="AE1025" s="11">
        <f>VLOOKUP(L1025,'[1]singkron data'!D:P,13,FALSE)</f>
        <v>0</v>
      </c>
      <c r="AF1025" s="11" t="s">
        <v>55</v>
      </c>
      <c r="AG1025" s="11" t="e">
        <f>VLOOKUP(L1025,'[1]update kontrak'!E:K,6,FALSE)</f>
        <v>#N/A</v>
      </c>
      <c r="AH1025" s="11" t="e">
        <f>VLOOKUP(L1025,'[1]update kontrak'!E:K,7,FALSE)</f>
        <v>#N/A</v>
      </c>
      <c r="AI1025" s="11"/>
      <c r="AJ1025" s="11" t="str">
        <f>VLOOKUP(L1025,[1]rekap!D:M,1,FALSE)</f>
        <v>Semulut</v>
      </c>
      <c r="AK1025" s="11" t="str">
        <f>VLOOKUP(L1025,'[1]singkron data'!D:E,2,FALSE)</f>
        <v>PT. Wimala Nusantara Jaya</v>
      </c>
      <c r="AL1025" s="11" t="str">
        <f>VLOOKUP(L1025,'[1]update 521'!D:D,1,FALSE)</f>
        <v>Semulut</v>
      </c>
      <c r="AM1025" s="11" t="s">
        <v>96</v>
      </c>
      <c r="AN1025" s="11" t="e">
        <f>VLOOKUP(L1025,[1]Sheet19!E:L,8,FALSE)</f>
        <v>#N/A</v>
      </c>
      <c r="AO1025" s="11" t="e">
        <f>VLOOKUP(L1025,[1]Sheet19!E:K,7,FALSE)</f>
        <v>#N/A</v>
      </c>
      <c r="AP1025" s="12"/>
    </row>
    <row r="1026" spans="1:42" ht="15" x14ac:dyDescent="0.2">
      <c r="A1026" s="8" t="s">
        <v>2422</v>
      </c>
      <c r="B1026" s="9" t="s">
        <v>60</v>
      </c>
      <c r="C1026" s="9">
        <v>1149</v>
      </c>
      <c r="D1026" s="9" t="s">
        <v>1631</v>
      </c>
      <c r="E1026" s="30"/>
      <c r="F1026" s="9" t="s">
        <v>2413</v>
      </c>
      <c r="G1026" s="9" t="s">
        <v>1980</v>
      </c>
      <c r="H1026" s="9" t="s">
        <v>47</v>
      </c>
      <c r="I1026" s="9" t="s">
        <v>2414</v>
      </c>
      <c r="J1026" s="9" t="s">
        <v>2426</v>
      </c>
      <c r="K1026" s="9" t="s">
        <v>2427</v>
      </c>
      <c r="L1026" s="10" t="s">
        <v>2427</v>
      </c>
      <c r="M1026" s="9" t="s">
        <v>51</v>
      </c>
      <c r="N1026" s="9">
        <v>106</v>
      </c>
      <c r="O1026" s="9" t="s">
        <v>72</v>
      </c>
      <c r="P1026" s="9">
        <v>85</v>
      </c>
      <c r="Q1026" s="9">
        <v>85</v>
      </c>
      <c r="R1026" s="9">
        <v>0.05</v>
      </c>
      <c r="S1026" s="9">
        <v>-2.9426700000000001</v>
      </c>
      <c r="T1026" s="9">
        <v>103.30668</v>
      </c>
      <c r="U1026" s="9" t="s">
        <v>52</v>
      </c>
      <c r="V1026" s="11" t="str">
        <f>VLOOKUP(L1026,'[1]singkron data'!D:E,2,FALSE)</f>
        <v>PT. Nanda Sungai Melintang (Kecil)</v>
      </c>
      <c r="W1026" s="13">
        <f>VLOOKUP(L1026,'[1]update tim 2'!D:F,3,FALSE)</f>
        <v>2925186000</v>
      </c>
      <c r="X1026" s="11" t="s">
        <v>55</v>
      </c>
      <c r="Y1026" s="11" t="str">
        <f>VLOOKUP(L1026,'[1]singkron data'!D:H,5,FALSE)</f>
        <v>Musi Rawas</v>
      </c>
      <c r="Z1026" s="11" t="str">
        <f>VLOOKUP(L1026,'[1]singkron data'!D:I,6,FALSE)</f>
        <v>Online</v>
      </c>
      <c r="AA1026" s="11">
        <f>VLOOKUP(L1026,'[1]singkron data'!D:L,9,FALSE)</f>
        <v>0</v>
      </c>
      <c r="AB1026" s="11" t="s">
        <v>54</v>
      </c>
      <c r="AC1026" s="11" t="s">
        <v>520</v>
      </c>
      <c r="AD1026" s="11" t="str">
        <f>VLOOKUP(L1026,'[1]data 1129'!F:O,10,FALSE)</f>
        <v>Tahap IV 200</v>
      </c>
      <c r="AE1026" s="11">
        <f>VLOOKUP(L1026,'[1]singkron data'!D:P,13,FALSE)</f>
        <v>0</v>
      </c>
      <c r="AF1026" s="11" t="s">
        <v>55</v>
      </c>
      <c r="AG1026" s="11" t="e">
        <f>VLOOKUP(L1026,'[1]update kontrak'!E:K,6,FALSE)</f>
        <v>#N/A</v>
      </c>
      <c r="AH1026" s="11" t="e">
        <f>VLOOKUP(L1026,'[1]update kontrak'!E:K,7,FALSE)</f>
        <v>#N/A</v>
      </c>
      <c r="AI1026" s="11"/>
      <c r="AJ1026" s="11" t="str">
        <f>VLOOKUP(L1026,[1]rekap!D:M,1,FALSE)</f>
        <v>Muara Rengas</v>
      </c>
      <c r="AK1026" s="11" t="str">
        <f>VLOOKUP(L1026,'[1]singkron data'!D:E,2,FALSE)</f>
        <v>PT. Nanda Sungai Melintang (Kecil)</v>
      </c>
      <c r="AL1026" s="11" t="str">
        <f>VLOOKUP(L1026,'[1]update 521'!D:D,1,FALSE)</f>
        <v>Muara Rengas</v>
      </c>
      <c r="AM1026" s="11" t="s">
        <v>57</v>
      </c>
      <c r="AN1026" s="11" t="e">
        <f>VLOOKUP(L1026,[1]Sheet19!E:L,8,FALSE)</f>
        <v>#N/A</v>
      </c>
      <c r="AO1026" s="11" t="s">
        <v>58</v>
      </c>
      <c r="AP1026" s="12"/>
    </row>
    <row r="1027" spans="1:42" ht="15" x14ac:dyDescent="0.2">
      <c r="A1027" s="8" t="s">
        <v>2422</v>
      </c>
      <c r="B1027" s="9" t="s">
        <v>60</v>
      </c>
      <c r="C1027" s="9">
        <v>1150</v>
      </c>
      <c r="D1027" s="9" t="s">
        <v>1631</v>
      </c>
      <c r="E1027" s="30"/>
      <c r="F1027" s="9" t="s">
        <v>1998</v>
      </c>
      <c r="G1027" s="9" t="s">
        <v>1882</v>
      </c>
      <c r="H1027" s="9" t="s">
        <v>47</v>
      </c>
      <c r="I1027" s="9" t="s">
        <v>1999</v>
      </c>
      <c r="J1027" s="9" t="s">
        <v>560</v>
      </c>
      <c r="K1027" s="9" t="s">
        <v>2428</v>
      </c>
      <c r="L1027" s="10" t="s">
        <v>2429</v>
      </c>
      <c r="M1027" s="9" t="s">
        <v>51</v>
      </c>
      <c r="N1027" s="9">
        <v>1755</v>
      </c>
      <c r="O1027" s="9">
        <v>76</v>
      </c>
      <c r="P1027" s="9">
        <v>352</v>
      </c>
      <c r="Q1027" s="9">
        <v>428</v>
      </c>
      <c r="R1027" s="9">
        <v>0.5</v>
      </c>
      <c r="S1027" s="9">
        <v>-0.51723600000000003</v>
      </c>
      <c r="T1027" s="9">
        <v>103.40760299999999</v>
      </c>
      <c r="U1027" s="9" t="s">
        <v>52</v>
      </c>
      <c r="V1027" s="11" t="s">
        <v>2162</v>
      </c>
      <c r="W1027" s="13">
        <f>VLOOKUP(L1027,'[1]update tim 2'!D:F,3,FALSE)</f>
        <v>4687450000</v>
      </c>
      <c r="X1027" s="11" t="s">
        <v>55</v>
      </c>
      <c r="Y1027" s="11" t="e">
        <f>VLOOKUP(L1027,'[1]singkron data'!D:H,5,FALSE)</f>
        <v>#N/A</v>
      </c>
      <c r="Z1027" s="11" t="e">
        <f>VLOOKUP(L1027,'[1]singkron data'!D:I,6,FALSE)</f>
        <v>#N/A</v>
      </c>
      <c r="AA1027" s="11" t="s">
        <v>2163</v>
      </c>
      <c r="AB1027" s="11" t="s">
        <v>54</v>
      </c>
      <c r="AC1027" s="11" t="s">
        <v>2164</v>
      </c>
      <c r="AD1027" s="11" t="s">
        <v>364</v>
      </c>
      <c r="AE1027" s="11" t="e">
        <f>VLOOKUP(L1027,'[1]singkron data'!D:P,13,FALSE)</f>
        <v>#N/A</v>
      </c>
      <c r="AF1027" s="11" t="s">
        <v>55</v>
      </c>
      <c r="AG1027" s="11" t="e">
        <f>VLOOKUP(L1027,'[1]update kontrak'!E:K,6,FALSE)</f>
        <v>#N/A</v>
      </c>
      <c r="AH1027" s="11" t="e">
        <f>VLOOKUP(L1027,'[1]update kontrak'!E:K,7,FALSE)</f>
        <v>#N/A</v>
      </c>
      <c r="AI1027" s="11"/>
      <c r="AJ1027" s="11" t="str">
        <f>VLOOKUP(L1027,[1]rekap!D:M,1,FALSE)</f>
        <v>Tanjung Pasir</v>
      </c>
      <c r="AK1027" s="11" t="e">
        <f>VLOOKUP(L1027,'[1]singkron data'!D:E,2,FALSE)</f>
        <v>#N/A</v>
      </c>
      <c r="AL1027" s="11" t="str">
        <f>VLOOKUP(L1027,'[1]update 521'!D:D,1,FALSE)</f>
        <v>Tanjung Pasir</v>
      </c>
      <c r="AM1027" s="11" t="s">
        <v>57</v>
      </c>
      <c r="AN1027" s="11" t="e">
        <f>VLOOKUP(L1027,[1]Sheet19!E:L,8,FALSE)</f>
        <v>#N/A</v>
      </c>
      <c r="AO1027" s="11" t="s">
        <v>58</v>
      </c>
      <c r="AP1027" s="12"/>
    </row>
    <row r="1028" spans="1:42" ht="15" x14ac:dyDescent="0.2">
      <c r="A1028" s="8" t="s">
        <v>2422</v>
      </c>
      <c r="B1028" s="9" t="s">
        <v>60</v>
      </c>
      <c r="C1028" s="9">
        <v>1151</v>
      </c>
      <c r="D1028" s="9" t="s">
        <v>1631</v>
      </c>
      <c r="E1028" s="30"/>
      <c r="F1028" s="9" t="s">
        <v>1998</v>
      </c>
      <c r="G1028" s="9" t="s">
        <v>1882</v>
      </c>
      <c r="H1028" s="9" t="s">
        <v>47</v>
      </c>
      <c r="I1028" s="9" t="s">
        <v>1999</v>
      </c>
      <c r="J1028" s="9" t="s">
        <v>2004</v>
      </c>
      <c r="K1028" s="9" t="s">
        <v>2430</v>
      </c>
      <c r="L1028" s="10" t="s">
        <v>2430</v>
      </c>
      <c r="M1028" s="9" t="s">
        <v>51</v>
      </c>
      <c r="N1028" s="9">
        <v>750</v>
      </c>
      <c r="O1028" s="9">
        <v>150</v>
      </c>
      <c r="P1028" s="9">
        <v>388</v>
      </c>
      <c r="Q1028" s="9">
        <v>538</v>
      </c>
      <c r="R1028" s="9">
        <v>0.82</v>
      </c>
      <c r="S1028" s="9">
        <v>-2.9916999999999999E-2</v>
      </c>
      <c r="T1028" s="9">
        <v>103.373222</v>
      </c>
      <c r="U1028" s="9" t="s">
        <v>52</v>
      </c>
      <c r="V1028" s="11" t="str">
        <f>VLOOKUP(L1028,'[1]singkron data'!D:E,2,FALSE)</f>
        <v>PT. Multi Gapura Pembangunan Semesta</v>
      </c>
      <c r="W1028" s="13">
        <f>VLOOKUP(L1028,'[1]update tim 2'!D:F,3,FALSE)</f>
        <v>4063746000</v>
      </c>
      <c r="X1028" s="11" t="s">
        <v>55</v>
      </c>
      <c r="Y1028" s="11">
        <f>VLOOKUP(L1028,'[1]singkron data'!D:H,5,FALSE)</f>
        <v>0</v>
      </c>
      <c r="Z1028" s="11">
        <f>VLOOKUP(L1028,'[1]singkron data'!D:I,6,FALSE)</f>
        <v>0</v>
      </c>
      <c r="AA1028" s="11">
        <f>VLOOKUP(L1028,'[1]singkron data'!D:L,9,FALSE)</f>
        <v>0</v>
      </c>
      <c r="AB1028" s="11" t="s">
        <v>54</v>
      </c>
      <c r="AC1028" s="11" t="s">
        <v>268</v>
      </c>
      <c r="AD1028" s="11" t="str">
        <f>VLOOKUP(L1028,'[1]data 1129'!F:O,10,FALSE)</f>
        <v>Tahap IV 200</v>
      </c>
      <c r="AE1028" s="11">
        <f>VLOOKUP(L1028,'[1]singkron data'!D:P,13,FALSE)</f>
        <v>0</v>
      </c>
      <c r="AF1028" s="11" t="s">
        <v>55</v>
      </c>
      <c r="AG1028" s="11" t="e">
        <f>VLOOKUP(L1028,'[1]update kontrak'!E:K,6,FALSE)</f>
        <v>#N/A</v>
      </c>
      <c r="AH1028" s="11" t="e">
        <f>VLOOKUP(L1028,'[1]update kontrak'!E:K,7,FALSE)</f>
        <v>#N/A</v>
      </c>
      <c r="AI1028" s="11"/>
      <c r="AJ1028" s="11" t="str">
        <f>VLOOKUP(L1028,[1]rekap!D:M,1,FALSE)</f>
        <v>Batang Tumu</v>
      </c>
      <c r="AK1028" s="11" t="str">
        <f>VLOOKUP(L1028,'[1]singkron data'!D:E,2,FALSE)</f>
        <v>PT. Multi Gapura Pembangunan Semesta</v>
      </c>
      <c r="AL1028" s="11" t="str">
        <f>VLOOKUP(L1028,'[1]update 521'!D:D,1,FALSE)</f>
        <v>Batang Tumu</v>
      </c>
      <c r="AM1028" s="11" t="s">
        <v>57</v>
      </c>
      <c r="AN1028" s="11" t="e">
        <f>VLOOKUP(L1028,[1]Sheet19!E:L,8,FALSE)</f>
        <v>#N/A</v>
      </c>
      <c r="AO1028" s="11" t="s">
        <v>58</v>
      </c>
      <c r="AP1028" s="12"/>
    </row>
    <row r="1029" spans="1:42" ht="15" x14ac:dyDescent="0.2">
      <c r="A1029" s="8" t="s">
        <v>2422</v>
      </c>
      <c r="B1029" s="9" t="s">
        <v>60</v>
      </c>
      <c r="C1029" s="9">
        <v>1152</v>
      </c>
      <c r="D1029" s="9" t="s">
        <v>1631</v>
      </c>
      <c r="E1029" s="30"/>
      <c r="F1029" s="9" t="s">
        <v>2431</v>
      </c>
      <c r="G1029" s="9" t="s">
        <v>1633</v>
      </c>
      <c r="H1029" s="9" t="s">
        <v>47</v>
      </c>
      <c r="I1029" s="9" t="s">
        <v>2432</v>
      </c>
      <c r="J1029" s="9" t="s">
        <v>2433</v>
      </c>
      <c r="K1029" s="9" t="s">
        <v>2434</v>
      </c>
      <c r="L1029" s="37" t="s">
        <v>2434</v>
      </c>
      <c r="M1029" s="9" t="s">
        <v>51</v>
      </c>
      <c r="N1029" s="9">
        <v>750</v>
      </c>
      <c r="O1029" s="9">
        <v>5</v>
      </c>
      <c r="P1029" s="9">
        <v>720</v>
      </c>
      <c r="Q1029" s="9">
        <v>725</v>
      </c>
      <c r="R1029" s="9">
        <v>0.33</v>
      </c>
      <c r="S1029" s="9">
        <v>0.902034</v>
      </c>
      <c r="T1029" s="9">
        <v>103.951429</v>
      </c>
      <c r="U1029" s="9" t="s">
        <v>52</v>
      </c>
      <c r="V1029" s="20" t="s">
        <v>1704</v>
      </c>
      <c r="W1029" s="11"/>
      <c r="X1029" s="11"/>
      <c r="Y1029" s="11">
        <f>VLOOKUP(L1029,'[1]singkron data'!D:H,5,FALSE)</f>
        <v>0</v>
      </c>
      <c r="Z1029" s="11">
        <f>VLOOKUP(L1029,'[1]singkron data'!D:I,6,FALSE)</f>
        <v>0</v>
      </c>
      <c r="AA1029" s="11" t="s">
        <v>1702</v>
      </c>
      <c r="AB1029" s="11" t="s">
        <v>54</v>
      </c>
      <c r="AC1029" s="11" t="s">
        <v>1639</v>
      </c>
      <c r="AD1029" s="11" t="str">
        <f>VLOOKUP(L1029,'[1]data 1129'!F:O,10,FALSE)</f>
        <v>Tahap IV 200</v>
      </c>
      <c r="AE1029" s="11">
        <f>VLOOKUP(L1029,'[1]singkron data'!D:P,13,FALSE)</f>
        <v>0</v>
      </c>
      <c r="AF1029" s="11" t="s">
        <v>55</v>
      </c>
      <c r="AG1029" s="11" t="e">
        <f>VLOOKUP(L1029,'[1]update kontrak'!E:K,6,FALSE)</f>
        <v>#N/A</v>
      </c>
      <c r="AH1029" s="11" t="e">
        <f>VLOOKUP(L1029,'[1]update kontrak'!E:K,7,FALSE)</f>
        <v>#N/A</v>
      </c>
      <c r="AI1029" s="11"/>
      <c r="AJ1029" s="11" t="str">
        <f>VLOOKUP(L1029,[1]rekap!D:M,1,FALSE)</f>
        <v>Temoyong</v>
      </c>
      <c r="AK1029" s="11" t="str">
        <f>VLOOKUP(L1029,'[1]singkron data'!D:E,2,FALSE)</f>
        <v>PT. Ibnu Munsyir Dwi Guna</v>
      </c>
      <c r="AL1029" s="11" t="str">
        <f>VLOOKUP(L1029,'[1]update 521'!D:D,1,FALSE)</f>
        <v>Temoyong</v>
      </c>
      <c r="AM1029" s="11" t="s">
        <v>96</v>
      </c>
      <c r="AN1029" s="11" t="s">
        <v>1704</v>
      </c>
      <c r="AO1029" s="11" t="s">
        <v>1702</v>
      </c>
      <c r="AP1029" s="12" t="s">
        <v>1978</v>
      </c>
    </row>
    <row r="1030" spans="1:42" ht="15" x14ac:dyDescent="0.2">
      <c r="A1030" s="8" t="s">
        <v>2422</v>
      </c>
      <c r="B1030" s="9" t="s">
        <v>60</v>
      </c>
      <c r="C1030" s="9">
        <v>1153</v>
      </c>
      <c r="D1030" s="9" t="s">
        <v>1631</v>
      </c>
      <c r="E1030" s="30"/>
      <c r="F1030" s="9" t="s">
        <v>2145</v>
      </c>
      <c r="G1030" s="9" t="s">
        <v>1633</v>
      </c>
      <c r="H1030" s="9" t="s">
        <v>47</v>
      </c>
      <c r="I1030" s="9" t="s">
        <v>2435</v>
      </c>
      <c r="J1030" s="9" t="s">
        <v>2436</v>
      </c>
      <c r="K1030" s="9" t="s">
        <v>2437</v>
      </c>
      <c r="L1030" s="10" t="s">
        <v>2437</v>
      </c>
      <c r="M1030" s="9" t="s">
        <v>51</v>
      </c>
      <c r="N1030" s="9">
        <v>160</v>
      </c>
      <c r="O1030" s="9" t="s">
        <v>72</v>
      </c>
      <c r="P1030" s="9">
        <v>140</v>
      </c>
      <c r="Q1030" s="9">
        <v>140</v>
      </c>
      <c r="R1030" s="9">
        <v>4.6100000000000003</v>
      </c>
      <c r="S1030" s="9">
        <v>1.0455369999999999</v>
      </c>
      <c r="T1030" s="9">
        <v>103.41034000000001</v>
      </c>
      <c r="U1030" s="9" t="s">
        <v>52</v>
      </c>
      <c r="V1030" s="20" t="s">
        <v>1704</v>
      </c>
      <c r="W1030" s="11"/>
      <c r="X1030" s="11"/>
      <c r="Y1030" s="11">
        <f>VLOOKUP(L1030,'[1]singkron data'!D:H,5,FALSE)</f>
        <v>0</v>
      </c>
      <c r="Z1030" s="11">
        <f>VLOOKUP(L1030,'[1]singkron data'!D:I,6,FALSE)</f>
        <v>0</v>
      </c>
      <c r="AA1030" s="11" t="s">
        <v>1702</v>
      </c>
      <c r="AB1030" s="11" t="s">
        <v>54</v>
      </c>
      <c r="AC1030" s="11" t="s">
        <v>1639</v>
      </c>
      <c r="AD1030" s="11" t="str">
        <f>VLOOKUP(L1030,'[1]data 1129'!F:O,10,FALSE)</f>
        <v>Tahap IV 200</v>
      </c>
      <c r="AE1030" s="11">
        <f>VLOOKUP(L1030,'[1]singkron data'!D:P,13,FALSE)</f>
        <v>0</v>
      </c>
      <c r="AF1030" s="11" t="s">
        <v>55</v>
      </c>
      <c r="AG1030" s="11" t="e">
        <f>VLOOKUP(L1030,'[1]update kontrak'!E:K,6,FALSE)</f>
        <v>#N/A</v>
      </c>
      <c r="AH1030" s="11" t="e">
        <f>VLOOKUP(L1030,'[1]update kontrak'!E:K,7,FALSE)</f>
        <v>#N/A</v>
      </c>
      <c r="AI1030" s="11"/>
      <c r="AJ1030" s="11" t="str">
        <f>VLOOKUP(L1030,[1]rekap!D:M,1,FALSE)</f>
        <v>Teluk Uma</v>
      </c>
      <c r="AK1030" s="11" t="str">
        <f>VLOOKUP(L1030,'[1]singkron data'!D:E,2,FALSE)</f>
        <v>PT. Riden Jaya</v>
      </c>
      <c r="AL1030" s="11" t="str">
        <f>VLOOKUP(L1030,'[1]update 521'!D:D,1,FALSE)</f>
        <v>Teluk Uma</v>
      </c>
      <c r="AM1030" s="11" t="s">
        <v>96</v>
      </c>
      <c r="AN1030" s="11" t="s">
        <v>2438</v>
      </c>
      <c r="AO1030" s="11" t="s">
        <v>2439</v>
      </c>
      <c r="AP1030" s="12" t="s">
        <v>2440</v>
      </c>
    </row>
    <row r="1031" spans="1:42" ht="15" x14ac:dyDescent="0.2">
      <c r="A1031" s="8" t="s">
        <v>2422</v>
      </c>
      <c r="B1031" s="9" t="s">
        <v>60</v>
      </c>
      <c r="C1031" s="9">
        <v>1154</v>
      </c>
      <c r="D1031" s="9" t="s">
        <v>1631</v>
      </c>
      <c r="E1031" s="30"/>
      <c r="F1031" s="9" t="s">
        <v>2145</v>
      </c>
      <c r="G1031" s="9" t="s">
        <v>1633</v>
      </c>
      <c r="H1031" s="9" t="s">
        <v>47</v>
      </c>
      <c r="I1031" s="9" t="s">
        <v>2435</v>
      </c>
      <c r="J1031" s="9" t="s">
        <v>2441</v>
      </c>
      <c r="K1031" s="9" t="s">
        <v>2442</v>
      </c>
      <c r="L1031" s="10" t="s">
        <v>2442</v>
      </c>
      <c r="M1031" s="9" t="s">
        <v>51</v>
      </c>
      <c r="N1031" s="9">
        <v>350</v>
      </c>
      <c r="O1031" s="9" t="s">
        <v>72</v>
      </c>
      <c r="P1031" s="9">
        <v>300</v>
      </c>
      <c r="Q1031" s="9">
        <v>300</v>
      </c>
      <c r="R1031" s="9">
        <v>4.62</v>
      </c>
      <c r="S1031" s="9">
        <v>0.62202500000000005</v>
      </c>
      <c r="T1031" s="9">
        <v>103.475009</v>
      </c>
      <c r="U1031" s="9" t="s">
        <v>52</v>
      </c>
      <c r="V1031" s="20" t="s">
        <v>1704</v>
      </c>
      <c r="W1031" s="11"/>
      <c r="X1031" s="11"/>
      <c r="Y1031" s="11">
        <f>VLOOKUP(L1031,'[1]singkron data'!D:H,5,FALSE)</f>
        <v>0</v>
      </c>
      <c r="Z1031" s="11">
        <f>VLOOKUP(L1031,'[1]singkron data'!D:I,6,FALSE)</f>
        <v>0</v>
      </c>
      <c r="AA1031" s="11" t="s">
        <v>1702</v>
      </c>
      <c r="AB1031" s="11" t="s">
        <v>54</v>
      </c>
      <c r="AC1031" s="11" t="s">
        <v>1639</v>
      </c>
      <c r="AD1031" s="11" t="str">
        <f>VLOOKUP(L1031,'[1]data 1129'!F:O,10,FALSE)</f>
        <v>Tahap IV 200</v>
      </c>
      <c r="AE1031" s="11">
        <f>VLOOKUP(L1031,'[1]singkron data'!D:P,13,FALSE)</f>
        <v>0</v>
      </c>
      <c r="AF1031" s="11" t="s">
        <v>55</v>
      </c>
      <c r="AG1031" s="11" t="e">
        <f>VLOOKUP(L1031,'[1]update kontrak'!E:K,6,FALSE)</f>
        <v>#N/A</v>
      </c>
      <c r="AH1031" s="11" t="e">
        <f>VLOOKUP(L1031,'[1]update kontrak'!E:K,7,FALSE)</f>
        <v>#N/A</v>
      </c>
      <c r="AI1031" s="11"/>
      <c r="AJ1031" s="11" t="str">
        <f>VLOOKUP(L1031,[1]rekap!D:M,1,FALSE)</f>
        <v>Batu Limau</v>
      </c>
      <c r="AK1031" s="11" t="str">
        <f>VLOOKUP(L1031,'[1]singkron data'!D:E,2,FALSE)</f>
        <v>PT. Riden Jaya</v>
      </c>
      <c r="AL1031" s="11" t="str">
        <f>VLOOKUP(L1031,'[1]update 521'!D:D,1,FALSE)</f>
        <v>Batu Limau</v>
      </c>
      <c r="AM1031" s="11" t="s">
        <v>96</v>
      </c>
      <c r="AN1031" s="11" t="s">
        <v>2438</v>
      </c>
      <c r="AO1031" s="11" t="s">
        <v>2439</v>
      </c>
      <c r="AP1031" s="12" t="s">
        <v>2440</v>
      </c>
    </row>
    <row r="1032" spans="1:42" ht="15" x14ac:dyDescent="0.2">
      <c r="A1032" s="8" t="s">
        <v>2422</v>
      </c>
      <c r="B1032" s="9" t="s">
        <v>60</v>
      </c>
      <c r="C1032" s="9">
        <v>1155</v>
      </c>
      <c r="D1032" s="9" t="s">
        <v>1631</v>
      </c>
      <c r="E1032" s="30"/>
      <c r="F1032" s="9" t="s">
        <v>2443</v>
      </c>
      <c r="G1032" s="9" t="s">
        <v>1633</v>
      </c>
      <c r="H1032" s="9" t="s">
        <v>47</v>
      </c>
      <c r="I1032" s="9" t="s">
        <v>2435</v>
      </c>
      <c r="J1032" s="9" t="s">
        <v>2444</v>
      </c>
      <c r="K1032" s="9" t="s">
        <v>2445</v>
      </c>
      <c r="L1032" s="10" t="s">
        <v>2445</v>
      </c>
      <c r="M1032" s="9" t="s">
        <v>81</v>
      </c>
      <c r="N1032" s="9">
        <v>301</v>
      </c>
      <c r="O1032" s="9">
        <v>28</v>
      </c>
      <c r="P1032" s="9">
        <v>98</v>
      </c>
      <c r="Q1032" s="9">
        <v>126</v>
      </c>
      <c r="R1032" s="9">
        <v>1.63</v>
      </c>
      <c r="S1032" s="9">
        <v>0.50307900000000005</v>
      </c>
      <c r="T1032" s="9">
        <v>103.621593</v>
      </c>
      <c r="U1032" s="9" t="s">
        <v>52</v>
      </c>
      <c r="V1032" s="20" t="s">
        <v>1704</v>
      </c>
      <c r="W1032" s="11"/>
      <c r="X1032" s="11"/>
      <c r="Y1032" s="11">
        <f>VLOOKUP(L1032,'[1]singkron data'!D:H,5,FALSE)</f>
        <v>0</v>
      </c>
      <c r="Z1032" s="11">
        <f>VLOOKUP(L1032,'[1]singkron data'!D:I,6,FALSE)</f>
        <v>0</v>
      </c>
      <c r="AA1032" s="11" t="s">
        <v>1702</v>
      </c>
      <c r="AB1032" s="11" t="s">
        <v>54</v>
      </c>
      <c r="AC1032" s="11" t="s">
        <v>1639</v>
      </c>
      <c r="AD1032" s="11" t="str">
        <f>VLOOKUP(L1032,'[1]data 1129'!F:O,10,FALSE)</f>
        <v>Tahap IV 200</v>
      </c>
      <c r="AE1032" s="11">
        <f>VLOOKUP(L1032,'[1]singkron data'!D:P,13,FALSE)</f>
        <v>0</v>
      </c>
      <c r="AF1032" s="11" t="s">
        <v>55</v>
      </c>
      <c r="AG1032" s="11" t="e">
        <f>VLOOKUP(L1032,'[1]update kontrak'!E:K,6,FALSE)</f>
        <v>#N/A</v>
      </c>
      <c r="AH1032" s="11" t="e">
        <f>VLOOKUP(L1032,'[1]update kontrak'!E:K,7,FALSE)</f>
        <v>#N/A</v>
      </c>
      <c r="AI1032" s="11"/>
      <c r="AJ1032" s="11" t="str">
        <f>VLOOKUP(L1032,[1]rekap!D:M,1,FALSE)</f>
        <v>Telaga Tujuh</v>
      </c>
      <c r="AK1032" s="11" t="str">
        <f>VLOOKUP(L1032,'[1]singkron data'!D:E,2,FALSE)</f>
        <v>PT. Riden Jaya</v>
      </c>
      <c r="AL1032" s="11" t="str">
        <f>VLOOKUP(L1032,'[1]update 521'!D:D,1,FALSE)</f>
        <v>Telaga Tujuh</v>
      </c>
      <c r="AM1032" s="11" t="s">
        <v>96</v>
      </c>
      <c r="AN1032" s="11" t="s">
        <v>2438</v>
      </c>
      <c r="AO1032" s="11" t="s">
        <v>2439</v>
      </c>
      <c r="AP1032" s="12" t="s">
        <v>2440</v>
      </c>
    </row>
    <row r="1033" spans="1:42" ht="15" x14ac:dyDescent="0.2">
      <c r="A1033" s="8" t="s">
        <v>2422</v>
      </c>
      <c r="B1033" s="9" t="s">
        <v>60</v>
      </c>
      <c r="C1033" s="9">
        <v>1156</v>
      </c>
      <c r="D1033" s="9" t="s">
        <v>1631</v>
      </c>
      <c r="E1033" s="30"/>
      <c r="F1033" s="9" t="s">
        <v>2443</v>
      </c>
      <c r="G1033" s="9" t="s">
        <v>1633</v>
      </c>
      <c r="H1033" s="9" t="s">
        <v>47</v>
      </c>
      <c r="I1033" s="9" t="s">
        <v>2435</v>
      </c>
      <c r="J1033" s="9" t="s">
        <v>2444</v>
      </c>
      <c r="K1033" s="9" t="s">
        <v>2446</v>
      </c>
      <c r="L1033" s="10" t="s">
        <v>2446</v>
      </c>
      <c r="M1033" s="9" t="s">
        <v>51</v>
      </c>
      <c r="N1033" s="9">
        <v>108</v>
      </c>
      <c r="O1033" s="9" t="s">
        <v>72</v>
      </c>
      <c r="P1033" s="9">
        <v>110</v>
      </c>
      <c r="Q1033" s="9">
        <v>110</v>
      </c>
      <c r="R1033" s="9">
        <v>1.17</v>
      </c>
      <c r="S1033" s="9">
        <v>0.50351999999999997</v>
      </c>
      <c r="T1033" s="9">
        <v>103.631156</v>
      </c>
      <c r="U1033" s="9" t="s">
        <v>52</v>
      </c>
      <c r="V1033" s="20" t="s">
        <v>1704</v>
      </c>
      <c r="W1033" s="11"/>
      <c r="X1033" s="11"/>
      <c r="Y1033" s="11">
        <f>VLOOKUP(L1033,'[1]singkron data'!D:H,5,FALSE)</f>
        <v>0</v>
      </c>
      <c r="Z1033" s="11">
        <f>VLOOKUP(L1033,'[1]singkron data'!D:I,6,FALSE)</f>
        <v>0</v>
      </c>
      <c r="AA1033" s="11" t="s">
        <v>1702</v>
      </c>
      <c r="AB1033" s="11" t="s">
        <v>54</v>
      </c>
      <c r="AC1033" s="11" t="s">
        <v>1639</v>
      </c>
      <c r="AD1033" s="11" t="str">
        <f>VLOOKUP(L1033,'[1]data 1129'!F:O,10,FALSE)</f>
        <v>Tahap IV 200</v>
      </c>
      <c r="AE1033" s="11">
        <f>VLOOKUP(L1033,'[1]singkron data'!D:P,13,FALSE)</f>
        <v>0</v>
      </c>
      <c r="AF1033" s="11" t="s">
        <v>55</v>
      </c>
      <c r="AG1033" s="11" t="e">
        <f>VLOOKUP(L1033,'[1]update kontrak'!E:K,6,FALSE)</f>
        <v>#N/A</v>
      </c>
      <c r="AH1033" s="11" t="e">
        <f>VLOOKUP(L1033,'[1]update kontrak'!E:K,7,FALSE)</f>
        <v>#N/A</v>
      </c>
      <c r="AI1033" s="11"/>
      <c r="AJ1033" s="11" t="str">
        <f>VLOOKUP(L1033,[1]rekap!D:M,1,FALSE)</f>
        <v>Semembang</v>
      </c>
      <c r="AK1033" s="11" t="str">
        <f>VLOOKUP(L1033,'[1]singkron data'!D:E,2,FALSE)</f>
        <v>PT. Riden Jaya</v>
      </c>
      <c r="AL1033" s="11" t="str">
        <f>VLOOKUP(L1033,'[1]update 521'!D:D,1,FALSE)</f>
        <v>Semembang</v>
      </c>
      <c r="AM1033" s="11" t="s">
        <v>96</v>
      </c>
      <c r="AN1033" s="11" t="s">
        <v>2438</v>
      </c>
      <c r="AO1033" s="11" t="s">
        <v>2439</v>
      </c>
      <c r="AP1033" s="12" t="s">
        <v>2440</v>
      </c>
    </row>
    <row r="1034" spans="1:42" ht="15" x14ac:dyDescent="0.2">
      <c r="A1034" s="8" t="s">
        <v>2422</v>
      </c>
      <c r="B1034" s="9" t="s">
        <v>60</v>
      </c>
      <c r="C1034" s="9">
        <v>1157</v>
      </c>
      <c r="D1034" s="9" t="s">
        <v>1631</v>
      </c>
      <c r="E1034" s="30"/>
      <c r="F1034" s="9" t="s">
        <v>1993</v>
      </c>
      <c r="G1034" s="9" t="s">
        <v>1656</v>
      </c>
      <c r="H1034" s="9" t="s">
        <v>47</v>
      </c>
      <c r="I1034" s="9" t="s">
        <v>1809</v>
      </c>
      <c r="J1034" s="9" t="s">
        <v>2447</v>
      </c>
      <c r="K1034" s="9" t="s">
        <v>2448</v>
      </c>
      <c r="L1034" s="9" t="s">
        <v>2448</v>
      </c>
      <c r="M1034" s="9" t="s">
        <v>51</v>
      </c>
      <c r="N1034" s="9">
        <v>451</v>
      </c>
      <c r="O1034" s="9">
        <v>5</v>
      </c>
      <c r="P1034" s="9">
        <v>100</v>
      </c>
      <c r="Q1034" s="9">
        <v>105</v>
      </c>
      <c r="R1034" s="9">
        <v>1.97</v>
      </c>
      <c r="S1034" s="9">
        <v>2.4899529999999999</v>
      </c>
      <c r="T1034" s="9">
        <v>96.371613999999994</v>
      </c>
      <c r="U1034" s="9"/>
      <c r="V1034" s="11" t="e">
        <f>VLOOKUP(L1034,'[1]singkron data'!D:E,2,FALSE)</f>
        <v>#N/A</v>
      </c>
      <c r="W1034" s="11"/>
      <c r="X1034" s="11"/>
      <c r="Y1034" s="11" t="e">
        <f>VLOOKUP(L1034,'[1]singkron data'!D:H,5,FALSE)</f>
        <v>#N/A</v>
      </c>
      <c r="Z1034" s="11" t="e">
        <f>VLOOKUP(L1034,'[1]singkron data'!D:I,6,FALSE)</f>
        <v>#N/A</v>
      </c>
      <c r="AA1034" s="11" t="e">
        <f>VLOOKUP(L1034,'[1]singkron data'!D:L,9,FALSE)</f>
        <v>#N/A</v>
      </c>
      <c r="AB1034" s="11" t="s">
        <v>694</v>
      </c>
      <c r="AC1034" s="11" t="e">
        <f>VLOOKUP(L1034,'[1]singkron data'!D:M,10,FALSE)</f>
        <v>#N/A</v>
      </c>
      <c r="AD1034" s="11" t="s">
        <v>364</v>
      </c>
      <c r="AE1034" s="11" t="e">
        <f>VLOOKUP(L1034,'[1]singkron data'!D:P,13,FALSE)</f>
        <v>#N/A</v>
      </c>
      <c r="AF1034" s="11" t="s">
        <v>55</v>
      </c>
      <c r="AG1034" s="11" t="e">
        <f>VLOOKUP(L1034,'[1]update kontrak'!E:K,6,FALSE)</f>
        <v>#N/A</v>
      </c>
      <c r="AH1034" s="11" t="e">
        <f>VLOOKUP(L1034,'[1]update kontrak'!E:K,7,FALSE)</f>
        <v>#N/A</v>
      </c>
      <c r="AI1034" s="11"/>
      <c r="AJ1034" s="11" t="str">
        <f>VLOOKUP(L1034,[1]rekap!D:M,1,FALSE)</f>
        <v>Amaiteng Mulia</v>
      </c>
      <c r="AK1034" s="11" t="e">
        <f>VLOOKUP(L1034,'[1]singkron data'!D:E,2,FALSE)</f>
        <v>#N/A</v>
      </c>
      <c r="AL1034" s="11" t="str">
        <f>VLOOKUP(L1034,'[1]update 521'!D:D,1,FALSE)</f>
        <v>Amaiteng Mulia</v>
      </c>
      <c r="AM1034" s="11" t="s">
        <v>96</v>
      </c>
      <c r="AN1034" s="11" t="e">
        <f>VLOOKUP(L1034,[1]Sheet19!E:L,8,FALSE)</f>
        <v>#N/A</v>
      </c>
      <c r="AO1034" s="11" t="e">
        <f>VLOOKUP(L1034,[1]Sheet19!E:K,7,FALSE)</f>
        <v>#N/A</v>
      </c>
      <c r="AP1034" s="12"/>
    </row>
    <row r="1035" spans="1:42" ht="15" x14ac:dyDescent="0.2">
      <c r="A1035" s="8" t="s">
        <v>2422</v>
      </c>
      <c r="B1035" s="9" t="s">
        <v>60</v>
      </c>
      <c r="C1035" s="9">
        <v>1158</v>
      </c>
      <c r="D1035" s="9" t="s">
        <v>1631</v>
      </c>
      <c r="E1035" s="30"/>
      <c r="F1035" s="9" t="s">
        <v>1956</v>
      </c>
      <c r="G1035" s="9" t="s">
        <v>1633</v>
      </c>
      <c r="H1035" s="9" t="s">
        <v>47</v>
      </c>
      <c r="I1035" s="9" t="s">
        <v>1700</v>
      </c>
      <c r="J1035" s="9" t="s">
        <v>1957</v>
      </c>
      <c r="K1035" s="9" t="s">
        <v>2449</v>
      </c>
      <c r="L1035" s="37" t="s">
        <v>2449</v>
      </c>
      <c r="M1035" s="9" t="s">
        <v>51</v>
      </c>
      <c r="N1035" s="9">
        <v>66</v>
      </c>
      <c r="O1035" s="9">
        <v>1</v>
      </c>
      <c r="P1035" s="9">
        <v>57</v>
      </c>
      <c r="Q1035" s="9">
        <v>58</v>
      </c>
      <c r="R1035" s="9">
        <v>1</v>
      </c>
      <c r="S1035" s="9">
        <v>3.7344170000000001</v>
      </c>
      <c r="T1035" s="9">
        <v>108.147744</v>
      </c>
      <c r="U1035" s="9" t="s">
        <v>52</v>
      </c>
      <c r="V1035" s="31" t="s">
        <v>1709</v>
      </c>
      <c r="W1035" s="31"/>
      <c r="X1035" s="31"/>
      <c r="Y1035" s="31">
        <f>VLOOKUP(L1035,'[1]singkron data'!D:H,5,FALSE)</f>
        <v>0</v>
      </c>
      <c r="Z1035" s="31" t="str">
        <f>VLOOKUP(L1035,'[1]singkron data'!D:I,6,FALSE)</f>
        <v>Offline</v>
      </c>
      <c r="AA1035" s="11" t="s">
        <v>1958</v>
      </c>
      <c r="AB1035" s="31" t="s">
        <v>54</v>
      </c>
      <c r="AC1035" s="31" t="s">
        <v>1959</v>
      </c>
      <c r="AD1035" s="31" t="str">
        <f>VLOOKUP(L1035,'[1]data 1129'!F:O,10,FALSE)</f>
        <v>Tahap IV 200</v>
      </c>
      <c r="AE1035" s="11">
        <f>VLOOKUP(L1035,'[1]singkron data'!D:P,13,FALSE)</f>
        <v>0</v>
      </c>
      <c r="AF1035" s="11" t="s">
        <v>55</v>
      </c>
      <c r="AG1035" s="11" t="e">
        <f>VLOOKUP(L1035,'[1]update kontrak'!E:K,6,FALSE)</f>
        <v>#N/A</v>
      </c>
      <c r="AH1035" s="11" t="e">
        <f>VLOOKUP(L1035,'[1]update kontrak'!E:K,7,FALSE)</f>
        <v>#N/A</v>
      </c>
      <c r="AI1035" s="11"/>
      <c r="AJ1035" s="11" t="str">
        <f>VLOOKUP(L1035,[1]rekap!D:M,1,FALSE)</f>
        <v>Mekar Jaya</v>
      </c>
      <c r="AK1035" s="11" t="str">
        <f>VLOOKUP(L1035,'[1]singkron data'!D:E,2,FALSE)</f>
        <v>PT. Ibnu Munsyir Dwi Guna</v>
      </c>
      <c r="AL1035" s="11" t="str">
        <f>VLOOKUP(L1035,'[1]update 521'!D:D,1,FALSE)</f>
        <v>Mekar Jaya</v>
      </c>
      <c r="AM1035" s="11" t="s">
        <v>96</v>
      </c>
      <c r="AN1035" s="11" t="s">
        <v>1960</v>
      </c>
      <c r="AO1035" s="11" t="s">
        <v>1961</v>
      </c>
      <c r="AP1035" s="12" t="s">
        <v>1959</v>
      </c>
    </row>
    <row r="1036" spans="1:42" ht="15" x14ac:dyDescent="0.2">
      <c r="A1036" s="8" t="s">
        <v>2422</v>
      </c>
      <c r="B1036" s="9" t="s">
        <v>60</v>
      </c>
      <c r="C1036" s="9">
        <v>1159</v>
      </c>
      <c r="D1036" s="9" t="s">
        <v>1631</v>
      </c>
      <c r="E1036" s="30"/>
      <c r="F1036" s="9" t="s">
        <v>1849</v>
      </c>
      <c r="G1036" s="9" t="s">
        <v>1633</v>
      </c>
      <c r="H1036" s="9" t="s">
        <v>47</v>
      </c>
      <c r="I1036" s="9" t="s">
        <v>1673</v>
      </c>
      <c r="J1036" s="9" t="s">
        <v>2450</v>
      </c>
      <c r="K1036" s="9" t="s">
        <v>2451</v>
      </c>
      <c r="L1036" s="37" t="s">
        <v>2451</v>
      </c>
      <c r="M1036" s="9" t="s">
        <v>65</v>
      </c>
      <c r="N1036" s="9">
        <v>405</v>
      </c>
      <c r="O1036" s="9">
        <v>121</v>
      </c>
      <c r="P1036" s="9">
        <v>193</v>
      </c>
      <c r="Q1036" s="9">
        <v>314</v>
      </c>
      <c r="R1036" s="9">
        <v>1</v>
      </c>
      <c r="S1036" s="9">
        <v>0.28610000000000002</v>
      </c>
      <c r="T1036" s="9">
        <v>104.41898</v>
      </c>
      <c r="U1036" s="9" t="s">
        <v>52</v>
      </c>
      <c r="V1036" s="11"/>
      <c r="W1036" s="11"/>
      <c r="X1036" s="11"/>
      <c r="Y1036" s="11">
        <f>VLOOKUP(L1036,'[1]singkron data'!D:H,5,FALSE)</f>
        <v>0</v>
      </c>
      <c r="Z1036" s="11">
        <f>VLOOKUP(L1036,'[1]singkron data'!D:I,6,FALSE)</f>
        <v>0</v>
      </c>
      <c r="AA1036" s="11" t="s">
        <v>1702</v>
      </c>
      <c r="AB1036" s="11" t="s">
        <v>54</v>
      </c>
      <c r="AC1036" s="11" t="s">
        <v>1703</v>
      </c>
      <c r="AD1036" s="11" t="str">
        <f>VLOOKUP(L1036,'[1]data 1129'!F:O,10,FALSE)</f>
        <v>Tahap IV 200</v>
      </c>
      <c r="AE1036" s="11">
        <f>VLOOKUP(L1036,'[1]singkron data'!D:P,13,FALSE)</f>
        <v>0</v>
      </c>
      <c r="AF1036" s="11" t="s">
        <v>55</v>
      </c>
      <c r="AG1036" s="11" t="e">
        <f>VLOOKUP(L1036,'[1]update kontrak'!E:K,6,FALSE)</f>
        <v>#N/A</v>
      </c>
      <c r="AH1036" s="11" t="e">
        <f>VLOOKUP(L1036,'[1]update kontrak'!E:K,7,FALSE)</f>
        <v>#N/A</v>
      </c>
      <c r="AI1036" s="11"/>
      <c r="AJ1036" s="11" t="str">
        <f>VLOOKUP(L1036,[1]rekap!D:M,1,FALSE)</f>
        <v>Tajur Biru</v>
      </c>
      <c r="AK1036" s="11" t="str">
        <f>VLOOKUP(L1036,'[1]singkron data'!D:E,2,FALSE)</f>
        <v>PT. Ibnu Munsyir Dwi Guna</v>
      </c>
      <c r="AL1036" s="11" t="str">
        <f>VLOOKUP(L1036,'[1]update 521'!D:D,1,FALSE)</f>
        <v>Tajur Biru</v>
      </c>
      <c r="AM1036" s="11" t="s">
        <v>96</v>
      </c>
      <c r="AN1036" s="11" t="s">
        <v>1704</v>
      </c>
      <c r="AO1036" s="11" t="s">
        <v>1702</v>
      </c>
      <c r="AP1036" s="12" t="s">
        <v>268</v>
      </c>
    </row>
    <row r="1037" spans="1:42" ht="15" x14ac:dyDescent="0.2">
      <c r="A1037" s="8" t="s">
        <v>2422</v>
      </c>
      <c r="B1037" s="9" t="s">
        <v>60</v>
      </c>
      <c r="C1037" s="9">
        <v>1160</v>
      </c>
      <c r="D1037" s="9" t="s">
        <v>1631</v>
      </c>
      <c r="E1037" s="30"/>
      <c r="F1037" s="9" t="s">
        <v>1672</v>
      </c>
      <c r="G1037" s="9" t="s">
        <v>1633</v>
      </c>
      <c r="H1037" s="9" t="s">
        <v>47</v>
      </c>
      <c r="I1037" s="9" t="s">
        <v>1673</v>
      </c>
      <c r="J1037" s="9" t="s">
        <v>2452</v>
      </c>
      <c r="K1037" s="9" t="s">
        <v>1672</v>
      </c>
      <c r="L1037" s="10" t="s">
        <v>1672</v>
      </c>
      <c r="M1037" s="9" t="s">
        <v>65</v>
      </c>
      <c r="N1037" s="9">
        <v>408</v>
      </c>
      <c r="O1037" s="9">
        <v>150</v>
      </c>
      <c r="P1037" s="9">
        <v>258</v>
      </c>
      <c r="Q1037" s="9">
        <v>408</v>
      </c>
      <c r="R1037" s="9">
        <v>0.97</v>
      </c>
      <c r="S1037" s="9">
        <v>-0.37096000000000001</v>
      </c>
      <c r="T1037" s="9">
        <v>104.17218</v>
      </c>
      <c r="U1037" s="9" t="s">
        <v>52</v>
      </c>
      <c r="V1037" s="11" t="str">
        <f>VLOOKUP(L1037,'[1]singkron data'!D:E,2,FALSE)</f>
        <v>Dinamika Bangun Mandiri</v>
      </c>
      <c r="W1037" s="11"/>
      <c r="X1037" s="11"/>
      <c r="Y1037" s="11">
        <f>VLOOKUP(L1037,'[1]singkron data'!D:H,5,FALSE)</f>
        <v>0</v>
      </c>
      <c r="Z1037" s="11">
        <f>VLOOKUP(L1037,'[1]singkron data'!D:I,6,FALSE)</f>
        <v>0</v>
      </c>
      <c r="AA1037" s="11">
        <f>VLOOKUP(L1037,'[1]singkron data'!D:L,9,FALSE)</f>
        <v>0</v>
      </c>
      <c r="AB1037" s="11" t="s">
        <v>54</v>
      </c>
      <c r="AC1037" s="20" t="s">
        <v>1676</v>
      </c>
      <c r="AD1037" s="11" t="str">
        <f>VLOOKUP(L1037,'[1]data 1129'!F:O,10,FALSE)</f>
        <v>Tahap IV 200</v>
      </c>
      <c r="AE1037" s="11">
        <f>VLOOKUP(L1037,'[1]singkron data'!D:P,13,FALSE)</f>
        <v>0</v>
      </c>
      <c r="AF1037" s="11" t="s">
        <v>55</v>
      </c>
      <c r="AG1037" s="11" t="e">
        <f>VLOOKUP(L1037,'[1]update kontrak'!E:K,6,FALSE)</f>
        <v>#N/A</v>
      </c>
      <c r="AH1037" s="11" t="e">
        <f>VLOOKUP(L1037,'[1]update kontrak'!E:K,7,FALSE)</f>
        <v>#N/A</v>
      </c>
      <c r="AI1037" s="11"/>
      <c r="AJ1037" s="11" t="str">
        <f>VLOOKUP(L1037,[1]rekap!D:M,1,FALSE)</f>
        <v>Posek</v>
      </c>
      <c r="AK1037" s="11" t="str">
        <f>VLOOKUP(L1037,'[1]singkron data'!D:E,2,FALSE)</f>
        <v>Dinamika Bangun Mandiri</v>
      </c>
      <c r="AL1037" s="11" t="str">
        <f>VLOOKUP(L1037,'[1]update 521'!D:D,1,FALSE)</f>
        <v>Posek</v>
      </c>
      <c r="AM1037" s="11" t="s">
        <v>96</v>
      </c>
      <c r="AN1037" s="11" t="s">
        <v>1677</v>
      </c>
      <c r="AO1037" s="11"/>
      <c r="AP1037" s="12" t="s">
        <v>1678</v>
      </c>
    </row>
    <row r="1038" spans="1:42" ht="15" x14ac:dyDescent="0.2">
      <c r="A1038" s="8" t="s">
        <v>2422</v>
      </c>
      <c r="B1038" s="9" t="s">
        <v>60</v>
      </c>
      <c r="C1038" s="9">
        <v>1161</v>
      </c>
      <c r="D1038" s="9" t="s">
        <v>284</v>
      </c>
      <c r="E1038" s="30"/>
      <c r="F1038" s="9" t="s">
        <v>493</v>
      </c>
      <c r="G1038" s="9" t="s">
        <v>301</v>
      </c>
      <c r="H1038" s="9" t="s">
        <v>287</v>
      </c>
      <c r="I1038" s="9" t="s">
        <v>1169</v>
      </c>
      <c r="J1038" s="9" t="s">
        <v>2453</v>
      </c>
      <c r="K1038" s="9" t="s">
        <v>2454</v>
      </c>
      <c r="L1038" s="10" t="s">
        <v>2454</v>
      </c>
      <c r="M1038" s="9" t="s">
        <v>51</v>
      </c>
      <c r="N1038" s="9">
        <v>98</v>
      </c>
      <c r="O1038" s="9" t="s">
        <v>72</v>
      </c>
      <c r="P1038" s="9">
        <v>60</v>
      </c>
      <c r="Q1038" s="9">
        <v>60</v>
      </c>
      <c r="R1038" s="9">
        <v>0.06</v>
      </c>
      <c r="S1038" s="9">
        <v>-6.9234179999999999</v>
      </c>
      <c r="T1038" s="9">
        <v>110.013085</v>
      </c>
      <c r="U1038" s="9" t="s">
        <v>52</v>
      </c>
      <c r="V1038" s="11" t="str">
        <f>VLOOKUP(L1038,'[1]singkron data'!D:E,2,FALSE)</f>
        <v>CV. Bumi Jaya Berkah Abadi</v>
      </c>
      <c r="W1038" s="13">
        <f>VLOOKUP(L1038,'[1]data 1129'!F:H,3,FALSE)</f>
        <v>5437000000</v>
      </c>
      <c r="X1038" s="11" t="s">
        <v>55</v>
      </c>
      <c r="Y1038" s="11">
        <f>VLOOKUP(L1038,'[1]singkron data'!D:H,5,FALSE)</f>
        <v>0</v>
      </c>
      <c r="Z1038" s="11">
        <f>VLOOKUP(L1038,'[1]singkron data'!D:I,6,FALSE)</f>
        <v>0</v>
      </c>
      <c r="AA1038" s="11" t="str">
        <f>VLOOKUP(L1038,'[1]singkron data'!D:L,9,FALSE)</f>
        <v>087776689958/iwan</v>
      </c>
      <c r="AB1038" s="11" t="s">
        <v>54</v>
      </c>
      <c r="AC1038" s="11" t="str">
        <f>VLOOKUP(L1038,'[1]singkron data'!D:M,10,FALSE)</f>
        <v>g</v>
      </c>
      <c r="AD1038" s="11" t="str">
        <f>VLOOKUP(L1038,'[1]data 1129'!F:O,10,FALSE)</f>
        <v>Tahap IV 200</v>
      </c>
      <c r="AE1038" s="11" t="str">
        <f>VLOOKUP(L1038,'[1]singkron data'!D:P,13,FALSE)</f>
        <v>sudah</v>
      </c>
      <c r="AF1038" s="11" t="s">
        <v>55</v>
      </c>
      <c r="AG1038" s="11" t="e">
        <f>VLOOKUP(L1038,'[1]update kontrak'!E:K,6,FALSE)</f>
        <v>#N/A</v>
      </c>
      <c r="AH1038" s="11" t="e">
        <f>VLOOKUP(L1038,'[1]update kontrak'!E:K,7,FALSE)</f>
        <v>#N/A</v>
      </c>
      <c r="AI1038" s="11" t="s">
        <v>58</v>
      </c>
      <c r="AJ1038" s="11" t="str">
        <f>VLOOKUP(L1038,[1]rekap!D:M,1,FALSE)</f>
        <v>Sidorejo</v>
      </c>
      <c r="AK1038" s="11" t="str">
        <f>VLOOKUP(L1038,'[1]singkron data'!D:E,2,FALSE)</f>
        <v>CV. Bumi Jaya Berkah Abadi</v>
      </c>
      <c r="AL1038" s="11" t="str">
        <f>VLOOKUP(L1038,'[1]update 521'!D:D,1,FALSE)</f>
        <v>Sidorejo</v>
      </c>
      <c r="AM1038" s="11" t="s">
        <v>57</v>
      </c>
      <c r="AN1038" s="11" t="e">
        <f>VLOOKUP(L1038,[1]Sheet19!E:L,8,FALSE)</f>
        <v>#N/A</v>
      </c>
      <c r="AO1038" s="11" t="s">
        <v>58</v>
      </c>
      <c r="AP1038" s="12"/>
    </row>
    <row r="1039" spans="1:42" ht="15" x14ac:dyDescent="0.2">
      <c r="A1039" s="8" t="s">
        <v>2422</v>
      </c>
      <c r="B1039" s="9" t="s">
        <v>60</v>
      </c>
      <c r="C1039" s="9">
        <v>1162</v>
      </c>
      <c r="D1039" s="9" t="s">
        <v>284</v>
      </c>
      <c r="E1039" s="30"/>
      <c r="F1039" s="9" t="s">
        <v>493</v>
      </c>
      <c r="G1039" s="9" t="s">
        <v>301</v>
      </c>
      <c r="H1039" s="9" t="s">
        <v>287</v>
      </c>
      <c r="I1039" s="9" t="s">
        <v>1169</v>
      </c>
      <c r="J1039" s="9" t="s">
        <v>1169</v>
      </c>
      <c r="K1039" s="9" t="s">
        <v>2455</v>
      </c>
      <c r="L1039" s="10" t="s">
        <v>2455</v>
      </c>
      <c r="M1039" s="9" t="s">
        <v>81</v>
      </c>
      <c r="N1039" s="9">
        <v>900</v>
      </c>
      <c r="O1039" s="9" t="s">
        <v>72</v>
      </c>
      <c r="P1039" s="9">
        <v>150</v>
      </c>
      <c r="Q1039" s="9">
        <v>150</v>
      </c>
      <c r="R1039" s="9">
        <v>0.2</v>
      </c>
      <c r="S1039" s="9">
        <v>-6.8870940000000003</v>
      </c>
      <c r="T1039" s="9">
        <v>109.748698</v>
      </c>
      <c r="U1039" s="9" t="s">
        <v>52</v>
      </c>
      <c r="V1039" s="11" t="str">
        <f>VLOOKUP(L1039,'[1]singkron data'!D:E,2,FALSE)</f>
        <v>CV. Bumi Jaya Berkah Abadi</v>
      </c>
      <c r="W1039" s="13">
        <f>VLOOKUP(L1039,'[1]data 1129'!F:H,3,FALSE)</f>
        <v>3250000000</v>
      </c>
      <c r="X1039" s="11" t="s">
        <v>55</v>
      </c>
      <c r="Y1039" s="11">
        <f>VLOOKUP(L1039,'[1]singkron data'!D:H,5,FALSE)</f>
        <v>0</v>
      </c>
      <c r="Z1039" s="11">
        <f>VLOOKUP(L1039,'[1]singkron data'!D:I,6,FALSE)</f>
        <v>0</v>
      </c>
      <c r="AA1039" s="11" t="str">
        <f>VLOOKUP(L1039,'[1]singkron data'!D:L,9,FALSE)</f>
        <v>087776689958/iwan</v>
      </c>
      <c r="AB1039" s="11" t="s">
        <v>54</v>
      </c>
      <c r="AC1039" s="11" t="str">
        <f>VLOOKUP(L1039,'[1]singkron data'!D:M,10,FALSE)</f>
        <v>g</v>
      </c>
      <c r="AD1039" s="11" t="str">
        <f>VLOOKUP(L1039,'[1]data 1129'!F:O,10,FALSE)</f>
        <v>Tahap III 166</v>
      </c>
      <c r="AE1039" s="11" t="str">
        <f>VLOOKUP(L1039,'[1]singkron data'!D:P,13,FALSE)</f>
        <v>sudah</v>
      </c>
      <c r="AF1039" s="11" t="s">
        <v>55</v>
      </c>
      <c r="AG1039" s="11" t="e">
        <f>VLOOKUP(L1039,'[1]update kontrak'!E:K,6,FALSE)</f>
        <v>#N/A</v>
      </c>
      <c r="AH1039" s="11" t="e">
        <f>VLOOKUP(L1039,'[1]update kontrak'!E:K,7,FALSE)</f>
        <v>#N/A</v>
      </c>
      <c r="AI1039" s="11" t="s">
        <v>58</v>
      </c>
      <c r="AJ1039" s="11" t="str">
        <f>VLOOKUP(L1039,[1]rekap!D:M,1,FALSE)</f>
        <v>Klidang Lor</v>
      </c>
      <c r="AK1039" s="11" t="str">
        <f>VLOOKUP(L1039,'[1]singkron data'!D:E,2,FALSE)</f>
        <v>CV. Bumi Jaya Berkah Abadi</v>
      </c>
      <c r="AL1039" s="11" t="str">
        <f>VLOOKUP(L1039,'[1]update 521'!D:D,1,FALSE)</f>
        <v>Klidang Lor</v>
      </c>
      <c r="AM1039" s="11" t="s">
        <v>57</v>
      </c>
      <c r="AN1039" s="11" t="e">
        <f>VLOOKUP(L1039,[1]Sheet19!E:L,8,FALSE)</f>
        <v>#N/A</v>
      </c>
      <c r="AO1039" s="11" t="s">
        <v>58</v>
      </c>
      <c r="AP1039" s="12"/>
    </row>
    <row r="1040" spans="1:42" ht="15" x14ac:dyDescent="0.2">
      <c r="A1040" s="8" t="s">
        <v>2422</v>
      </c>
      <c r="B1040" s="9" t="s">
        <v>60</v>
      </c>
      <c r="C1040" s="9">
        <v>1163</v>
      </c>
      <c r="D1040" s="9" t="s">
        <v>1631</v>
      </c>
      <c r="E1040" s="30"/>
      <c r="F1040" s="9" t="s">
        <v>2135</v>
      </c>
      <c r="G1040" s="9" t="s">
        <v>1647</v>
      </c>
      <c r="H1040" s="9" t="s">
        <v>47</v>
      </c>
      <c r="I1040" s="9" t="s">
        <v>2136</v>
      </c>
      <c r="J1040" s="9" t="s">
        <v>2141</v>
      </c>
      <c r="K1040" s="9" t="s">
        <v>1508</v>
      </c>
      <c r="L1040" s="10" t="s">
        <v>1508</v>
      </c>
      <c r="M1040" s="9" t="s">
        <v>51</v>
      </c>
      <c r="N1040" s="9">
        <v>200</v>
      </c>
      <c r="O1040" s="9">
        <v>15</v>
      </c>
      <c r="P1040" s="9">
        <v>115</v>
      </c>
      <c r="Q1040" s="9">
        <v>130</v>
      </c>
      <c r="R1040" s="9">
        <v>0.56530000000000002</v>
      </c>
      <c r="S1040" s="9">
        <v>-3.0547211000000001</v>
      </c>
      <c r="T1040" s="9">
        <v>106.74032390000001</v>
      </c>
      <c r="U1040" s="9" t="s">
        <v>52</v>
      </c>
      <c r="V1040" s="11" t="s">
        <v>2456</v>
      </c>
      <c r="W1040" s="11"/>
      <c r="X1040" s="11"/>
      <c r="Y1040" s="11">
        <f>VLOOKUP(L1040,'[1]singkron data'!D:H,5,FALSE)</f>
        <v>0</v>
      </c>
      <c r="Z1040" s="11">
        <f>VLOOKUP(L1040,'[1]singkron data'!D:I,6,FALSE)</f>
        <v>0</v>
      </c>
      <c r="AA1040" s="11" t="s">
        <v>2457</v>
      </c>
      <c r="AB1040" s="11" t="s">
        <v>54</v>
      </c>
      <c r="AC1040" s="11" t="str">
        <f>VLOOKUP(L1040,'[1]singkron data'!D:M,10,FALSE)</f>
        <v>Galu BIN-independent fighter</v>
      </c>
      <c r="AD1040" s="11" t="str">
        <f>VLOOKUP(L1040,'[1]data 1129'!F:O,10,FALSE)</f>
        <v>Tahap I 208</v>
      </c>
      <c r="AE1040" s="11" t="str">
        <f>VLOOKUP(L1040,'[1]singkron data'!D:P,13,FALSE)</f>
        <v>sudah</v>
      </c>
      <c r="AF1040" s="11" t="s">
        <v>55</v>
      </c>
      <c r="AG1040" s="11" t="e">
        <f>VLOOKUP(L1040,'[1]update kontrak'!E:K,6,FALSE)</f>
        <v>#N/A</v>
      </c>
      <c r="AH1040" s="11" t="e">
        <f>VLOOKUP(L1040,'[1]update kontrak'!E:K,7,FALSE)</f>
        <v>#N/A</v>
      </c>
      <c r="AI1040" s="11" t="s">
        <v>58</v>
      </c>
      <c r="AJ1040" s="11" t="str">
        <f>VLOOKUP(L1040,[1]rekap!D:M,1,FALSE)</f>
        <v>Pasir Putih</v>
      </c>
      <c r="AK1040" s="11" t="str">
        <f>VLOOKUP(L1040,'[1]singkron data'!D:E,2,FALSE)</f>
        <v>Independent Fighter</v>
      </c>
      <c r="AL1040" s="11" t="str">
        <f>VLOOKUP(L1040,'[1]update 521'!D:D,1,FALSE)</f>
        <v>Pasir Putih</v>
      </c>
      <c r="AM1040" s="11" t="s">
        <v>57</v>
      </c>
      <c r="AN1040" s="17">
        <f>VLOOKUP(L1040,[1]Sheet19!E:L,8,FALSE)</f>
        <v>4511507000</v>
      </c>
      <c r="AO1040" s="11" t="str">
        <f>VLOOKUP(L1040,[1]Sheet19!E:K,7,FALSE)</f>
        <v>KONTRAK</v>
      </c>
      <c r="AP1040" s="12" t="s">
        <v>41</v>
      </c>
    </row>
    <row r="1041" spans="1:42" ht="15" x14ac:dyDescent="0.2">
      <c r="A1041" s="8" t="s">
        <v>2422</v>
      </c>
      <c r="B1041" s="9" t="s">
        <v>60</v>
      </c>
      <c r="C1041" s="9">
        <v>1164</v>
      </c>
      <c r="D1041" s="9" t="s">
        <v>1631</v>
      </c>
      <c r="E1041" s="30"/>
      <c r="F1041" s="9" t="s">
        <v>2135</v>
      </c>
      <c r="G1041" s="9" t="s">
        <v>1647</v>
      </c>
      <c r="H1041" s="9" t="s">
        <v>47</v>
      </c>
      <c r="I1041" s="9" t="s">
        <v>2136</v>
      </c>
      <c r="J1041" s="9" t="s">
        <v>2143</v>
      </c>
      <c r="K1041" s="9" t="s">
        <v>2458</v>
      </c>
      <c r="L1041" s="10" t="s">
        <v>2458</v>
      </c>
      <c r="M1041" s="9" t="s">
        <v>51</v>
      </c>
      <c r="N1041" s="9">
        <v>100</v>
      </c>
      <c r="O1041" s="9">
        <v>76</v>
      </c>
      <c r="P1041" s="9" t="s">
        <v>72</v>
      </c>
      <c r="Q1041" s="9">
        <v>76</v>
      </c>
      <c r="R1041" s="9" t="s">
        <v>223</v>
      </c>
      <c r="S1041" s="9">
        <v>-2.9670230000000002</v>
      </c>
      <c r="T1041" s="9">
        <v>106.34617110000001</v>
      </c>
      <c r="U1041" s="9" t="s">
        <v>52</v>
      </c>
      <c r="V1041" s="11" t="str">
        <f>VLOOKUP(L1041,'[1]singkron data'!D:E,2,FALSE)</f>
        <v>PT. Laksana Aneka Sarana</v>
      </c>
      <c r="W1041" s="11"/>
      <c r="X1041" s="11"/>
      <c r="Y1041" s="11">
        <f>VLOOKUP(L1041,'[1]singkron data'!D:H,5,FALSE)</f>
        <v>0</v>
      </c>
      <c r="Z1041" s="11" t="str">
        <f>VLOOKUP(L1041,'[1]singkron data'!D:I,6,FALSE)</f>
        <v>Online</v>
      </c>
      <c r="AA1041" s="11" t="str">
        <f>VLOOKUP(L1041,'[1]singkron data'!D:L,9,FALSE)</f>
        <v>08129674773/sidik</v>
      </c>
      <c r="AB1041" s="11" t="s">
        <v>54</v>
      </c>
      <c r="AC1041" s="11" t="str">
        <f>VLOOKUP(L1041,'[1]singkron data'!D:M,10,FALSE)</f>
        <v>Rid-Ongen</v>
      </c>
      <c r="AD1041" s="11" t="str">
        <f>VLOOKUP(L1041,'[1]data 1129'!F:O,10,FALSE)</f>
        <v>Tahap IV 200</v>
      </c>
      <c r="AE1041" s="11">
        <f>VLOOKUP(L1041,'[1]singkron data'!D:P,13,FALSE)</f>
        <v>0</v>
      </c>
      <c r="AF1041" s="11" t="s">
        <v>55</v>
      </c>
      <c r="AG1041" s="11" t="e">
        <f>VLOOKUP(L1041,'[1]update kontrak'!E:K,6,FALSE)</f>
        <v>#N/A</v>
      </c>
      <c r="AH1041" s="11" t="e">
        <f>VLOOKUP(L1041,'[1]update kontrak'!E:K,7,FALSE)</f>
        <v>#N/A</v>
      </c>
      <c r="AI1041" s="11"/>
      <c r="AJ1041" s="11" t="str">
        <f>VLOOKUP(L1041,[1]rekap!D:M,1,FALSE)</f>
        <v>Serdang</v>
      </c>
      <c r="AK1041" s="11" t="str">
        <f>VLOOKUP(L1041,'[1]singkron data'!D:E,2,FALSE)</f>
        <v>PT. Laksana Aneka Sarana</v>
      </c>
      <c r="AL1041" s="11" t="str">
        <f>VLOOKUP(L1041,'[1]update 521'!D:D,1,FALSE)</f>
        <v>Serdang</v>
      </c>
      <c r="AM1041" s="11" t="e">
        <v>#N/A</v>
      </c>
      <c r="AN1041" s="11" t="e">
        <f>VLOOKUP(L1041,[1]Sheet19!E:L,8,FALSE)</f>
        <v>#N/A</v>
      </c>
      <c r="AO1041" s="11" t="e">
        <f>VLOOKUP(L1041,[1]Sheet19!E:K,7,FALSE)</f>
        <v>#N/A</v>
      </c>
      <c r="AP1041" s="12"/>
    </row>
    <row r="1042" spans="1:42" ht="15" x14ac:dyDescent="0.2">
      <c r="A1042" s="8" t="s">
        <v>2422</v>
      </c>
      <c r="B1042" s="9" t="s">
        <v>60</v>
      </c>
      <c r="C1042" s="9">
        <v>1166</v>
      </c>
      <c r="D1042" s="9" t="s">
        <v>1631</v>
      </c>
      <c r="E1042" s="30"/>
      <c r="F1042" s="9" t="s">
        <v>2135</v>
      </c>
      <c r="G1042" s="9" t="s">
        <v>1647</v>
      </c>
      <c r="H1042" s="9" t="s">
        <v>47</v>
      </c>
      <c r="I1042" s="9" t="s">
        <v>2136</v>
      </c>
      <c r="J1042" s="9" t="s">
        <v>2143</v>
      </c>
      <c r="K1042" s="9" t="s">
        <v>2459</v>
      </c>
      <c r="L1042" s="10" t="s">
        <v>2459</v>
      </c>
      <c r="M1042" s="9" t="s">
        <v>51</v>
      </c>
      <c r="N1042" s="9">
        <v>80</v>
      </c>
      <c r="O1042" s="9">
        <v>10</v>
      </c>
      <c r="P1042" s="9">
        <v>76</v>
      </c>
      <c r="Q1042" s="9">
        <v>86</v>
      </c>
      <c r="R1042" s="9">
        <v>0.1</v>
      </c>
      <c r="S1042" s="9">
        <v>-2.9235861000000001</v>
      </c>
      <c r="T1042" s="9">
        <v>106.5496972</v>
      </c>
      <c r="U1042" s="9" t="s">
        <v>52</v>
      </c>
      <c r="V1042" s="11" t="str">
        <f>VLOOKUP(L1042,'[1]singkron data'!D:E,2,FALSE)</f>
        <v>PT. Laksana Aneka Sarana</v>
      </c>
      <c r="W1042" s="13">
        <f>VLOOKUP(L1042,'[1]update tim 2'!D:F,3,FALSE)</f>
        <v>3274096000</v>
      </c>
      <c r="X1042" s="11" t="s">
        <v>55</v>
      </c>
      <c r="Y1042" s="11">
        <f>VLOOKUP(L1042,'[1]singkron data'!D:H,5,FALSE)</f>
        <v>0</v>
      </c>
      <c r="Z1042" s="11" t="str">
        <f>VLOOKUP(L1042,'[1]singkron data'!D:I,6,FALSE)</f>
        <v>Online</v>
      </c>
      <c r="AA1042" s="11" t="str">
        <f>VLOOKUP(L1042,'[1]singkron data'!D:L,9,FALSE)</f>
        <v>08129674773/sidik</v>
      </c>
      <c r="AB1042" s="11" t="s">
        <v>54</v>
      </c>
      <c r="AC1042" s="11" t="str">
        <f>VLOOKUP(L1042,'[1]singkron data'!D:M,10,FALSE)</f>
        <v>Rid-Ongen</v>
      </c>
      <c r="AD1042" s="11" t="str">
        <f>VLOOKUP(L1042,'[1]data 1129'!F:O,10,FALSE)</f>
        <v>Tahap IV 200</v>
      </c>
      <c r="AE1042" s="11">
        <f>VLOOKUP(L1042,'[1]singkron data'!D:P,13,FALSE)</f>
        <v>0</v>
      </c>
      <c r="AF1042" s="11" t="s">
        <v>55</v>
      </c>
      <c r="AG1042" s="11" t="e">
        <f>VLOOKUP(L1042,'[1]update kontrak'!E:K,6,FALSE)</f>
        <v>#N/A</v>
      </c>
      <c r="AH1042" s="11" t="e">
        <f>VLOOKUP(L1042,'[1]update kontrak'!E:K,7,FALSE)</f>
        <v>#N/A</v>
      </c>
      <c r="AI1042" s="11"/>
      <c r="AJ1042" s="11" t="str">
        <f>VLOOKUP(L1042,[1]rekap!D:M,1,FALSE)</f>
        <v>Kepoh</v>
      </c>
      <c r="AK1042" s="11" t="str">
        <f>VLOOKUP(L1042,'[1]singkron data'!D:E,2,FALSE)</f>
        <v>PT. Laksana Aneka Sarana</v>
      </c>
      <c r="AL1042" s="11" t="str">
        <f>VLOOKUP(L1042,'[1]update 521'!D:D,1,FALSE)</f>
        <v>Kepoh</v>
      </c>
      <c r="AM1042" s="11" t="s">
        <v>57</v>
      </c>
      <c r="AN1042" s="11" t="e">
        <f>VLOOKUP(L1042,[1]Sheet19!E:L,8,FALSE)</f>
        <v>#N/A</v>
      </c>
      <c r="AO1042" s="11" t="s">
        <v>58</v>
      </c>
      <c r="AP1042" s="12"/>
    </row>
    <row r="1043" spans="1:42" ht="15" x14ac:dyDescent="0.2">
      <c r="A1043" s="8" t="s">
        <v>2422</v>
      </c>
      <c r="B1043" s="9" t="s">
        <v>60</v>
      </c>
      <c r="C1043" s="9">
        <v>1167</v>
      </c>
      <c r="D1043" s="9" t="s">
        <v>1631</v>
      </c>
      <c r="E1043" s="30"/>
      <c r="F1043" s="9" t="s">
        <v>2460</v>
      </c>
      <c r="G1043" s="9" t="s">
        <v>1647</v>
      </c>
      <c r="H1043" s="9" t="s">
        <v>47</v>
      </c>
      <c r="I1043" s="9" t="s">
        <v>1732</v>
      </c>
      <c r="J1043" s="9" t="s">
        <v>2461</v>
      </c>
      <c r="K1043" s="9" t="s">
        <v>2460</v>
      </c>
      <c r="L1043" s="10" t="s">
        <v>2460</v>
      </c>
      <c r="M1043" s="9" t="s">
        <v>65</v>
      </c>
      <c r="N1043" s="9">
        <v>650</v>
      </c>
      <c r="O1043" s="9">
        <v>10</v>
      </c>
      <c r="P1043" s="9">
        <v>300</v>
      </c>
      <c r="Q1043" s="9">
        <v>310</v>
      </c>
      <c r="R1043" s="9">
        <v>0.3</v>
      </c>
      <c r="S1043" s="9">
        <v>-2.3376880999999998</v>
      </c>
      <c r="T1043" s="9">
        <v>106.2312141</v>
      </c>
      <c r="U1043" s="9" t="s">
        <v>52</v>
      </c>
      <c r="V1043" s="11" t="str">
        <f>VLOOKUP(L1043,'[1]singkron data'!D:E,2,FALSE)</f>
        <v>PT. Indo Jaya Negara Abadi</v>
      </c>
      <c r="W1043" s="11"/>
      <c r="X1043" s="11"/>
      <c r="Y1043" s="11" t="str">
        <f>VLOOKUP(L1043,'[1]singkron data'!D:H,5,FALSE)</f>
        <v>Jakarta</v>
      </c>
      <c r="Z1043" s="11" t="str">
        <f>VLOOKUP(L1043,'[1]singkron data'!D:I,6,FALSE)</f>
        <v>Online</v>
      </c>
      <c r="AA1043" s="11" t="str">
        <f>VLOOKUP(L1043,'[1]singkron data'!D:L,9,FALSE)</f>
        <v>officialindojayanegaraabadi@gmail.com/ 87731490688/087768911327/vikry</v>
      </c>
      <c r="AB1043" s="11" t="s">
        <v>54</v>
      </c>
      <c r="AC1043" s="11" t="str">
        <f>VLOOKUP(L1043,'[1]singkron data'!D:M,10,FALSE)</f>
        <v>vikry</v>
      </c>
      <c r="AD1043" s="11" t="str">
        <f>VLOOKUP(L1043,'[1]data 1129'!F:O,10,FALSE)</f>
        <v>Tahap IV 200</v>
      </c>
      <c r="AE1043" s="11">
        <f>VLOOKUP(L1043,'[1]singkron data'!D:P,13,FALSE)</f>
        <v>0</v>
      </c>
      <c r="AF1043" s="11" t="s">
        <v>55</v>
      </c>
      <c r="AG1043" s="11" t="e">
        <f>VLOOKUP(L1043,'[1]update kontrak'!E:K,6,FALSE)</f>
        <v>#N/A</v>
      </c>
      <c r="AH1043" s="11" t="e">
        <f>VLOOKUP(L1043,'[1]update kontrak'!E:K,7,FALSE)</f>
        <v>#N/A</v>
      </c>
      <c r="AI1043" s="11"/>
      <c r="AJ1043" s="11" t="str">
        <f>VLOOKUP(L1043,[1]rekap!D:M,1,FALSE)</f>
        <v>Kurau</v>
      </c>
      <c r="AK1043" s="11" t="str">
        <f>VLOOKUP(L1043,'[1]singkron data'!D:E,2,FALSE)</f>
        <v>PT. Indo Jaya Negara Abadi</v>
      </c>
      <c r="AL1043" s="11" t="str">
        <f>VLOOKUP(L1043,'[1]update 521'!D:D,1,FALSE)</f>
        <v>Kurau</v>
      </c>
      <c r="AM1043" s="11" t="s">
        <v>96</v>
      </c>
      <c r="AN1043" s="11" t="e">
        <f>VLOOKUP(L1043,[1]Sheet19!E:L,8,FALSE)</f>
        <v>#N/A</v>
      </c>
      <c r="AO1043" s="11" t="e">
        <f>VLOOKUP(L1043,[1]Sheet19!E:K,7,FALSE)</f>
        <v>#N/A</v>
      </c>
      <c r="AP1043" s="12"/>
    </row>
    <row r="1044" spans="1:42" ht="15" x14ac:dyDescent="0.2">
      <c r="A1044" s="8" t="s">
        <v>2422</v>
      </c>
      <c r="B1044" s="9" t="s">
        <v>60</v>
      </c>
      <c r="C1044" s="9">
        <v>1168</v>
      </c>
      <c r="D1044" s="9" t="s">
        <v>44</v>
      </c>
      <c r="E1044" s="30"/>
      <c r="F1044" s="9" t="s">
        <v>2462</v>
      </c>
      <c r="G1044" s="9" t="s">
        <v>74</v>
      </c>
      <c r="H1044" s="9" t="s">
        <v>47</v>
      </c>
      <c r="I1044" s="9" t="s">
        <v>194</v>
      </c>
      <c r="J1044" s="9" t="s">
        <v>2463</v>
      </c>
      <c r="K1044" s="9" t="s">
        <v>2462</v>
      </c>
      <c r="L1044" s="10" t="s">
        <v>2462</v>
      </c>
      <c r="M1044" s="9" t="s">
        <v>51</v>
      </c>
      <c r="N1044" s="9">
        <v>223</v>
      </c>
      <c r="O1044" s="9">
        <v>5</v>
      </c>
      <c r="P1044" s="9">
        <v>45</v>
      </c>
      <c r="Q1044" s="9">
        <v>50</v>
      </c>
      <c r="R1044" s="14">
        <v>13655</v>
      </c>
      <c r="S1044" s="14">
        <v>-8897010</v>
      </c>
      <c r="T1044" s="14">
        <v>121146265</v>
      </c>
      <c r="U1044" s="9" t="s">
        <v>52</v>
      </c>
      <c r="V1044" s="11" t="str">
        <f>VLOOKUP(L1044,'[1]singkron data'!D:E,2,FALSE)</f>
        <v>CV. Infinite Konstruksi/ PT. Krisindo Sukses Sejahtera</v>
      </c>
      <c r="W1044" s="11"/>
      <c r="X1044" s="11"/>
      <c r="Y1044" s="11">
        <f>VLOOKUP(L1044,'[1]singkron data'!D:H,5,FALSE)</f>
        <v>0</v>
      </c>
      <c r="Z1044" s="11">
        <f>VLOOKUP(L1044,'[1]singkron data'!D:I,6,FALSE)</f>
        <v>0</v>
      </c>
      <c r="AA1044" s="11" t="str">
        <f>VLOOKUP(L1044,'[1]singkron data'!D:L,9,FALSE)</f>
        <v>Steven/085238563823</v>
      </c>
      <c r="AB1044" s="11" t="s">
        <v>54</v>
      </c>
      <c r="AC1044" s="11" t="str">
        <f>VLOOKUP(L1044,'[1]singkron data'!D:M,10,FALSE)</f>
        <v>fraksi roem</v>
      </c>
      <c r="AD1044" s="11" t="str">
        <f>VLOOKUP(L1044,'[1]data 1129'!F:O,10,FALSE)</f>
        <v>Tahap IV 200</v>
      </c>
      <c r="AE1044" s="11">
        <f>VLOOKUP(L1044,'[1]singkron data'!D:P,13,FALSE)</f>
        <v>0</v>
      </c>
      <c r="AF1044" s="11" t="s">
        <v>55</v>
      </c>
      <c r="AG1044" s="11" t="e">
        <f>VLOOKUP(L1044,'[1]update kontrak'!E:K,6,FALSE)</f>
        <v>#N/A</v>
      </c>
      <c r="AH1044" s="11" t="e">
        <f>VLOOKUP(L1044,'[1]update kontrak'!E:K,7,FALSE)</f>
        <v>#N/A</v>
      </c>
      <c r="AI1044" s="11" t="s">
        <v>58</v>
      </c>
      <c r="AJ1044" s="11" t="str">
        <f>VLOOKUP(L1044,[1]rekap!D:M,1,FALSE)</f>
        <v>Aewoe</v>
      </c>
      <c r="AK1044" s="11" t="str">
        <f>VLOOKUP(L1044,'[1]singkron data'!D:E,2,FALSE)</f>
        <v>CV. Infinite Konstruksi/ PT. Krisindo Sukses Sejahtera</v>
      </c>
      <c r="AL1044" s="11" t="str">
        <f>VLOOKUP(L1044,'[1]update 521'!D:D,1,FALSE)</f>
        <v>Aewoe</v>
      </c>
      <c r="AM1044" s="11" t="s">
        <v>96</v>
      </c>
      <c r="AN1044" s="11" t="e">
        <f>VLOOKUP(L1044,[1]Sheet19!E:L,8,FALSE)</f>
        <v>#N/A</v>
      </c>
      <c r="AO1044" s="11" t="e">
        <f>VLOOKUP(L1044,[1]Sheet19!E:K,7,FALSE)</f>
        <v>#N/A</v>
      </c>
      <c r="AP1044" s="12"/>
    </row>
    <row r="1045" spans="1:42" ht="15" x14ac:dyDescent="0.2">
      <c r="A1045" s="8" t="s">
        <v>2422</v>
      </c>
      <c r="B1045" s="9" t="s">
        <v>60</v>
      </c>
      <c r="C1045" s="9">
        <v>1169</v>
      </c>
      <c r="D1045" s="9" t="s">
        <v>284</v>
      </c>
      <c r="E1045" s="30"/>
      <c r="F1045" s="9" t="s">
        <v>429</v>
      </c>
      <c r="G1045" s="9" t="s">
        <v>301</v>
      </c>
      <c r="H1045" s="9" t="s">
        <v>287</v>
      </c>
      <c r="I1045" s="9" t="s">
        <v>390</v>
      </c>
      <c r="J1045" s="9" t="s">
        <v>2464</v>
      </c>
      <c r="K1045" s="9" t="s">
        <v>2465</v>
      </c>
      <c r="L1045" s="10" t="s">
        <v>2465</v>
      </c>
      <c r="M1045" s="9" t="s">
        <v>51</v>
      </c>
      <c r="N1045" s="9">
        <v>560</v>
      </c>
      <c r="O1045" s="9" t="s">
        <v>72</v>
      </c>
      <c r="P1045" s="9">
        <v>400</v>
      </c>
      <c r="Q1045" s="9">
        <v>400</v>
      </c>
      <c r="R1045" s="9">
        <v>0.16</v>
      </c>
      <c r="S1045" s="9">
        <v>-7.5808770000000001</v>
      </c>
      <c r="T1045" s="9">
        <v>108.796138</v>
      </c>
      <c r="U1045" s="9" t="s">
        <v>52</v>
      </c>
      <c r="V1045" s="11" t="str">
        <f>VLOOKUP(L1045,'[1]singkron data'!D:E,2,FALSE)</f>
        <v>CV. Alkomber Karya</v>
      </c>
      <c r="W1045" s="13">
        <f>VLOOKUP(L1045,'[1]data 1129'!F:H,3,FALSE)</f>
        <v>3569000000</v>
      </c>
      <c r="X1045" s="11" t="s">
        <v>55</v>
      </c>
      <c r="Y1045" s="11">
        <f>VLOOKUP(L1045,'[1]singkron data'!D:H,5,FALSE)</f>
        <v>0</v>
      </c>
      <c r="Z1045" s="11">
        <f>VLOOKUP(L1045,'[1]singkron data'!D:I,6,FALSE)</f>
        <v>0</v>
      </c>
      <c r="AA1045" s="11" t="str">
        <f>VLOOKUP(L1045,'[1]singkron data'!D:L,9,FALSE)</f>
        <v>081286452407/prio</v>
      </c>
      <c r="AB1045" s="11" t="s">
        <v>54</v>
      </c>
      <c r="AC1045" s="11" t="s">
        <v>1660</v>
      </c>
      <c r="AD1045" s="11" t="str">
        <f>VLOOKUP(L1045,'[1]data 1129'!F:O,10,FALSE)</f>
        <v>Tahap IV 200</v>
      </c>
      <c r="AE1045" s="11" t="str">
        <f>VLOOKUP(L1045,'[1]singkron data'!D:P,13,FALSE)</f>
        <v>sudah</v>
      </c>
      <c r="AF1045" s="11" t="s">
        <v>55</v>
      </c>
      <c r="AG1045" s="11" t="e">
        <f>VLOOKUP(L1045,'[1]update kontrak'!E:K,6,FALSE)</f>
        <v>#N/A</v>
      </c>
      <c r="AH1045" s="11" t="e">
        <f>VLOOKUP(L1045,'[1]update kontrak'!E:K,7,FALSE)</f>
        <v>#N/A</v>
      </c>
      <c r="AI1045" s="11" t="s">
        <v>58</v>
      </c>
      <c r="AJ1045" s="11" t="str">
        <f>VLOOKUP(L1045,[1]rekap!D:M,1,FALSE)</f>
        <v>Bulupayung</v>
      </c>
      <c r="AK1045" s="11" t="str">
        <f>VLOOKUP(L1045,'[1]singkron data'!D:E,2,FALSE)</f>
        <v>CV. Alkomber Karya</v>
      </c>
      <c r="AL1045" s="11" t="str">
        <f>VLOOKUP(L1045,'[1]update 521'!D:D,1,FALSE)</f>
        <v>Bulupayung</v>
      </c>
      <c r="AM1045" s="11" t="s">
        <v>1253</v>
      </c>
      <c r="AN1045" s="11" t="e">
        <f>VLOOKUP(L1045,[1]Sheet19!E:L,8,FALSE)</f>
        <v>#N/A</v>
      </c>
      <c r="AO1045" s="11" t="s">
        <v>58</v>
      </c>
      <c r="AP1045" s="12"/>
    </row>
    <row r="1046" spans="1:42" ht="15" x14ac:dyDescent="0.2">
      <c r="A1046" s="8" t="s">
        <v>2422</v>
      </c>
      <c r="B1046" s="9" t="s">
        <v>60</v>
      </c>
      <c r="C1046" s="9">
        <v>1170</v>
      </c>
      <c r="D1046" s="9" t="s">
        <v>1112</v>
      </c>
      <c r="E1046" s="30"/>
      <c r="F1046" s="9" t="s">
        <v>2466</v>
      </c>
      <c r="G1046" s="9" t="s">
        <v>1243</v>
      </c>
      <c r="H1046" s="9" t="s">
        <v>287</v>
      </c>
      <c r="I1046" s="9" t="s">
        <v>1492</v>
      </c>
      <c r="J1046" s="9" t="s">
        <v>1605</v>
      </c>
      <c r="K1046" s="9" t="s">
        <v>2467</v>
      </c>
      <c r="L1046" s="10" t="s">
        <v>2467</v>
      </c>
      <c r="M1046" s="9" t="s">
        <v>51</v>
      </c>
      <c r="N1046" s="9">
        <v>400</v>
      </c>
      <c r="O1046" s="9">
        <v>30</v>
      </c>
      <c r="P1046" s="9">
        <v>200</v>
      </c>
      <c r="Q1046" s="9">
        <v>230</v>
      </c>
      <c r="R1046" s="9">
        <v>5.5</v>
      </c>
      <c r="S1046" s="9">
        <v>0.47295599999999999</v>
      </c>
      <c r="T1046" s="9">
        <v>121.439307</v>
      </c>
      <c r="U1046" s="9" t="s">
        <v>52</v>
      </c>
      <c r="V1046" s="11" t="str">
        <f>VLOOKUP(L1046,'[1]singkron data'!D:E,2,FALSE)</f>
        <v>CV. Dharma Bakti (Kecil)</v>
      </c>
      <c r="W1046" s="13">
        <f>VLOOKUP(L1046,'[1]data 1129'!F:H,3,FALSE)</f>
        <v>6312774000</v>
      </c>
      <c r="X1046" s="11" t="s">
        <v>55</v>
      </c>
      <c r="Y1046" s="11">
        <f>VLOOKUP(L1046,'[1]singkron data'!D:H,5,FALSE)</f>
        <v>0</v>
      </c>
      <c r="Z1046" s="11">
        <f>VLOOKUP(L1046,'[1]singkron data'!D:I,6,FALSE)</f>
        <v>0</v>
      </c>
      <c r="AA1046" s="11" t="str">
        <f>VLOOKUP(L1046,'[1]singkron data'!D:L,9,FALSE)</f>
        <v>081241215544/muhidin</v>
      </c>
      <c r="AB1046" s="11" t="s">
        <v>54</v>
      </c>
      <c r="AC1046" s="11" t="str">
        <f>VLOOKUP(L1046,'[1]singkron data'!D:M,10,FALSE)</f>
        <v>Pandu-muhidin</v>
      </c>
      <c r="AD1046" s="11" t="str">
        <f>VLOOKUP(L1046,'[1]data 1129'!F:O,10,FALSE)</f>
        <v>Tahap IV 200</v>
      </c>
      <c r="AE1046" s="11" t="str">
        <f>VLOOKUP(L1046,'[1]singkron data'!D:P,13,FALSE)</f>
        <v>sudah</v>
      </c>
      <c r="AF1046" s="11" t="s">
        <v>55</v>
      </c>
      <c r="AG1046" s="11" t="e">
        <f>VLOOKUP(L1046,'[1]update kontrak'!E:K,6,FALSE)</f>
        <v>#N/A</v>
      </c>
      <c r="AH1046" s="11" t="e">
        <f>VLOOKUP(L1046,'[1]update kontrak'!E:K,7,FALSE)</f>
        <v>#N/A</v>
      </c>
      <c r="AI1046" s="11" t="s">
        <v>58</v>
      </c>
      <c r="AJ1046" s="11" t="str">
        <f>VLOOKUP(L1046,[1]rekap!D:M,1,FALSE)</f>
        <v>Torosiaje</v>
      </c>
      <c r="AK1046" s="11" t="str">
        <f>VLOOKUP(L1046,'[1]singkron data'!D:E,2,FALSE)</f>
        <v>CV. Dharma Bakti (Kecil)</v>
      </c>
      <c r="AL1046" s="11" t="str">
        <f>VLOOKUP(L1046,'[1]update 521'!D:D,1,FALSE)</f>
        <v>Torosiaje</v>
      </c>
      <c r="AM1046" s="11" t="s">
        <v>57</v>
      </c>
      <c r="AN1046" s="11" t="e">
        <f>VLOOKUP(L1046,[1]Sheet19!E:L,8,FALSE)</f>
        <v>#N/A</v>
      </c>
      <c r="AO1046" s="11" t="s">
        <v>58</v>
      </c>
      <c r="AP1046" s="12"/>
    </row>
    <row r="1047" spans="1:42" ht="15" x14ac:dyDescent="0.2">
      <c r="A1047" s="8" t="s">
        <v>2422</v>
      </c>
      <c r="B1047" s="9" t="s">
        <v>43</v>
      </c>
      <c r="C1047" s="9">
        <v>1171</v>
      </c>
      <c r="D1047" s="9" t="s">
        <v>1631</v>
      </c>
      <c r="E1047" s="30"/>
      <c r="F1047" s="9" t="s">
        <v>1902</v>
      </c>
      <c r="G1047" s="9" t="s">
        <v>1724</v>
      </c>
      <c r="H1047" s="9" t="s">
        <v>47</v>
      </c>
      <c r="I1047" s="9" t="s">
        <v>1903</v>
      </c>
      <c r="J1047" s="9" t="s">
        <v>2468</v>
      </c>
      <c r="K1047" s="9" t="s">
        <v>2469</v>
      </c>
      <c r="L1047" s="10" t="s">
        <v>2469</v>
      </c>
      <c r="M1047" s="9" t="s">
        <v>51</v>
      </c>
      <c r="N1047" s="9">
        <v>400</v>
      </c>
      <c r="O1047" s="9">
        <v>20</v>
      </c>
      <c r="P1047" s="9">
        <v>150</v>
      </c>
      <c r="Q1047" s="9">
        <v>170</v>
      </c>
      <c r="R1047" s="9">
        <v>0.12</v>
      </c>
      <c r="S1047" s="9">
        <v>1.4539709999999999</v>
      </c>
      <c r="T1047" s="9">
        <v>97.493674999999996</v>
      </c>
      <c r="U1047" s="9" t="s">
        <v>52</v>
      </c>
      <c r="V1047" s="11" t="str">
        <f>VLOOKUP(L1047,'[1]singkron data'!D:E,2,FALSE)</f>
        <v>CV. Ridho Pratama (Kecil)</v>
      </c>
      <c r="W1047" s="11"/>
      <c r="X1047" s="11"/>
      <c r="Y1047" s="11" t="str">
        <f>VLOOKUP(L1047,'[1]singkron data'!D:H,5,FALSE)</f>
        <v>Jakarta</v>
      </c>
      <c r="Z1047" s="11" t="str">
        <f>VLOOKUP(L1047,'[1]singkron data'!D:I,6,FALSE)</f>
        <v>Online</v>
      </c>
      <c r="AA1047" s="11" t="str">
        <f>VLOOKUP(L1047,'[1]singkron data'!D:L,9,FALSE)</f>
        <v>081261605171/yadi susanto</v>
      </c>
      <c r="AB1047" s="11" t="s">
        <v>54</v>
      </c>
      <c r="AC1047" s="11" t="str">
        <f>VLOOKUP(L1047,'[1]singkron data'!D:M,10,FALSE)</f>
        <v>Dedd</v>
      </c>
      <c r="AD1047" s="11" t="str">
        <f>VLOOKUP(L1047,'[1]data 1129'!F:O,10,FALSE)</f>
        <v>Tahap IV 200</v>
      </c>
      <c r="AE1047" s="11">
        <f>VLOOKUP(L1047,'[1]singkron data'!D:P,13,FALSE)</f>
        <v>0</v>
      </c>
      <c r="AF1047" s="11" t="s">
        <v>55</v>
      </c>
      <c r="AG1047" s="11" t="e">
        <f>VLOOKUP(L1047,'[1]update kontrak'!E:K,6,FALSE)</f>
        <v>#N/A</v>
      </c>
      <c r="AH1047" s="11" t="e">
        <f>VLOOKUP(L1047,'[1]update kontrak'!E:K,7,FALSE)</f>
        <v>#N/A</v>
      </c>
      <c r="AI1047" s="11"/>
      <c r="AJ1047" s="11" t="str">
        <f>VLOOKUP(L1047,[1]rekap!D:M,1,FALSE)</f>
        <v>Siofa Banua</v>
      </c>
      <c r="AK1047" s="11" t="str">
        <f>VLOOKUP(L1047,'[1]singkron data'!D:E,2,FALSE)</f>
        <v>CV. Ridho Pratama (Kecil)</v>
      </c>
      <c r="AL1047" s="11" t="str">
        <f>VLOOKUP(L1047,'[1]update 521'!D:D,1,FALSE)</f>
        <v>Siofa Banua</v>
      </c>
      <c r="AM1047" s="11" t="e">
        <v>#N/A</v>
      </c>
      <c r="AN1047" s="11" t="e">
        <f>VLOOKUP(L1047,[1]Sheet19!E:L,8,FALSE)</f>
        <v>#N/A</v>
      </c>
      <c r="AO1047" s="11" t="e">
        <f>VLOOKUP(L1047,[1]Sheet19!E:K,7,FALSE)</f>
        <v>#N/A</v>
      </c>
      <c r="AP1047" s="12"/>
    </row>
    <row r="1048" spans="1:42" ht="15" x14ac:dyDescent="0.2">
      <c r="A1048" s="8" t="s">
        <v>2422</v>
      </c>
      <c r="B1048" s="9" t="s">
        <v>60</v>
      </c>
      <c r="C1048" s="9">
        <v>1172</v>
      </c>
      <c r="D1048" s="9" t="s">
        <v>908</v>
      </c>
      <c r="E1048" s="30"/>
      <c r="F1048" s="9" t="s">
        <v>1086</v>
      </c>
      <c r="G1048" s="9" t="s">
        <v>908</v>
      </c>
      <c r="H1048" s="9" t="s">
        <v>911</v>
      </c>
      <c r="I1048" s="9" t="s">
        <v>1014</v>
      </c>
      <c r="J1048" s="9" t="s">
        <v>1087</v>
      </c>
      <c r="K1048" s="9" t="s">
        <v>2470</v>
      </c>
      <c r="L1048" s="9" t="s">
        <v>2470</v>
      </c>
      <c r="M1048" s="9" t="s">
        <v>51</v>
      </c>
      <c r="N1048" s="9">
        <v>32</v>
      </c>
      <c r="O1048" s="9">
        <v>10</v>
      </c>
      <c r="P1048" s="9">
        <v>12</v>
      </c>
      <c r="Q1048" s="9">
        <v>22</v>
      </c>
      <c r="R1048" s="9">
        <v>0.06</v>
      </c>
      <c r="S1048" s="9">
        <v>-1.161538</v>
      </c>
      <c r="T1048" s="9">
        <v>136.25919200000001</v>
      </c>
      <c r="U1048" s="9"/>
      <c r="V1048" s="11" t="s">
        <v>694</v>
      </c>
      <c r="W1048" s="13">
        <f>VLOOKUP(L1048,[1]Sheet18!I:N,6,FALSE)</f>
        <v>4782707000</v>
      </c>
      <c r="X1048" s="11" t="s">
        <v>55</v>
      </c>
      <c r="Y1048" s="11" t="e">
        <f>VLOOKUP(L1048,'[1]singkron data'!D:H,5,FALSE)</f>
        <v>#N/A</v>
      </c>
      <c r="Z1048" s="11" t="e">
        <f>VLOOKUP(L1048,'[1]singkron data'!D:I,6,FALSE)</f>
        <v>#N/A</v>
      </c>
      <c r="AA1048" s="11" t="e">
        <f>VLOOKUP(L1048,'[1]singkron data'!D:L,9,FALSE)</f>
        <v>#N/A</v>
      </c>
      <c r="AB1048" s="11" t="s">
        <v>694</v>
      </c>
      <c r="AC1048" s="11" t="e">
        <f>VLOOKUP(L1048,'[1]singkron data'!D:M,10,FALSE)</f>
        <v>#N/A</v>
      </c>
      <c r="AD1048" s="11"/>
      <c r="AE1048" s="11" t="e">
        <f>VLOOKUP(L1048,'[1]singkron data'!D:P,13,FALSE)</f>
        <v>#N/A</v>
      </c>
      <c r="AF1048" s="11" t="s">
        <v>55</v>
      </c>
      <c r="AG1048" s="11" t="e">
        <f>VLOOKUP(L1048,'[1]update kontrak'!E:K,6,FALSE)</f>
        <v>#N/A</v>
      </c>
      <c r="AH1048" s="11" t="e">
        <f>VLOOKUP(L1048,'[1]update kontrak'!E:K,7,FALSE)</f>
        <v>#N/A</v>
      </c>
      <c r="AI1048" s="11"/>
      <c r="AJ1048" s="11" t="str">
        <f>VLOOKUP(L1048,[1]rekap!D:M,1,FALSE)</f>
        <v>Opiaref</v>
      </c>
      <c r="AK1048" s="11" t="e">
        <f>VLOOKUP(L1048,'[1]singkron data'!D:E,2,FALSE)</f>
        <v>#N/A</v>
      </c>
      <c r="AL1048" s="11" t="str">
        <f>VLOOKUP(L1048,'[1]update 521'!D:D,1,FALSE)</f>
        <v>Opiaref</v>
      </c>
      <c r="AM1048" s="11" t="s">
        <v>57</v>
      </c>
      <c r="AN1048" s="11" t="e">
        <f>VLOOKUP(L1048,[1]Sheet19!E:L,8,FALSE)</f>
        <v>#N/A</v>
      </c>
      <c r="AO1048" s="11" t="e">
        <f>VLOOKUP(L1048,[1]Sheet19!E:K,7,FALSE)</f>
        <v>#N/A</v>
      </c>
      <c r="AP1048" s="12"/>
    </row>
    <row r="1049" spans="1:42" ht="15" x14ac:dyDescent="0.2">
      <c r="A1049" s="8" t="s">
        <v>2422</v>
      </c>
      <c r="B1049" s="9" t="s">
        <v>60</v>
      </c>
      <c r="C1049" s="9">
        <v>1173</v>
      </c>
      <c r="D1049" s="9" t="s">
        <v>908</v>
      </c>
      <c r="E1049" s="30"/>
      <c r="F1049" s="9" t="s">
        <v>988</v>
      </c>
      <c r="G1049" s="9" t="s">
        <v>993</v>
      </c>
      <c r="H1049" s="9" t="s">
        <v>911</v>
      </c>
      <c r="I1049" s="9" t="s">
        <v>994</v>
      </c>
      <c r="J1049" s="9" t="s">
        <v>2471</v>
      </c>
      <c r="K1049" s="9" t="s">
        <v>2472</v>
      </c>
      <c r="L1049" s="9" t="s">
        <v>2472</v>
      </c>
      <c r="M1049" s="9" t="s">
        <v>51</v>
      </c>
      <c r="N1049" s="9">
        <v>304</v>
      </c>
      <c r="O1049" s="9">
        <v>200</v>
      </c>
      <c r="P1049" s="9" t="s">
        <v>72</v>
      </c>
      <c r="Q1049" s="9">
        <v>200</v>
      </c>
      <c r="R1049" s="9">
        <v>0.20269999999999999</v>
      </c>
      <c r="S1049" s="9">
        <v>-4.7883300000000002</v>
      </c>
      <c r="T1049" s="9">
        <v>136.57328000000001</v>
      </c>
      <c r="U1049" s="9"/>
      <c r="V1049" s="11" t="s">
        <v>694</v>
      </c>
      <c r="W1049" s="11"/>
      <c r="X1049" s="11"/>
      <c r="Y1049" s="11" t="e">
        <f>VLOOKUP(L1049,'[1]singkron data'!D:H,5,FALSE)</f>
        <v>#N/A</v>
      </c>
      <c r="Z1049" s="11" t="e">
        <f>VLOOKUP(L1049,'[1]singkron data'!D:I,6,FALSE)</f>
        <v>#N/A</v>
      </c>
      <c r="AA1049" s="11" t="e">
        <f>VLOOKUP(L1049,'[1]singkron data'!D:L,9,FALSE)</f>
        <v>#N/A</v>
      </c>
      <c r="AB1049" s="11" t="s">
        <v>694</v>
      </c>
      <c r="AC1049" s="11" t="e">
        <f>VLOOKUP(L1049,'[1]singkron data'!D:M,10,FALSE)</f>
        <v>#N/A</v>
      </c>
      <c r="AD1049" s="11"/>
      <c r="AE1049" s="11" t="e">
        <f>VLOOKUP(L1049,'[1]singkron data'!D:P,13,FALSE)</f>
        <v>#N/A</v>
      </c>
      <c r="AF1049" s="11"/>
      <c r="AG1049" s="11" t="e">
        <f>VLOOKUP(L1049,'[1]update kontrak'!E:K,6,FALSE)</f>
        <v>#N/A</v>
      </c>
      <c r="AH1049" s="11" t="e">
        <f>VLOOKUP(L1049,'[1]update kontrak'!E:K,7,FALSE)</f>
        <v>#N/A</v>
      </c>
      <c r="AI1049" s="11"/>
      <c r="AJ1049" s="11" t="str">
        <f>VLOOKUP(L1049,[1]rekap!D:M,1,FALSE)</f>
        <v>Atuka</v>
      </c>
      <c r="AK1049" s="11" t="e">
        <f>VLOOKUP(L1049,'[1]singkron data'!D:E,2,FALSE)</f>
        <v>#N/A</v>
      </c>
      <c r="AL1049" s="11" t="str">
        <f>VLOOKUP(L1049,'[1]update 521'!D:D,1,FALSE)</f>
        <v>Atuka</v>
      </c>
      <c r="AM1049" s="11" t="e">
        <f>VLOOKUP(L1049,[1]Sheet18!I:M,5,FALSE)</f>
        <v>#N/A</v>
      </c>
      <c r="AN1049" s="11" t="e">
        <f>VLOOKUP(L1049,[1]Sheet19!E:L,8,FALSE)</f>
        <v>#N/A</v>
      </c>
      <c r="AO1049" s="11" t="e">
        <f>VLOOKUP(L1049,[1]Sheet19!E:K,7,FALSE)</f>
        <v>#N/A</v>
      </c>
      <c r="AP1049" s="12"/>
    </row>
    <row r="1050" spans="1:42" ht="15" x14ac:dyDescent="0.2">
      <c r="A1050" s="8" t="s">
        <v>2422</v>
      </c>
      <c r="B1050" s="9" t="s">
        <v>60</v>
      </c>
      <c r="C1050" s="9">
        <v>1174</v>
      </c>
      <c r="D1050" s="9" t="s">
        <v>908</v>
      </c>
      <c r="E1050" s="30"/>
      <c r="F1050" s="9" t="s">
        <v>950</v>
      </c>
      <c r="G1050" s="9" t="s">
        <v>993</v>
      </c>
      <c r="H1050" s="9" t="s">
        <v>911</v>
      </c>
      <c r="I1050" s="9" t="s">
        <v>994</v>
      </c>
      <c r="J1050" s="9" t="s">
        <v>2473</v>
      </c>
      <c r="K1050" s="9" t="s">
        <v>2474</v>
      </c>
      <c r="L1050" s="9" t="s">
        <v>2475</v>
      </c>
      <c r="M1050" s="9" t="s">
        <v>51</v>
      </c>
      <c r="N1050" s="9">
        <v>207</v>
      </c>
      <c r="O1050" s="9">
        <v>60</v>
      </c>
      <c r="P1050" s="9" t="s">
        <v>72</v>
      </c>
      <c r="Q1050" s="9">
        <v>60</v>
      </c>
      <c r="R1050" s="9">
        <v>2.5</v>
      </c>
      <c r="S1050" s="9">
        <v>-4.3031100000000002</v>
      </c>
      <c r="T1050" s="9">
        <v>134.94479999999999</v>
      </c>
      <c r="U1050" s="9"/>
      <c r="V1050" s="11" t="s">
        <v>694</v>
      </c>
      <c r="W1050" s="11"/>
      <c r="X1050" s="11"/>
      <c r="Y1050" s="11" t="e">
        <f>VLOOKUP(L1050,'[1]singkron data'!D:H,5,FALSE)</f>
        <v>#N/A</v>
      </c>
      <c r="Z1050" s="11" t="e">
        <f>VLOOKUP(L1050,'[1]singkron data'!D:I,6,FALSE)</f>
        <v>#N/A</v>
      </c>
      <c r="AA1050" s="11" t="e">
        <f>VLOOKUP(L1050,'[1]singkron data'!D:L,9,FALSE)</f>
        <v>#N/A</v>
      </c>
      <c r="AB1050" s="11" t="s">
        <v>694</v>
      </c>
      <c r="AC1050" s="11" t="e">
        <f>VLOOKUP(L1050,'[1]singkron data'!D:M,10,FALSE)</f>
        <v>#N/A</v>
      </c>
      <c r="AD1050" s="11"/>
      <c r="AE1050" s="11" t="e">
        <f>VLOOKUP(L1050,'[1]singkron data'!D:P,13,FALSE)</f>
        <v>#N/A</v>
      </c>
      <c r="AF1050" s="11"/>
      <c r="AG1050" s="11" t="e">
        <f>VLOOKUP(L1050,'[1]update kontrak'!E:K,6,FALSE)</f>
        <v>#N/A</v>
      </c>
      <c r="AH1050" s="11" t="e">
        <f>VLOOKUP(L1050,'[1]update kontrak'!E:K,7,FALSE)</f>
        <v>#N/A</v>
      </c>
      <c r="AI1050" s="11"/>
      <c r="AJ1050" s="11" t="e">
        <f>VLOOKUP(L1050,[1]rekap!D:M,1,FALSE)</f>
        <v>#N/A</v>
      </c>
      <c r="AK1050" s="11" t="e">
        <f>VLOOKUP(L1050,'[1]singkron data'!D:E,2,FALSE)</f>
        <v>#N/A</v>
      </c>
      <c r="AL1050" s="11" t="str">
        <f>VLOOKUP(L1050,'[1]update 521'!D:D,1,FALSE)</f>
        <v>Potowaiburu</v>
      </c>
      <c r="AM1050" s="11" t="e">
        <f>VLOOKUP(L1050,[1]Sheet18!I:M,5,FALSE)</f>
        <v>#N/A</v>
      </c>
      <c r="AN1050" s="11" t="e">
        <f>VLOOKUP(L1050,[1]Sheet19!E:L,8,FALSE)</f>
        <v>#N/A</v>
      </c>
      <c r="AO1050" s="11" t="e">
        <f>VLOOKUP(L1050,[1]Sheet19!E:K,7,FALSE)</f>
        <v>#N/A</v>
      </c>
      <c r="AP1050" s="12"/>
    </row>
    <row r="1051" spans="1:42" ht="15" x14ac:dyDescent="0.2">
      <c r="A1051" s="8" t="s">
        <v>2422</v>
      </c>
      <c r="B1051" s="9" t="s">
        <v>60</v>
      </c>
      <c r="C1051" s="9">
        <v>1175</v>
      </c>
      <c r="D1051" s="9" t="s">
        <v>908</v>
      </c>
      <c r="E1051" s="30"/>
      <c r="F1051" s="9" t="s">
        <v>988</v>
      </c>
      <c r="G1051" s="9" t="s">
        <v>993</v>
      </c>
      <c r="H1051" s="9" t="s">
        <v>911</v>
      </c>
      <c r="I1051" s="9" t="s">
        <v>994</v>
      </c>
      <c r="J1051" s="9" t="s">
        <v>2476</v>
      </c>
      <c r="K1051" s="9" t="s">
        <v>2477</v>
      </c>
      <c r="L1051" s="9" t="s">
        <v>2477</v>
      </c>
      <c r="M1051" s="9" t="s">
        <v>51</v>
      </c>
      <c r="N1051" s="9">
        <v>322</v>
      </c>
      <c r="O1051" s="9">
        <v>80</v>
      </c>
      <c r="P1051" s="9" t="s">
        <v>72</v>
      </c>
      <c r="Q1051" s="9">
        <v>80</v>
      </c>
      <c r="R1051" s="9">
        <v>0.25</v>
      </c>
      <c r="S1051" s="9">
        <v>-4.4938919999999998</v>
      </c>
      <c r="T1051" s="9">
        <v>135.713866</v>
      </c>
      <c r="U1051" s="9"/>
      <c r="V1051" s="11" t="s">
        <v>694</v>
      </c>
      <c r="W1051" s="11"/>
      <c r="X1051" s="11"/>
      <c r="Y1051" s="11" t="e">
        <f>VLOOKUP(L1051,'[1]singkron data'!D:H,5,FALSE)</f>
        <v>#N/A</v>
      </c>
      <c r="Z1051" s="11" t="e">
        <f>VLOOKUP(L1051,'[1]singkron data'!D:I,6,FALSE)</f>
        <v>#N/A</v>
      </c>
      <c r="AA1051" s="11" t="e">
        <f>VLOOKUP(L1051,'[1]singkron data'!D:L,9,FALSE)</f>
        <v>#N/A</v>
      </c>
      <c r="AB1051" s="11" t="s">
        <v>694</v>
      </c>
      <c r="AC1051" s="11" t="e">
        <f>VLOOKUP(L1051,'[1]singkron data'!D:M,10,FALSE)</f>
        <v>#N/A</v>
      </c>
      <c r="AD1051" s="11"/>
      <c r="AE1051" s="11" t="e">
        <f>VLOOKUP(L1051,'[1]singkron data'!D:P,13,FALSE)</f>
        <v>#N/A</v>
      </c>
      <c r="AF1051" s="11"/>
      <c r="AG1051" s="11" t="e">
        <f>VLOOKUP(L1051,'[1]update kontrak'!E:K,6,FALSE)</f>
        <v>#N/A</v>
      </c>
      <c r="AH1051" s="11" t="e">
        <f>VLOOKUP(L1051,'[1]update kontrak'!E:K,7,FALSE)</f>
        <v>#N/A</v>
      </c>
      <c r="AI1051" s="11"/>
      <c r="AJ1051" s="11" t="str">
        <f>VLOOKUP(L1051,[1]rekap!D:M,1,FALSE)</f>
        <v>Pronggo</v>
      </c>
      <c r="AK1051" s="11" t="e">
        <f>VLOOKUP(L1051,'[1]singkron data'!D:E,2,FALSE)</f>
        <v>#N/A</v>
      </c>
      <c r="AL1051" s="11" t="str">
        <f>VLOOKUP(L1051,'[1]update 521'!D:D,1,FALSE)</f>
        <v>Pronggo</v>
      </c>
      <c r="AM1051" s="11" t="e">
        <f>VLOOKUP(L1051,[1]Sheet18!I:M,5,FALSE)</f>
        <v>#N/A</v>
      </c>
      <c r="AN1051" s="11" t="e">
        <f>VLOOKUP(L1051,[1]Sheet19!E:L,8,FALSE)</f>
        <v>#N/A</v>
      </c>
      <c r="AO1051" s="11" t="e">
        <f>VLOOKUP(L1051,[1]Sheet19!E:K,7,FALSE)</f>
        <v>#N/A</v>
      </c>
      <c r="AP1051" s="12"/>
    </row>
    <row r="1052" spans="1:42" ht="15" x14ac:dyDescent="0.2">
      <c r="A1052" s="8" t="s">
        <v>2422</v>
      </c>
      <c r="B1052" s="9" t="s">
        <v>60</v>
      </c>
      <c r="C1052" s="9">
        <v>1176</v>
      </c>
      <c r="D1052" s="9" t="s">
        <v>908</v>
      </c>
      <c r="E1052" s="30"/>
      <c r="F1052" s="9" t="s">
        <v>988</v>
      </c>
      <c r="G1052" s="9" t="s">
        <v>993</v>
      </c>
      <c r="H1052" s="9" t="s">
        <v>911</v>
      </c>
      <c r="I1052" s="9" t="s">
        <v>994</v>
      </c>
      <c r="J1052" s="9" t="s">
        <v>2476</v>
      </c>
      <c r="K1052" s="9" t="s">
        <v>2478</v>
      </c>
      <c r="L1052" s="9" t="s">
        <v>2478</v>
      </c>
      <c r="M1052" s="9" t="s">
        <v>51</v>
      </c>
      <c r="N1052" s="9">
        <v>395</v>
      </c>
      <c r="O1052" s="9">
        <v>60</v>
      </c>
      <c r="P1052" s="9" t="s">
        <v>72</v>
      </c>
      <c r="Q1052" s="9">
        <v>60</v>
      </c>
      <c r="R1052" s="9">
        <v>0.1734</v>
      </c>
      <c r="S1052" s="9">
        <v>-4.5596059999999996</v>
      </c>
      <c r="T1052" s="9">
        <v>136.031497</v>
      </c>
      <c r="U1052" s="9"/>
      <c r="V1052" s="11" t="s">
        <v>694</v>
      </c>
      <c r="W1052" s="11"/>
      <c r="X1052" s="11"/>
      <c r="Y1052" s="11" t="e">
        <f>VLOOKUP(L1052,'[1]singkron data'!D:H,5,FALSE)</f>
        <v>#N/A</v>
      </c>
      <c r="Z1052" s="11" t="e">
        <f>VLOOKUP(L1052,'[1]singkron data'!D:I,6,FALSE)</f>
        <v>#N/A</v>
      </c>
      <c r="AA1052" s="11" t="e">
        <f>VLOOKUP(L1052,'[1]singkron data'!D:L,9,FALSE)</f>
        <v>#N/A</v>
      </c>
      <c r="AB1052" s="11" t="s">
        <v>694</v>
      </c>
      <c r="AC1052" s="11" t="e">
        <f>VLOOKUP(L1052,'[1]singkron data'!D:M,10,FALSE)</f>
        <v>#N/A</v>
      </c>
      <c r="AD1052" s="11"/>
      <c r="AE1052" s="11" t="e">
        <f>VLOOKUP(L1052,'[1]singkron data'!D:P,13,FALSE)</f>
        <v>#N/A</v>
      </c>
      <c r="AF1052" s="11"/>
      <c r="AG1052" s="11" t="e">
        <f>VLOOKUP(L1052,'[1]update kontrak'!E:K,6,FALSE)</f>
        <v>#N/A</v>
      </c>
      <c r="AH1052" s="11" t="e">
        <f>VLOOKUP(L1052,'[1]update kontrak'!E:K,7,FALSE)</f>
        <v>#N/A</v>
      </c>
      <c r="AI1052" s="11"/>
      <c r="AJ1052" s="11" t="str">
        <f>VLOOKUP(L1052,[1]rekap!D:M,1,FALSE)</f>
        <v>Mupuruka</v>
      </c>
      <c r="AK1052" s="11" t="e">
        <f>VLOOKUP(L1052,'[1]singkron data'!D:E,2,FALSE)</f>
        <v>#N/A</v>
      </c>
      <c r="AL1052" s="11" t="str">
        <f>VLOOKUP(L1052,'[1]update 521'!D:D,1,FALSE)</f>
        <v>Mupuruka</v>
      </c>
      <c r="AM1052" s="11" t="e">
        <f>VLOOKUP(L1052,[1]Sheet18!I:M,5,FALSE)</f>
        <v>#N/A</v>
      </c>
      <c r="AN1052" s="11" t="e">
        <f>VLOOKUP(L1052,[1]Sheet19!E:L,8,FALSE)</f>
        <v>#N/A</v>
      </c>
      <c r="AO1052" s="11" t="e">
        <f>VLOOKUP(L1052,[1]Sheet19!E:K,7,FALSE)</f>
        <v>#N/A</v>
      </c>
      <c r="AP1052" s="12"/>
    </row>
    <row r="1053" spans="1:42" ht="15" x14ac:dyDescent="0.2">
      <c r="A1053" s="8" t="s">
        <v>2422</v>
      </c>
      <c r="B1053" s="9" t="s">
        <v>60</v>
      </c>
      <c r="C1053" s="9">
        <v>1177</v>
      </c>
      <c r="D1053" s="9" t="s">
        <v>908</v>
      </c>
      <c r="E1053" s="30"/>
      <c r="F1053" s="9" t="s">
        <v>988</v>
      </c>
      <c r="G1053" s="9" t="s">
        <v>993</v>
      </c>
      <c r="H1053" s="9" t="s">
        <v>911</v>
      </c>
      <c r="I1053" s="9" t="s">
        <v>994</v>
      </c>
      <c r="J1053" s="9" t="s">
        <v>2479</v>
      </c>
      <c r="K1053" s="9" t="s">
        <v>2480</v>
      </c>
      <c r="L1053" s="9" t="s">
        <v>2480</v>
      </c>
      <c r="M1053" s="9" t="s">
        <v>51</v>
      </c>
      <c r="N1053" s="9">
        <v>943</v>
      </c>
      <c r="O1053" s="9">
        <v>733</v>
      </c>
      <c r="P1053" s="9">
        <v>226</v>
      </c>
      <c r="Q1053" s="9">
        <v>959</v>
      </c>
      <c r="R1053" s="9">
        <v>1.5</v>
      </c>
      <c r="S1053" s="9">
        <v>-4.7895969999999997</v>
      </c>
      <c r="T1053" s="9">
        <v>136.76930100000001</v>
      </c>
      <c r="U1053" s="9"/>
      <c r="V1053" s="11" t="s">
        <v>694</v>
      </c>
      <c r="W1053" s="11"/>
      <c r="X1053" s="11"/>
      <c r="Y1053" s="11" t="e">
        <f>VLOOKUP(L1053,'[1]singkron data'!D:H,5,FALSE)</f>
        <v>#N/A</v>
      </c>
      <c r="Z1053" s="11" t="e">
        <f>VLOOKUP(L1053,'[1]singkron data'!D:I,6,FALSE)</f>
        <v>#N/A</v>
      </c>
      <c r="AA1053" s="11" t="e">
        <f>VLOOKUP(L1053,'[1]singkron data'!D:L,9,FALSE)</f>
        <v>#N/A</v>
      </c>
      <c r="AB1053" s="11" t="s">
        <v>694</v>
      </c>
      <c r="AC1053" s="11" t="e">
        <f>VLOOKUP(L1053,'[1]singkron data'!D:M,10,FALSE)</f>
        <v>#N/A</v>
      </c>
      <c r="AD1053" s="11"/>
      <c r="AE1053" s="11" t="e">
        <f>VLOOKUP(L1053,'[1]singkron data'!D:P,13,FALSE)</f>
        <v>#N/A</v>
      </c>
      <c r="AF1053" s="11"/>
      <c r="AG1053" s="11" t="e">
        <f>VLOOKUP(L1053,'[1]update kontrak'!E:K,6,FALSE)</f>
        <v>#N/A</v>
      </c>
      <c r="AH1053" s="11" t="e">
        <f>VLOOKUP(L1053,'[1]update kontrak'!E:K,7,FALSE)</f>
        <v>#N/A</v>
      </c>
      <c r="AI1053" s="11"/>
      <c r="AJ1053" s="11" t="str">
        <f>VLOOKUP(L1053,[1]rekap!D:M,1,FALSE)</f>
        <v>Poumako</v>
      </c>
      <c r="AK1053" s="11" t="e">
        <f>VLOOKUP(L1053,'[1]singkron data'!D:E,2,FALSE)</f>
        <v>#N/A</v>
      </c>
      <c r="AL1053" s="11" t="str">
        <f>VLOOKUP(L1053,'[1]update 521'!D:D,1,FALSE)</f>
        <v>Poumako</v>
      </c>
      <c r="AM1053" s="11" t="e">
        <f>VLOOKUP(L1053,[1]Sheet18!I:M,5,FALSE)</f>
        <v>#N/A</v>
      </c>
      <c r="AN1053" s="11" t="e">
        <f>VLOOKUP(L1053,[1]Sheet19!E:L,8,FALSE)</f>
        <v>#N/A</v>
      </c>
      <c r="AO1053" s="11" t="e">
        <f>VLOOKUP(L1053,[1]Sheet19!E:K,7,FALSE)</f>
        <v>#N/A</v>
      </c>
      <c r="AP1053" s="12"/>
    </row>
    <row r="1054" spans="1:42" ht="15" x14ac:dyDescent="0.2">
      <c r="A1054" s="8" t="s">
        <v>2422</v>
      </c>
      <c r="B1054" s="9" t="s">
        <v>60</v>
      </c>
      <c r="C1054" s="9">
        <v>1178</v>
      </c>
      <c r="D1054" s="9" t="s">
        <v>1112</v>
      </c>
      <c r="E1054" s="30"/>
      <c r="F1054" s="9" t="s">
        <v>2466</v>
      </c>
      <c r="G1054" s="9" t="s">
        <v>1243</v>
      </c>
      <c r="H1054" s="9" t="s">
        <v>287</v>
      </c>
      <c r="I1054" s="9" t="s">
        <v>1492</v>
      </c>
      <c r="J1054" s="9" t="s">
        <v>1612</v>
      </c>
      <c r="K1054" s="9" t="s">
        <v>2481</v>
      </c>
      <c r="L1054" s="10" t="s">
        <v>2481</v>
      </c>
      <c r="M1054" s="9" t="s">
        <v>51</v>
      </c>
      <c r="N1054" s="9">
        <v>46</v>
      </c>
      <c r="O1054" s="9">
        <v>5</v>
      </c>
      <c r="P1054" s="9">
        <v>45</v>
      </c>
      <c r="Q1054" s="9">
        <v>50</v>
      </c>
      <c r="R1054" s="9">
        <v>0.42449999999999999</v>
      </c>
      <c r="S1054" s="9">
        <v>0.47825800000000002</v>
      </c>
      <c r="T1054" s="9">
        <v>121.34800199999999</v>
      </c>
      <c r="U1054" s="9" t="s">
        <v>52</v>
      </c>
      <c r="V1054" s="11" t="str">
        <f>VLOOKUP(L1054,'[1]singkron data'!D:E,2,FALSE)</f>
        <v>CV. Koperu Sejahtera</v>
      </c>
      <c r="W1054" s="13">
        <f>VLOOKUP(L1054,'[1]data 1129'!F:H,3,FALSE)</f>
        <v>6312774000</v>
      </c>
      <c r="X1054" s="11" t="s">
        <v>55</v>
      </c>
      <c r="Y1054" s="11">
        <f>VLOOKUP(L1054,'[1]singkron data'!D:H,5,FALSE)</f>
        <v>0</v>
      </c>
      <c r="Z1054" s="11">
        <f>VLOOKUP(L1054,'[1]singkron data'!D:I,6,FALSE)</f>
        <v>0</v>
      </c>
      <c r="AA1054" s="11">
        <f>VLOOKUP(L1054,'[1]singkron data'!D:L,9,FALSE)</f>
        <v>82353388135</v>
      </c>
      <c r="AB1054" s="11" t="s">
        <v>54</v>
      </c>
      <c r="AC1054" s="11" t="str">
        <f>VLOOKUP(L1054,'[1]singkron data'!D:M,10,FALSE)</f>
        <v>fraksi roem - new</v>
      </c>
      <c r="AD1054" s="11" t="str">
        <f>VLOOKUP(L1054,'[1]data 1129'!F:O,10,FALSE)</f>
        <v>Tahap IV 200</v>
      </c>
      <c r="AE1054" s="11" t="str">
        <f>VLOOKUP(L1054,'[1]singkron data'!D:P,13,FALSE)</f>
        <v>sudah</v>
      </c>
      <c r="AF1054" s="11" t="s">
        <v>55</v>
      </c>
      <c r="AG1054" s="11" t="e">
        <f>VLOOKUP(L1054,'[1]update kontrak'!E:K,6,FALSE)</f>
        <v>#N/A</v>
      </c>
      <c r="AH1054" s="11" t="e">
        <f>VLOOKUP(L1054,'[1]update kontrak'!E:K,7,FALSE)</f>
        <v>#N/A</v>
      </c>
      <c r="AI1054" s="11" t="s">
        <v>58</v>
      </c>
      <c r="AJ1054" s="11" t="str">
        <f>VLOOKUP(L1054,[1]rekap!D:M,1,FALSE)</f>
        <v>Molosipat</v>
      </c>
      <c r="AK1054" s="11" t="str">
        <f>VLOOKUP(L1054,'[1]singkron data'!D:E,2,FALSE)</f>
        <v>CV. Koperu Sejahtera</v>
      </c>
      <c r="AL1054" s="11" t="str">
        <f>VLOOKUP(L1054,'[1]update 521'!D:D,1,FALSE)</f>
        <v>Molosipat</v>
      </c>
      <c r="AM1054" s="11" t="s">
        <v>57</v>
      </c>
      <c r="AN1054" s="11" t="e">
        <f>VLOOKUP(L1054,[1]Sheet19!E:L,8,FALSE)</f>
        <v>#N/A</v>
      </c>
      <c r="AO1054" s="11" t="s">
        <v>58</v>
      </c>
      <c r="AP1054" s="12"/>
    </row>
    <row r="1055" spans="1:42" ht="15" x14ac:dyDescent="0.2">
      <c r="A1055" s="8" t="s">
        <v>2422</v>
      </c>
      <c r="B1055" s="9" t="s">
        <v>60</v>
      </c>
      <c r="C1055" s="9">
        <v>1179</v>
      </c>
      <c r="D1055" s="9" t="s">
        <v>1112</v>
      </c>
      <c r="E1055" s="30"/>
      <c r="F1055" s="9" t="s">
        <v>1487</v>
      </c>
      <c r="G1055" s="9" t="s">
        <v>1243</v>
      </c>
      <c r="H1055" s="9" t="s">
        <v>287</v>
      </c>
      <c r="I1055" s="9" t="s">
        <v>1492</v>
      </c>
      <c r="J1055" s="9" t="s">
        <v>2482</v>
      </c>
      <c r="K1055" s="9" t="s">
        <v>2483</v>
      </c>
      <c r="L1055" s="10" t="s">
        <v>2483</v>
      </c>
      <c r="M1055" s="9" t="s">
        <v>51</v>
      </c>
      <c r="N1055" s="9">
        <v>299</v>
      </c>
      <c r="O1055" s="9" t="s">
        <v>72</v>
      </c>
      <c r="P1055" s="9">
        <v>299</v>
      </c>
      <c r="Q1055" s="9">
        <v>299</v>
      </c>
      <c r="R1055" s="9">
        <v>3.5000000000000003E-2</v>
      </c>
      <c r="S1055" s="9">
        <v>0.44570500000000002</v>
      </c>
      <c r="T1055" s="9">
        <v>121.934157</v>
      </c>
      <c r="U1055" s="9" t="s">
        <v>52</v>
      </c>
      <c r="V1055" s="11" t="str">
        <f>VLOOKUP(L1055,'[1]singkron data'!D:E,2,FALSE)</f>
        <v>CV. Almaliku</v>
      </c>
      <c r="W1055" s="13">
        <f>VLOOKUP(L1055,'[1]data 1129'!F:H,3,FALSE)</f>
        <v>4780636000</v>
      </c>
      <c r="X1055" s="11" t="s">
        <v>55</v>
      </c>
      <c r="Y1055" s="11">
        <f>VLOOKUP(L1055,'[1]singkron data'!D:H,5,FALSE)</f>
        <v>0</v>
      </c>
      <c r="Z1055" s="11">
        <f>VLOOKUP(L1055,'[1]singkron data'!D:I,6,FALSE)</f>
        <v>0</v>
      </c>
      <c r="AA1055" s="11" t="str">
        <f>VLOOKUP(L1055,'[1]singkron data'!D:L,9,FALSE)</f>
        <v>Firman/081385949713</v>
      </c>
      <c r="AB1055" s="11" t="s">
        <v>54</v>
      </c>
      <c r="AC1055" s="11" t="str">
        <f>VLOOKUP(L1055,'[1]singkron data'!D:M,10,FALSE)</f>
        <v>Pandu (Baru)</v>
      </c>
      <c r="AD1055" s="11" t="str">
        <f>VLOOKUP(L1055,'[1]data 1129'!F:O,10,FALSE)</f>
        <v>Tahap IV 200</v>
      </c>
      <c r="AE1055" s="11" t="str">
        <f>VLOOKUP(L1055,'[1]singkron data'!D:P,13,FALSE)</f>
        <v>sudah</v>
      </c>
      <c r="AF1055" s="11" t="s">
        <v>55</v>
      </c>
      <c r="AG1055" s="11" t="e">
        <f>VLOOKUP(L1055,'[1]update kontrak'!E:K,6,FALSE)</f>
        <v>#N/A</v>
      </c>
      <c r="AH1055" s="11" t="e">
        <f>VLOOKUP(L1055,'[1]update kontrak'!E:K,7,FALSE)</f>
        <v>#N/A</v>
      </c>
      <c r="AI1055" s="11" t="s">
        <v>58</v>
      </c>
      <c r="AJ1055" s="11" t="str">
        <f>VLOOKUP(L1055,[1]rekap!D:M,1,FALSE)</f>
        <v>Bulili</v>
      </c>
      <c r="AK1055" s="11" t="str">
        <f>VLOOKUP(L1055,'[1]singkron data'!D:E,2,FALSE)</f>
        <v>CV. Almaliku</v>
      </c>
      <c r="AL1055" s="11" t="str">
        <f>VLOOKUP(L1055,'[1]update 521'!D:D,1,FALSE)</f>
        <v>Bulili</v>
      </c>
      <c r="AM1055" s="11" t="s">
        <v>57</v>
      </c>
      <c r="AN1055" s="17">
        <f>VLOOKUP(L1055,[1]Sheet19!E:L,8,FALSE)</f>
        <v>4572496021.3500004</v>
      </c>
      <c r="AO1055" s="11" t="str">
        <f>VLOOKUP(L1055,[1]Sheet19!E:K,7,FALSE)</f>
        <v>KONTRAK</v>
      </c>
      <c r="AP1055" s="12" t="s">
        <v>41</v>
      </c>
    </row>
    <row r="1056" spans="1:42" ht="15" x14ac:dyDescent="0.2">
      <c r="A1056" s="8" t="s">
        <v>2422</v>
      </c>
      <c r="B1056" s="9" t="s">
        <v>60</v>
      </c>
      <c r="C1056" s="9">
        <v>1181</v>
      </c>
      <c r="D1056" s="9" t="s">
        <v>1112</v>
      </c>
      <c r="E1056" s="30"/>
      <c r="F1056" s="9" t="s">
        <v>1398</v>
      </c>
      <c r="G1056" s="9" t="s">
        <v>1243</v>
      </c>
      <c r="H1056" s="9" t="s">
        <v>287</v>
      </c>
      <c r="I1056" s="9" t="s">
        <v>1243</v>
      </c>
      <c r="J1056" s="9" t="s">
        <v>1478</v>
      </c>
      <c r="K1056" s="9" t="s">
        <v>2484</v>
      </c>
      <c r="L1056" s="10" t="s">
        <v>2484</v>
      </c>
      <c r="M1056" s="9" t="s">
        <v>51</v>
      </c>
      <c r="N1056" s="9">
        <v>136</v>
      </c>
      <c r="O1056" s="9">
        <v>36</v>
      </c>
      <c r="P1056" s="9">
        <v>71</v>
      </c>
      <c r="Q1056" s="9">
        <v>107</v>
      </c>
      <c r="R1056" s="9">
        <v>0.64</v>
      </c>
      <c r="S1056" s="9">
        <v>0.50622750000000005</v>
      </c>
      <c r="T1056" s="9">
        <v>122.68179720000001</v>
      </c>
      <c r="U1056" s="9" t="s">
        <v>52</v>
      </c>
      <c r="V1056" s="11" t="s">
        <v>1403</v>
      </c>
      <c r="W1056" s="13">
        <f>VLOOKUP(L1056,'[1]data 1129'!F:H,3,FALSE)</f>
        <v>4780636000</v>
      </c>
      <c r="X1056" s="11" t="s">
        <v>55</v>
      </c>
      <c r="Y1056" s="11">
        <f>VLOOKUP(L1056,'[1]singkron data'!D:H,5,FALSE)</f>
        <v>0</v>
      </c>
      <c r="Z1056" s="11">
        <f>VLOOKUP(L1056,'[1]singkron data'!D:I,6,FALSE)</f>
        <v>0</v>
      </c>
      <c r="AA1056" s="11" t="str">
        <f>VLOOKUP(L1056,'[1]singkron data'!D:L,9,FALSE)</f>
        <v>0811946557/sutanto</v>
      </c>
      <c r="AB1056" s="11" t="s">
        <v>54</v>
      </c>
      <c r="AC1056" s="11" t="str">
        <f>VLOOKUP(L1056,'[1]singkron data'!D:M,10,FALSE)</f>
        <v>Hyl</v>
      </c>
      <c r="AD1056" s="11" t="str">
        <f>VLOOKUP(L1056,'[1]data 1129'!F:O,10,FALSE)</f>
        <v>Tahap IV 200</v>
      </c>
      <c r="AE1056" s="11" t="str">
        <f>VLOOKUP(L1056,'[1]singkron data'!D:P,13,FALSE)</f>
        <v>sudah</v>
      </c>
      <c r="AF1056" s="11" t="s">
        <v>55</v>
      </c>
      <c r="AG1056" s="11" t="e">
        <f>VLOOKUP(L1056,'[1]update kontrak'!E:K,6,FALSE)</f>
        <v>#N/A</v>
      </c>
      <c r="AH1056" s="11" t="e">
        <f>VLOOKUP(L1056,'[1]update kontrak'!E:K,7,FALSE)</f>
        <v>#N/A</v>
      </c>
      <c r="AI1056" s="11" t="s">
        <v>58</v>
      </c>
      <c r="AJ1056" s="11" t="str">
        <f>VLOOKUP(L1056,[1]rekap!D:M,1,FALSE)</f>
        <v>Taula'a</v>
      </c>
      <c r="AK1056" s="11" t="str">
        <f>VLOOKUP(L1056,'[1]singkron data'!D:E,2,FALSE)</f>
        <v>PT. KARYA PALMALINDO ANUGERAH</v>
      </c>
      <c r="AL1056" s="11" t="str">
        <f>VLOOKUP(L1056,'[1]update 521'!D:D,1,FALSE)</f>
        <v>Taula'a</v>
      </c>
      <c r="AM1056" s="11" t="s">
        <v>57</v>
      </c>
      <c r="AN1056" s="11" t="e">
        <f>VLOOKUP(L1056,[1]Sheet19!E:L,8,FALSE)</f>
        <v>#N/A</v>
      </c>
      <c r="AO1056" s="11" t="s">
        <v>58</v>
      </c>
      <c r="AP1056" s="12"/>
    </row>
    <row r="1057" spans="1:42" ht="15" x14ac:dyDescent="0.2">
      <c r="A1057" s="27" t="s">
        <v>2422</v>
      </c>
      <c r="B1057" s="28" t="s">
        <v>60</v>
      </c>
      <c r="C1057" s="28">
        <v>1182</v>
      </c>
      <c r="D1057" s="28" t="s">
        <v>1112</v>
      </c>
      <c r="E1057" s="45"/>
      <c r="F1057" s="28" t="s">
        <v>1592</v>
      </c>
      <c r="G1057" s="28" t="s">
        <v>1243</v>
      </c>
      <c r="H1057" s="28" t="s">
        <v>287</v>
      </c>
      <c r="I1057" s="28" t="s">
        <v>1439</v>
      </c>
      <c r="J1057" s="28" t="s">
        <v>2485</v>
      </c>
      <c r="K1057" s="28" t="s">
        <v>2486</v>
      </c>
      <c r="L1057" s="35" t="s">
        <v>2486</v>
      </c>
      <c r="M1057" s="28" t="s">
        <v>51</v>
      </c>
      <c r="N1057" s="28">
        <v>115</v>
      </c>
      <c r="O1057" s="28">
        <v>20</v>
      </c>
      <c r="P1057" s="28">
        <v>330</v>
      </c>
      <c r="Q1057" s="28">
        <v>350</v>
      </c>
      <c r="R1057" s="28">
        <v>1</v>
      </c>
      <c r="S1057" s="28">
        <v>0.309166</v>
      </c>
      <c r="T1057" s="28">
        <v>123.33740400000001</v>
      </c>
      <c r="U1057" s="28" t="s">
        <v>52</v>
      </c>
      <c r="V1057" s="29" t="str">
        <f>VLOOKUP(L1057,'[1]singkron data'!D:E,2,FALSE)</f>
        <v>CV. Cahaya Firatama</v>
      </c>
      <c r="W1057" s="36">
        <f>VLOOKUP(L1057,'[1]data 1129'!F:H,3,FALSE)</f>
        <v>4500000000</v>
      </c>
      <c r="X1057" s="29"/>
      <c r="Y1057" s="29">
        <f>VLOOKUP(L1057,'[1]singkron data'!D:H,5,FALSE)</f>
        <v>0</v>
      </c>
      <c r="Z1057" s="29">
        <f>VLOOKUP(L1057,'[1]singkron data'!D:I,6,FALSE)</f>
        <v>0</v>
      </c>
      <c r="AA1057" s="29">
        <f>VLOOKUP(L1057,'[1]singkron data'!D:L,9,FALSE)</f>
        <v>81242648899</v>
      </c>
      <c r="AB1057" s="29" t="s">
        <v>54</v>
      </c>
      <c r="AC1057" s="29" t="str">
        <f>VLOOKUP(L1057,'[1]singkron data'!D:M,10,FALSE)</f>
        <v>Rohmi</v>
      </c>
      <c r="AD1057" s="29" t="str">
        <f>VLOOKUP(L1057,'[1]data 1129'!F:O,10,FALSE)</f>
        <v>Tahap III 166</v>
      </c>
      <c r="AE1057" s="29" t="str">
        <f>VLOOKUP(L1057,'[1]singkron data'!D:P,13,FALSE)</f>
        <v>sudah</v>
      </c>
      <c r="AF1057" s="29"/>
      <c r="AG1057" s="29" t="e">
        <f>VLOOKUP(L1057,'[1]update kontrak'!E:K,6,FALSE)</f>
        <v>#N/A</v>
      </c>
      <c r="AH1057" s="29" t="e">
        <f>VLOOKUP(L1057,'[1]update kontrak'!E:K,7,FALSE)</f>
        <v>#N/A</v>
      </c>
      <c r="AI1057" s="29"/>
      <c r="AJ1057" s="29" t="str">
        <f>VLOOKUP(L1057,[1]rekap!D:M,1,FALSE)</f>
        <v>Mootinelo</v>
      </c>
      <c r="AK1057" s="29" t="str">
        <f>VLOOKUP(L1057,'[1]singkron data'!D:E,2,FALSE)</f>
        <v>CV. Cahaya Firatama</v>
      </c>
      <c r="AL1057" s="29" t="str">
        <f>VLOOKUP(L1057,'[1]update 521'!D:D,1,FALSE)</f>
        <v>Mootinelo</v>
      </c>
      <c r="AM1057" s="11" t="s">
        <v>57</v>
      </c>
      <c r="AN1057" s="11" t="e">
        <f>VLOOKUP(L1057,[1]Sheet19!E:L,8,FALSE)</f>
        <v>#N/A</v>
      </c>
      <c r="AO1057" s="11" t="s">
        <v>58</v>
      </c>
      <c r="AP1057" s="12"/>
    </row>
    <row r="1058" spans="1:42" ht="15" x14ac:dyDescent="0.2">
      <c r="A1058" s="8" t="s">
        <v>2422</v>
      </c>
      <c r="B1058" s="9" t="s">
        <v>60</v>
      </c>
      <c r="C1058" s="9">
        <v>1183</v>
      </c>
      <c r="D1058" s="9" t="s">
        <v>688</v>
      </c>
      <c r="E1058" s="30"/>
      <c r="F1058" s="9" t="s">
        <v>714</v>
      </c>
      <c r="G1058" s="9" t="s">
        <v>715</v>
      </c>
      <c r="H1058" s="9" t="s">
        <v>287</v>
      </c>
      <c r="I1058" s="9" t="s">
        <v>716</v>
      </c>
      <c r="J1058" s="9" t="s">
        <v>717</v>
      </c>
      <c r="K1058" s="9" t="s">
        <v>2487</v>
      </c>
      <c r="L1058" s="9" t="s">
        <v>2487</v>
      </c>
      <c r="M1058" s="9" t="s">
        <v>51</v>
      </c>
      <c r="N1058" s="9">
        <v>76</v>
      </c>
      <c r="O1058" s="9" t="s">
        <v>72</v>
      </c>
      <c r="P1058" s="9">
        <v>280</v>
      </c>
      <c r="Q1058" s="9">
        <v>280</v>
      </c>
      <c r="R1058" s="9">
        <v>0.06</v>
      </c>
      <c r="S1058" s="9">
        <v>-0.63897999999999999</v>
      </c>
      <c r="T1058" s="9">
        <v>127.30155999999999</v>
      </c>
      <c r="U1058" s="9"/>
      <c r="V1058" s="11">
        <f>VLOOKUP(L1058,'[1]singkron data'!D:E,2,FALSE)</f>
        <v>0</v>
      </c>
      <c r="W1058" s="11"/>
      <c r="X1058" s="11"/>
      <c r="Y1058" s="11">
        <f>VLOOKUP(L1058,'[1]singkron data'!D:H,5,FALSE)</f>
        <v>0</v>
      </c>
      <c r="Z1058" s="11">
        <f>VLOOKUP(L1058,'[1]singkron data'!D:I,6,FALSE)</f>
        <v>0</v>
      </c>
      <c r="AA1058" s="11">
        <f>VLOOKUP(L1058,'[1]singkron data'!D:L,9,FALSE)</f>
        <v>0</v>
      </c>
      <c r="AB1058" s="11" t="s">
        <v>694</v>
      </c>
      <c r="AC1058" s="11">
        <f>VLOOKUP(L1058,'[1]singkron data'!D:M,10,FALSE)</f>
        <v>0</v>
      </c>
      <c r="AD1058" s="11"/>
      <c r="AE1058" s="11">
        <f>VLOOKUP(L1058,'[1]singkron data'!D:P,13,FALSE)</f>
        <v>0</v>
      </c>
      <c r="AF1058" s="11"/>
      <c r="AG1058" s="11" t="e">
        <f>VLOOKUP(L1058,'[1]update kontrak'!E:K,6,FALSE)</f>
        <v>#N/A</v>
      </c>
      <c r="AH1058" s="11" t="e">
        <f>VLOOKUP(L1058,'[1]update kontrak'!E:K,7,FALSE)</f>
        <v>#N/A</v>
      </c>
      <c r="AI1058" s="11"/>
      <c r="AJ1058" s="11" t="str">
        <f>VLOOKUP(L1058,[1]rekap!D:M,1,FALSE)</f>
        <v>Kampung Baru</v>
      </c>
      <c r="AK1058" s="11">
        <f>VLOOKUP(L1058,'[1]singkron data'!D:E,2,FALSE)</f>
        <v>0</v>
      </c>
      <c r="AL1058" s="11" t="str">
        <f>VLOOKUP(L1058,'[1]update 521'!D:D,1,FALSE)</f>
        <v>Kampung Baru</v>
      </c>
      <c r="AM1058" s="11" t="e">
        <v>#N/A</v>
      </c>
      <c r="AN1058" s="11" t="e">
        <f>VLOOKUP(L1058,[1]Sheet19!E:L,8,FALSE)</f>
        <v>#N/A</v>
      </c>
      <c r="AO1058" s="11" t="e">
        <f>VLOOKUP(L1058,[1]Sheet19!E:K,7,FALSE)</f>
        <v>#N/A</v>
      </c>
      <c r="AP1058" s="12"/>
    </row>
    <row r="1059" spans="1:42" ht="15" x14ac:dyDescent="0.2">
      <c r="A1059" s="8" t="s">
        <v>2488</v>
      </c>
      <c r="B1059" s="9" t="s">
        <v>60</v>
      </c>
      <c r="C1059" s="9">
        <v>1184</v>
      </c>
      <c r="D1059" s="9" t="s">
        <v>284</v>
      </c>
      <c r="E1059" s="30"/>
      <c r="F1059" s="9" t="s">
        <v>493</v>
      </c>
      <c r="G1059" s="9" t="s">
        <v>301</v>
      </c>
      <c r="H1059" s="9" t="s">
        <v>287</v>
      </c>
      <c r="I1059" s="9" t="s">
        <v>2321</v>
      </c>
      <c r="J1059" s="9" t="s">
        <v>2322</v>
      </c>
      <c r="K1059" s="9" t="s">
        <v>2489</v>
      </c>
      <c r="L1059" s="10" t="s">
        <v>2489</v>
      </c>
      <c r="M1059" s="9" t="s">
        <v>51</v>
      </c>
      <c r="N1059" s="9">
        <v>799</v>
      </c>
      <c r="O1059" s="9">
        <v>274</v>
      </c>
      <c r="P1059" s="9">
        <v>553</v>
      </c>
      <c r="Q1059" s="9">
        <v>827</v>
      </c>
      <c r="R1059" s="9">
        <v>0.18</v>
      </c>
      <c r="S1059" s="9">
        <v>-6.8433330000000003</v>
      </c>
      <c r="T1059" s="9">
        <v>109.10775599999999</v>
      </c>
      <c r="U1059" s="9" t="s">
        <v>52</v>
      </c>
      <c r="V1059" s="11" t="str">
        <f>VLOOKUP(L1059,'[1]singkron data'!D:E,2,FALSE)</f>
        <v>CV. Putera Fahlevi</v>
      </c>
      <c r="W1059" s="13">
        <f>VLOOKUP(L1059,'[1]data 1129'!F:H,3,FALSE)</f>
        <v>5437000000</v>
      </c>
      <c r="X1059" s="11" t="s">
        <v>55</v>
      </c>
      <c r="Y1059" s="11" t="str">
        <f>VLOOKUP(L1059,'[1]singkron data'!D:H,5,FALSE)</f>
        <v>Bekasi</v>
      </c>
      <c r="Z1059" s="11" t="str">
        <f>VLOOKUP(L1059,'[1]singkron data'!D:I,6,FALSE)</f>
        <v>Online</v>
      </c>
      <c r="AA1059" s="11" t="str">
        <f>VLOOKUP(L1059,'[1]singkron data'!D:L,9,FALSE)</f>
        <v>081286452407/prio</v>
      </c>
      <c r="AB1059" s="11" t="s">
        <v>54</v>
      </c>
      <c r="AC1059" s="11" t="str">
        <f>VLOOKUP(L1059,'[1]singkron data'!D:M,10,FALSE)</f>
        <v>g</v>
      </c>
      <c r="AD1059" s="11" t="str">
        <f>VLOOKUP(L1059,'[1]data 1129'!F:O,10,FALSE)</f>
        <v>Tahap IV 200</v>
      </c>
      <c r="AE1059" s="11" t="str">
        <f>VLOOKUP(L1059,'[1]singkron data'!D:P,13,FALSE)</f>
        <v>sudah</v>
      </c>
      <c r="AF1059" s="11" t="s">
        <v>55</v>
      </c>
      <c r="AG1059" s="11" t="e">
        <f>VLOOKUP(L1059,'[1]update kontrak'!E:K,6,FALSE)</f>
        <v>#N/A</v>
      </c>
      <c r="AH1059" s="11" t="e">
        <f>VLOOKUP(L1059,'[1]update kontrak'!E:K,7,FALSE)</f>
        <v>#N/A</v>
      </c>
      <c r="AI1059" s="11" t="s">
        <v>58</v>
      </c>
      <c r="AJ1059" s="11" t="str">
        <f>VLOOKUP(L1059,[1]rekap!D:M,1,FALSE)</f>
        <v>Muarareja</v>
      </c>
      <c r="AK1059" s="11" t="str">
        <f>VLOOKUP(L1059,'[1]singkron data'!D:E,2,FALSE)</f>
        <v>CV. Putera Fahlevi</v>
      </c>
      <c r="AL1059" s="11" t="str">
        <f>VLOOKUP(L1059,'[1]update 521'!D:D,1,FALSE)</f>
        <v>Muarareja</v>
      </c>
      <c r="AM1059" s="11" t="s">
        <v>57</v>
      </c>
      <c r="AN1059" s="17">
        <f>VLOOKUP(L1059,[1]Sheet19!E:L,8,FALSE)</f>
        <v>2603363811.6999998</v>
      </c>
      <c r="AO1059" s="11" t="str">
        <f>VLOOKUP(L1059,[1]Sheet19!E:K,7,FALSE)</f>
        <v>KONTRAK</v>
      </c>
      <c r="AP1059" s="12" t="s">
        <v>41</v>
      </c>
    </row>
    <row r="1060" spans="1:42" ht="15" x14ac:dyDescent="0.2">
      <c r="A1060" s="8" t="s">
        <v>2488</v>
      </c>
      <c r="B1060" s="9" t="s">
        <v>60</v>
      </c>
      <c r="C1060" s="9">
        <v>1185</v>
      </c>
      <c r="D1060" s="9" t="s">
        <v>284</v>
      </c>
      <c r="E1060" s="30"/>
      <c r="F1060" s="9" t="s">
        <v>493</v>
      </c>
      <c r="G1060" s="9" t="s">
        <v>301</v>
      </c>
      <c r="H1060" s="9" t="s">
        <v>287</v>
      </c>
      <c r="I1060" s="9" t="s">
        <v>502</v>
      </c>
      <c r="J1060" s="9" t="s">
        <v>503</v>
      </c>
      <c r="K1060" s="9" t="s">
        <v>2490</v>
      </c>
      <c r="L1060" s="10" t="s">
        <v>2490</v>
      </c>
      <c r="M1060" s="9" t="s">
        <v>51</v>
      </c>
      <c r="N1060" s="9">
        <v>104</v>
      </c>
      <c r="O1060" s="9" t="s">
        <v>72</v>
      </c>
      <c r="P1060" s="9">
        <v>28</v>
      </c>
      <c r="Q1060" s="9">
        <v>28</v>
      </c>
      <c r="R1060" s="9">
        <v>0.08</v>
      </c>
      <c r="S1060" s="9">
        <v>-6.8711029999999997</v>
      </c>
      <c r="T1060" s="9">
        <v>109.252568</v>
      </c>
      <c r="U1060" s="9" t="s">
        <v>52</v>
      </c>
      <c r="V1060" s="11" t="str">
        <f>VLOOKUP(L1060,'[1]singkron data'!D:E,2,FALSE)</f>
        <v>CV. Putera Fahlevi</v>
      </c>
      <c r="W1060" s="13">
        <f>VLOOKUP(L1060,'[1]data 1129'!F:H,3,FALSE)</f>
        <v>2314000000</v>
      </c>
      <c r="X1060" s="11" t="s">
        <v>55</v>
      </c>
      <c r="Y1060" s="11" t="str">
        <f>VLOOKUP(L1060,'[1]singkron data'!D:H,5,FALSE)</f>
        <v>Bekasi</v>
      </c>
      <c r="Z1060" s="11" t="str">
        <f>VLOOKUP(L1060,'[1]singkron data'!D:I,6,FALSE)</f>
        <v>Online</v>
      </c>
      <c r="AA1060" s="11" t="str">
        <f>VLOOKUP(L1060,'[1]singkron data'!D:L,9,FALSE)</f>
        <v>081286452407/prio</v>
      </c>
      <c r="AB1060" s="11" t="s">
        <v>54</v>
      </c>
      <c r="AC1060" s="11" t="str">
        <f>VLOOKUP(L1060,'[1]singkron data'!D:M,10,FALSE)</f>
        <v>g</v>
      </c>
      <c r="AD1060" s="11" t="str">
        <f>VLOOKUP(L1060,'[1]data 1129'!F:O,10,FALSE)</f>
        <v>Tahap III 166</v>
      </c>
      <c r="AE1060" s="11" t="str">
        <f>VLOOKUP(L1060,'[1]singkron data'!D:P,13,FALSE)</f>
        <v>sudah</v>
      </c>
      <c r="AF1060" s="11" t="s">
        <v>55</v>
      </c>
      <c r="AG1060" s="11" t="e">
        <f>VLOOKUP(L1060,'[1]update kontrak'!E:K,6,FALSE)</f>
        <v>#N/A</v>
      </c>
      <c r="AH1060" s="11" t="e">
        <f>VLOOKUP(L1060,'[1]update kontrak'!E:K,7,FALSE)</f>
        <v>#N/A</v>
      </c>
      <c r="AI1060" s="11" t="s">
        <v>58</v>
      </c>
      <c r="AJ1060" s="11" t="str">
        <f>VLOOKUP(L1060,[1]rekap!D:M,1,FALSE)</f>
        <v>Purwahamba</v>
      </c>
      <c r="AK1060" s="11" t="str">
        <f>VLOOKUP(L1060,'[1]singkron data'!D:E,2,FALSE)</f>
        <v>CV. Putera Fahlevi</v>
      </c>
      <c r="AL1060" s="11" t="str">
        <f>VLOOKUP(L1060,'[1]update 521'!D:D,1,FALSE)</f>
        <v>Purwahamba</v>
      </c>
      <c r="AM1060" s="11" t="s">
        <v>57</v>
      </c>
      <c r="AN1060" s="17">
        <f>VLOOKUP(L1060,[1]Sheet19!E:L,8,FALSE)</f>
        <v>3803107336.7399998</v>
      </c>
      <c r="AO1060" s="11" t="str">
        <f>VLOOKUP(L1060,[1]Sheet19!E:K,7,FALSE)</f>
        <v>KONTRAK</v>
      </c>
      <c r="AP1060" s="12" t="s">
        <v>41</v>
      </c>
    </row>
    <row r="1061" spans="1:42" ht="15" x14ac:dyDescent="0.2">
      <c r="A1061" s="8" t="s">
        <v>2488</v>
      </c>
      <c r="B1061" s="9" t="s">
        <v>60</v>
      </c>
      <c r="C1061" s="9">
        <v>1186</v>
      </c>
      <c r="D1061" s="9" t="s">
        <v>284</v>
      </c>
      <c r="E1061" s="30"/>
      <c r="F1061" s="9" t="s">
        <v>493</v>
      </c>
      <c r="G1061" s="9" t="s">
        <v>301</v>
      </c>
      <c r="H1061" s="9" t="s">
        <v>287</v>
      </c>
      <c r="I1061" s="9" t="s">
        <v>2491</v>
      </c>
      <c r="J1061" s="9" t="s">
        <v>2492</v>
      </c>
      <c r="K1061" s="9" t="s">
        <v>2493</v>
      </c>
      <c r="L1061" s="10" t="s">
        <v>2493</v>
      </c>
      <c r="M1061" s="9" t="s">
        <v>51</v>
      </c>
      <c r="N1061" s="9">
        <v>633</v>
      </c>
      <c r="O1061" s="9" t="s">
        <v>72</v>
      </c>
      <c r="P1061" s="9">
        <v>160</v>
      </c>
      <c r="Q1061" s="9">
        <v>160</v>
      </c>
      <c r="R1061" s="9">
        <v>0.06</v>
      </c>
      <c r="S1061" s="9">
        <v>-6.8671670000000002</v>
      </c>
      <c r="T1061" s="9">
        <v>109.644165</v>
      </c>
      <c r="U1061" s="9" t="s">
        <v>52</v>
      </c>
      <c r="V1061" s="11" t="str">
        <f>VLOOKUP(L1061,'[1]singkron data'!D:E,2,FALSE)</f>
        <v>PT. Mekar Mulia Contractor (Menengah)</v>
      </c>
      <c r="W1061" s="13">
        <f>VLOOKUP(L1061,'[1]data 1129'!F:H,3,FALSE)</f>
        <v>2314000000</v>
      </c>
      <c r="X1061" s="11" t="s">
        <v>55</v>
      </c>
      <c r="Y1061" s="11" t="str">
        <f>VLOOKUP(L1061,'[1]singkron data'!D:H,5,FALSE)</f>
        <v>Pati</v>
      </c>
      <c r="Z1061" s="11" t="str">
        <f>VLOOKUP(L1061,'[1]singkron data'!D:I,6,FALSE)</f>
        <v>Online</v>
      </c>
      <c r="AA1061" s="11">
        <f>VLOOKUP(L1061,'[1]singkron data'!D:L,9,FALSE)</f>
        <v>0</v>
      </c>
      <c r="AB1061" s="11" t="s">
        <v>54</v>
      </c>
      <c r="AC1061" s="11" t="str">
        <f>VLOOKUP(L1061,'[1]singkron data'!D:M,10,FALSE)</f>
        <v>haris</v>
      </c>
      <c r="AD1061" s="11" t="str">
        <f>VLOOKUP(L1061,'[1]data 1129'!F:O,10,FALSE)</f>
        <v>Tahap III 166</v>
      </c>
      <c r="AE1061" s="11">
        <f>VLOOKUP(L1061,'[1]singkron data'!D:P,13,FALSE)</f>
        <v>0</v>
      </c>
      <c r="AF1061" s="11"/>
      <c r="AG1061" s="11" t="e">
        <f>VLOOKUP(L1061,'[1]update kontrak'!E:K,6,FALSE)</f>
        <v>#N/A</v>
      </c>
      <c r="AH1061" s="11" t="e">
        <f>VLOOKUP(L1061,'[1]update kontrak'!E:K,7,FALSE)</f>
        <v>#N/A</v>
      </c>
      <c r="AI1061" s="11" t="s">
        <v>58</v>
      </c>
      <c r="AJ1061" s="11" t="str">
        <f>VLOOKUP(L1061,[1]rekap!D:M,1,FALSE)</f>
        <v>Pecakaran</v>
      </c>
      <c r="AK1061" s="11" t="str">
        <f>VLOOKUP(L1061,'[1]singkron data'!D:E,2,FALSE)</f>
        <v>PT. Mekar Mulia Contractor (Menengah)</v>
      </c>
      <c r="AL1061" s="11" t="str">
        <f>VLOOKUP(L1061,'[1]update 521'!D:D,1,FALSE)</f>
        <v>Pecakaran</v>
      </c>
      <c r="AM1061" s="11" t="s">
        <v>57</v>
      </c>
      <c r="AN1061" s="11" t="e">
        <f>VLOOKUP(L1061,[1]Sheet19!E:L,8,FALSE)</f>
        <v>#N/A</v>
      </c>
      <c r="AO1061" s="11" t="s">
        <v>58</v>
      </c>
      <c r="AP1061" s="12"/>
    </row>
    <row r="1062" spans="1:42" ht="15" x14ac:dyDescent="0.2">
      <c r="A1062" s="8" t="s">
        <v>2488</v>
      </c>
      <c r="B1062" s="9" t="s">
        <v>60</v>
      </c>
      <c r="C1062" s="9">
        <v>1187</v>
      </c>
      <c r="D1062" s="9" t="s">
        <v>44</v>
      </c>
      <c r="E1062" s="30"/>
      <c r="F1062" s="9" t="s">
        <v>164</v>
      </c>
      <c r="G1062" s="9" t="s">
        <v>74</v>
      </c>
      <c r="H1062" s="9" t="s">
        <v>47</v>
      </c>
      <c r="I1062" s="9" t="s">
        <v>165</v>
      </c>
      <c r="J1062" s="9" t="s">
        <v>166</v>
      </c>
      <c r="K1062" s="9" t="s">
        <v>2494</v>
      </c>
      <c r="L1062" s="10" t="s">
        <v>2494</v>
      </c>
      <c r="M1062" s="9" t="s">
        <v>51</v>
      </c>
      <c r="N1062" s="9">
        <v>70</v>
      </c>
      <c r="O1062" s="9">
        <v>7</v>
      </c>
      <c r="P1062" s="9">
        <v>48</v>
      </c>
      <c r="Q1062" s="9">
        <v>55</v>
      </c>
      <c r="R1062" s="9">
        <v>5.2499999999999998E-2</v>
      </c>
      <c r="S1062" s="9">
        <v>-10.1408</v>
      </c>
      <c r="T1062" s="9">
        <v>123.62609999999999</v>
      </c>
      <c r="U1062" s="9" t="s">
        <v>52</v>
      </c>
      <c r="V1062" s="11" t="str">
        <f>VLOOKUP(L1062,'[1]singkron data'!D:E,2,FALSE)</f>
        <v>PT. Pandan Arum</v>
      </c>
      <c r="W1062" s="11"/>
      <c r="X1062" s="11"/>
      <c r="Y1062" s="11">
        <f>VLOOKUP(L1062,'[1]singkron data'!D:H,5,FALSE)</f>
        <v>0</v>
      </c>
      <c r="Z1062" s="11">
        <f>VLOOKUP(L1062,'[1]singkron data'!D:I,6,FALSE)</f>
        <v>0</v>
      </c>
      <c r="AA1062" s="11">
        <f>VLOOKUP(L1062,'[1]singkron data'!D:L,9,FALSE)</f>
        <v>81297992918</v>
      </c>
      <c r="AB1062" s="11" t="s">
        <v>54</v>
      </c>
      <c r="AC1062" s="11" t="str">
        <f>VLOOKUP(L1062,'[1]singkron data'!D:M,10,FALSE)</f>
        <v>fraksi roem</v>
      </c>
      <c r="AD1062" s="11" t="str">
        <f>VLOOKUP(L1062,'[1]data 1129'!F:O,10,FALSE)</f>
        <v>Tahap IV 200</v>
      </c>
      <c r="AE1062" s="11">
        <f>VLOOKUP(L1062,'[1]singkron data'!D:P,13,FALSE)</f>
        <v>0</v>
      </c>
      <c r="AF1062" s="11" t="s">
        <v>55</v>
      </c>
      <c r="AG1062" s="11" t="e">
        <f>VLOOKUP(L1062,'[1]update kontrak'!E:K,6,FALSE)</f>
        <v>#N/A</v>
      </c>
      <c r="AH1062" s="11" t="e">
        <f>VLOOKUP(L1062,'[1]update kontrak'!E:K,7,FALSE)</f>
        <v>#N/A</v>
      </c>
      <c r="AI1062" s="11" t="s">
        <v>58</v>
      </c>
      <c r="AJ1062" s="11" t="str">
        <f>VLOOKUP(L1062,[1]rekap!D:M,1,FALSE)</f>
        <v>Oesapa Barat</v>
      </c>
      <c r="AK1062" s="11" t="str">
        <f>VLOOKUP(L1062,'[1]singkron data'!D:E,2,FALSE)</f>
        <v>PT. Pandan Arum</v>
      </c>
      <c r="AL1062" s="11" t="str">
        <f>VLOOKUP(L1062,'[1]update 521'!D:D,1,FALSE)</f>
        <v>Oesapa Barat</v>
      </c>
      <c r="AM1062" s="11" t="e">
        <v>#N/A</v>
      </c>
      <c r="AN1062" s="11" t="e">
        <f>VLOOKUP(L1062,[1]Sheet19!E:L,8,FALSE)</f>
        <v>#N/A</v>
      </c>
      <c r="AO1062" s="11" t="e">
        <f>VLOOKUP(L1062,[1]Sheet19!E:K,7,FALSE)</f>
        <v>#N/A</v>
      </c>
      <c r="AP1062" s="12"/>
    </row>
    <row r="1063" spans="1:42" ht="15" x14ac:dyDescent="0.2">
      <c r="A1063" s="8" t="s">
        <v>2488</v>
      </c>
      <c r="B1063" s="9" t="s">
        <v>60</v>
      </c>
      <c r="C1063" s="9">
        <v>1188</v>
      </c>
      <c r="D1063" s="9" t="s">
        <v>284</v>
      </c>
      <c r="E1063" s="30"/>
      <c r="F1063" s="9" t="s">
        <v>493</v>
      </c>
      <c r="G1063" s="9" t="s">
        <v>301</v>
      </c>
      <c r="H1063" s="9" t="s">
        <v>287</v>
      </c>
      <c r="I1063" s="9" t="s">
        <v>2491</v>
      </c>
      <c r="J1063" s="9" t="s">
        <v>2492</v>
      </c>
      <c r="K1063" s="9" t="s">
        <v>2495</v>
      </c>
      <c r="L1063" s="10" t="s">
        <v>2495</v>
      </c>
      <c r="M1063" s="9" t="s">
        <v>51</v>
      </c>
      <c r="N1063" s="9">
        <v>1700</v>
      </c>
      <c r="O1063" s="9" t="s">
        <v>72</v>
      </c>
      <c r="P1063" s="9">
        <v>160</v>
      </c>
      <c r="Q1063" s="9">
        <v>160</v>
      </c>
      <c r="R1063" s="9">
        <v>0.15359999999999999</v>
      </c>
      <c r="S1063" s="9">
        <v>-6.8433210000000004</v>
      </c>
      <c r="T1063" s="9">
        <v>109.62294900000001</v>
      </c>
      <c r="U1063" s="9" t="s">
        <v>52</v>
      </c>
      <c r="V1063" s="11" t="str">
        <f>VLOOKUP(L1063,'[1]singkron data'!D:E,2,FALSE)</f>
        <v>PT. Mekar Mulia Contractor (Menengah)</v>
      </c>
      <c r="W1063" s="13">
        <f>VLOOKUP(L1063,'[1]data 1129'!F:H,3,FALSE)</f>
        <v>5437000000</v>
      </c>
      <c r="X1063" s="11" t="s">
        <v>55</v>
      </c>
      <c r="Y1063" s="11" t="str">
        <f>VLOOKUP(L1063,'[1]singkron data'!D:H,5,FALSE)</f>
        <v>Pati</v>
      </c>
      <c r="Z1063" s="11" t="str">
        <f>VLOOKUP(L1063,'[1]singkron data'!D:I,6,FALSE)</f>
        <v>Online</v>
      </c>
      <c r="AA1063" s="11">
        <f>VLOOKUP(L1063,'[1]singkron data'!D:L,9,FALSE)</f>
        <v>0</v>
      </c>
      <c r="AB1063" s="11" t="s">
        <v>54</v>
      </c>
      <c r="AC1063" s="11" t="str">
        <f>VLOOKUP(L1063,'[1]singkron data'!D:M,10,FALSE)</f>
        <v>haris</v>
      </c>
      <c r="AD1063" s="11" t="str">
        <f>VLOOKUP(L1063,'[1]data 1129'!F:O,10,FALSE)</f>
        <v>Tahap IV 200</v>
      </c>
      <c r="AE1063" s="11">
        <f>VLOOKUP(L1063,'[1]singkron data'!D:P,13,FALSE)</f>
        <v>0</v>
      </c>
      <c r="AF1063" s="11"/>
      <c r="AG1063" s="11" t="e">
        <f>VLOOKUP(L1063,'[1]update kontrak'!E:K,6,FALSE)</f>
        <v>#N/A</v>
      </c>
      <c r="AH1063" s="11" t="e">
        <f>VLOOKUP(L1063,'[1]update kontrak'!E:K,7,FALSE)</f>
        <v>#N/A</v>
      </c>
      <c r="AI1063" s="11" t="s">
        <v>58</v>
      </c>
      <c r="AJ1063" s="11" t="str">
        <f>VLOOKUP(L1063,[1]rekap!D:M,1,FALSE)</f>
        <v>Wonokertokulon</v>
      </c>
      <c r="AK1063" s="11" t="str">
        <f>VLOOKUP(L1063,'[1]singkron data'!D:E,2,FALSE)</f>
        <v>PT. Mekar Mulia Contractor (Menengah)</v>
      </c>
      <c r="AL1063" s="11" t="str">
        <f>VLOOKUP(L1063,'[1]update 521'!D:D,1,FALSE)</f>
        <v>Wonokertokulon</v>
      </c>
      <c r="AM1063" s="11" t="s">
        <v>57</v>
      </c>
      <c r="AN1063" s="11" t="e">
        <f>VLOOKUP(L1063,[1]Sheet19!E:L,8,FALSE)</f>
        <v>#N/A</v>
      </c>
      <c r="AO1063" s="11" t="s">
        <v>58</v>
      </c>
      <c r="AP1063" s="12"/>
    </row>
    <row r="1064" spans="1:42" ht="15" x14ac:dyDescent="0.2">
      <c r="A1064" s="8" t="s">
        <v>2488</v>
      </c>
      <c r="B1064" s="9" t="s">
        <v>60</v>
      </c>
      <c r="C1064" s="9">
        <v>1189</v>
      </c>
      <c r="D1064" s="9" t="s">
        <v>1631</v>
      </c>
      <c r="E1064" s="30"/>
      <c r="F1064" s="9" t="s">
        <v>2094</v>
      </c>
      <c r="G1064" s="9" t="s">
        <v>1647</v>
      </c>
      <c r="H1064" s="9" t="s">
        <v>47</v>
      </c>
      <c r="I1064" s="9" t="s">
        <v>1648</v>
      </c>
      <c r="J1064" s="9" t="s">
        <v>2496</v>
      </c>
      <c r="K1064" s="9" t="s">
        <v>2497</v>
      </c>
      <c r="L1064" s="10" t="s">
        <v>2497</v>
      </c>
      <c r="M1064" s="9" t="s">
        <v>51</v>
      </c>
      <c r="N1064" s="9">
        <v>300</v>
      </c>
      <c r="O1064" s="9" t="s">
        <v>72</v>
      </c>
      <c r="P1064" s="9">
        <v>200</v>
      </c>
      <c r="Q1064" s="9">
        <v>200</v>
      </c>
      <c r="R1064" s="9">
        <v>0.1</v>
      </c>
      <c r="S1064" s="9">
        <v>-1.5228690300000001</v>
      </c>
      <c r="T1064" s="9">
        <v>105.8505514</v>
      </c>
      <c r="U1064" s="9" t="s">
        <v>52</v>
      </c>
      <c r="V1064" s="11" t="str">
        <f>VLOOKUP(L1064,'[1]singkron data'!D:E,2,FALSE)</f>
        <v>CV. Marina Visi Tama</v>
      </c>
      <c r="W1064" s="11"/>
      <c r="X1064" s="11"/>
      <c r="Y1064" s="11">
        <f>VLOOKUP(L1064,'[1]singkron data'!D:H,5,FALSE)</f>
        <v>0</v>
      </c>
      <c r="Z1064" s="11">
        <f>VLOOKUP(L1064,'[1]singkron data'!D:I,6,FALSE)</f>
        <v>0</v>
      </c>
      <c r="AA1064" s="11" t="str">
        <f>VLOOKUP(L1064,'[1]singkron data'!D:L,9,FALSE)</f>
        <v>laksmana/081299898951</v>
      </c>
      <c r="AB1064" s="11" t="s">
        <v>54</v>
      </c>
      <c r="AC1064" s="11" t="str">
        <f>VLOOKUP(L1064,'[1]singkron data'!D:M,10,FALSE)</f>
        <v>GCP</v>
      </c>
      <c r="AD1064" s="11" t="str">
        <f>VLOOKUP(L1064,'[1]data 1129'!F:O,10,FALSE)</f>
        <v>Tahap IV 200</v>
      </c>
      <c r="AE1064" s="11">
        <f>VLOOKUP(L1064,'[1]singkron data'!D:P,13,FALSE)</f>
        <v>0</v>
      </c>
      <c r="AF1064" s="11" t="s">
        <v>55</v>
      </c>
      <c r="AG1064" s="11" t="e">
        <f>VLOOKUP(L1064,'[1]update kontrak'!E:K,6,FALSE)</f>
        <v>#N/A</v>
      </c>
      <c r="AH1064" s="11" t="e">
        <f>VLOOKUP(L1064,'[1]update kontrak'!E:K,7,FALSE)</f>
        <v>#N/A</v>
      </c>
      <c r="AI1064" s="11"/>
      <c r="AJ1064" s="11" t="str">
        <f>VLOOKUP(L1064,[1]rekap!D:M,1,FALSE)</f>
        <v>Bintet</v>
      </c>
      <c r="AK1064" s="11" t="str">
        <f>VLOOKUP(L1064,'[1]singkron data'!D:E,2,FALSE)</f>
        <v>CV. Marina Visi Tama</v>
      </c>
      <c r="AL1064" s="11" t="str">
        <f>VLOOKUP(L1064,'[1]update 521'!D:D,1,FALSE)</f>
        <v>Bintet</v>
      </c>
      <c r="AM1064" s="11" t="s">
        <v>96</v>
      </c>
      <c r="AN1064" s="11" t="e">
        <f>VLOOKUP(L1064,[1]Sheet19!E:L,8,FALSE)</f>
        <v>#N/A</v>
      </c>
      <c r="AO1064" s="11" t="e">
        <f>VLOOKUP(L1064,[1]Sheet19!E:K,7,FALSE)</f>
        <v>#N/A</v>
      </c>
      <c r="AP1064" s="12"/>
    </row>
    <row r="1065" spans="1:42" ht="15" x14ac:dyDescent="0.2">
      <c r="A1065" s="8" t="s">
        <v>2488</v>
      </c>
      <c r="B1065" s="9" t="s">
        <v>60</v>
      </c>
      <c r="C1065" s="9">
        <v>1190</v>
      </c>
      <c r="D1065" s="9" t="s">
        <v>1631</v>
      </c>
      <c r="E1065" s="30"/>
      <c r="F1065" s="9" t="s">
        <v>1902</v>
      </c>
      <c r="G1065" s="9" t="s">
        <v>1724</v>
      </c>
      <c r="H1065" s="9" t="s">
        <v>47</v>
      </c>
      <c r="I1065" s="9" t="s">
        <v>1790</v>
      </c>
      <c r="J1065" s="9" t="s">
        <v>2498</v>
      </c>
      <c r="K1065" s="9" t="s">
        <v>2499</v>
      </c>
      <c r="L1065" s="10" t="s">
        <v>2499</v>
      </c>
      <c r="M1065" s="9" t="s">
        <v>51</v>
      </c>
      <c r="N1065" s="9">
        <v>150</v>
      </c>
      <c r="O1065" s="9">
        <v>10</v>
      </c>
      <c r="P1065" s="9">
        <v>150</v>
      </c>
      <c r="Q1065" s="9">
        <v>160</v>
      </c>
      <c r="R1065" s="9">
        <v>0.08</v>
      </c>
      <c r="S1065" s="9">
        <v>0.74148999999999998</v>
      </c>
      <c r="T1065" s="9">
        <v>97.88767</v>
      </c>
      <c r="U1065" s="9" t="s">
        <v>52</v>
      </c>
      <c r="V1065" s="11" t="str">
        <f>VLOOKUP(L1065,'[1]singkron data'!D:E,2,FALSE)</f>
        <v>PT. Bukit Zaitun (Menengah)</v>
      </c>
      <c r="W1065" s="11"/>
      <c r="X1065" s="11"/>
      <c r="Y1065" s="11" t="str">
        <f>VLOOKUP(L1065,'[1]singkron data'!D:H,5,FALSE)</f>
        <v>Jakarta</v>
      </c>
      <c r="Z1065" s="11" t="str">
        <f>VLOOKUP(L1065,'[1]singkron data'!D:I,6,FALSE)</f>
        <v>Online</v>
      </c>
      <c r="AA1065" s="11" t="str">
        <f>VLOOKUP(L1065,'[1]singkron data'!D:L,9,FALSE)</f>
        <v>082267333341/rizki ulfa</v>
      </c>
      <c r="AB1065" s="11" t="s">
        <v>54</v>
      </c>
      <c r="AC1065" s="11" t="str">
        <f>VLOOKUP(L1065,'[1]singkron data'!D:M,10,FALSE)</f>
        <v>Dedd</v>
      </c>
      <c r="AD1065" s="11" t="str">
        <f>VLOOKUP(L1065,'[1]data 1129'!F:O,10,FALSE)</f>
        <v>Tahap IV 200</v>
      </c>
      <c r="AE1065" s="11">
        <f>VLOOKUP(L1065,'[1]singkron data'!D:P,13,FALSE)</f>
        <v>0</v>
      </c>
      <c r="AF1065" s="11" t="s">
        <v>55</v>
      </c>
      <c r="AG1065" s="11" t="e">
        <f>VLOOKUP(L1065,'[1]update kontrak'!E:K,6,FALSE)</f>
        <v>#N/A</v>
      </c>
      <c r="AH1065" s="11" t="e">
        <f>VLOOKUP(L1065,'[1]update kontrak'!E:K,7,FALSE)</f>
        <v>#N/A</v>
      </c>
      <c r="AI1065" s="11"/>
      <c r="AJ1065" s="11" t="str">
        <f>VLOOKUP(L1065,[1]rekap!D:M,1,FALSE)</f>
        <v>Bawozihono</v>
      </c>
      <c r="AK1065" s="11" t="str">
        <f>VLOOKUP(L1065,'[1]singkron data'!D:E,2,FALSE)</f>
        <v>PT. Bukit Zaitun (Menengah)</v>
      </c>
      <c r="AL1065" s="11" t="str">
        <f>VLOOKUP(L1065,'[1]update 521'!D:D,1,FALSE)</f>
        <v>Bawozihono</v>
      </c>
      <c r="AM1065" s="11" t="s">
        <v>96</v>
      </c>
      <c r="AN1065" s="11" t="e">
        <f>VLOOKUP(L1065,[1]Sheet19!E:L,8,FALSE)</f>
        <v>#N/A</v>
      </c>
      <c r="AO1065" s="11" t="e">
        <f>VLOOKUP(L1065,[1]Sheet19!E:K,7,FALSE)</f>
        <v>#N/A</v>
      </c>
      <c r="AP1065" s="12"/>
    </row>
    <row r="1066" spans="1:42" ht="15" x14ac:dyDescent="0.2">
      <c r="A1066" s="8" t="s">
        <v>2488</v>
      </c>
      <c r="B1066" s="9" t="s">
        <v>60</v>
      </c>
      <c r="C1066" s="9">
        <v>1191</v>
      </c>
      <c r="D1066" s="9" t="s">
        <v>1112</v>
      </c>
      <c r="E1066" s="30"/>
      <c r="F1066" s="9" t="s">
        <v>2500</v>
      </c>
      <c r="G1066" s="9" t="s">
        <v>1125</v>
      </c>
      <c r="H1066" s="9" t="s">
        <v>287</v>
      </c>
      <c r="I1066" s="9" t="s">
        <v>1230</v>
      </c>
      <c r="J1066" s="9" t="s">
        <v>1231</v>
      </c>
      <c r="K1066" s="9" t="s">
        <v>2501</v>
      </c>
      <c r="L1066" s="9" t="s">
        <v>2501</v>
      </c>
      <c r="M1066" s="9" t="s">
        <v>51</v>
      </c>
      <c r="N1066" s="9">
        <v>253</v>
      </c>
      <c r="O1066" s="9">
        <v>50</v>
      </c>
      <c r="P1066" s="9">
        <v>200</v>
      </c>
      <c r="Q1066" s="9">
        <v>250</v>
      </c>
      <c r="R1066" s="9" t="s">
        <v>2502</v>
      </c>
      <c r="S1066" s="9">
        <v>3.860894</v>
      </c>
      <c r="T1066" s="9">
        <v>126.688188</v>
      </c>
      <c r="U1066" s="9"/>
      <c r="V1066" s="11" t="e">
        <f>VLOOKUP(L1066,'[1]singkron data'!D:E,2,FALSE)</f>
        <v>#N/A</v>
      </c>
      <c r="W1066" s="13"/>
      <c r="X1066" s="11"/>
      <c r="Y1066" s="11" t="e">
        <f>VLOOKUP(L1066,'[1]singkron data'!D:H,5,FALSE)</f>
        <v>#N/A</v>
      </c>
      <c r="Z1066" s="11" t="e">
        <f>VLOOKUP(L1066,'[1]singkron data'!D:I,6,FALSE)</f>
        <v>#N/A</v>
      </c>
      <c r="AA1066" s="11" t="e">
        <f>VLOOKUP(L1066,'[1]singkron data'!D:L,9,FALSE)</f>
        <v>#N/A</v>
      </c>
      <c r="AB1066" s="11" t="s">
        <v>694</v>
      </c>
      <c r="AC1066" s="11" t="e">
        <f>VLOOKUP(L1066,'[1]singkron data'!D:M,10,FALSE)</f>
        <v>#N/A</v>
      </c>
      <c r="AD1066" s="11"/>
      <c r="AE1066" s="11" t="e">
        <f>VLOOKUP(L1066,'[1]singkron data'!D:P,13,FALSE)</f>
        <v>#N/A</v>
      </c>
      <c r="AF1066" s="11" t="s">
        <v>55</v>
      </c>
      <c r="AG1066" s="11" t="e">
        <f>VLOOKUP(L1066,'[1]update kontrak'!E:K,6,FALSE)</f>
        <v>#N/A</v>
      </c>
      <c r="AH1066" s="11" t="e">
        <f>VLOOKUP(L1066,'[1]update kontrak'!E:K,7,FALSE)</f>
        <v>#N/A</v>
      </c>
      <c r="AI1066" s="11"/>
      <c r="AJ1066" s="11" t="str">
        <f>VLOOKUP(L1066,[1]rekap!D:M,1,FALSE)</f>
        <v>Dalum</v>
      </c>
      <c r="AK1066" s="11" t="e">
        <f>VLOOKUP(L1066,'[1]singkron data'!D:E,2,FALSE)</f>
        <v>#N/A</v>
      </c>
      <c r="AL1066" s="11" t="str">
        <f>VLOOKUP(L1066,'[1]update 521'!D:D,1,FALSE)</f>
        <v>Dalum</v>
      </c>
      <c r="AM1066" s="11" t="s">
        <v>57</v>
      </c>
      <c r="AN1066" s="11" t="e">
        <f>VLOOKUP(L1066,[1]Sheet19!E:L,8,FALSE)</f>
        <v>#N/A</v>
      </c>
      <c r="AO1066" s="11" t="e">
        <f>VLOOKUP(L1066,[1]Sheet19!E:K,7,FALSE)</f>
        <v>#N/A</v>
      </c>
      <c r="AP1066" s="12"/>
    </row>
    <row r="1067" spans="1:42" ht="15" x14ac:dyDescent="0.2">
      <c r="A1067" s="8" t="s">
        <v>2488</v>
      </c>
      <c r="B1067" s="9" t="s">
        <v>60</v>
      </c>
      <c r="C1067" s="9">
        <v>1192</v>
      </c>
      <c r="D1067" s="9" t="s">
        <v>908</v>
      </c>
      <c r="E1067" s="30"/>
      <c r="F1067" s="9" t="s">
        <v>1013</v>
      </c>
      <c r="G1067" s="9" t="s">
        <v>908</v>
      </c>
      <c r="H1067" s="9" t="s">
        <v>911</v>
      </c>
      <c r="I1067" s="9" t="s">
        <v>1014</v>
      </c>
      <c r="J1067" s="9" t="s">
        <v>2503</v>
      </c>
      <c r="K1067" s="9" t="s">
        <v>2504</v>
      </c>
      <c r="L1067" s="9" t="s">
        <v>2504</v>
      </c>
      <c r="M1067" s="9" t="s">
        <v>51</v>
      </c>
      <c r="N1067" s="9">
        <v>17</v>
      </c>
      <c r="O1067" s="9">
        <v>46</v>
      </c>
      <c r="P1067" s="9">
        <v>7</v>
      </c>
      <c r="Q1067" s="9">
        <v>53</v>
      </c>
      <c r="R1067" s="9">
        <v>0.06</v>
      </c>
      <c r="S1067" s="9">
        <v>-0.93867599999999995</v>
      </c>
      <c r="T1067" s="9">
        <v>134.89199400000001</v>
      </c>
      <c r="U1067" s="9"/>
      <c r="V1067" s="11" t="s">
        <v>694</v>
      </c>
      <c r="W1067" s="11"/>
      <c r="X1067" s="11"/>
      <c r="Y1067" s="11" t="e">
        <f>VLOOKUP(L1067,'[1]singkron data'!D:H,5,FALSE)</f>
        <v>#N/A</v>
      </c>
      <c r="Z1067" s="11" t="e">
        <f>VLOOKUP(L1067,'[1]singkron data'!D:I,6,FALSE)</f>
        <v>#N/A</v>
      </c>
      <c r="AA1067" s="11" t="e">
        <f>VLOOKUP(L1067,'[1]singkron data'!D:L,9,FALSE)</f>
        <v>#N/A</v>
      </c>
      <c r="AB1067" s="11" t="s">
        <v>694</v>
      </c>
      <c r="AC1067" s="11" t="e">
        <f>VLOOKUP(L1067,'[1]singkron data'!D:M,10,FALSE)</f>
        <v>#N/A</v>
      </c>
      <c r="AD1067" s="11"/>
      <c r="AE1067" s="11" t="e">
        <f>VLOOKUP(L1067,'[1]singkron data'!D:P,13,FALSE)</f>
        <v>#N/A</v>
      </c>
      <c r="AF1067" s="11" t="s">
        <v>55</v>
      </c>
      <c r="AG1067" s="11" t="e">
        <f>VLOOKUP(L1067,'[1]update kontrak'!E:K,6,FALSE)</f>
        <v>#N/A</v>
      </c>
      <c r="AH1067" s="11" t="e">
        <f>VLOOKUP(L1067,'[1]update kontrak'!E:K,7,FALSE)</f>
        <v>#N/A</v>
      </c>
      <c r="AI1067" s="11"/>
      <c r="AJ1067" s="11" t="str">
        <f>VLOOKUP(L1067,[1]rekap!D:M,1,FALSE)</f>
        <v>Andei</v>
      </c>
      <c r="AK1067" s="11" t="e">
        <f>VLOOKUP(L1067,'[1]singkron data'!D:E,2,FALSE)</f>
        <v>#N/A</v>
      </c>
      <c r="AL1067" s="11" t="str">
        <f>VLOOKUP(L1067,'[1]update 521'!D:D,1,FALSE)</f>
        <v>Andei</v>
      </c>
      <c r="AM1067" s="11" t="e">
        <f>VLOOKUP(L1067,[1]Sheet18!I:M,5,FALSE)</f>
        <v>#N/A</v>
      </c>
      <c r="AN1067" s="11" t="e">
        <f>VLOOKUP(L1067,[1]Sheet19!E:L,8,FALSE)</f>
        <v>#N/A</v>
      </c>
      <c r="AO1067" s="11" t="e">
        <f>VLOOKUP(L1067,[1]Sheet19!E:K,7,FALSE)</f>
        <v>#N/A</v>
      </c>
      <c r="AP1067" s="12"/>
    </row>
    <row r="1068" spans="1:42" ht="15" x14ac:dyDescent="0.2">
      <c r="A1068" s="8" t="s">
        <v>2488</v>
      </c>
      <c r="B1068" s="9" t="s">
        <v>60</v>
      </c>
      <c r="C1068" s="9">
        <v>1193</v>
      </c>
      <c r="D1068" s="9" t="s">
        <v>908</v>
      </c>
      <c r="E1068" s="30"/>
      <c r="F1068" s="9" t="s">
        <v>1086</v>
      </c>
      <c r="G1068" s="9" t="s">
        <v>908</v>
      </c>
      <c r="H1068" s="9" t="s">
        <v>911</v>
      </c>
      <c r="I1068" s="9" t="s">
        <v>1014</v>
      </c>
      <c r="J1068" s="9" t="s">
        <v>1087</v>
      </c>
      <c r="K1068" s="9" t="s">
        <v>1552</v>
      </c>
      <c r="L1068" s="9" t="s">
        <v>1552</v>
      </c>
      <c r="M1068" s="9" t="s">
        <v>51</v>
      </c>
      <c r="N1068" s="9">
        <v>75</v>
      </c>
      <c r="O1068" s="9">
        <v>15</v>
      </c>
      <c r="P1068" s="9">
        <v>21</v>
      </c>
      <c r="Q1068" s="9">
        <v>36</v>
      </c>
      <c r="R1068" s="9">
        <v>3.7499999999999999E-2</v>
      </c>
      <c r="S1068" s="9">
        <v>-1.1515</v>
      </c>
      <c r="T1068" s="9">
        <v>136.279797</v>
      </c>
      <c r="U1068" s="9"/>
      <c r="V1068" s="11" t="s">
        <v>694</v>
      </c>
      <c r="W1068" s="11"/>
      <c r="X1068" s="11"/>
      <c r="Y1068" s="11" t="e">
        <f>VLOOKUP(L1068,'[1]singkron data'!D:H,5,FALSE)</f>
        <v>#N/A</v>
      </c>
      <c r="Z1068" s="11" t="e">
        <f>VLOOKUP(L1068,'[1]singkron data'!D:I,6,FALSE)</f>
        <v>#N/A</v>
      </c>
      <c r="AA1068" s="11" t="e">
        <f>VLOOKUP(L1068,'[1]singkron data'!D:L,9,FALSE)</f>
        <v>#N/A</v>
      </c>
      <c r="AB1068" s="11" t="s">
        <v>694</v>
      </c>
      <c r="AC1068" s="11" t="e">
        <f>VLOOKUP(L1068,'[1]singkron data'!D:M,10,FALSE)</f>
        <v>#N/A</v>
      </c>
      <c r="AD1068" s="11"/>
      <c r="AE1068" s="11" t="e">
        <f>VLOOKUP(L1068,'[1]singkron data'!D:P,13,FALSE)</f>
        <v>#N/A</v>
      </c>
      <c r="AF1068" s="11" t="s">
        <v>55</v>
      </c>
      <c r="AG1068" s="11" t="e">
        <f>VLOOKUP(L1068,'[1]update kontrak'!E:K,6,FALSE)</f>
        <v>#N/A</v>
      </c>
      <c r="AH1068" s="11" t="e">
        <f>VLOOKUP(L1068,'[1]update kontrak'!E:K,7,FALSE)</f>
        <v>#N/A</v>
      </c>
      <c r="AI1068" s="11"/>
      <c r="AJ1068" s="11" t="str">
        <f>VLOOKUP(L1068,[1]rekap!D:M,1,FALSE)</f>
        <v>Sawa</v>
      </c>
      <c r="AK1068" s="11" t="e">
        <f>VLOOKUP(L1068,'[1]singkron data'!D:E,2,FALSE)</f>
        <v>#N/A</v>
      </c>
      <c r="AL1068" s="11" t="str">
        <f>VLOOKUP(L1068,'[1]update 521'!D:D,1,FALSE)</f>
        <v>Sawa</v>
      </c>
      <c r="AM1068" s="11" t="e">
        <f>VLOOKUP(L1068,[1]Sheet18!I:M,5,FALSE)</f>
        <v>#N/A</v>
      </c>
      <c r="AN1068" s="11" t="e">
        <f>VLOOKUP(L1068,[1]Sheet19!E:L,8,FALSE)</f>
        <v>#N/A</v>
      </c>
      <c r="AO1068" s="11" t="e">
        <f>VLOOKUP(L1068,[1]Sheet19!E:K,7,FALSE)</f>
        <v>#N/A</v>
      </c>
      <c r="AP1068" s="12"/>
    </row>
    <row r="1069" spans="1:42" ht="15" x14ac:dyDescent="0.2">
      <c r="A1069" s="8" t="s">
        <v>2488</v>
      </c>
      <c r="B1069" s="9" t="s">
        <v>60</v>
      </c>
      <c r="C1069" s="9">
        <v>1194</v>
      </c>
      <c r="D1069" s="9" t="s">
        <v>908</v>
      </c>
      <c r="E1069" s="30"/>
      <c r="F1069" s="9" t="s">
        <v>968</v>
      </c>
      <c r="G1069" s="9" t="s">
        <v>908</v>
      </c>
      <c r="H1069" s="9" t="s">
        <v>911</v>
      </c>
      <c r="I1069" s="9" t="s">
        <v>971</v>
      </c>
      <c r="J1069" s="9" t="s">
        <v>972</v>
      </c>
      <c r="K1069" s="9" t="s">
        <v>2505</v>
      </c>
      <c r="L1069" s="9" t="s">
        <v>2505</v>
      </c>
      <c r="M1069" s="9" t="s">
        <v>51</v>
      </c>
      <c r="N1069" s="9">
        <v>50</v>
      </c>
      <c r="O1069" s="9">
        <v>15</v>
      </c>
      <c r="P1069" s="9">
        <v>10</v>
      </c>
      <c r="Q1069" s="9">
        <v>25</v>
      </c>
      <c r="R1069" s="9">
        <v>5.4850999999999997E-2</v>
      </c>
      <c r="S1069" s="9">
        <v>-2.2101031999999998</v>
      </c>
      <c r="T1069" s="9">
        <v>136.45388550000001</v>
      </c>
      <c r="U1069" s="9"/>
      <c r="V1069" s="11" t="s">
        <v>694</v>
      </c>
      <c r="W1069" s="11"/>
      <c r="X1069" s="11"/>
      <c r="Y1069" s="11" t="e">
        <f>VLOOKUP(L1069,'[1]singkron data'!D:H,5,FALSE)</f>
        <v>#N/A</v>
      </c>
      <c r="Z1069" s="11" t="e">
        <f>VLOOKUP(L1069,'[1]singkron data'!D:I,6,FALSE)</f>
        <v>#N/A</v>
      </c>
      <c r="AA1069" s="11" t="e">
        <f>VLOOKUP(L1069,'[1]singkron data'!D:L,9,FALSE)</f>
        <v>#N/A</v>
      </c>
      <c r="AB1069" s="11" t="s">
        <v>694</v>
      </c>
      <c r="AC1069" s="11" t="e">
        <f>VLOOKUP(L1069,'[1]singkron data'!D:M,10,FALSE)</f>
        <v>#N/A</v>
      </c>
      <c r="AD1069" s="11"/>
      <c r="AE1069" s="11" t="e">
        <f>VLOOKUP(L1069,'[1]singkron data'!D:P,13,FALSE)</f>
        <v>#N/A</v>
      </c>
      <c r="AF1069" s="11"/>
      <c r="AG1069" s="11" t="e">
        <f>VLOOKUP(L1069,'[1]update kontrak'!E:K,6,FALSE)</f>
        <v>#N/A</v>
      </c>
      <c r="AH1069" s="11" t="e">
        <f>VLOOKUP(L1069,'[1]update kontrak'!E:K,7,FALSE)</f>
        <v>#N/A</v>
      </c>
      <c r="AI1069" s="11"/>
      <c r="AJ1069" s="11" t="str">
        <f>VLOOKUP(L1069,[1]rekap!D:M,1,FALSE)</f>
        <v>Apainabo</v>
      </c>
      <c r="AK1069" s="11" t="e">
        <f>VLOOKUP(L1069,'[1]singkron data'!D:E,2,FALSE)</f>
        <v>#N/A</v>
      </c>
      <c r="AL1069" s="11" t="str">
        <f>VLOOKUP(L1069,'[1]update 521'!D:D,1,FALSE)</f>
        <v>Apainabo</v>
      </c>
      <c r="AM1069" s="11" t="e">
        <f>VLOOKUP(L1069,[1]Sheet18!I:M,5,FALSE)</f>
        <v>#N/A</v>
      </c>
      <c r="AN1069" s="11" t="e">
        <f>VLOOKUP(L1069,[1]Sheet19!E:L,8,FALSE)</f>
        <v>#N/A</v>
      </c>
      <c r="AO1069" s="11" t="e">
        <f>VLOOKUP(L1069,[1]Sheet19!E:K,7,FALSE)</f>
        <v>#N/A</v>
      </c>
      <c r="AP1069" s="12"/>
    </row>
    <row r="1070" spans="1:42" ht="15" x14ac:dyDescent="0.2">
      <c r="A1070" s="8" t="s">
        <v>2488</v>
      </c>
      <c r="B1070" s="9" t="s">
        <v>60</v>
      </c>
      <c r="C1070" s="9">
        <v>1195</v>
      </c>
      <c r="D1070" s="9" t="s">
        <v>1631</v>
      </c>
      <c r="E1070" s="30"/>
      <c r="F1070" s="9" t="s">
        <v>1881</v>
      </c>
      <c r="G1070" s="9" t="s">
        <v>1882</v>
      </c>
      <c r="H1070" s="9" t="s">
        <v>47</v>
      </c>
      <c r="I1070" s="9" t="s">
        <v>1883</v>
      </c>
      <c r="J1070" s="9" t="s">
        <v>1883</v>
      </c>
      <c r="K1070" s="9" t="s">
        <v>2506</v>
      </c>
      <c r="L1070" s="10" t="s">
        <v>2506</v>
      </c>
      <c r="M1070" s="9" t="s">
        <v>51</v>
      </c>
      <c r="N1070" s="9">
        <v>201</v>
      </c>
      <c r="O1070" s="9">
        <v>5</v>
      </c>
      <c r="P1070" s="9">
        <v>98</v>
      </c>
      <c r="Q1070" s="9">
        <v>103</v>
      </c>
      <c r="R1070" s="9">
        <v>1.01</v>
      </c>
      <c r="S1070" s="9">
        <v>1.4474100000000001</v>
      </c>
      <c r="T1070" s="9">
        <v>102.15469</v>
      </c>
      <c r="U1070" s="9" t="s">
        <v>52</v>
      </c>
      <c r="V1070" s="11" t="str">
        <f>VLOOKUP(L1070,'[1]singkron data'!D:E,2,FALSE)</f>
        <v>CV. Sonta Abadi</v>
      </c>
      <c r="W1070" s="13">
        <f>VLOOKUP(L1070,'[1]update tim 2'!D:F,3,FALSE)</f>
        <v>3232323000</v>
      </c>
      <c r="X1070" s="11" t="s">
        <v>55</v>
      </c>
      <c r="Y1070" s="11">
        <f>VLOOKUP(L1070,'[1]singkron data'!D:H,5,FALSE)</f>
        <v>0</v>
      </c>
      <c r="Z1070" s="11">
        <f>VLOOKUP(L1070,'[1]singkron data'!D:I,6,FALSE)</f>
        <v>0</v>
      </c>
      <c r="AA1070" s="11" t="str">
        <f>VLOOKUP(L1070,'[1]singkron data'!D:L,9,FALSE)</f>
        <v>082189262966/rudi</v>
      </c>
      <c r="AB1070" s="11" t="s">
        <v>54</v>
      </c>
      <c r="AC1070" s="11">
        <f>VLOOKUP(L1070,'[1]singkron data'!D:M,10,FALSE)</f>
        <v>0</v>
      </c>
      <c r="AD1070" s="11" t="str">
        <f>VLOOKUP(L1070,'[1]data 1129'!F:O,10,FALSE)</f>
        <v>Tahap IV 200</v>
      </c>
      <c r="AE1070" s="11">
        <f>VLOOKUP(L1070,'[1]singkron data'!D:P,13,FALSE)</f>
        <v>0</v>
      </c>
      <c r="AF1070" s="11" t="s">
        <v>55</v>
      </c>
      <c r="AG1070" s="11" t="e">
        <f>VLOOKUP(L1070,'[1]update kontrak'!E:K,6,FALSE)</f>
        <v>#N/A</v>
      </c>
      <c r="AH1070" s="11" t="e">
        <f>VLOOKUP(L1070,'[1]update kontrak'!E:K,7,FALSE)</f>
        <v>#N/A</v>
      </c>
      <c r="AI1070" s="11"/>
      <c r="AJ1070" s="11" t="str">
        <f>VLOOKUP(L1070,[1]rekap!D:M,1,FALSE)</f>
        <v>Kuala Alam</v>
      </c>
      <c r="AK1070" s="11" t="str">
        <f>VLOOKUP(L1070,'[1]singkron data'!D:E,2,FALSE)</f>
        <v>CV. Sonta Abadi</v>
      </c>
      <c r="AL1070" s="11" t="str">
        <f>VLOOKUP(L1070,'[1]update 521'!D:D,1,FALSE)</f>
        <v>Kuala Alam</v>
      </c>
      <c r="AM1070" s="11" t="s">
        <v>57</v>
      </c>
      <c r="AN1070" s="11" t="e">
        <f>VLOOKUP(L1070,[1]Sheet19!E:L,8,FALSE)</f>
        <v>#N/A</v>
      </c>
      <c r="AO1070" s="11" t="s">
        <v>58</v>
      </c>
      <c r="AP1070" s="12"/>
    </row>
    <row r="1071" spans="1:42" ht="15" x14ac:dyDescent="0.2">
      <c r="A1071" s="8" t="s">
        <v>2488</v>
      </c>
      <c r="B1071" s="9" t="s">
        <v>60</v>
      </c>
      <c r="C1071" s="9">
        <v>1196</v>
      </c>
      <c r="D1071" s="9" t="s">
        <v>688</v>
      </c>
      <c r="E1071" s="30"/>
      <c r="F1071" s="9" t="s">
        <v>714</v>
      </c>
      <c r="G1071" s="9" t="s">
        <v>715</v>
      </c>
      <c r="H1071" s="9" t="s">
        <v>287</v>
      </c>
      <c r="I1071" s="9" t="s">
        <v>716</v>
      </c>
      <c r="J1071" s="9" t="s">
        <v>2507</v>
      </c>
      <c r="K1071" s="9" t="s">
        <v>864</v>
      </c>
      <c r="L1071" s="9" t="s">
        <v>864</v>
      </c>
      <c r="M1071" s="9" t="s">
        <v>51</v>
      </c>
      <c r="N1071" s="9">
        <v>121</v>
      </c>
      <c r="O1071" s="9" t="s">
        <v>72</v>
      </c>
      <c r="P1071" s="9">
        <v>121</v>
      </c>
      <c r="Q1071" s="9">
        <v>121</v>
      </c>
      <c r="R1071" s="9">
        <v>0.06</v>
      </c>
      <c r="S1071" s="9">
        <v>-0.3534506</v>
      </c>
      <c r="T1071" s="9">
        <v>127.266927</v>
      </c>
      <c r="U1071" s="9"/>
      <c r="V1071" s="11">
        <f>VLOOKUP(L1071,'[1]singkron data'!D:E,2,FALSE)</f>
        <v>0</v>
      </c>
      <c r="W1071" s="13" t="str">
        <f>VLOOKUP(L1071,[1]Sheet18!E:F,2,FALSE)</f>
        <v>belum ada</v>
      </c>
      <c r="X1071" s="11"/>
      <c r="Y1071" s="11">
        <f>VLOOKUP(L1071,'[1]singkron data'!D:H,5,FALSE)</f>
        <v>0</v>
      </c>
      <c r="Z1071" s="11">
        <f>VLOOKUP(L1071,'[1]singkron data'!D:I,6,FALSE)</f>
        <v>0</v>
      </c>
      <c r="AA1071" s="11">
        <f>VLOOKUP(L1071,'[1]singkron data'!D:L,9,FALSE)</f>
        <v>0</v>
      </c>
      <c r="AB1071" s="11" t="s">
        <v>694</v>
      </c>
      <c r="AC1071" s="11">
        <f>VLOOKUP(L1071,'[1]singkron data'!D:M,10,FALSE)</f>
        <v>0</v>
      </c>
      <c r="AD1071" s="11"/>
      <c r="AE1071" s="11">
        <f>VLOOKUP(L1071,'[1]singkron data'!D:P,13,FALSE)</f>
        <v>0</v>
      </c>
      <c r="AF1071" s="11" t="s">
        <v>55</v>
      </c>
      <c r="AG1071" s="11" t="e">
        <f>VLOOKUP(L1071,'[1]update kontrak'!E:K,6,FALSE)</f>
        <v>#N/A</v>
      </c>
      <c r="AH1071" s="11" t="e">
        <f>VLOOKUP(L1071,'[1]update kontrak'!E:K,7,FALSE)</f>
        <v>#N/A</v>
      </c>
      <c r="AI1071" s="11"/>
      <c r="AJ1071" s="11" t="str">
        <f>VLOOKUP(L1071,[1]rekap!D:M,1,FALSE)</f>
        <v>Loleo Jaya</v>
      </c>
      <c r="AK1071" s="11">
        <f>VLOOKUP(L1071,'[1]singkron data'!D:E,2,FALSE)</f>
        <v>0</v>
      </c>
      <c r="AL1071" s="11" t="str">
        <f>VLOOKUP(L1071,'[1]update 521'!D:D,1,FALSE)</f>
        <v>Loleo Jaya</v>
      </c>
      <c r="AM1071" s="11" t="s">
        <v>96</v>
      </c>
      <c r="AN1071" s="11" t="e">
        <f>VLOOKUP(L1071,[1]Sheet19!E:L,8,FALSE)</f>
        <v>#N/A</v>
      </c>
      <c r="AO1071" s="11" t="e">
        <f>VLOOKUP(L1071,[1]Sheet19!E:K,7,FALSE)</f>
        <v>#N/A</v>
      </c>
      <c r="AP1071" s="12"/>
    </row>
    <row r="1072" spans="1:42" ht="15" x14ac:dyDescent="0.2">
      <c r="A1072" s="8" t="s">
        <v>2488</v>
      </c>
      <c r="B1072" s="9" t="s">
        <v>60</v>
      </c>
      <c r="C1072" s="9">
        <v>1197</v>
      </c>
      <c r="D1072" s="9" t="s">
        <v>44</v>
      </c>
      <c r="E1072" s="30"/>
      <c r="F1072" s="9" t="s">
        <v>164</v>
      </c>
      <c r="G1072" s="9" t="s">
        <v>74</v>
      </c>
      <c r="H1072" s="9" t="s">
        <v>47</v>
      </c>
      <c r="I1072" s="9" t="s">
        <v>165</v>
      </c>
      <c r="J1072" s="9" t="s">
        <v>2508</v>
      </c>
      <c r="K1072" s="9" t="s">
        <v>2509</v>
      </c>
      <c r="L1072" s="10" t="s">
        <v>2509</v>
      </c>
      <c r="M1072" s="9" t="s">
        <v>51</v>
      </c>
      <c r="N1072" s="9">
        <v>100</v>
      </c>
      <c r="O1072" s="9" t="s">
        <v>72</v>
      </c>
      <c r="P1072" s="9">
        <v>20</v>
      </c>
      <c r="Q1072" s="9">
        <v>20</v>
      </c>
      <c r="R1072" s="9">
        <v>0.24</v>
      </c>
      <c r="S1072" s="9">
        <v>-10.1508</v>
      </c>
      <c r="T1072" s="9">
        <v>123.60299999999999</v>
      </c>
      <c r="U1072" s="9" t="s">
        <v>52</v>
      </c>
      <c r="V1072" s="11" t="s">
        <v>170</v>
      </c>
      <c r="W1072" s="11"/>
      <c r="X1072" s="11"/>
      <c r="Y1072" s="11" t="str">
        <f>VLOOKUP(L1072,'[1]singkron data'!D:H,5,FALSE)</f>
        <v>Kupang</v>
      </c>
      <c r="Z1072" s="11" t="str">
        <f>VLOOKUP(L1072,'[1]singkron data'!D:I,6,FALSE)</f>
        <v>Online</v>
      </c>
      <c r="AA1072" s="11" t="s">
        <v>171</v>
      </c>
      <c r="AB1072" s="11" t="s">
        <v>54</v>
      </c>
      <c r="AC1072" s="11" t="s">
        <v>172</v>
      </c>
      <c r="AD1072" s="11" t="str">
        <f>VLOOKUP(L1072,'[1]data 1129'!F:O,10,FALSE)</f>
        <v>Tahap IV 200</v>
      </c>
      <c r="AE1072" s="11">
        <f>VLOOKUP(L1072,'[1]singkron data'!D:P,13,FALSE)</f>
        <v>0</v>
      </c>
      <c r="AF1072" s="11" t="s">
        <v>55</v>
      </c>
      <c r="AG1072" s="11" t="e">
        <f>VLOOKUP(L1072,'[1]update kontrak'!E:K,6,FALSE)</f>
        <v>#N/A</v>
      </c>
      <c r="AH1072" s="11" t="e">
        <f>VLOOKUP(L1072,'[1]update kontrak'!E:K,7,FALSE)</f>
        <v>#N/A</v>
      </c>
      <c r="AI1072" s="11"/>
      <c r="AJ1072" s="11" t="str">
        <f>VLOOKUP(L1072,[1]rekap!D:M,1,FALSE)</f>
        <v>Pasir Panjang</v>
      </c>
      <c r="AK1072" s="11" t="str">
        <f>VLOOKUP(L1072,'[1]singkron data'!D:E,2,FALSE)</f>
        <v>PT. Arkana Timor Raya</v>
      </c>
      <c r="AL1072" s="11" t="str">
        <f>VLOOKUP(L1072,'[1]update 521'!D:D,1,FALSE)</f>
        <v>Pasir Panjang</v>
      </c>
      <c r="AM1072" s="11" t="s">
        <v>96</v>
      </c>
      <c r="AN1072" s="11" t="e">
        <f>VLOOKUP(L1072,[1]Sheet19!E:L,8,FALSE)</f>
        <v>#N/A</v>
      </c>
      <c r="AO1072" s="11" t="e">
        <f>VLOOKUP(L1072,[1]Sheet19!E:K,7,FALSE)</f>
        <v>#N/A</v>
      </c>
      <c r="AP1072" s="12"/>
    </row>
    <row r="1073" spans="1:42" ht="15" x14ac:dyDescent="0.2">
      <c r="A1073" s="8" t="s">
        <v>2488</v>
      </c>
      <c r="B1073" s="9" t="s">
        <v>60</v>
      </c>
      <c r="C1073" s="9">
        <v>1198</v>
      </c>
      <c r="D1073" s="9" t="s">
        <v>44</v>
      </c>
      <c r="E1073" s="30"/>
      <c r="F1073" s="9" t="s">
        <v>164</v>
      </c>
      <c r="G1073" s="9" t="s">
        <v>74</v>
      </c>
      <c r="H1073" s="9" t="s">
        <v>47</v>
      </c>
      <c r="I1073" s="9" t="s">
        <v>165</v>
      </c>
      <c r="J1073" s="9" t="s">
        <v>168</v>
      </c>
      <c r="K1073" s="9" t="s">
        <v>2510</v>
      </c>
      <c r="L1073" s="10" t="s">
        <v>2510</v>
      </c>
      <c r="M1073" s="9" t="s">
        <v>51</v>
      </c>
      <c r="N1073" s="9">
        <v>33</v>
      </c>
      <c r="O1073" s="9" t="s">
        <v>72</v>
      </c>
      <c r="P1073" s="9">
        <v>22</v>
      </c>
      <c r="Q1073" s="9">
        <v>22</v>
      </c>
      <c r="R1073" s="9">
        <v>0.05</v>
      </c>
      <c r="S1073" s="9">
        <v>-10.168200000000001</v>
      </c>
      <c r="T1073" s="9">
        <v>123.5692</v>
      </c>
      <c r="U1073" s="9" t="s">
        <v>52</v>
      </c>
      <c r="V1073" s="11" t="s">
        <v>170</v>
      </c>
      <c r="W1073" s="11"/>
      <c r="X1073" s="11"/>
      <c r="Y1073" s="11" t="str">
        <f>VLOOKUP(L1073,'[1]singkron data'!D:H,5,FALSE)</f>
        <v>Kupang</v>
      </c>
      <c r="Z1073" s="11" t="str">
        <f>VLOOKUP(L1073,'[1]singkron data'!D:I,6,FALSE)</f>
        <v>Online</v>
      </c>
      <c r="AA1073" s="11" t="s">
        <v>171</v>
      </c>
      <c r="AB1073" s="11" t="s">
        <v>54</v>
      </c>
      <c r="AC1073" s="11" t="s">
        <v>172</v>
      </c>
      <c r="AD1073" s="11" t="str">
        <f>VLOOKUP(L1073,'[1]data 1129'!F:O,10,FALSE)</f>
        <v>Tahap IV 200</v>
      </c>
      <c r="AE1073" s="11">
        <f>VLOOKUP(L1073,'[1]singkron data'!D:P,13,FALSE)</f>
        <v>0</v>
      </c>
      <c r="AF1073" s="11" t="s">
        <v>55</v>
      </c>
      <c r="AG1073" s="11" t="e">
        <f>VLOOKUP(L1073,'[1]update kontrak'!E:K,6,FALSE)</f>
        <v>#N/A</v>
      </c>
      <c r="AH1073" s="11" t="e">
        <f>VLOOKUP(L1073,'[1]update kontrak'!E:K,7,FALSE)</f>
        <v>#N/A</v>
      </c>
      <c r="AI1073" s="11"/>
      <c r="AJ1073" s="11" t="str">
        <f>VLOOKUP(L1073,[1]rekap!D:M,1,FALSE)</f>
        <v>Nunbaun Delha</v>
      </c>
      <c r="AK1073" s="11" t="str">
        <f>VLOOKUP(L1073,'[1]singkron data'!D:E,2,FALSE)</f>
        <v>PT. Citra Timor Mandiri (Menengah)</v>
      </c>
      <c r="AL1073" s="11" t="str">
        <f>VLOOKUP(L1073,'[1]update 521'!D:D,1,FALSE)</f>
        <v>Nunbaun Delha</v>
      </c>
      <c r="AM1073" s="11" t="s">
        <v>96</v>
      </c>
      <c r="AN1073" s="11" t="e">
        <f>VLOOKUP(L1073,[1]Sheet19!E:L,8,FALSE)</f>
        <v>#N/A</v>
      </c>
      <c r="AO1073" s="11" t="e">
        <f>VLOOKUP(L1073,[1]Sheet19!E:K,7,FALSE)</f>
        <v>#N/A</v>
      </c>
      <c r="AP1073" s="12"/>
    </row>
    <row r="1074" spans="1:42" ht="15" x14ac:dyDescent="0.2">
      <c r="A1074" s="8" t="s">
        <v>2488</v>
      </c>
      <c r="B1074" s="9" t="s">
        <v>60</v>
      </c>
      <c r="C1074" s="9">
        <v>1199</v>
      </c>
      <c r="D1074" s="9" t="s">
        <v>688</v>
      </c>
      <c r="E1074" s="30"/>
      <c r="F1074" s="9" t="s">
        <v>689</v>
      </c>
      <c r="G1074" s="9" t="s">
        <v>690</v>
      </c>
      <c r="H1074" s="9" t="s">
        <v>287</v>
      </c>
      <c r="I1074" s="9" t="s">
        <v>691</v>
      </c>
      <c r="J1074" s="9" t="s">
        <v>2335</v>
      </c>
      <c r="K1074" s="9" t="s">
        <v>609</v>
      </c>
      <c r="L1074" s="9" t="s">
        <v>609</v>
      </c>
      <c r="M1074" s="9" t="s">
        <v>51</v>
      </c>
      <c r="N1074" s="9">
        <v>82</v>
      </c>
      <c r="O1074" s="9">
        <v>52</v>
      </c>
      <c r="P1074" s="9">
        <v>30</v>
      </c>
      <c r="Q1074" s="9">
        <v>82</v>
      </c>
      <c r="R1074" s="9">
        <v>0.38</v>
      </c>
      <c r="S1074" s="9">
        <v>-3.4053499999999999</v>
      </c>
      <c r="T1074" s="9">
        <v>130.68315999999999</v>
      </c>
      <c r="U1074" s="9"/>
      <c r="V1074" s="11">
        <f>VLOOKUP(L1074,'[1]singkron data'!D:E,2,FALSE)</f>
        <v>0</v>
      </c>
      <c r="W1074" s="11">
        <f>VLOOKUP(L1074,'[1]data 1129'!F:H,3,FALSE)</f>
        <v>0</v>
      </c>
      <c r="X1074" s="11"/>
      <c r="Y1074" s="11">
        <f>VLOOKUP(L1074,'[1]singkron data'!D:H,5,FALSE)</f>
        <v>0</v>
      </c>
      <c r="Z1074" s="11">
        <f>VLOOKUP(L1074,'[1]singkron data'!D:I,6,FALSE)</f>
        <v>0</v>
      </c>
      <c r="AA1074" s="11">
        <f>VLOOKUP(L1074,'[1]singkron data'!D:L,9,FALSE)</f>
        <v>0</v>
      </c>
      <c r="AB1074" s="11" t="s">
        <v>694</v>
      </c>
      <c r="AC1074" s="11">
        <f>VLOOKUP(L1074,'[1]singkron data'!D:M,10,FALSE)</f>
        <v>0</v>
      </c>
      <c r="AD1074" s="11"/>
      <c r="AE1074" s="11">
        <f>VLOOKUP(L1074,'[1]singkron data'!D:P,13,FALSE)</f>
        <v>0</v>
      </c>
      <c r="AF1074" s="11"/>
      <c r="AG1074" s="11" t="e">
        <f>VLOOKUP(L1074,'[1]update kontrak'!E:K,6,FALSE)</f>
        <v>#N/A</v>
      </c>
      <c r="AH1074" s="11" t="e">
        <f>VLOOKUP(L1074,'[1]update kontrak'!E:K,7,FALSE)</f>
        <v>#N/A</v>
      </c>
      <c r="AI1074" s="11"/>
      <c r="AJ1074" s="11" t="str">
        <f>VLOOKUP(L1074,[1]rekap!D:M,1,FALSE)</f>
        <v>Waru</v>
      </c>
      <c r="AK1074" s="11">
        <f>VLOOKUP(L1074,'[1]singkron data'!D:E,2,FALSE)</f>
        <v>0</v>
      </c>
      <c r="AL1074" s="11" t="str">
        <f>VLOOKUP(L1074,'[1]update 521'!D:D,1,FALSE)</f>
        <v>Waru</v>
      </c>
      <c r="AM1074" s="11" t="s">
        <v>96</v>
      </c>
      <c r="AN1074" s="11" t="e">
        <f>VLOOKUP(L1074,[1]Sheet19!E:L,8,FALSE)</f>
        <v>#N/A</v>
      </c>
      <c r="AO1074" s="11" t="e">
        <f>VLOOKUP(L1074,[1]Sheet19!E:K,7,FALSE)</f>
        <v>#N/A</v>
      </c>
      <c r="AP1074" s="12"/>
    </row>
    <row r="1075" spans="1:42" ht="15" x14ac:dyDescent="0.2">
      <c r="A1075" s="8" t="s">
        <v>2488</v>
      </c>
      <c r="B1075" s="9" t="s">
        <v>60</v>
      </c>
      <c r="C1075" s="9">
        <v>1200</v>
      </c>
      <c r="D1075" s="9" t="s">
        <v>44</v>
      </c>
      <c r="E1075" s="30"/>
      <c r="F1075" s="9" t="s">
        <v>73</v>
      </c>
      <c r="G1075" s="9" t="s">
        <v>74</v>
      </c>
      <c r="H1075" s="9" t="s">
        <v>47</v>
      </c>
      <c r="I1075" s="9" t="s">
        <v>86</v>
      </c>
      <c r="J1075" s="9" t="s">
        <v>2511</v>
      </c>
      <c r="K1075" s="9" t="s">
        <v>2512</v>
      </c>
      <c r="L1075" s="10" t="s">
        <v>2512</v>
      </c>
      <c r="M1075" s="9" t="s">
        <v>51</v>
      </c>
      <c r="N1075" s="9">
        <v>33</v>
      </c>
      <c r="O1075" s="9">
        <v>2</v>
      </c>
      <c r="P1075" s="9">
        <v>30</v>
      </c>
      <c r="Q1075" s="9">
        <v>32</v>
      </c>
      <c r="R1075" s="9">
        <v>1.05</v>
      </c>
      <c r="S1075" s="9">
        <v>-9.0859000000000005</v>
      </c>
      <c r="T1075" s="9">
        <v>124.6905</v>
      </c>
      <c r="U1075" s="9" t="s">
        <v>52</v>
      </c>
      <c r="V1075" s="11" t="str">
        <f>VLOOKUP(L1075,'[1]singkron data'!D:E,2,FALSE)</f>
        <v>PT. Mega Karya Sentralindo (Kecil/Menengah)</v>
      </c>
      <c r="W1075" s="11"/>
      <c r="X1075" s="11"/>
      <c r="Y1075" s="11">
        <f>VLOOKUP(L1075,'[1]singkron data'!D:H,5,FALSE)</f>
        <v>0</v>
      </c>
      <c r="Z1075" s="11">
        <f>VLOOKUP(L1075,'[1]singkron data'!D:I,6,FALSE)</f>
        <v>0</v>
      </c>
      <c r="AA1075" s="11" t="str">
        <f>VLOOKUP(L1075,'[1]singkron data'!D:L,9,FALSE)</f>
        <v>0811417877/gerard</v>
      </c>
      <c r="AB1075" s="11" t="s">
        <v>54</v>
      </c>
      <c r="AC1075" s="11" t="str">
        <f>VLOOKUP(L1075,'[1]singkron data'!D:M,10,FALSE)</f>
        <v>aboe bakar - ganti perusahaan skala kecil</v>
      </c>
      <c r="AD1075" s="11" t="str">
        <f>VLOOKUP(L1075,'[1]data 1129'!F:O,10,FALSE)</f>
        <v>Tahap IV 200</v>
      </c>
      <c r="AE1075" s="11">
        <f>VLOOKUP(L1075,'[1]singkron data'!D:P,13,FALSE)</f>
        <v>0</v>
      </c>
      <c r="AF1075" s="11" t="s">
        <v>55</v>
      </c>
      <c r="AG1075" s="11" t="e">
        <f>VLOOKUP(L1075,'[1]update kontrak'!E:K,6,FALSE)</f>
        <v>#N/A</v>
      </c>
      <c r="AH1075" s="11" t="e">
        <f>VLOOKUP(L1075,'[1]update kontrak'!E:K,7,FALSE)</f>
        <v>#N/A</v>
      </c>
      <c r="AI1075" s="11"/>
      <c r="AJ1075" s="11" t="str">
        <f>VLOOKUP(L1075,[1]rekap!D:M,1,FALSE)</f>
        <v>Tuamese</v>
      </c>
      <c r="AK1075" s="11" t="str">
        <f>VLOOKUP(L1075,'[1]singkron data'!D:E,2,FALSE)</f>
        <v>PT. Mega Karya Sentralindo (Kecil/Menengah)</v>
      </c>
      <c r="AL1075" s="11" t="str">
        <f>VLOOKUP(L1075,'[1]update 521'!D:D,1,FALSE)</f>
        <v>Tuamese</v>
      </c>
      <c r="AM1075" s="11" t="s">
        <v>96</v>
      </c>
      <c r="AN1075" s="11" t="e">
        <f>VLOOKUP(L1075,[1]Sheet19!E:L,8,FALSE)</f>
        <v>#N/A</v>
      </c>
      <c r="AO1075" s="11" t="e">
        <f>VLOOKUP(L1075,[1]Sheet19!E:K,7,FALSE)</f>
        <v>#N/A</v>
      </c>
      <c r="AP1075" s="12"/>
    </row>
    <row r="1076" spans="1:42" ht="15" x14ac:dyDescent="0.2">
      <c r="A1076" s="8" t="s">
        <v>2488</v>
      </c>
      <c r="B1076" s="9" t="s">
        <v>60</v>
      </c>
      <c r="C1076" s="9">
        <v>1201</v>
      </c>
      <c r="D1076" s="9" t="s">
        <v>688</v>
      </c>
      <c r="E1076" s="30"/>
      <c r="F1076" s="9" t="s">
        <v>742</v>
      </c>
      <c r="G1076" s="9" t="s">
        <v>690</v>
      </c>
      <c r="H1076" s="9" t="s">
        <v>287</v>
      </c>
      <c r="I1076" s="9" t="s">
        <v>743</v>
      </c>
      <c r="J1076" s="9" t="s">
        <v>2344</v>
      </c>
      <c r="K1076" s="9" t="s">
        <v>2513</v>
      </c>
      <c r="L1076" s="9" t="s">
        <v>2513</v>
      </c>
      <c r="M1076" s="9" t="s">
        <v>51</v>
      </c>
      <c r="N1076" s="9">
        <v>379</v>
      </c>
      <c r="O1076" s="9">
        <v>215</v>
      </c>
      <c r="P1076" s="9">
        <v>100</v>
      </c>
      <c r="Q1076" s="9">
        <v>315</v>
      </c>
      <c r="R1076" s="9">
        <v>0.8</v>
      </c>
      <c r="S1076" s="9">
        <v>-3.23935</v>
      </c>
      <c r="T1076" s="9">
        <v>127.65911</v>
      </c>
      <c r="U1076" s="9"/>
      <c r="V1076" s="11">
        <f>VLOOKUP(L1076,'[1]singkron data'!D:E,2,FALSE)</f>
        <v>0</v>
      </c>
      <c r="W1076" s="11">
        <f>VLOOKUP(L1076,'[1]data 1129'!F:H,3,FALSE)</f>
        <v>0</v>
      </c>
      <c r="X1076" s="11"/>
      <c r="Y1076" s="11">
        <f>VLOOKUP(L1076,'[1]singkron data'!D:H,5,FALSE)</f>
        <v>0</v>
      </c>
      <c r="Z1076" s="11">
        <f>VLOOKUP(L1076,'[1]singkron data'!D:I,6,FALSE)</f>
        <v>0</v>
      </c>
      <c r="AA1076" s="11">
        <f>VLOOKUP(L1076,'[1]singkron data'!D:L,9,FALSE)</f>
        <v>0</v>
      </c>
      <c r="AB1076" s="11" t="s">
        <v>694</v>
      </c>
      <c r="AC1076" s="11">
        <f>VLOOKUP(L1076,'[1]singkron data'!D:M,10,FALSE)</f>
        <v>0</v>
      </c>
      <c r="AD1076" s="11"/>
      <c r="AE1076" s="11">
        <f>VLOOKUP(L1076,'[1]singkron data'!D:P,13,FALSE)</f>
        <v>0</v>
      </c>
      <c r="AF1076" s="11"/>
      <c r="AG1076" s="11" t="e">
        <f>VLOOKUP(L1076,'[1]update kontrak'!E:K,6,FALSE)</f>
        <v>#N/A</v>
      </c>
      <c r="AH1076" s="11" t="e">
        <f>VLOOKUP(L1076,'[1]update kontrak'!E:K,7,FALSE)</f>
        <v>#N/A</v>
      </c>
      <c r="AI1076" s="11"/>
      <c r="AJ1076" s="11" t="str">
        <f>VLOOKUP(L1076,[1]rekap!D:M,1,FALSE)</f>
        <v>Tahalupu</v>
      </c>
      <c r="AK1076" s="11">
        <f>VLOOKUP(L1076,'[1]singkron data'!D:E,2,FALSE)</f>
        <v>0</v>
      </c>
      <c r="AL1076" s="11" t="str">
        <f>VLOOKUP(L1076,'[1]update 521'!D:D,1,FALSE)</f>
        <v>Tahalupu</v>
      </c>
      <c r="AM1076" s="11" t="s">
        <v>96</v>
      </c>
      <c r="AN1076" s="11" t="e">
        <f>VLOOKUP(L1076,[1]Sheet19!E:L,8,FALSE)</f>
        <v>#N/A</v>
      </c>
      <c r="AO1076" s="11" t="e">
        <f>VLOOKUP(L1076,[1]Sheet19!E:K,7,FALSE)</f>
        <v>#N/A</v>
      </c>
      <c r="AP1076" s="12"/>
    </row>
    <row r="1077" spans="1:42" ht="15" x14ac:dyDescent="0.2">
      <c r="A1077" s="8" t="s">
        <v>2488</v>
      </c>
      <c r="B1077" s="9" t="s">
        <v>60</v>
      </c>
      <c r="C1077" s="9">
        <v>1202</v>
      </c>
      <c r="D1077" s="9" t="s">
        <v>688</v>
      </c>
      <c r="E1077" s="30"/>
      <c r="F1077" s="9" t="s">
        <v>799</v>
      </c>
      <c r="G1077" s="9" t="s">
        <v>715</v>
      </c>
      <c r="H1077" s="9" t="s">
        <v>287</v>
      </c>
      <c r="I1077" s="9" t="s">
        <v>716</v>
      </c>
      <c r="J1077" s="9" t="s">
        <v>2514</v>
      </c>
      <c r="K1077" s="9" t="s">
        <v>2515</v>
      </c>
      <c r="L1077" s="9" t="s">
        <v>2515</v>
      </c>
      <c r="M1077" s="9" t="s">
        <v>51</v>
      </c>
      <c r="N1077" s="9">
        <v>60</v>
      </c>
      <c r="O1077" s="9">
        <v>6</v>
      </c>
      <c r="P1077" s="9">
        <v>9</v>
      </c>
      <c r="Q1077" s="9">
        <v>15</v>
      </c>
      <c r="R1077" s="9">
        <v>0.35099999999999998</v>
      </c>
      <c r="S1077" s="9">
        <v>-0.85431999999999997</v>
      </c>
      <c r="T1077" s="9">
        <v>127.71802</v>
      </c>
      <c r="U1077" s="9"/>
      <c r="V1077" s="11">
        <f>VLOOKUP(L1077,'[1]singkron data'!D:E,2,FALSE)</f>
        <v>0</v>
      </c>
      <c r="W1077" s="13" t="str">
        <f>VLOOKUP(L1077,[1]Sheet18!E:F,2,FALSE)</f>
        <v>belum ada</v>
      </c>
      <c r="X1077" s="11"/>
      <c r="Y1077" s="11">
        <f>VLOOKUP(L1077,'[1]singkron data'!D:H,5,FALSE)</f>
        <v>0</v>
      </c>
      <c r="Z1077" s="11">
        <f>VLOOKUP(L1077,'[1]singkron data'!D:I,6,FALSE)</f>
        <v>0</v>
      </c>
      <c r="AA1077" s="11">
        <f>VLOOKUP(L1077,'[1]singkron data'!D:L,9,FALSE)</f>
        <v>0</v>
      </c>
      <c r="AB1077" s="11" t="s">
        <v>694</v>
      </c>
      <c r="AC1077" s="11">
        <f>VLOOKUP(L1077,'[1]singkron data'!D:M,10,FALSE)</f>
        <v>0</v>
      </c>
      <c r="AD1077" s="11"/>
      <c r="AE1077" s="11">
        <f>VLOOKUP(L1077,'[1]singkron data'!D:P,13,FALSE)</f>
        <v>0</v>
      </c>
      <c r="AF1077" s="11" t="s">
        <v>55</v>
      </c>
      <c r="AG1077" s="11" t="e">
        <f>VLOOKUP(L1077,'[1]update kontrak'!E:K,6,FALSE)</f>
        <v>#N/A</v>
      </c>
      <c r="AH1077" s="11" t="e">
        <f>VLOOKUP(L1077,'[1]update kontrak'!E:K,7,FALSE)</f>
        <v>#N/A</v>
      </c>
      <c r="AI1077" s="11"/>
      <c r="AJ1077" s="11" t="str">
        <f>VLOOKUP(L1077,[1]rekap!D:M,1,FALSE)</f>
        <v>Silang</v>
      </c>
      <c r="AK1077" s="11">
        <f>VLOOKUP(L1077,'[1]singkron data'!D:E,2,FALSE)</f>
        <v>0</v>
      </c>
      <c r="AL1077" s="11" t="str">
        <f>VLOOKUP(L1077,'[1]update 521'!D:D,1,FALSE)</f>
        <v>Silang</v>
      </c>
      <c r="AM1077" s="11" t="s">
        <v>96</v>
      </c>
      <c r="AN1077" s="11" t="e">
        <f>VLOOKUP(L1077,[1]Sheet19!E:L,8,FALSE)</f>
        <v>#N/A</v>
      </c>
      <c r="AO1077" s="11" t="e">
        <f>VLOOKUP(L1077,[1]Sheet19!E:K,7,FALSE)</f>
        <v>#N/A</v>
      </c>
      <c r="AP1077" s="12"/>
    </row>
    <row r="1078" spans="1:42" ht="15" x14ac:dyDescent="0.2">
      <c r="A1078" s="8" t="s">
        <v>2488</v>
      </c>
      <c r="B1078" s="9" t="s">
        <v>60</v>
      </c>
      <c r="C1078" s="9">
        <v>1203</v>
      </c>
      <c r="D1078" s="9" t="s">
        <v>688</v>
      </c>
      <c r="E1078" s="30"/>
      <c r="F1078" s="9" t="s">
        <v>799</v>
      </c>
      <c r="G1078" s="9" t="s">
        <v>715</v>
      </c>
      <c r="H1078" s="9" t="s">
        <v>287</v>
      </c>
      <c r="I1078" s="9" t="s">
        <v>716</v>
      </c>
      <c r="J1078" s="9" t="s">
        <v>845</v>
      </c>
      <c r="K1078" s="9" t="s">
        <v>2516</v>
      </c>
      <c r="L1078" s="9" t="s">
        <v>2516</v>
      </c>
      <c r="M1078" s="9" t="s">
        <v>51</v>
      </c>
      <c r="N1078" s="9">
        <v>450</v>
      </c>
      <c r="O1078" s="9">
        <v>5</v>
      </c>
      <c r="P1078" s="9">
        <v>20</v>
      </c>
      <c r="Q1078" s="9">
        <v>25</v>
      </c>
      <c r="R1078" s="9">
        <v>1</v>
      </c>
      <c r="S1078" s="9">
        <v>-1.12357</v>
      </c>
      <c r="T1078" s="9">
        <v>128.38976</v>
      </c>
      <c r="U1078" s="9"/>
      <c r="V1078" s="11">
        <f>VLOOKUP(L1078,'[1]singkron data'!D:E,2,FALSE)</f>
        <v>0</v>
      </c>
      <c r="W1078" s="13" t="str">
        <f>VLOOKUP(L1078,[1]Sheet18!E:F,2,FALSE)</f>
        <v>belum ada</v>
      </c>
      <c r="X1078" s="11"/>
      <c r="Y1078" s="11">
        <f>VLOOKUP(L1078,'[1]singkron data'!D:H,5,FALSE)</f>
        <v>0</v>
      </c>
      <c r="Z1078" s="11">
        <f>VLOOKUP(L1078,'[1]singkron data'!D:I,6,FALSE)</f>
        <v>0</v>
      </c>
      <c r="AA1078" s="11">
        <f>VLOOKUP(L1078,'[1]singkron data'!D:L,9,FALSE)</f>
        <v>0</v>
      </c>
      <c r="AB1078" s="11" t="s">
        <v>694</v>
      </c>
      <c r="AC1078" s="11">
        <f>VLOOKUP(L1078,'[1]singkron data'!D:M,10,FALSE)</f>
        <v>0</v>
      </c>
      <c r="AD1078" s="11"/>
      <c r="AE1078" s="11">
        <f>VLOOKUP(L1078,'[1]singkron data'!D:P,13,FALSE)</f>
        <v>0</v>
      </c>
      <c r="AF1078" s="11" t="s">
        <v>55</v>
      </c>
      <c r="AG1078" s="11" t="e">
        <f>VLOOKUP(L1078,'[1]update kontrak'!E:K,6,FALSE)</f>
        <v>#N/A</v>
      </c>
      <c r="AH1078" s="11" t="e">
        <f>VLOOKUP(L1078,'[1]update kontrak'!E:K,7,FALSE)</f>
        <v>#N/A</v>
      </c>
      <c r="AI1078" s="11"/>
      <c r="AJ1078" s="11" t="str">
        <f>VLOOKUP(L1078,[1]rekap!D:M,1,FALSE)</f>
        <v>Tawabi</v>
      </c>
      <c r="AK1078" s="11">
        <f>VLOOKUP(L1078,'[1]singkron data'!D:E,2,FALSE)</f>
        <v>0</v>
      </c>
      <c r="AL1078" s="11" t="str">
        <f>VLOOKUP(L1078,'[1]update 521'!D:D,1,FALSE)</f>
        <v>Tawabi</v>
      </c>
      <c r="AM1078" s="11" t="s">
        <v>96</v>
      </c>
      <c r="AN1078" s="11" t="e">
        <f>VLOOKUP(L1078,[1]Sheet19!E:L,8,FALSE)</f>
        <v>#N/A</v>
      </c>
      <c r="AO1078" s="11" t="e">
        <f>VLOOKUP(L1078,[1]Sheet19!E:K,7,FALSE)</f>
        <v>#N/A</v>
      </c>
      <c r="AP1078" s="12"/>
    </row>
    <row r="1079" spans="1:42" ht="15" x14ac:dyDescent="0.2">
      <c r="A1079" s="8" t="s">
        <v>2488</v>
      </c>
      <c r="B1079" s="9" t="s">
        <v>60</v>
      </c>
      <c r="C1079" s="9">
        <v>1204</v>
      </c>
      <c r="D1079" s="9" t="s">
        <v>1112</v>
      </c>
      <c r="E1079" s="30"/>
      <c r="F1079" s="9" t="s">
        <v>1595</v>
      </c>
      <c r="G1079" s="9" t="s">
        <v>1114</v>
      </c>
      <c r="H1079" s="9" t="s">
        <v>287</v>
      </c>
      <c r="I1079" s="9" t="s">
        <v>1440</v>
      </c>
      <c r="J1079" s="9" t="s">
        <v>2517</v>
      </c>
      <c r="K1079" s="9" t="s">
        <v>2518</v>
      </c>
      <c r="L1079" s="10" t="s">
        <v>2518</v>
      </c>
      <c r="M1079" s="9" t="s">
        <v>51</v>
      </c>
      <c r="N1079" s="9">
        <v>70</v>
      </c>
      <c r="O1079" s="9">
        <v>30</v>
      </c>
      <c r="P1079" s="9">
        <v>30</v>
      </c>
      <c r="Q1079" s="9">
        <v>60</v>
      </c>
      <c r="R1079" s="9">
        <v>0.05</v>
      </c>
      <c r="S1079" s="9">
        <v>-5.0231564000000004</v>
      </c>
      <c r="T1079" s="9">
        <v>120.2940869</v>
      </c>
      <c r="U1079" s="9" t="s">
        <v>52</v>
      </c>
      <c r="V1079" s="11" t="str">
        <f>VLOOKUP(L1079,'[1]singkron data'!D:E,2,FALSE)</f>
        <v>PT Anugerah Karya Pesona (Kecil)</v>
      </c>
      <c r="W1079" s="13">
        <f>VLOOKUP(L1079,'[1]data 1129'!F:H,3,FALSE)</f>
        <v>6109870000</v>
      </c>
      <c r="X1079" s="11"/>
      <c r="Y1079" s="11" t="str">
        <f>VLOOKUP(L1079,'[1]singkron data'!D:H,5,FALSE)</f>
        <v>Jakarta Barat</v>
      </c>
      <c r="Z1079" s="11">
        <f>VLOOKUP(L1079,'[1]singkron data'!D:I,6,FALSE)</f>
        <v>0</v>
      </c>
      <c r="AA1079" s="11" t="str">
        <f>VLOOKUP(L1079,'[1]singkron data'!D:L,9,FALSE)</f>
        <v>082198005353/yacob</v>
      </c>
      <c r="AB1079" s="11" t="s">
        <v>54</v>
      </c>
      <c r="AC1079" s="11" t="s">
        <v>2519</v>
      </c>
      <c r="AD1079" s="11" t="str">
        <f>VLOOKUP(L1079,'[1]data 1129'!F:O,10,FALSE)</f>
        <v>Tahap III 166</v>
      </c>
      <c r="AE1079" s="11" t="str">
        <f>VLOOKUP(L1079,'[1]singkron data'!D:P,13,FALSE)</f>
        <v>sudah</v>
      </c>
      <c r="AF1079" s="11" t="s">
        <v>55</v>
      </c>
      <c r="AG1079" s="11" t="e">
        <f>VLOOKUP(L1079,'[1]update kontrak'!E:K,6,FALSE)</f>
        <v>#N/A</v>
      </c>
      <c r="AH1079" s="11" t="e">
        <f>VLOOKUP(L1079,'[1]update kontrak'!E:K,7,FALSE)</f>
        <v>#N/A</v>
      </c>
      <c r="AI1079" s="11"/>
      <c r="AJ1079" s="11" t="str">
        <f>VLOOKUP(L1079,[1]rekap!D:M,1,FALSE)</f>
        <v>Manera</v>
      </c>
      <c r="AK1079" s="11" t="str">
        <f>VLOOKUP(L1079,'[1]singkron data'!D:E,2,FALSE)</f>
        <v>PT Anugerah Karya Pesona (Kecil)</v>
      </c>
      <c r="AL1079" s="11" t="str">
        <f>VLOOKUP(L1079,'[1]update 521'!D:D,1,FALSE)</f>
        <v>Manera</v>
      </c>
      <c r="AM1079" s="11" t="s">
        <v>1253</v>
      </c>
      <c r="AN1079" s="11" t="e">
        <f>VLOOKUP(L1079,[1]Sheet19!E:L,8,FALSE)</f>
        <v>#N/A</v>
      </c>
      <c r="AO1079" s="11" t="s">
        <v>58</v>
      </c>
      <c r="AP1079" s="12"/>
    </row>
    <row r="1080" spans="1:42" ht="15" x14ac:dyDescent="0.2">
      <c r="A1080" s="8" t="s">
        <v>2488</v>
      </c>
      <c r="B1080" s="9" t="s">
        <v>60</v>
      </c>
      <c r="C1080" s="9">
        <v>1205</v>
      </c>
      <c r="D1080" s="9" t="s">
        <v>688</v>
      </c>
      <c r="E1080" s="30"/>
      <c r="F1080" s="9" t="s">
        <v>784</v>
      </c>
      <c r="G1080" s="9" t="s">
        <v>715</v>
      </c>
      <c r="H1080" s="9" t="s">
        <v>287</v>
      </c>
      <c r="I1080" s="9" t="s">
        <v>785</v>
      </c>
      <c r="J1080" s="9" t="s">
        <v>786</v>
      </c>
      <c r="K1080" s="9" t="s">
        <v>2520</v>
      </c>
      <c r="L1080" s="9" t="s">
        <v>2520</v>
      </c>
      <c r="M1080" s="9" t="s">
        <v>51</v>
      </c>
      <c r="N1080" s="9">
        <v>677</v>
      </c>
      <c r="O1080" s="9">
        <v>400</v>
      </c>
      <c r="P1080" s="9">
        <v>60</v>
      </c>
      <c r="Q1080" s="9">
        <v>460</v>
      </c>
      <c r="R1080" s="9">
        <v>3</v>
      </c>
      <c r="S1080" s="9">
        <v>-2.0054599999999998</v>
      </c>
      <c r="T1080" s="9">
        <v>124.39619999999999</v>
      </c>
      <c r="U1080" s="9"/>
      <c r="V1080" s="11">
        <f>VLOOKUP(L1080,'[1]singkron data'!D:E,2,FALSE)</f>
        <v>0</v>
      </c>
      <c r="W1080" s="13" t="str">
        <f>VLOOKUP(L1080,[1]Sheet18!E:F,2,FALSE)</f>
        <v>belum ada</v>
      </c>
      <c r="X1080" s="11"/>
      <c r="Y1080" s="11">
        <f>VLOOKUP(L1080,'[1]singkron data'!D:H,5,FALSE)</f>
        <v>0</v>
      </c>
      <c r="Z1080" s="11">
        <f>VLOOKUP(L1080,'[1]singkron data'!D:I,6,FALSE)</f>
        <v>0</v>
      </c>
      <c r="AA1080" s="11">
        <f>VLOOKUP(L1080,'[1]singkron data'!D:L,9,FALSE)</f>
        <v>0</v>
      </c>
      <c r="AB1080" s="11" t="s">
        <v>694</v>
      </c>
      <c r="AC1080" s="11">
        <f>VLOOKUP(L1080,'[1]singkron data'!D:M,10,FALSE)</f>
        <v>0</v>
      </c>
      <c r="AD1080" s="11"/>
      <c r="AE1080" s="11">
        <f>VLOOKUP(L1080,'[1]singkron data'!D:P,13,FALSE)</f>
        <v>0</v>
      </c>
      <c r="AF1080" s="11" t="s">
        <v>55</v>
      </c>
      <c r="AG1080" s="11" t="e">
        <f>VLOOKUP(L1080,'[1]update kontrak'!E:K,6,FALSE)</f>
        <v>#N/A</v>
      </c>
      <c r="AH1080" s="11" t="e">
        <f>VLOOKUP(L1080,'[1]update kontrak'!E:K,7,FALSE)</f>
        <v>#N/A</v>
      </c>
      <c r="AI1080" s="11"/>
      <c r="AJ1080" s="11" t="str">
        <f>VLOOKUP(L1080,[1]rekap!D:M,1,FALSE)</f>
        <v>Talo</v>
      </c>
      <c r="AK1080" s="11">
        <f>VLOOKUP(L1080,'[1]singkron data'!D:E,2,FALSE)</f>
        <v>0</v>
      </c>
      <c r="AL1080" s="11" t="str">
        <f>VLOOKUP(L1080,'[1]update 521'!D:D,1,FALSE)</f>
        <v>Talo</v>
      </c>
      <c r="AM1080" s="11" t="e">
        <v>#N/A</v>
      </c>
      <c r="AN1080" s="11" t="e">
        <f>VLOOKUP(L1080,[1]Sheet19!E:L,8,FALSE)</f>
        <v>#N/A</v>
      </c>
      <c r="AO1080" s="11" t="e">
        <f>VLOOKUP(L1080,[1]Sheet19!E:K,7,FALSE)</f>
        <v>#N/A</v>
      </c>
      <c r="AP1080" s="12"/>
    </row>
    <row r="1081" spans="1:42" ht="15" x14ac:dyDescent="0.2">
      <c r="A1081" s="8" t="s">
        <v>2488</v>
      </c>
      <c r="B1081" s="9" t="s">
        <v>60</v>
      </c>
      <c r="C1081" s="9">
        <v>1206</v>
      </c>
      <c r="D1081" s="9" t="s">
        <v>1631</v>
      </c>
      <c r="E1081" s="30"/>
      <c r="F1081" s="9" t="s">
        <v>1830</v>
      </c>
      <c r="G1081" s="9" t="s">
        <v>1831</v>
      </c>
      <c r="H1081" s="9" t="s">
        <v>47</v>
      </c>
      <c r="I1081" s="9" t="s">
        <v>1832</v>
      </c>
      <c r="J1081" s="9" t="s">
        <v>2521</v>
      </c>
      <c r="K1081" s="9" t="s">
        <v>2522</v>
      </c>
      <c r="L1081" s="10" t="s">
        <v>2522</v>
      </c>
      <c r="M1081" s="9" t="s">
        <v>51</v>
      </c>
      <c r="N1081" s="9">
        <v>3000</v>
      </c>
      <c r="O1081" s="9" t="s">
        <v>72</v>
      </c>
      <c r="P1081" s="14">
        <v>1050</v>
      </c>
      <c r="Q1081" s="14">
        <v>1050</v>
      </c>
      <c r="R1081" s="9">
        <v>1</v>
      </c>
      <c r="S1081" s="9">
        <v>0.20303399999999999</v>
      </c>
      <c r="T1081" s="9">
        <v>99.393576999999993</v>
      </c>
      <c r="U1081" s="9" t="s">
        <v>52</v>
      </c>
      <c r="V1081" s="11" t="s">
        <v>1834</v>
      </c>
      <c r="W1081" s="13">
        <f>VLOOKUP(L1081,'[1]update tim 2'!D:F,3,FALSE)</f>
        <v>3088462000</v>
      </c>
      <c r="X1081" s="11" t="s">
        <v>55</v>
      </c>
      <c r="Y1081" s="11">
        <f>VLOOKUP(L1081,'[1]singkron data'!D:H,5,FALSE)</f>
        <v>0</v>
      </c>
      <c r="Z1081" s="11">
        <f>VLOOKUP(L1081,'[1]singkron data'!D:I,6,FALSE)</f>
        <v>0</v>
      </c>
      <c r="AA1081" s="11" t="s">
        <v>1835</v>
      </c>
      <c r="AB1081" s="11" t="s">
        <v>54</v>
      </c>
      <c r="AC1081" s="11" t="s">
        <v>1836</v>
      </c>
      <c r="AD1081" s="11" t="str">
        <f>VLOOKUP(L1081,'[1]data 1129'!F:O,10,FALSE)</f>
        <v>Tahap IV 200</v>
      </c>
      <c r="AE1081" s="11">
        <f>VLOOKUP(L1081,'[1]singkron data'!D:P,13,FALSE)</f>
        <v>0</v>
      </c>
      <c r="AF1081" s="11" t="s">
        <v>55</v>
      </c>
      <c r="AG1081" s="11" t="e">
        <f>VLOOKUP(L1081,'[1]update kontrak'!E:K,6,FALSE)</f>
        <v>#N/A</v>
      </c>
      <c r="AH1081" s="11" t="e">
        <f>VLOOKUP(L1081,'[1]update kontrak'!E:K,7,FALSE)</f>
        <v>#N/A</v>
      </c>
      <c r="AI1081" s="11"/>
      <c r="AJ1081" s="11" t="str">
        <f>VLOOKUP(L1081,[1]rekap!D:M,1,FALSE)</f>
        <v>Aia Bangih</v>
      </c>
      <c r="AK1081" s="11" t="str">
        <f>VLOOKUP(L1081,'[1]singkron data'!D:E,2,FALSE)</f>
        <v>PT. Wijaya Karya Bangunan Gedung</v>
      </c>
      <c r="AL1081" s="11" t="str">
        <f>VLOOKUP(L1081,'[1]update 521'!D:D,1,FALSE)</f>
        <v>Aia Bangih</v>
      </c>
      <c r="AM1081" s="11" t="s">
        <v>57</v>
      </c>
      <c r="AN1081" s="11" t="e">
        <f>VLOOKUP(L1081,[1]Sheet19!E:L,8,FALSE)</f>
        <v>#N/A</v>
      </c>
      <c r="AO1081" s="11" t="s">
        <v>58</v>
      </c>
      <c r="AP1081" s="12"/>
    </row>
    <row r="1082" spans="1:42" ht="15" x14ac:dyDescent="0.2">
      <c r="A1082" s="8" t="s">
        <v>2488</v>
      </c>
      <c r="B1082" s="9" t="s">
        <v>60</v>
      </c>
      <c r="C1082" s="9">
        <v>1207</v>
      </c>
      <c r="D1082" s="9" t="s">
        <v>688</v>
      </c>
      <c r="E1082" s="30"/>
      <c r="F1082" s="9" t="s">
        <v>714</v>
      </c>
      <c r="G1082" s="9" t="s">
        <v>715</v>
      </c>
      <c r="H1082" s="9" t="s">
        <v>287</v>
      </c>
      <c r="I1082" s="9" t="s">
        <v>716</v>
      </c>
      <c r="J1082" s="9" t="s">
        <v>2523</v>
      </c>
      <c r="K1082" s="9" t="s">
        <v>2524</v>
      </c>
      <c r="L1082" s="9" t="s">
        <v>2524</v>
      </c>
      <c r="M1082" s="9" t="s">
        <v>51</v>
      </c>
      <c r="N1082" s="9">
        <v>20</v>
      </c>
      <c r="O1082" s="9" t="s">
        <v>72</v>
      </c>
      <c r="P1082" s="9">
        <v>29</v>
      </c>
      <c r="Q1082" s="9">
        <v>29</v>
      </c>
      <c r="R1082" s="9">
        <v>0.06</v>
      </c>
      <c r="S1082" s="9">
        <v>-0.34953600000000001</v>
      </c>
      <c r="T1082" s="9">
        <v>127.401533</v>
      </c>
      <c r="U1082" s="9"/>
      <c r="V1082" s="11">
        <f>VLOOKUP(L1082,'[1]singkron data'!D:E,2,FALSE)</f>
        <v>0</v>
      </c>
      <c r="W1082" s="11"/>
      <c r="X1082" s="11"/>
      <c r="Y1082" s="11">
        <f>VLOOKUP(L1082,'[1]singkron data'!D:H,5,FALSE)</f>
        <v>0</v>
      </c>
      <c r="Z1082" s="11">
        <f>VLOOKUP(L1082,'[1]singkron data'!D:I,6,FALSE)</f>
        <v>0</v>
      </c>
      <c r="AA1082" s="11">
        <f>VLOOKUP(L1082,'[1]singkron data'!D:L,9,FALSE)</f>
        <v>0</v>
      </c>
      <c r="AB1082" s="11" t="s">
        <v>694</v>
      </c>
      <c r="AC1082" s="11">
        <f>VLOOKUP(L1082,'[1]singkron data'!D:M,10,FALSE)</f>
        <v>0</v>
      </c>
      <c r="AD1082" s="11"/>
      <c r="AE1082" s="11">
        <f>VLOOKUP(L1082,'[1]singkron data'!D:P,13,FALSE)</f>
        <v>0</v>
      </c>
      <c r="AF1082" s="11"/>
      <c r="AG1082" s="11" t="e">
        <f>VLOOKUP(L1082,'[1]update kontrak'!E:K,6,FALSE)</f>
        <v>#N/A</v>
      </c>
      <c r="AH1082" s="11" t="e">
        <f>VLOOKUP(L1082,'[1]update kontrak'!E:K,7,FALSE)</f>
        <v>#N/A</v>
      </c>
      <c r="AI1082" s="11"/>
      <c r="AJ1082" s="11" t="str">
        <f>VLOOKUP(L1082,[1]rekap!D:M,1,FALSE)</f>
        <v>Sidopo</v>
      </c>
      <c r="AK1082" s="11">
        <f>VLOOKUP(L1082,'[1]singkron data'!D:E,2,FALSE)</f>
        <v>0</v>
      </c>
      <c r="AL1082" s="11" t="str">
        <f>VLOOKUP(L1082,'[1]update 521'!D:D,1,FALSE)</f>
        <v>Sidopo</v>
      </c>
      <c r="AM1082" s="11" t="s">
        <v>96</v>
      </c>
      <c r="AN1082" s="11" t="e">
        <f>VLOOKUP(L1082,[1]Sheet19!E:L,8,FALSE)</f>
        <v>#N/A</v>
      </c>
      <c r="AO1082" s="11" t="e">
        <f>VLOOKUP(L1082,[1]Sheet19!E:K,7,FALSE)</f>
        <v>#N/A</v>
      </c>
      <c r="AP1082" s="12"/>
    </row>
    <row r="1083" spans="1:42" ht="15" x14ac:dyDescent="0.2">
      <c r="A1083" s="8" t="s">
        <v>2488</v>
      </c>
      <c r="B1083" s="9" t="s">
        <v>60</v>
      </c>
      <c r="C1083" s="9">
        <v>1208</v>
      </c>
      <c r="D1083" s="9" t="s">
        <v>514</v>
      </c>
      <c r="E1083" s="30"/>
      <c r="F1083" s="9" t="s">
        <v>2525</v>
      </c>
      <c r="G1083" s="9" t="s">
        <v>545</v>
      </c>
      <c r="H1083" s="9" t="s">
        <v>47</v>
      </c>
      <c r="I1083" s="9" t="s">
        <v>2376</v>
      </c>
      <c r="J1083" s="9" t="s">
        <v>2526</v>
      </c>
      <c r="K1083" s="9" t="s">
        <v>2527</v>
      </c>
      <c r="L1083" s="10" t="s">
        <v>2527</v>
      </c>
      <c r="M1083" s="9" t="s">
        <v>51</v>
      </c>
      <c r="N1083" s="9">
        <v>203</v>
      </c>
      <c r="O1083" s="9" t="s">
        <v>72</v>
      </c>
      <c r="P1083" s="9">
        <v>203</v>
      </c>
      <c r="Q1083" s="9">
        <v>203</v>
      </c>
      <c r="R1083" s="9">
        <v>2</v>
      </c>
      <c r="S1083" s="9">
        <v>-0.212917</v>
      </c>
      <c r="T1083" s="9">
        <v>117.419972</v>
      </c>
      <c r="U1083" s="9" t="s">
        <v>52</v>
      </c>
      <c r="V1083" s="11" t="str">
        <f>VLOOKUP(L1083,'[1]singkron data'!D:E,2,FALSE)</f>
        <v>PT. Anugerah Borneo Indonesia (Kecil-Menengah)</v>
      </c>
      <c r="W1083" s="11"/>
      <c r="X1083" s="11"/>
      <c r="Y1083" s="11" t="str">
        <f>VLOOKUP(L1083,'[1]singkron data'!D:H,5,FALSE)</f>
        <v>Kutai</v>
      </c>
      <c r="Z1083" s="11" t="str">
        <f>VLOOKUP(L1083,'[1]singkron data'!D:I,6,FALSE)</f>
        <v>Online</v>
      </c>
      <c r="AA1083" s="11">
        <f>VLOOKUP(L1083,'[1]singkron data'!D:L,9,FALSE)</f>
        <v>0</v>
      </c>
      <c r="AB1083" s="11" t="s">
        <v>54</v>
      </c>
      <c r="AC1083" s="11" t="s">
        <v>520</v>
      </c>
      <c r="AD1083" s="11" t="str">
        <f>VLOOKUP(L1083,'[1]data 1129'!F:O,10,FALSE)</f>
        <v>Tahap IV 200</v>
      </c>
      <c r="AE1083" s="11">
        <f>VLOOKUP(L1083,'[1]singkron data'!D:P,13,FALSE)</f>
        <v>0</v>
      </c>
      <c r="AF1083" s="11"/>
      <c r="AG1083" s="11" t="e">
        <f>VLOOKUP(L1083,'[1]update kontrak'!E:K,6,FALSE)</f>
        <v>#N/A</v>
      </c>
      <c r="AH1083" s="11" t="e">
        <f>VLOOKUP(L1083,'[1]update kontrak'!E:K,7,FALSE)</f>
        <v>#N/A</v>
      </c>
      <c r="AI1083" s="11"/>
      <c r="AJ1083" s="11" t="str">
        <f>VLOOKUP(L1083,[1]rekap!D:M,1,FALSE)</f>
        <v>Tanjung Limau</v>
      </c>
      <c r="AK1083" s="11" t="str">
        <f>VLOOKUP(L1083,'[1]singkron data'!D:E,2,FALSE)</f>
        <v>PT. Anugerah Borneo Indonesia (Kecil-Menengah)</v>
      </c>
      <c r="AL1083" s="11" t="str">
        <f>VLOOKUP(L1083,'[1]update 521'!D:D,1,FALSE)</f>
        <v>Tanjung Limau</v>
      </c>
      <c r="AM1083" s="11" t="s">
        <v>96</v>
      </c>
      <c r="AN1083" s="11" t="e">
        <f>VLOOKUP(L1083,[1]Sheet19!E:L,8,FALSE)</f>
        <v>#N/A</v>
      </c>
      <c r="AO1083" s="11" t="e">
        <f>VLOOKUP(L1083,[1]Sheet19!E:K,7,FALSE)</f>
        <v>#N/A</v>
      </c>
      <c r="AP1083" s="12"/>
    </row>
    <row r="1084" spans="1:42" ht="15" x14ac:dyDescent="0.2">
      <c r="A1084" s="8" t="s">
        <v>2488</v>
      </c>
      <c r="B1084" s="9" t="s">
        <v>60</v>
      </c>
      <c r="C1084" s="9">
        <v>1209</v>
      </c>
      <c r="D1084" s="9" t="s">
        <v>688</v>
      </c>
      <c r="E1084" s="30"/>
      <c r="F1084" s="9" t="s">
        <v>714</v>
      </c>
      <c r="G1084" s="9" t="s">
        <v>715</v>
      </c>
      <c r="H1084" s="9" t="s">
        <v>287</v>
      </c>
      <c r="I1084" s="9" t="s">
        <v>716</v>
      </c>
      <c r="J1084" s="9" t="s">
        <v>2528</v>
      </c>
      <c r="K1084" s="9" t="s">
        <v>2529</v>
      </c>
      <c r="L1084" s="9" t="s">
        <v>2529</v>
      </c>
      <c r="M1084" s="9" t="s">
        <v>51</v>
      </c>
      <c r="N1084" s="9">
        <v>74</v>
      </c>
      <c r="O1084" s="9" t="s">
        <v>72</v>
      </c>
      <c r="P1084" s="9">
        <v>78</v>
      </c>
      <c r="Q1084" s="9">
        <v>78</v>
      </c>
      <c r="R1084" s="9">
        <v>0.06</v>
      </c>
      <c r="S1084" s="9">
        <v>-0.70877900000000005</v>
      </c>
      <c r="T1084" s="9">
        <v>127.289497</v>
      </c>
      <c r="U1084" s="9"/>
      <c r="V1084" s="11">
        <f>VLOOKUP(L1084,'[1]singkron data'!D:E,2,FALSE)</f>
        <v>0</v>
      </c>
      <c r="W1084" s="11"/>
      <c r="X1084" s="11"/>
      <c r="Y1084" s="11">
        <f>VLOOKUP(L1084,'[1]singkron data'!D:H,5,FALSE)</f>
        <v>0</v>
      </c>
      <c r="Z1084" s="11">
        <f>VLOOKUP(L1084,'[1]singkron data'!D:I,6,FALSE)</f>
        <v>0</v>
      </c>
      <c r="AA1084" s="11">
        <f>VLOOKUP(L1084,'[1]singkron data'!D:L,9,FALSE)</f>
        <v>0</v>
      </c>
      <c r="AB1084" s="11" t="s">
        <v>694</v>
      </c>
      <c r="AC1084" s="11">
        <f>VLOOKUP(L1084,'[1]singkron data'!D:M,10,FALSE)</f>
        <v>0</v>
      </c>
      <c r="AD1084" s="11"/>
      <c r="AE1084" s="11">
        <f>VLOOKUP(L1084,'[1]singkron data'!D:P,13,FALSE)</f>
        <v>0</v>
      </c>
      <c r="AF1084" s="11"/>
      <c r="AG1084" s="11" t="e">
        <f>VLOOKUP(L1084,'[1]update kontrak'!E:K,6,FALSE)</f>
        <v>#N/A</v>
      </c>
      <c r="AH1084" s="11" t="e">
        <f>VLOOKUP(L1084,'[1]update kontrak'!E:K,7,FALSE)</f>
        <v>#N/A</v>
      </c>
      <c r="AI1084" s="11"/>
      <c r="AJ1084" s="11" t="str">
        <f>VLOOKUP(L1084,[1]rekap!D:M,1,FALSE)</f>
        <v>Waya</v>
      </c>
      <c r="AK1084" s="11">
        <f>VLOOKUP(L1084,'[1]singkron data'!D:E,2,FALSE)</f>
        <v>0</v>
      </c>
      <c r="AL1084" s="11" t="str">
        <f>VLOOKUP(L1084,'[1]update 521'!D:D,1,FALSE)</f>
        <v>Waya</v>
      </c>
      <c r="AM1084" s="11" t="s">
        <v>96</v>
      </c>
      <c r="AN1084" s="11" t="e">
        <f>VLOOKUP(L1084,[1]Sheet19!E:L,8,FALSE)</f>
        <v>#N/A</v>
      </c>
      <c r="AO1084" s="11" t="e">
        <f>VLOOKUP(L1084,[1]Sheet19!E:K,7,FALSE)</f>
        <v>#N/A</v>
      </c>
      <c r="AP1084" s="12"/>
    </row>
    <row r="1085" spans="1:42" ht="15" x14ac:dyDescent="0.2">
      <c r="A1085" s="8" t="s">
        <v>2488</v>
      </c>
      <c r="B1085" s="9" t="s">
        <v>60</v>
      </c>
      <c r="C1085" s="9">
        <v>1210</v>
      </c>
      <c r="D1085" s="9" t="s">
        <v>1112</v>
      </c>
      <c r="E1085" s="30"/>
      <c r="F1085" s="9" t="s">
        <v>1349</v>
      </c>
      <c r="G1085" s="9" t="s">
        <v>1141</v>
      </c>
      <c r="H1085" s="9" t="s">
        <v>287</v>
      </c>
      <c r="I1085" s="9" t="s">
        <v>1350</v>
      </c>
      <c r="J1085" s="9" t="s">
        <v>2530</v>
      </c>
      <c r="K1085" s="9" t="s">
        <v>2531</v>
      </c>
      <c r="L1085" s="10" t="s">
        <v>2531</v>
      </c>
      <c r="M1085" s="9" t="s">
        <v>51</v>
      </c>
      <c r="N1085" s="9">
        <v>346</v>
      </c>
      <c r="O1085" s="9">
        <v>275</v>
      </c>
      <c r="P1085" s="9">
        <v>71</v>
      </c>
      <c r="Q1085" s="9">
        <v>346</v>
      </c>
      <c r="R1085" s="9">
        <v>0.5</v>
      </c>
      <c r="S1085" s="9">
        <v>-4.5200139999999998</v>
      </c>
      <c r="T1085" s="9">
        <v>122.719981</v>
      </c>
      <c r="U1085" s="9" t="s">
        <v>52</v>
      </c>
      <c r="V1085" s="11" t="str">
        <f>VLOOKUP(L1085,'[1]singkron data'!D:E,2,FALSE)</f>
        <v>CV. NISCALA INDO RAYA</v>
      </c>
      <c r="W1085" s="13">
        <f>VLOOKUP(L1085,'[1]data 1129'!F:H,3,FALSE)</f>
        <v>4500000000</v>
      </c>
      <c r="X1085" s="11"/>
      <c r="Y1085" s="11" t="str">
        <f>VLOOKUP(L1085,'[1]singkron data'!D:H,5,FALSE)</f>
        <v>Muna</v>
      </c>
      <c r="Z1085" s="11" t="str">
        <f>VLOOKUP(L1085,'[1]singkron data'!D:I,6,FALSE)</f>
        <v>Online</v>
      </c>
      <c r="AA1085" s="11">
        <f>VLOOKUP(L1085,'[1]singkron data'!D:L,9,FALSE)</f>
        <v>82130000611</v>
      </c>
      <c r="AB1085" s="11" t="s">
        <v>54</v>
      </c>
      <c r="AC1085" s="11" t="str">
        <f>VLOOKUP(L1085,'[1]singkron data'!D:M,10,FALSE)</f>
        <v>Hyl</v>
      </c>
      <c r="AD1085" s="11" t="str">
        <f>VLOOKUP(L1085,'[1]data 1129'!F:O,10,FALSE)</f>
        <v>Tahap I 208</v>
      </c>
      <c r="AE1085" s="11" t="str">
        <f>VLOOKUP(L1085,'[1]singkron data'!D:P,13,FALSE)</f>
        <v>sudah</v>
      </c>
      <c r="AF1085" s="11" t="s">
        <v>55</v>
      </c>
      <c r="AG1085" s="11" t="e">
        <f>VLOOKUP(L1085,'[1]update kontrak'!E:K,6,FALSE)</f>
        <v>#N/A</v>
      </c>
      <c r="AH1085" s="11" t="e">
        <f>VLOOKUP(L1085,'[1]update kontrak'!E:K,7,FALSE)</f>
        <v>#N/A</v>
      </c>
      <c r="AI1085" s="11"/>
      <c r="AJ1085" s="11" t="str">
        <f>VLOOKUP(L1085,[1]rekap!D:M,1,FALSE)</f>
        <v>Wangkolabu</v>
      </c>
      <c r="AK1085" s="11" t="str">
        <f>VLOOKUP(L1085,'[1]singkron data'!D:E,2,FALSE)</f>
        <v>CV. NISCALA INDO RAYA</v>
      </c>
      <c r="AL1085" s="11" t="str">
        <f>VLOOKUP(L1085,'[1]update 521'!D:D,1,FALSE)</f>
        <v>Wangkolabu</v>
      </c>
      <c r="AM1085" s="11" t="s">
        <v>1253</v>
      </c>
      <c r="AN1085" s="11" t="e">
        <f>VLOOKUP(L1085,[1]Sheet19!E:L,8,FALSE)</f>
        <v>#N/A</v>
      </c>
      <c r="AO1085" s="11" t="s">
        <v>58</v>
      </c>
      <c r="AP1085" s="12"/>
    </row>
    <row r="1086" spans="1:42" ht="15" x14ac:dyDescent="0.2">
      <c r="A1086" s="8" t="s">
        <v>2488</v>
      </c>
      <c r="B1086" s="9" t="s">
        <v>60</v>
      </c>
      <c r="C1086" s="9">
        <v>1211</v>
      </c>
      <c r="D1086" s="9" t="s">
        <v>688</v>
      </c>
      <c r="E1086" s="30"/>
      <c r="F1086" s="9" t="s">
        <v>714</v>
      </c>
      <c r="G1086" s="9" t="s">
        <v>715</v>
      </c>
      <c r="H1086" s="9" t="s">
        <v>287</v>
      </c>
      <c r="I1086" s="9" t="s">
        <v>716</v>
      </c>
      <c r="J1086" s="9" t="s">
        <v>2532</v>
      </c>
      <c r="K1086" s="9" t="s">
        <v>2533</v>
      </c>
      <c r="L1086" s="9" t="s">
        <v>2533</v>
      </c>
      <c r="M1086" s="9" t="s">
        <v>51</v>
      </c>
      <c r="N1086" s="9">
        <v>80</v>
      </c>
      <c r="O1086" s="9">
        <v>25</v>
      </c>
      <c r="P1086" s="9">
        <v>71</v>
      </c>
      <c r="Q1086" s="9">
        <v>96</v>
      </c>
      <c r="R1086" s="9">
        <v>0.6</v>
      </c>
      <c r="S1086" s="9">
        <v>-0.22817999999999999</v>
      </c>
      <c r="T1086" s="9">
        <v>127.09775999999999</v>
      </c>
      <c r="U1086" s="9"/>
      <c r="V1086" s="11">
        <f>VLOOKUP(L1086,'[1]singkron data'!D:E,2,FALSE)</f>
        <v>0</v>
      </c>
      <c r="W1086" s="11"/>
      <c r="X1086" s="11"/>
      <c r="Y1086" s="11">
        <f>VLOOKUP(L1086,'[1]singkron data'!D:H,5,FALSE)</f>
        <v>0</v>
      </c>
      <c r="Z1086" s="11">
        <f>VLOOKUP(L1086,'[1]singkron data'!D:I,6,FALSE)</f>
        <v>0</v>
      </c>
      <c r="AA1086" s="11">
        <f>VLOOKUP(L1086,'[1]singkron data'!D:L,9,FALSE)</f>
        <v>0</v>
      </c>
      <c r="AB1086" s="11" t="s">
        <v>694</v>
      </c>
      <c r="AC1086" s="11">
        <f>VLOOKUP(L1086,'[1]singkron data'!D:M,10,FALSE)</f>
        <v>0</v>
      </c>
      <c r="AD1086" s="11"/>
      <c r="AE1086" s="11">
        <f>VLOOKUP(L1086,'[1]singkron data'!D:P,13,FALSE)</f>
        <v>0</v>
      </c>
      <c r="AF1086" s="11"/>
      <c r="AG1086" s="11" t="e">
        <f>VLOOKUP(L1086,'[1]update kontrak'!E:K,6,FALSE)</f>
        <v>#N/A</v>
      </c>
      <c r="AH1086" s="11" t="e">
        <f>VLOOKUP(L1086,'[1]update kontrak'!E:K,7,FALSE)</f>
        <v>#N/A</v>
      </c>
      <c r="AI1086" s="11"/>
      <c r="AJ1086" s="11" t="str">
        <f>VLOOKUP(L1086,[1]rekap!D:M,1,FALSE)</f>
        <v>Bokimiake</v>
      </c>
      <c r="AK1086" s="11">
        <f>VLOOKUP(L1086,'[1]singkron data'!D:E,2,FALSE)</f>
        <v>0</v>
      </c>
      <c r="AL1086" s="11" t="str">
        <f>VLOOKUP(L1086,'[1]update 521'!D:D,1,FALSE)</f>
        <v>Bokimiake</v>
      </c>
      <c r="AM1086" s="11" t="e">
        <v>#N/A</v>
      </c>
      <c r="AN1086" s="11" t="e">
        <f>VLOOKUP(L1086,[1]Sheet19!E:L,8,FALSE)</f>
        <v>#N/A</v>
      </c>
      <c r="AO1086" s="11" t="e">
        <f>VLOOKUP(L1086,[1]Sheet19!E:K,7,FALSE)</f>
        <v>#N/A</v>
      </c>
      <c r="AP1086" s="12"/>
    </row>
    <row r="1087" spans="1:42" ht="15" x14ac:dyDescent="0.2">
      <c r="A1087" s="8" t="s">
        <v>2488</v>
      </c>
      <c r="B1087" s="9" t="s">
        <v>60</v>
      </c>
      <c r="C1087" s="9">
        <v>1212</v>
      </c>
      <c r="D1087" s="9" t="s">
        <v>1112</v>
      </c>
      <c r="E1087" s="30"/>
      <c r="F1087" s="9" t="s">
        <v>1621</v>
      </c>
      <c r="G1087" s="9" t="s">
        <v>1141</v>
      </c>
      <c r="H1087" s="9" t="s">
        <v>287</v>
      </c>
      <c r="I1087" s="9" t="s">
        <v>1626</v>
      </c>
      <c r="J1087" s="9" t="s">
        <v>1628</v>
      </c>
      <c r="K1087" s="9" t="s">
        <v>2534</v>
      </c>
      <c r="L1087" s="10" t="s">
        <v>2534</v>
      </c>
      <c r="M1087" s="9" t="s">
        <v>51</v>
      </c>
      <c r="N1087" s="9">
        <v>175</v>
      </c>
      <c r="O1087" s="9" t="s">
        <v>72</v>
      </c>
      <c r="P1087" s="9">
        <v>78</v>
      </c>
      <c r="Q1087" s="9">
        <v>78</v>
      </c>
      <c r="R1087" s="9">
        <v>0.26</v>
      </c>
      <c r="S1087" s="9">
        <v>-3.2021950000000001</v>
      </c>
      <c r="T1087" s="9">
        <v>121.053719</v>
      </c>
      <c r="U1087" s="9" t="s">
        <v>52</v>
      </c>
      <c r="V1087" s="11" t="str">
        <f>VLOOKUP(L1087,'[1]singkron data'!D:E,2,FALSE)</f>
        <v>PT. Tavoo Barakah Nusantara</v>
      </c>
      <c r="W1087" s="13">
        <f>VLOOKUP(L1087,'[1]data 1129'!F:H,3,FALSE)</f>
        <v>4500000000</v>
      </c>
      <c r="X1087" s="11"/>
      <c r="Y1087" s="11" t="str">
        <f>VLOOKUP(L1087,'[1]singkron data'!D:H,5,FALSE)</f>
        <v>Makassar</v>
      </c>
      <c r="Z1087" s="11" t="str">
        <f>VLOOKUP(L1087,'[1]singkron data'!D:I,6,FALSE)</f>
        <v>Offline</v>
      </c>
      <c r="AA1087" s="11">
        <f>VLOOKUP(L1087,'[1]singkron data'!D:L,9,FALSE)</f>
        <v>81341942627</v>
      </c>
      <c r="AB1087" s="11" t="s">
        <v>54</v>
      </c>
      <c r="AC1087" s="11" t="s">
        <v>167</v>
      </c>
      <c r="AD1087" s="11" t="str">
        <f>VLOOKUP(L1087,'[1]data 1129'!F:O,10,FALSE)</f>
        <v>Tahap II 146</v>
      </c>
      <c r="AE1087" s="11" t="str">
        <f>VLOOKUP(L1087,'[1]singkron data'!D:P,13,FALSE)</f>
        <v>sudah</v>
      </c>
      <c r="AF1087" s="11" t="s">
        <v>55</v>
      </c>
      <c r="AG1087" s="11" t="e">
        <f>VLOOKUP(L1087,'[1]update kontrak'!E:K,6,FALSE)</f>
        <v>#N/A</v>
      </c>
      <c r="AH1087" s="11" t="e">
        <f>VLOOKUP(L1087,'[1]update kontrak'!E:K,7,FALSE)</f>
        <v>#N/A</v>
      </c>
      <c r="AI1087" s="11"/>
      <c r="AJ1087" s="11" t="str">
        <f>VLOOKUP(L1087,[1]rekap!D:M,1,FALSE)</f>
        <v>Sipakainge</v>
      </c>
      <c r="AK1087" s="11" t="str">
        <f>VLOOKUP(L1087,'[1]singkron data'!D:E,2,FALSE)</f>
        <v>PT. Tavoo Barakah Nusantara</v>
      </c>
      <c r="AL1087" s="11" t="str">
        <f>VLOOKUP(L1087,'[1]update 521'!D:D,1,FALSE)</f>
        <v>Sipakainge</v>
      </c>
      <c r="AM1087" s="11" t="s">
        <v>1253</v>
      </c>
      <c r="AN1087" s="11" t="e">
        <f>VLOOKUP(L1087,[1]Sheet19!E:L,8,FALSE)</f>
        <v>#N/A</v>
      </c>
      <c r="AO1087" s="11" t="s">
        <v>58</v>
      </c>
      <c r="AP1087" s="12"/>
    </row>
    <row r="1088" spans="1:42" ht="15" x14ac:dyDescent="0.2">
      <c r="A1088" s="8" t="s">
        <v>2488</v>
      </c>
      <c r="B1088" s="9" t="s">
        <v>43</v>
      </c>
      <c r="C1088" s="9">
        <v>1213</v>
      </c>
      <c r="D1088" s="9" t="s">
        <v>1112</v>
      </c>
      <c r="E1088" s="30"/>
      <c r="F1088" s="9" t="s">
        <v>1349</v>
      </c>
      <c r="G1088" s="9" t="s">
        <v>1141</v>
      </c>
      <c r="H1088" s="9" t="s">
        <v>287</v>
      </c>
      <c r="I1088" s="9" t="s">
        <v>1350</v>
      </c>
      <c r="J1088" s="9" t="s">
        <v>2530</v>
      </c>
      <c r="K1088" s="9" t="s">
        <v>2535</v>
      </c>
      <c r="L1088" s="10" t="s">
        <v>2535</v>
      </c>
      <c r="M1088" s="9" t="s">
        <v>51</v>
      </c>
      <c r="N1088" s="9">
        <v>517</v>
      </c>
      <c r="O1088" s="9">
        <v>398</v>
      </c>
      <c r="P1088" s="9">
        <v>100</v>
      </c>
      <c r="Q1088" s="9">
        <v>498</v>
      </c>
      <c r="R1088" s="9">
        <v>0.5</v>
      </c>
      <c r="S1088" s="9">
        <v>-4.5951139999999997</v>
      </c>
      <c r="T1088" s="9">
        <v>122.721193</v>
      </c>
      <c r="U1088" s="9" t="s">
        <v>52</v>
      </c>
      <c r="V1088" s="11" t="str">
        <f>VLOOKUP(L1088,'[1]singkron data'!D:E,2,FALSE)</f>
        <v>CV. NISCALA INDO RAYA</v>
      </c>
      <c r="W1088" s="13">
        <f>VLOOKUP(L1088,'[1]data 1129'!F:H,3,FALSE)</f>
        <v>4500000000</v>
      </c>
      <c r="X1088" s="11"/>
      <c r="Y1088" s="11" t="str">
        <f>VLOOKUP(L1088,'[1]singkron data'!D:H,5,FALSE)</f>
        <v>Muna</v>
      </c>
      <c r="Z1088" s="11" t="str">
        <f>VLOOKUP(L1088,'[1]singkron data'!D:I,6,FALSE)</f>
        <v>Online</v>
      </c>
      <c r="AA1088" s="11">
        <f>VLOOKUP(L1088,'[1]singkron data'!D:L,9,FALSE)</f>
        <v>82130000611</v>
      </c>
      <c r="AB1088" s="11" t="s">
        <v>54</v>
      </c>
      <c r="AC1088" s="11" t="str">
        <f>VLOOKUP(L1088,'[1]singkron data'!D:M,10,FALSE)</f>
        <v>Hyl</v>
      </c>
      <c r="AD1088" s="11" t="str">
        <f>VLOOKUP(L1088,'[1]data 1129'!F:O,10,FALSE)</f>
        <v>Tahap I 208</v>
      </c>
      <c r="AE1088" s="11" t="str">
        <f>VLOOKUP(L1088,'[1]singkron data'!D:P,13,FALSE)</f>
        <v>sudah</v>
      </c>
      <c r="AF1088" s="11" t="s">
        <v>55</v>
      </c>
      <c r="AG1088" s="11" t="e">
        <f>VLOOKUP(L1088,'[1]update kontrak'!E:K,6,FALSE)</f>
        <v>#N/A</v>
      </c>
      <c r="AH1088" s="11" t="e">
        <f>VLOOKUP(L1088,'[1]update kontrak'!E:K,7,FALSE)</f>
        <v>#N/A</v>
      </c>
      <c r="AI1088" s="11"/>
      <c r="AJ1088" s="11" t="str">
        <f>VLOOKUP(L1088,[1]rekap!D:M,1,FALSE)</f>
        <v>Bhontu-Bhontu</v>
      </c>
      <c r="AK1088" s="11" t="str">
        <f>VLOOKUP(L1088,'[1]singkron data'!D:E,2,FALSE)</f>
        <v>CV. NISCALA INDO RAYA</v>
      </c>
      <c r="AL1088" s="11" t="str">
        <f>VLOOKUP(L1088,'[1]update 521'!D:D,1,FALSE)</f>
        <v>Bhontu-Bhontu</v>
      </c>
      <c r="AM1088" s="11" t="s">
        <v>1253</v>
      </c>
      <c r="AN1088" s="11" t="e">
        <f>VLOOKUP(L1088,[1]Sheet19!E:L,8,FALSE)</f>
        <v>#N/A</v>
      </c>
      <c r="AO1088" s="11" t="s">
        <v>58</v>
      </c>
      <c r="AP1088" s="12"/>
    </row>
    <row r="1089" spans="1:42" ht="15" x14ac:dyDescent="0.2">
      <c r="A1089" s="8" t="s">
        <v>2488</v>
      </c>
      <c r="B1089" s="9" t="s">
        <v>60</v>
      </c>
      <c r="C1089" s="9">
        <v>1214</v>
      </c>
      <c r="D1089" s="9" t="s">
        <v>1112</v>
      </c>
      <c r="E1089" s="30"/>
      <c r="F1089" s="9" t="s">
        <v>1349</v>
      </c>
      <c r="G1089" s="9" t="s">
        <v>1141</v>
      </c>
      <c r="H1089" s="9" t="s">
        <v>287</v>
      </c>
      <c r="I1089" s="9" t="s">
        <v>1350</v>
      </c>
      <c r="J1089" s="9" t="s">
        <v>2536</v>
      </c>
      <c r="K1089" s="9" t="s">
        <v>2536</v>
      </c>
      <c r="L1089" s="10" t="s">
        <v>2536</v>
      </c>
      <c r="M1089" s="9" t="s">
        <v>51</v>
      </c>
      <c r="N1089" s="9">
        <v>210</v>
      </c>
      <c r="O1089" s="9">
        <v>10</v>
      </c>
      <c r="P1089" s="9">
        <v>218</v>
      </c>
      <c r="Q1089" s="9">
        <v>228</v>
      </c>
      <c r="R1089" s="9">
        <v>1.52</v>
      </c>
      <c r="S1089" s="9">
        <v>-4.6353429999999998</v>
      </c>
      <c r="T1089" s="9">
        <v>122.719523</v>
      </c>
      <c r="U1089" s="9" t="s">
        <v>52</v>
      </c>
      <c r="V1089" s="20" t="str">
        <f>VLOOKUP(L1089,'[1]singkron data'!D:E,2,FALSE)</f>
        <v>CV. Astaka Karya</v>
      </c>
      <c r="W1089" s="13">
        <f>VLOOKUP(L1089,'[1]data 1129'!F:H,3,FALSE)</f>
        <v>4500000000</v>
      </c>
      <c r="X1089" s="11"/>
      <c r="Y1089" s="11">
        <f>VLOOKUP(L1089,'[1]singkron data'!D:H,5,FALSE)</f>
        <v>0</v>
      </c>
      <c r="Z1089" s="11">
        <f>VLOOKUP(L1089,'[1]singkron data'!D:I,6,FALSE)</f>
        <v>0</v>
      </c>
      <c r="AA1089" s="11">
        <f>VLOOKUP(L1089,'[1]singkron data'!D:L,9,FALSE)</f>
        <v>82198335346</v>
      </c>
      <c r="AB1089" s="11" t="s">
        <v>54</v>
      </c>
      <c r="AC1089" s="11" t="str">
        <f>VLOOKUP(L1089,'[1]singkron data'!D:M,10,FALSE)</f>
        <v>Jaelani</v>
      </c>
      <c r="AD1089" s="11" t="str">
        <f>VLOOKUP(L1089,'[1]data 1129'!F:O,10,FALSE)</f>
        <v>Tahap I 208</v>
      </c>
      <c r="AE1089" s="11" t="str">
        <f>VLOOKUP(L1089,'[1]singkron data'!D:P,13,FALSE)</f>
        <v>sudah</v>
      </c>
      <c r="AF1089" s="11" t="s">
        <v>55</v>
      </c>
      <c r="AG1089" s="11" t="e">
        <f>VLOOKUP(L1089,'[1]update kontrak'!E:K,6,FALSE)</f>
        <v>#N/A</v>
      </c>
      <c r="AH1089" s="11" t="e">
        <f>VLOOKUP(L1089,'[1]update kontrak'!E:K,7,FALSE)</f>
        <v>#N/A</v>
      </c>
      <c r="AI1089" s="11"/>
      <c r="AJ1089" s="11" t="str">
        <f>VLOOKUP(L1089,[1]rekap!D:M,1,FALSE)</f>
        <v>Napabalano</v>
      </c>
      <c r="AK1089" s="11" t="str">
        <f>VLOOKUP(L1089,'[1]singkron data'!D:E,2,FALSE)</f>
        <v>CV. Astaka Karya</v>
      </c>
      <c r="AL1089" s="11" t="str">
        <f>VLOOKUP(L1089,'[1]update 521'!D:D,1,FALSE)</f>
        <v>Napabalano</v>
      </c>
      <c r="AM1089" s="11" t="s">
        <v>1253</v>
      </c>
      <c r="AN1089" s="11" t="e">
        <f>VLOOKUP(L1089,[1]Sheet19!E:L,8,FALSE)</f>
        <v>#N/A</v>
      </c>
      <c r="AO1089" s="11" t="s">
        <v>58</v>
      </c>
      <c r="AP1089" s="12"/>
    </row>
    <row r="1090" spans="1:42" ht="15" x14ac:dyDescent="0.2">
      <c r="A1090" s="8" t="s">
        <v>2488</v>
      </c>
      <c r="B1090" s="9" t="s">
        <v>43</v>
      </c>
      <c r="C1090" s="9">
        <v>1215</v>
      </c>
      <c r="D1090" s="9" t="s">
        <v>1112</v>
      </c>
      <c r="E1090" s="30"/>
      <c r="F1090" s="9" t="s">
        <v>1260</v>
      </c>
      <c r="G1090" s="9" t="s">
        <v>1141</v>
      </c>
      <c r="H1090" s="9" t="s">
        <v>287</v>
      </c>
      <c r="I1090" s="9" t="s">
        <v>1565</v>
      </c>
      <c r="J1090" s="9" t="s">
        <v>2537</v>
      </c>
      <c r="K1090" s="9" t="s">
        <v>2538</v>
      </c>
      <c r="L1090" s="10" t="s">
        <v>2538</v>
      </c>
      <c r="M1090" s="9" t="s">
        <v>51</v>
      </c>
      <c r="N1090" s="9">
        <v>157</v>
      </c>
      <c r="O1090" s="9">
        <v>35</v>
      </c>
      <c r="P1090" s="9">
        <v>33</v>
      </c>
      <c r="Q1090" s="9">
        <v>68</v>
      </c>
      <c r="R1090" s="9">
        <v>0.8</v>
      </c>
      <c r="S1090" s="9">
        <v>-5.275582</v>
      </c>
      <c r="T1090" s="9">
        <v>122.524883</v>
      </c>
      <c r="U1090" s="9" t="s">
        <v>52</v>
      </c>
      <c r="V1090" s="20" t="str">
        <f>VLOOKUP(L1090,'[1]singkron data'!D:E,2,FALSE)</f>
        <v>CV. Indotama Konstruksi</v>
      </c>
      <c r="W1090" s="13">
        <f>VLOOKUP(L1090,'[1]data 1129'!F:H,3,FALSE)</f>
        <v>4500000000</v>
      </c>
      <c r="X1090" s="11"/>
      <c r="Y1090" s="11">
        <f>VLOOKUP(L1090,'[1]singkron data'!D:H,5,FALSE)</f>
        <v>0</v>
      </c>
      <c r="Z1090" s="11">
        <f>VLOOKUP(L1090,'[1]singkron data'!D:I,6,FALSE)</f>
        <v>0</v>
      </c>
      <c r="AA1090" s="11">
        <f>VLOOKUP(L1090,'[1]singkron data'!D:L,9,FALSE)</f>
        <v>82191083324</v>
      </c>
      <c r="AB1090" s="11" t="s">
        <v>54</v>
      </c>
      <c r="AC1090" s="11" t="str">
        <f>VLOOKUP(L1090,'[1]singkron data'!D:M,10,FALSE)</f>
        <v>fraksi roem - new</v>
      </c>
      <c r="AD1090" s="11" t="str">
        <f>VLOOKUP(L1090,'[1]data 1129'!F:O,10,FALSE)</f>
        <v>Tahap I 208</v>
      </c>
      <c r="AE1090" s="11" t="str">
        <f>VLOOKUP(L1090,'[1]singkron data'!D:P,13,FALSE)</f>
        <v>sudah</v>
      </c>
      <c r="AF1090" s="11" t="s">
        <v>55</v>
      </c>
      <c r="AG1090" s="11" t="e">
        <f>VLOOKUP(L1090,'[1]update kontrak'!E:K,6,FALSE)</f>
        <v>#N/A</v>
      </c>
      <c r="AH1090" s="11" t="e">
        <f>VLOOKUP(L1090,'[1]update kontrak'!E:K,7,FALSE)</f>
        <v>#N/A</v>
      </c>
      <c r="AI1090" s="11"/>
      <c r="AJ1090" s="11" t="str">
        <f>VLOOKUP(L1090,[1]rekap!D:M,1,FALSE)</f>
        <v>Moko</v>
      </c>
      <c r="AK1090" s="11" t="str">
        <f>VLOOKUP(L1090,'[1]singkron data'!D:E,2,FALSE)</f>
        <v>CV. Indotama Konstruksi</v>
      </c>
      <c r="AL1090" s="11" t="str">
        <f>VLOOKUP(L1090,'[1]update 521'!D:D,1,FALSE)</f>
        <v>Moko</v>
      </c>
      <c r="AM1090" s="11" t="s">
        <v>1253</v>
      </c>
      <c r="AN1090" s="11" t="e">
        <f>VLOOKUP(L1090,[1]Sheet19!E:L,8,FALSE)</f>
        <v>#N/A</v>
      </c>
      <c r="AO1090" s="11" t="s">
        <v>58</v>
      </c>
      <c r="AP1090" s="12"/>
    </row>
    <row r="1091" spans="1:42" ht="15" x14ac:dyDescent="0.2">
      <c r="A1091" s="8" t="s">
        <v>2488</v>
      </c>
      <c r="B1091" s="9" t="s">
        <v>43</v>
      </c>
      <c r="C1091" s="9">
        <v>1216</v>
      </c>
      <c r="D1091" s="9" t="s">
        <v>1112</v>
      </c>
      <c r="E1091" s="30"/>
      <c r="F1091" s="9" t="s">
        <v>1260</v>
      </c>
      <c r="G1091" s="9" t="s">
        <v>1141</v>
      </c>
      <c r="H1091" s="9" t="s">
        <v>287</v>
      </c>
      <c r="I1091" s="9" t="s">
        <v>1565</v>
      </c>
      <c r="J1091" s="9" t="s">
        <v>2539</v>
      </c>
      <c r="K1091" s="9" t="s">
        <v>2540</v>
      </c>
      <c r="L1091" s="10" t="s">
        <v>2540</v>
      </c>
      <c r="M1091" s="9" t="s">
        <v>51</v>
      </c>
      <c r="N1091" s="9">
        <v>33</v>
      </c>
      <c r="O1091" s="9">
        <v>19</v>
      </c>
      <c r="P1091" s="9">
        <v>14</v>
      </c>
      <c r="Q1091" s="9">
        <v>33</v>
      </c>
      <c r="R1091" s="9" t="s">
        <v>2541</v>
      </c>
      <c r="S1091" s="9">
        <v>-5.3296109999999999</v>
      </c>
      <c r="T1091" s="9">
        <v>122.385651</v>
      </c>
      <c r="U1091" s="9" t="s">
        <v>52</v>
      </c>
      <c r="V1091" s="11" t="str">
        <f>VLOOKUP(L1091,'[1]singkron data'!D:E,2,FALSE)</f>
        <v>CV. Beta Lestari Prima</v>
      </c>
      <c r="W1091" s="13">
        <f>VLOOKUP(L1091,'[1]data 1129'!F:H,3,FALSE)</f>
        <v>4500000000</v>
      </c>
      <c r="X1091" s="11"/>
      <c r="Y1091" s="11"/>
      <c r="Z1091" s="11">
        <f>VLOOKUP(L1091,'[1]singkron data'!D:I,6,FALSE)</f>
        <v>0</v>
      </c>
      <c r="AA1091" s="11" t="str">
        <f>VLOOKUP(L1091,'[1]singkron data'!D:L,9,FALSE)</f>
        <v>wahab/085240311071</v>
      </c>
      <c r="AB1091" s="11" t="s">
        <v>54</v>
      </c>
      <c r="AC1091" s="11" t="str">
        <f>VLOOKUP(L1091,'[1]singkron data'!D:M,10,FALSE)</f>
        <v>Usulan tambahan V</v>
      </c>
      <c r="AD1091" s="11" t="str">
        <f>VLOOKUP(L1091,'[1]data 1129'!F:O,10,FALSE)</f>
        <v>Tahap I 208</v>
      </c>
      <c r="AE1091" s="11" t="str">
        <f>VLOOKUP(L1091,'[1]singkron data'!D:P,13,FALSE)</f>
        <v>sudah</v>
      </c>
      <c r="AF1091" s="11" t="s">
        <v>55</v>
      </c>
      <c r="AG1091" s="11" t="e">
        <f>VLOOKUP(L1091,'[1]update kontrak'!E:K,6,FALSE)</f>
        <v>#N/A</v>
      </c>
      <c r="AH1091" s="11" t="e">
        <f>VLOOKUP(L1091,'[1]update kontrak'!E:K,7,FALSE)</f>
        <v>#N/A</v>
      </c>
      <c r="AI1091" s="11"/>
      <c r="AJ1091" s="11" t="str">
        <f>VLOOKUP(L1091,[1]rekap!D:M,1,FALSE)</f>
        <v>Lagili</v>
      </c>
      <c r="AK1091" s="11" t="str">
        <f>VLOOKUP(L1091,'[1]singkron data'!D:E,2,FALSE)</f>
        <v>CV. Beta Lestari Prima</v>
      </c>
      <c r="AL1091" s="11" t="str">
        <f>VLOOKUP(L1091,'[1]update 521'!D:D,1,FALSE)</f>
        <v>Lagili</v>
      </c>
      <c r="AM1091" s="11" t="s">
        <v>1253</v>
      </c>
      <c r="AN1091" s="11" t="e">
        <f>VLOOKUP(L1091,[1]Sheet19!E:L,8,FALSE)</f>
        <v>#N/A</v>
      </c>
      <c r="AO1091" s="11" t="s">
        <v>58</v>
      </c>
      <c r="AP1091" s="12"/>
    </row>
    <row r="1092" spans="1:42" ht="15" x14ac:dyDescent="0.2">
      <c r="A1092" s="8" t="s">
        <v>2488</v>
      </c>
      <c r="B1092" s="9" t="s">
        <v>60</v>
      </c>
      <c r="C1092" s="9">
        <v>1217</v>
      </c>
      <c r="D1092" s="9" t="s">
        <v>1112</v>
      </c>
      <c r="E1092" s="30"/>
      <c r="F1092" s="9" t="s">
        <v>1219</v>
      </c>
      <c r="G1092" s="9" t="s">
        <v>1114</v>
      </c>
      <c r="H1092" s="9" t="s">
        <v>287</v>
      </c>
      <c r="I1092" s="9" t="s">
        <v>1220</v>
      </c>
      <c r="J1092" s="9" t="s">
        <v>2542</v>
      </c>
      <c r="K1092" s="9" t="s">
        <v>2543</v>
      </c>
      <c r="L1092" s="10" t="s">
        <v>2543</v>
      </c>
      <c r="M1092" s="9" t="s">
        <v>51</v>
      </c>
      <c r="N1092" s="9">
        <v>110</v>
      </c>
      <c r="O1092" s="9" t="s">
        <v>72</v>
      </c>
      <c r="P1092" s="9">
        <v>65</v>
      </c>
      <c r="Q1092" s="9">
        <v>65</v>
      </c>
      <c r="R1092" s="9">
        <v>1</v>
      </c>
      <c r="S1092" s="9">
        <v>-3.599386</v>
      </c>
      <c r="T1092" s="9">
        <v>119.504183</v>
      </c>
      <c r="U1092" s="9" t="s">
        <v>52</v>
      </c>
      <c r="V1092" s="11" t="str">
        <f>VLOOKUP(L1092,'[1]singkron data'!D:E,2,FALSE)</f>
        <v>CV. Buana Bahari</v>
      </c>
      <c r="W1092" s="13">
        <f>VLOOKUP(L1092,'[1]data 1129'!F:H,3,FALSE)</f>
        <v>5127713000</v>
      </c>
      <c r="X1092" s="11"/>
      <c r="Y1092" s="11">
        <f>VLOOKUP(L1092,'[1]singkron data'!D:H,5,FALSE)</f>
        <v>0</v>
      </c>
      <c r="Z1092" s="11">
        <f>VLOOKUP(L1092,'[1]singkron data'!D:I,6,FALSE)</f>
        <v>0</v>
      </c>
      <c r="AA1092" s="11" t="str">
        <f>VLOOKUP(L1092,'[1]singkron data'!D:L,9,FALSE)</f>
        <v>085230797947/juniwang</v>
      </c>
      <c r="AB1092" s="11" t="s">
        <v>54</v>
      </c>
      <c r="AC1092" s="11" t="s">
        <v>1199</v>
      </c>
      <c r="AD1092" s="11" t="str">
        <f>VLOOKUP(L1092,'[1]data 1129'!F:O,10,FALSE)</f>
        <v>Tahap III 166</v>
      </c>
      <c r="AE1092" s="11" t="str">
        <f>VLOOKUP(L1092,'[1]singkron data'!D:P,13,FALSE)</f>
        <v>sudah</v>
      </c>
      <c r="AF1092" s="11" t="s">
        <v>55</v>
      </c>
      <c r="AG1092" s="11" t="e">
        <f>VLOOKUP(L1092,'[1]update kontrak'!E:K,6,FALSE)</f>
        <v>#N/A</v>
      </c>
      <c r="AH1092" s="11" t="e">
        <f>VLOOKUP(L1092,'[1]update kontrak'!E:K,7,FALSE)</f>
        <v>#N/A</v>
      </c>
      <c r="AI1092" s="11"/>
      <c r="AJ1092" s="11" t="str">
        <f>VLOOKUP(L1092,[1]rekap!D:M,1,FALSE)</f>
        <v>Data</v>
      </c>
      <c r="AK1092" s="11" t="str">
        <f>VLOOKUP(L1092,'[1]singkron data'!D:E,2,FALSE)</f>
        <v>CV. Buana Bahari</v>
      </c>
      <c r="AL1092" s="11" t="str">
        <f>VLOOKUP(L1092,'[1]update 521'!D:D,1,FALSE)</f>
        <v>Data</v>
      </c>
      <c r="AM1092" s="11" t="s">
        <v>1253</v>
      </c>
      <c r="AN1092" s="11" t="e">
        <f>VLOOKUP(L1092,[1]Sheet19!E:L,8,FALSE)</f>
        <v>#N/A</v>
      </c>
      <c r="AO1092" s="11" t="s">
        <v>58</v>
      </c>
      <c r="AP1092" s="12"/>
    </row>
    <row r="1093" spans="1:42" ht="15" x14ac:dyDescent="0.2">
      <c r="A1093" s="8" t="s">
        <v>2488</v>
      </c>
      <c r="B1093" s="9" t="s">
        <v>60</v>
      </c>
      <c r="C1093" s="9">
        <v>1218</v>
      </c>
      <c r="D1093" s="9" t="s">
        <v>1112</v>
      </c>
      <c r="E1093" s="30"/>
      <c r="F1093" s="9" t="s">
        <v>1277</v>
      </c>
      <c r="G1093" s="9" t="s">
        <v>1114</v>
      </c>
      <c r="H1093" s="9" t="s">
        <v>287</v>
      </c>
      <c r="I1093" s="9" t="s">
        <v>1220</v>
      </c>
      <c r="J1093" s="9" t="s">
        <v>1407</v>
      </c>
      <c r="K1093" s="9" t="s">
        <v>2544</v>
      </c>
      <c r="L1093" s="10" t="s">
        <v>2544</v>
      </c>
      <c r="M1093" s="9" t="s">
        <v>51</v>
      </c>
      <c r="N1093" s="9">
        <v>546</v>
      </c>
      <c r="O1093" s="9" t="s">
        <v>72</v>
      </c>
      <c r="P1093" s="9">
        <v>515</v>
      </c>
      <c r="Q1093" s="9">
        <v>515</v>
      </c>
      <c r="R1093" s="9">
        <v>0.17</v>
      </c>
      <c r="S1093" s="9">
        <v>-3.9559579999999999</v>
      </c>
      <c r="T1093" s="9">
        <v>119.572881</v>
      </c>
      <c r="U1093" s="9" t="s">
        <v>52</v>
      </c>
      <c r="V1093" s="11" t="str">
        <f>VLOOKUP(L1093,'[1]singkron data'!D:E,2,FALSE)</f>
        <v>PT Viqry Sanjaya Putra</v>
      </c>
      <c r="W1093" s="13">
        <f>VLOOKUP(L1093,'[1]data 1129'!F:H,3,FALSE)</f>
        <v>4054891000</v>
      </c>
      <c r="X1093" s="11"/>
      <c r="Y1093" s="11">
        <f>VLOOKUP(L1093,'[1]singkron data'!D:H,5,FALSE)</f>
        <v>0</v>
      </c>
      <c r="Z1093" s="11">
        <f>VLOOKUP(L1093,'[1]singkron data'!D:I,6,FALSE)</f>
        <v>0</v>
      </c>
      <c r="AA1093" s="11" t="str">
        <f>VLOOKUP(L1093,'[1]singkron data'!D:L,9,FALSE)</f>
        <v>081342161100/Syamsul</v>
      </c>
      <c r="AB1093" s="11" t="s">
        <v>54</v>
      </c>
      <c r="AC1093" s="11" t="str">
        <f>VLOOKUP(L1093,'[1]singkron data'!D:M,10,FALSE)</f>
        <v>Hyl</v>
      </c>
      <c r="AD1093" s="11" t="str">
        <f>VLOOKUP(L1093,'[1]data 1129'!F:O,10,FALSE)</f>
        <v>Tahap III 166</v>
      </c>
      <c r="AE1093" s="11" t="str">
        <f>VLOOKUP(L1093,'[1]singkron data'!D:P,13,FALSE)</f>
        <v>sudah</v>
      </c>
      <c r="AF1093" s="11" t="s">
        <v>55</v>
      </c>
      <c r="AG1093" s="11" t="e">
        <f>VLOOKUP(L1093,'[1]update kontrak'!E:K,6,FALSE)</f>
        <v>#N/A</v>
      </c>
      <c r="AH1093" s="11" t="e">
        <f>VLOOKUP(L1093,'[1]update kontrak'!E:K,7,FALSE)</f>
        <v>#N/A</v>
      </c>
      <c r="AI1093" s="11"/>
      <c r="AJ1093" s="11" t="str">
        <f>VLOOKUP(L1093,[1]rekap!D:M,1,FALSE)</f>
        <v>Tasiwalie</v>
      </c>
      <c r="AK1093" s="11" t="str">
        <f>VLOOKUP(L1093,'[1]singkron data'!D:E,2,FALSE)</f>
        <v>PT Viqry Sanjaya Putra</v>
      </c>
      <c r="AL1093" s="11" t="str">
        <f>VLOOKUP(L1093,'[1]update 521'!D:D,1,FALSE)</f>
        <v>Tasiwalie</v>
      </c>
      <c r="AM1093" s="11" t="s">
        <v>1253</v>
      </c>
      <c r="AN1093" s="11" t="e">
        <f>VLOOKUP(L1093,[1]Sheet19!E:L,8,FALSE)</f>
        <v>#N/A</v>
      </c>
      <c r="AO1093" s="11" t="s">
        <v>58</v>
      </c>
      <c r="AP1093" s="12"/>
    </row>
    <row r="1094" spans="1:42" ht="15" x14ac:dyDescent="0.2">
      <c r="A1094" s="8" t="s">
        <v>2488</v>
      </c>
      <c r="B1094" s="9" t="s">
        <v>60</v>
      </c>
      <c r="C1094" s="9">
        <v>1219</v>
      </c>
      <c r="D1094" s="9" t="s">
        <v>1112</v>
      </c>
      <c r="E1094" s="30"/>
      <c r="F1094" s="9" t="s">
        <v>1277</v>
      </c>
      <c r="G1094" s="9" t="s">
        <v>1114</v>
      </c>
      <c r="H1094" s="9" t="s">
        <v>287</v>
      </c>
      <c r="I1094" s="9" t="s">
        <v>1220</v>
      </c>
      <c r="J1094" s="9" t="s">
        <v>2545</v>
      </c>
      <c r="K1094" s="9" t="s">
        <v>2546</v>
      </c>
      <c r="L1094" s="10" t="s">
        <v>2546</v>
      </c>
      <c r="M1094" s="9" t="s">
        <v>51</v>
      </c>
      <c r="N1094" s="9">
        <v>321</v>
      </c>
      <c r="O1094" s="9" t="s">
        <v>72</v>
      </c>
      <c r="P1094" s="9">
        <v>228</v>
      </c>
      <c r="Q1094" s="9">
        <v>228</v>
      </c>
      <c r="R1094" s="9">
        <v>0.3</v>
      </c>
      <c r="S1094" s="9">
        <v>-3.9009670000000001</v>
      </c>
      <c r="T1094" s="9">
        <v>119.53828300000001</v>
      </c>
      <c r="U1094" s="9" t="s">
        <v>52</v>
      </c>
      <c r="V1094" s="11" t="str">
        <f>VLOOKUP(L1094,'[1]singkron data'!D:E,2,FALSE)</f>
        <v>PT Viqry Sanjaya Putra</v>
      </c>
      <c r="W1094" s="13">
        <f>VLOOKUP(L1094,'[1]data 1129'!F:H,3,FALSE)</f>
        <v>4812238000</v>
      </c>
      <c r="X1094" s="11"/>
      <c r="Y1094" s="11">
        <f>VLOOKUP(L1094,'[1]singkron data'!D:H,5,FALSE)</f>
        <v>0</v>
      </c>
      <c r="Z1094" s="11">
        <f>VLOOKUP(L1094,'[1]singkron data'!D:I,6,FALSE)</f>
        <v>0</v>
      </c>
      <c r="AA1094" s="11" t="str">
        <f>VLOOKUP(L1094,'[1]singkron data'!D:L,9,FALSE)</f>
        <v>081342161100/Syamsul</v>
      </c>
      <c r="AB1094" s="11" t="s">
        <v>54</v>
      </c>
      <c r="AC1094" s="11" t="str">
        <f>VLOOKUP(L1094,'[1]singkron data'!D:M,10,FALSE)</f>
        <v>Hyl</v>
      </c>
      <c r="AD1094" s="11" t="str">
        <f>VLOOKUP(L1094,'[1]data 1129'!F:O,10,FALSE)</f>
        <v>Tahap III 166</v>
      </c>
      <c r="AE1094" s="11" t="str">
        <f>VLOOKUP(L1094,'[1]singkron data'!D:P,13,FALSE)</f>
        <v>sudah</v>
      </c>
      <c r="AF1094" s="11" t="s">
        <v>55</v>
      </c>
      <c r="AG1094" s="11" t="e">
        <f>VLOOKUP(L1094,'[1]update kontrak'!E:K,6,FALSE)</f>
        <v>#N/A</v>
      </c>
      <c r="AH1094" s="11" t="e">
        <f>VLOOKUP(L1094,'[1]update kontrak'!E:K,7,FALSE)</f>
        <v>#N/A</v>
      </c>
      <c r="AI1094" s="11"/>
      <c r="AJ1094" s="11" t="str">
        <f>VLOOKUP(L1094,[1]rekap!D:M,1,FALSE)</f>
        <v>Waetuoe</v>
      </c>
      <c r="AK1094" s="11" t="str">
        <f>VLOOKUP(L1094,'[1]singkron data'!D:E,2,FALSE)</f>
        <v>PT Viqry Sanjaya Putra</v>
      </c>
      <c r="AL1094" s="11" t="str">
        <f>VLOOKUP(L1094,'[1]update 521'!D:D,1,FALSE)</f>
        <v>Waetuoe</v>
      </c>
      <c r="AM1094" s="11" t="s">
        <v>1253</v>
      </c>
      <c r="AN1094" s="11" t="e">
        <f>VLOOKUP(L1094,[1]Sheet19!E:L,8,FALSE)</f>
        <v>#N/A</v>
      </c>
      <c r="AO1094" s="11" t="s">
        <v>58</v>
      </c>
      <c r="AP1094" s="12"/>
    </row>
    <row r="1095" spans="1:42" ht="15" x14ac:dyDescent="0.2">
      <c r="A1095" s="8" t="s">
        <v>2488</v>
      </c>
      <c r="B1095" s="9" t="s">
        <v>60</v>
      </c>
      <c r="C1095" s="9">
        <v>1220</v>
      </c>
      <c r="D1095" s="9" t="s">
        <v>1112</v>
      </c>
      <c r="E1095" s="30"/>
      <c r="F1095" s="9" t="s">
        <v>1277</v>
      </c>
      <c r="G1095" s="9" t="s">
        <v>1114</v>
      </c>
      <c r="H1095" s="9" t="s">
        <v>287</v>
      </c>
      <c r="I1095" s="9" t="s">
        <v>1408</v>
      </c>
      <c r="J1095" s="9" t="s">
        <v>2547</v>
      </c>
      <c r="K1095" s="9" t="s">
        <v>2548</v>
      </c>
      <c r="L1095" s="10" t="s">
        <v>2548</v>
      </c>
      <c r="M1095" s="9" t="s">
        <v>51</v>
      </c>
      <c r="N1095" s="9">
        <v>61</v>
      </c>
      <c r="O1095" s="9">
        <v>1</v>
      </c>
      <c r="P1095" s="9">
        <v>60</v>
      </c>
      <c r="Q1095" s="9">
        <v>61</v>
      </c>
      <c r="R1095" s="9">
        <v>0.5</v>
      </c>
      <c r="S1095" s="9">
        <v>-4.2360139999999999</v>
      </c>
      <c r="T1095" s="9">
        <v>119.625286</v>
      </c>
      <c r="U1095" s="9" t="s">
        <v>52</v>
      </c>
      <c r="V1095" s="11" t="str">
        <f>VLOOKUP(L1095,'[1]singkron data'!D:E,2,FALSE)</f>
        <v>PT. PASELE KARYA PRATAMA</v>
      </c>
      <c r="W1095" s="13">
        <f>VLOOKUP(L1095,'[1]data 1129'!F:H,3,FALSE)</f>
        <v>4805899000</v>
      </c>
      <c r="X1095" s="11"/>
      <c r="Y1095" s="11">
        <f>VLOOKUP(L1095,'[1]singkron data'!D:H,5,FALSE)</f>
        <v>0</v>
      </c>
      <c r="Z1095" s="11">
        <f>VLOOKUP(L1095,'[1]singkron data'!D:I,6,FALSE)</f>
        <v>0</v>
      </c>
      <c r="AA1095" s="11" t="str">
        <f>VLOOKUP(L1095,'[1]singkron data'!D:L,9,FALSE)</f>
        <v>081228107108/Victor</v>
      </c>
      <c r="AB1095" s="11" t="s">
        <v>54</v>
      </c>
      <c r="AC1095" s="11" t="s">
        <v>1199</v>
      </c>
      <c r="AD1095" s="11" t="str">
        <f>VLOOKUP(L1095,'[1]data 1129'!F:O,10,FALSE)</f>
        <v>Tahap III 166</v>
      </c>
      <c r="AE1095" s="11" t="str">
        <f>VLOOKUP(L1095,'[1]singkron data'!D:P,13,FALSE)</f>
        <v>sudah</v>
      </c>
      <c r="AF1095" s="11" t="s">
        <v>55</v>
      </c>
      <c r="AG1095" s="11" t="e">
        <f>VLOOKUP(L1095,'[1]update kontrak'!E:K,6,FALSE)</f>
        <v>#N/A</v>
      </c>
      <c r="AH1095" s="11" t="e">
        <f>VLOOKUP(L1095,'[1]update kontrak'!E:K,7,FALSE)</f>
        <v>#N/A</v>
      </c>
      <c r="AI1095" s="11"/>
      <c r="AJ1095" s="11" t="str">
        <f>VLOOKUP(L1095,[1]rekap!D:M,1,FALSE)</f>
        <v>Siddo</v>
      </c>
      <c r="AK1095" s="11" t="str">
        <f>VLOOKUP(L1095,'[1]singkron data'!D:E,2,FALSE)</f>
        <v>PT. PASELE KARYA PRATAMA</v>
      </c>
      <c r="AL1095" s="11" t="str">
        <f>VLOOKUP(L1095,'[1]update 521'!D:D,1,FALSE)</f>
        <v>Siddo</v>
      </c>
      <c r="AM1095" s="11" t="s">
        <v>1253</v>
      </c>
      <c r="AN1095" s="11" t="e">
        <f>VLOOKUP(L1095,[1]Sheet19!E:L,8,FALSE)</f>
        <v>#N/A</v>
      </c>
      <c r="AO1095" s="11" t="s">
        <v>58</v>
      </c>
      <c r="AP1095" s="12"/>
    </row>
    <row r="1096" spans="1:42" ht="16" x14ac:dyDescent="0.2">
      <c r="A1096" s="8" t="s">
        <v>2488</v>
      </c>
      <c r="B1096" s="9" t="s">
        <v>43</v>
      </c>
      <c r="C1096" s="9">
        <v>1221</v>
      </c>
      <c r="D1096" s="9" t="s">
        <v>1112</v>
      </c>
      <c r="E1096" s="30"/>
      <c r="F1096" s="9" t="s">
        <v>2549</v>
      </c>
      <c r="G1096" s="15" t="s">
        <v>1141</v>
      </c>
      <c r="H1096" s="9" t="s">
        <v>287</v>
      </c>
      <c r="I1096" s="15" t="s">
        <v>2550</v>
      </c>
      <c r="J1096" s="15" t="s">
        <v>2551</v>
      </c>
      <c r="K1096" s="9" t="s">
        <v>2549</v>
      </c>
      <c r="L1096" s="10" t="s">
        <v>2549</v>
      </c>
      <c r="M1096" s="9" t="s">
        <v>65</v>
      </c>
      <c r="N1096" s="9">
        <v>133</v>
      </c>
      <c r="O1096" s="9">
        <v>50</v>
      </c>
      <c r="P1096" s="9">
        <v>70</v>
      </c>
      <c r="Q1096" s="9">
        <v>120</v>
      </c>
      <c r="R1096" s="9">
        <v>0.81</v>
      </c>
      <c r="S1096" s="9">
        <v>-5.359534</v>
      </c>
      <c r="T1096" s="9">
        <v>123.55587</v>
      </c>
      <c r="U1096" s="9" t="s">
        <v>52</v>
      </c>
      <c r="V1096" s="11" t="str">
        <f>VLOOKUP(L1096,'[1]singkron data'!D:E,2,FALSE)</f>
        <v>PT. Intan Jaya Koneksi Cabang Baubau</v>
      </c>
      <c r="W1096" s="13">
        <f>VLOOKUP(L1096,'[1]data 1129'!F:H,3,FALSE)</f>
        <v>8231000000</v>
      </c>
      <c r="X1096" s="11"/>
      <c r="Y1096" s="11" t="str">
        <f>VLOOKUP(L1096,'[1]singkron data'!D:H,5,FALSE)</f>
        <v>SBU tidak ada</v>
      </c>
      <c r="Z1096" s="11">
        <f>VLOOKUP(L1096,'[1]singkron data'!D:I,6,FALSE)</f>
        <v>0</v>
      </c>
      <c r="AA1096" s="11">
        <f>VLOOKUP(L1096,'[1]singkron data'!D:L,9,FALSE)</f>
        <v>85242082813</v>
      </c>
      <c r="AB1096" s="11" t="s">
        <v>54</v>
      </c>
      <c r="AC1096" s="11" t="str">
        <f>VLOOKUP(L1096,'[1]singkron data'!D:M,10,FALSE)</f>
        <v>fraksi roem</v>
      </c>
      <c r="AD1096" s="11" t="str">
        <f>VLOOKUP(L1096,'[1]data 1129'!F:O,10,FALSE)</f>
        <v>Tahap I 208</v>
      </c>
      <c r="AE1096" s="11" t="str">
        <f>VLOOKUP(L1096,'[1]singkron data'!D:P,13,FALSE)</f>
        <v>Tim baru</v>
      </c>
      <c r="AF1096" s="11" t="s">
        <v>55</v>
      </c>
      <c r="AG1096" s="11" t="e">
        <f>VLOOKUP(L1096,'[1]update kontrak'!E:K,6,FALSE)</f>
        <v>#N/A</v>
      </c>
      <c r="AH1096" s="11" t="e">
        <f>VLOOKUP(L1096,'[1]update kontrak'!E:K,7,FALSE)</f>
        <v>#N/A</v>
      </c>
      <c r="AI1096" s="11"/>
      <c r="AJ1096" s="11" t="str">
        <f>VLOOKUP(L1096,[1]rekap!D:M,1,FALSE)</f>
        <v>Numana</v>
      </c>
      <c r="AK1096" s="11" t="str">
        <f>VLOOKUP(L1096,'[1]singkron data'!D:E,2,FALSE)</f>
        <v>PT. Intan Jaya Koneksi Cabang Baubau</v>
      </c>
      <c r="AL1096" s="11" t="str">
        <f>VLOOKUP(L1096,'[1]update 521'!D:D,1,FALSE)</f>
        <v>Numana</v>
      </c>
      <c r="AM1096" s="11" t="s">
        <v>1253</v>
      </c>
      <c r="AN1096" s="11" t="e">
        <f>VLOOKUP(L1096,[1]Sheet19!E:L,8,FALSE)</f>
        <v>#N/A</v>
      </c>
      <c r="AO1096" s="11" t="s">
        <v>58</v>
      </c>
      <c r="AP1096" s="12"/>
    </row>
    <row r="1097" spans="1:42" ht="15" x14ac:dyDescent="0.2">
      <c r="A1097" s="8" t="s">
        <v>2488</v>
      </c>
      <c r="B1097" s="9" t="s">
        <v>60</v>
      </c>
      <c r="C1097" s="9">
        <v>1222</v>
      </c>
      <c r="D1097" s="9" t="s">
        <v>1112</v>
      </c>
      <c r="E1097" s="30"/>
      <c r="F1097" s="9" t="s">
        <v>1541</v>
      </c>
      <c r="G1097" s="9" t="s">
        <v>1114</v>
      </c>
      <c r="H1097" s="9" t="s">
        <v>287</v>
      </c>
      <c r="I1097" s="9" t="s">
        <v>1408</v>
      </c>
      <c r="J1097" s="9" t="s">
        <v>1408</v>
      </c>
      <c r="K1097" s="9" t="s">
        <v>2552</v>
      </c>
      <c r="L1097" s="10" t="s">
        <v>2552</v>
      </c>
      <c r="M1097" s="9" t="s">
        <v>51</v>
      </c>
      <c r="N1097" s="9">
        <v>200</v>
      </c>
      <c r="O1097" s="9" t="s">
        <v>72</v>
      </c>
      <c r="P1097" s="9">
        <v>180</v>
      </c>
      <c r="Q1097" s="9">
        <v>180</v>
      </c>
      <c r="R1097" s="9">
        <v>0.28000000000000003</v>
      </c>
      <c r="S1097" s="9">
        <v>-4.4016279999999997</v>
      </c>
      <c r="T1097" s="9">
        <v>119.604308</v>
      </c>
      <c r="U1097" s="9" t="s">
        <v>52</v>
      </c>
      <c r="V1097" s="11" t="str">
        <f>VLOOKUP(L1097,'[1]singkron data'!D:E,2,FALSE)</f>
        <v>PT. PASELE KARYA PRATAMA</v>
      </c>
      <c r="W1097" s="13">
        <f>VLOOKUP(L1097,'[1]data 1129'!F:H,3,FALSE)</f>
        <v>4187442000</v>
      </c>
      <c r="X1097" s="11"/>
      <c r="Y1097" s="11">
        <f>VLOOKUP(L1097,'[1]singkron data'!D:H,5,FALSE)</f>
        <v>0</v>
      </c>
      <c r="Z1097" s="11">
        <f>VLOOKUP(L1097,'[1]singkron data'!D:I,6,FALSE)</f>
        <v>0</v>
      </c>
      <c r="AA1097" s="11" t="str">
        <f>VLOOKUP(L1097,'[1]singkron data'!D:L,9,FALSE)</f>
        <v>081228107108/Victor</v>
      </c>
      <c r="AB1097" s="11" t="s">
        <v>54</v>
      </c>
      <c r="AC1097" s="11" t="s">
        <v>1199</v>
      </c>
      <c r="AD1097" s="11" t="str">
        <f>VLOOKUP(L1097,'[1]data 1129'!F:O,10,FALSE)</f>
        <v>Tahap III 166</v>
      </c>
      <c r="AE1097" s="11" t="str">
        <f>VLOOKUP(L1097,'[1]singkron data'!D:P,13,FALSE)</f>
        <v>sudah</v>
      </c>
      <c r="AF1097" s="11" t="s">
        <v>55</v>
      </c>
      <c r="AG1097" s="11" t="e">
        <f>VLOOKUP(L1097,'[1]update kontrak'!E:K,6,FALSE)</f>
        <v>#N/A</v>
      </c>
      <c r="AH1097" s="11" t="e">
        <f>VLOOKUP(L1097,'[1]update kontrak'!E:K,7,FALSE)</f>
        <v>#N/A</v>
      </c>
      <c r="AI1097" s="11"/>
      <c r="AJ1097" s="11" t="str">
        <f>VLOOKUP(L1097,[1]rekap!D:M,1,FALSE)</f>
        <v>Sumpang Binangae</v>
      </c>
      <c r="AK1097" s="11" t="str">
        <f>VLOOKUP(L1097,'[1]singkron data'!D:E,2,FALSE)</f>
        <v>PT. PASELE KARYA PRATAMA</v>
      </c>
      <c r="AL1097" s="11" t="str">
        <f>VLOOKUP(L1097,'[1]update 521'!D:D,1,FALSE)</f>
        <v>Sumpang Binangae</v>
      </c>
      <c r="AM1097" s="11" t="s">
        <v>1253</v>
      </c>
      <c r="AN1097" s="11" t="e">
        <f>VLOOKUP(L1097,[1]Sheet19!E:L,8,FALSE)</f>
        <v>#N/A</v>
      </c>
      <c r="AO1097" s="11" t="s">
        <v>58</v>
      </c>
      <c r="AP1097" s="12"/>
    </row>
    <row r="1098" spans="1:42" ht="15" x14ac:dyDescent="0.2">
      <c r="A1098" s="8" t="s">
        <v>2488</v>
      </c>
      <c r="B1098" s="9" t="s">
        <v>43</v>
      </c>
      <c r="C1098" s="9">
        <v>1223</v>
      </c>
      <c r="D1098" s="9" t="s">
        <v>1112</v>
      </c>
      <c r="E1098" s="30"/>
      <c r="F1098" s="9" t="s">
        <v>2549</v>
      </c>
      <c r="G1098" s="9" t="s">
        <v>1141</v>
      </c>
      <c r="H1098" s="9" t="s">
        <v>287</v>
      </c>
      <c r="I1098" s="9" t="s">
        <v>2550</v>
      </c>
      <c r="J1098" s="9" t="s">
        <v>2553</v>
      </c>
      <c r="K1098" s="9" t="s">
        <v>2554</v>
      </c>
      <c r="L1098" s="10" t="s">
        <v>2554</v>
      </c>
      <c r="M1098" s="9" t="s">
        <v>51</v>
      </c>
      <c r="N1098" s="9">
        <v>34</v>
      </c>
      <c r="O1098" s="9">
        <v>34</v>
      </c>
      <c r="P1098" s="9" t="s">
        <v>72</v>
      </c>
      <c r="Q1098" s="9">
        <v>34</v>
      </c>
      <c r="R1098" s="9">
        <v>1</v>
      </c>
      <c r="S1098" s="9">
        <v>-5.7759689999999999</v>
      </c>
      <c r="T1098" s="9">
        <v>123.972346</v>
      </c>
      <c r="U1098" s="9" t="s">
        <v>52</v>
      </c>
      <c r="V1098" s="11" t="str">
        <f>VLOOKUP(L1098,'[1]singkron data'!D:E,2,FALSE)</f>
        <v>PT. Intan Jaya Koneksi Cabang Baubau</v>
      </c>
      <c r="W1098" s="13">
        <f>VLOOKUP(L1098,'[1]data 1129'!F:H,3,FALSE)</f>
        <v>4500000000</v>
      </c>
      <c r="X1098" s="11"/>
      <c r="Y1098" s="11" t="str">
        <f>VLOOKUP(L1098,'[1]singkron data'!D:H,5,FALSE)</f>
        <v>SBU tidak ada</v>
      </c>
      <c r="Z1098" s="11">
        <f>VLOOKUP(L1098,'[1]singkron data'!D:I,6,FALSE)</f>
        <v>0</v>
      </c>
      <c r="AA1098" s="11">
        <f>VLOOKUP(L1098,'[1]singkron data'!D:L,9,FALSE)</f>
        <v>85242082813</v>
      </c>
      <c r="AB1098" s="11" t="s">
        <v>54</v>
      </c>
      <c r="AC1098" s="11" t="str">
        <f>VLOOKUP(L1098,'[1]singkron data'!D:M,10,FALSE)</f>
        <v>fraksi roem</v>
      </c>
      <c r="AD1098" s="11" t="str">
        <f>VLOOKUP(L1098,'[1]data 1129'!F:O,10,FALSE)</f>
        <v>Tahap I 208</v>
      </c>
      <c r="AE1098" s="11" t="str">
        <f>VLOOKUP(L1098,'[1]singkron data'!D:P,13,FALSE)</f>
        <v>Tim baru</v>
      </c>
      <c r="AF1098" s="11" t="s">
        <v>55</v>
      </c>
      <c r="AG1098" s="11" t="e">
        <f>VLOOKUP(L1098,'[1]update kontrak'!E:K,6,FALSE)</f>
        <v>#N/A</v>
      </c>
      <c r="AH1098" s="11" t="e">
        <f>VLOOKUP(L1098,'[1]update kontrak'!E:K,7,FALSE)</f>
        <v>#N/A</v>
      </c>
      <c r="AI1098" s="11"/>
      <c r="AJ1098" s="11" t="str">
        <f>VLOOKUP(L1098,[1]rekap!D:M,1,FALSE)</f>
        <v>Dete</v>
      </c>
      <c r="AK1098" s="11" t="str">
        <f>VLOOKUP(L1098,'[1]singkron data'!D:E,2,FALSE)</f>
        <v>PT. Intan Jaya Koneksi Cabang Baubau</v>
      </c>
      <c r="AL1098" s="11" t="str">
        <f>VLOOKUP(L1098,'[1]update 521'!D:D,1,FALSE)</f>
        <v>Dete</v>
      </c>
      <c r="AM1098" s="11" t="s">
        <v>1253</v>
      </c>
      <c r="AN1098" s="11" t="e">
        <f>VLOOKUP(L1098,[1]Sheet19!E:L,8,FALSE)</f>
        <v>#N/A</v>
      </c>
      <c r="AO1098" s="11" t="s">
        <v>58</v>
      </c>
      <c r="AP1098" s="12"/>
    </row>
    <row r="1099" spans="1:42" ht="15" x14ac:dyDescent="0.2">
      <c r="A1099" s="8" t="s">
        <v>2488</v>
      </c>
      <c r="B1099" s="9" t="s">
        <v>43</v>
      </c>
      <c r="C1099" s="9">
        <v>1224</v>
      </c>
      <c r="D1099" s="9" t="s">
        <v>1112</v>
      </c>
      <c r="E1099" s="30"/>
      <c r="F1099" s="9" t="s">
        <v>2549</v>
      </c>
      <c r="G1099" s="9" t="s">
        <v>1141</v>
      </c>
      <c r="H1099" s="9" t="s">
        <v>287</v>
      </c>
      <c r="I1099" s="9" t="s">
        <v>2550</v>
      </c>
      <c r="J1099" s="9" t="s">
        <v>2555</v>
      </c>
      <c r="K1099" s="9" t="s">
        <v>2556</v>
      </c>
      <c r="L1099" s="10" t="s">
        <v>2556</v>
      </c>
      <c r="M1099" s="9" t="s">
        <v>51</v>
      </c>
      <c r="N1099" s="9">
        <v>25</v>
      </c>
      <c r="O1099" s="9">
        <v>50</v>
      </c>
      <c r="P1099" s="9">
        <v>30</v>
      </c>
      <c r="Q1099" s="9">
        <v>80</v>
      </c>
      <c r="R1099" s="9">
        <v>1</v>
      </c>
      <c r="S1099" s="9">
        <v>-5.8910600000000004</v>
      </c>
      <c r="T1099" s="9">
        <v>124.01497999999999</v>
      </c>
      <c r="U1099" s="9" t="s">
        <v>52</v>
      </c>
      <c r="V1099" s="11" t="str">
        <f>VLOOKUP(L1099,'[1]singkron data'!D:E,2,FALSE)</f>
        <v>PT. Intan Jaya Koneksi Cabang Baubau</v>
      </c>
      <c r="W1099" s="13">
        <f>VLOOKUP(L1099,'[1]data 1129'!F:H,3,FALSE)</f>
        <v>4500000000</v>
      </c>
      <c r="X1099" s="11"/>
      <c r="Y1099" s="11" t="str">
        <f>VLOOKUP(L1099,'[1]singkron data'!D:H,5,FALSE)</f>
        <v>SBU tidak ada</v>
      </c>
      <c r="Z1099" s="11">
        <f>VLOOKUP(L1099,'[1]singkron data'!D:I,6,FALSE)</f>
        <v>0</v>
      </c>
      <c r="AA1099" s="11">
        <f>VLOOKUP(L1099,'[1]singkron data'!D:L,9,FALSE)</f>
        <v>85242082813</v>
      </c>
      <c r="AB1099" s="11" t="s">
        <v>54</v>
      </c>
      <c r="AC1099" s="11" t="str">
        <f>VLOOKUP(L1099,'[1]singkron data'!D:M,10,FALSE)</f>
        <v>fraksi roem</v>
      </c>
      <c r="AD1099" s="11" t="str">
        <f>VLOOKUP(L1099,'[1]data 1129'!F:O,10,FALSE)</f>
        <v>Tahap I 208</v>
      </c>
      <c r="AE1099" s="11" t="str">
        <f>VLOOKUP(L1099,'[1]singkron data'!D:P,13,FALSE)</f>
        <v>Tim baru</v>
      </c>
      <c r="AF1099" s="11" t="s">
        <v>55</v>
      </c>
      <c r="AG1099" s="11" t="e">
        <f>VLOOKUP(L1099,'[1]update kontrak'!E:K,6,FALSE)</f>
        <v>#N/A</v>
      </c>
      <c r="AH1099" s="11" t="e">
        <f>VLOOKUP(L1099,'[1]update kontrak'!E:K,7,FALSE)</f>
        <v>#N/A</v>
      </c>
      <c r="AI1099" s="11"/>
      <c r="AJ1099" s="11" t="str">
        <f>VLOOKUP(L1099,[1]rekap!D:M,1,FALSE)</f>
        <v>Palahidu Barat</v>
      </c>
      <c r="AK1099" s="11" t="str">
        <f>VLOOKUP(L1099,'[1]singkron data'!D:E,2,FALSE)</f>
        <v>PT. Intan Jaya Koneksi Cabang Baubau</v>
      </c>
      <c r="AL1099" s="11" t="str">
        <f>VLOOKUP(L1099,'[1]update 521'!D:D,1,FALSE)</f>
        <v>Palahidu Barat</v>
      </c>
      <c r="AM1099" s="11" t="s">
        <v>1253</v>
      </c>
      <c r="AN1099" s="11" t="e">
        <f>VLOOKUP(L1099,[1]Sheet19!E:L,8,FALSE)</f>
        <v>#N/A</v>
      </c>
      <c r="AO1099" s="11" t="s">
        <v>58</v>
      </c>
      <c r="AP1099" s="12"/>
    </row>
    <row r="1100" spans="1:42" ht="15" x14ac:dyDescent="0.2">
      <c r="A1100" s="8" t="s">
        <v>2488</v>
      </c>
      <c r="B1100" s="9" t="s">
        <v>43</v>
      </c>
      <c r="C1100" s="9">
        <v>1225</v>
      </c>
      <c r="D1100" s="9" t="s">
        <v>1112</v>
      </c>
      <c r="E1100" s="30"/>
      <c r="F1100" s="9" t="s">
        <v>2557</v>
      </c>
      <c r="G1100" s="9" t="s">
        <v>1141</v>
      </c>
      <c r="H1100" s="9" t="s">
        <v>287</v>
      </c>
      <c r="I1100" s="9" t="s">
        <v>1269</v>
      </c>
      <c r="J1100" s="9" t="s">
        <v>2558</v>
      </c>
      <c r="K1100" s="9" t="s">
        <v>2559</v>
      </c>
      <c r="L1100" s="10" t="s">
        <v>2559</v>
      </c>
      <c r="M1100" s="9" t="s">
        <v>81</v>
      </c>
      <c r="N1100" s="9">
        <v>180</v>
      </c>
      <c r="O1100" s="9">
        <v>20</v>
      </c>
      <c r="P1100" s="9">
        <v>180</v>
      </c>
      <c r="Q1100" s="9">
        <v>200</v>
      </c>
      <c r="R1100" s="9">
        <v>0.36</v>
      </c>
      <c r="S1100" s="9">
        <v>-6.2051080000000001</v>
      </c>
      <c r="T1100" s="9">
        <v>122.72387500000001</v>
      </c>
      <c r="U1100" s="9" t="s">
        <v>52</v>
      </c>
      <c r="V1100" s="11" t="str">
        <f>VLOOKUP(L1100,'[1]singkron data'!D:E,2,FALSE)</f>
        <v>PT. VTB Jaya Makmur</v>
      </c>
      <c r="W1100" s="13">
        <f>VLOOKUP(L1100,'[1]data 1129'!F:H,3,FALSE)</f>
        <v>4567200000</v>
      </c>
      <c r="X1100" s="11"/>
      <c r="Y1100" s="11">
        <f>VLOOKUP(L1100,'[1]singkron data'!D:H,5,FALSE)</f>
        <v>0</v>
      </c>
      <c r="Z1100" s="11" t="str">
        <f>VLOOKUP(L1100,'[1]singkron data'!D:I,6,FALSE)</f>
        <v>Online</v>
      </c>
      <c r="AA1100" s="11" t="str">
        <f>VLOOKUP(L1100,'[1]singkron data'!D:L,9,FALSE)</f>
        <v>085395302781/layla</v>
      </c>
      <c r="AB1100" s="11" t="s">
        <v>54</v>
      </c>
      <c r="AC1100" s="11" t="str">
        <f>VLOOKUP(L1100,'[1]singkron data'!D:M,10,FALSE)</f>
        <v>V</v>
      </c>
      <c r="AD1100" s="11" t="str">
        <f>VLOOKUP(L1100,'[1]data 1129'!F:O,10,FALSE)</f>
        <v>Tahap I 208</v>
      </c>
      <c r="AE1100" s="11" t="str">
        <f>VLOOKUP(L1100,'[1]singkron data'!D:P,13,FALSE)</f>
        <v>sudah</v>
      </c>
      <c r="AF1100" s="11" t="s">
        <v>55</v>
      </c>
      <c r="AG1100" s="11" t="e">
        <f>VLOOKUP(L1100,'[1]update kontrak'!E:K,6,FALSE)</f>
        <v>#N/A</v>
      </c>
      <c r="AH1100" s="11" t="e">
        <f>VLOOKUP(L1100,'[1]update kontrak'!E:K,7,FALSE)</f>
        <v>#N/A</v>
      </c>
      <c r="AI1100" s="11"/>
      <c r="AJ1100" s="11" t="str">
        <f>VLOOKUP(L1100,[1]rekap!D:M,1,FALSE)</f>
        <v>Batu Atas Timur</v>
      </c>
      <c r="AK1100" s="11" t="str">
        <f>VLOOKUP(L1100,'[1]singkron data'!D:E,2,FALSE)</f>
        <v>PT. VTB Jaya Makmur</v>
      </c>
      <c r="AL1100" s="11" t="str">
        <f>VLOOKUP(L1100,'[1]update 521'!D:D,1,FALSE)</f>
        <v>Batu Atas Timur</v>
      </c>
      <c r="AM1100" s="11" t="s">
        <v>1253</v>
      </c>
      <c r="AN1100" s="11" t="e">
        <f>VLOOKUP(L1100,[1]Sheet19!E:L,8,FALSE)</f>
        <v>#N/A</v>
      </c>
      <c r="AO1100" s="11" t="s">
        <v>58</v>
      </c>
      <c r="AP1100" s="12"/>
    </row>
    <row r="1101" spans="1:42" ht="15" x14ac:dyDescent="0.2">
      <c r="A1101" s="8" t="s">
        <v>2488</v>
      </c>
      <c r="B1101" s="9" t="s">
        <v>60</v>
      </c>
      <c r="C1101" s="9">
        <v>1226</v>
      </c>
      <c r="D1101" s="9" t="s">
        <v>514</v>
      </c>
      <c r="E1101" s="30"/>
      <c r="F1101" s="9" t="s">
        <v>2525</v>
      </c>
      <c r="G1101" s="9" t="s">
        <v>545</v>
      </c>
      <c r="H1101" s="9" t="s">
        <v>47</v>
      </c>
      <c r="I1101" s="9" t="s">
        <v>2376</v>
      </c>
      <c r="J1101" s="9" t="s">
        <v>2560</v>
      </c>
      <c r="K1101" s="9" t="s">
        <v>2561</v>
      </c>
      <c r="L1101" s="10" t="s">
        <v>2561</v>
      </c>
      <c r="M1101" s="9" t="s">
        <v>51</v>
      </c>
      <c r="N1101" s="9">
        <v>135</v>
      </c>
      <c r="O1101" s="9" t="s">
        <v>72</v>
      </c>
      <c r="P1101" s="9">
        <v>120</v>
      </c>
      <c r="Q1101" s="9">
        <v>120</v>
      </c>
      <c r="R1101" s="9">
        <v>2</v>
      </c>
      <c r="S1101" s="9">
        <v>-6.3806000000000002E-2</v>
      </c>
      <c r="T1101" s="9">
        <v>117.493121</v>
      </c>
      <c r="U1101" s="9" t="s">
        <v>52</v>
      </c>
      <c r="V1101" s="11" t="str">
        <f>VLOOKUP(L1101,'[1]singkron data'!D:E,2,FALSE)</f>
        <v>PT. Anugerah Borneo Indonesia (Kecil-Menengah)</v>
      </c>
      <c r="W1101" s="11"/>
      <c r="X1101" s="11"/>
      <c r="Y1101" s="11" t="str">
        <f>VLOOKUP(L1101,'[1]singkron data'!D:H,5,FALSE)</f>
        <v>Kutai</v>
      </c>
      <c r="Z1101" s="11" t="str">
        <f>VLOOKUP(L1101,'[1]singkron data'!D:I,6,FALSE)</f>
        <v>Online</v>
      </c>
      <c r="AA1101" s="11">
        <f>VLOOKUP(L1101,'[1]singkron data'!D:L,9,FALSE)</f>
        <v>0</v>
      </c>
      <c r="AB1101" s="11" t="s">
        <v>54</v>
      </c>
      <c r="AC1101" s="11" t="s">
        <v>520</v>
      </c>
      <c r="AD1101" s="11" t="str">
        <f>VLOOKUP(L1101,'[1]data 1129'!F:O,10,FALSE)</f>
        <v>Tahap IV 200</v>
      </c>
      <c r="AE1101" s="11">
        <f>VLOOKUP(L1101,'[1]singkron data'!D:P,13,FALSE)</f>
        <v>0</v>
      </c>
      <c r="AF1101" s="11"/>
      <c r="AG1101" s="11" t="e">
        <f>VLOOKUP(L1101,'[1]update kontrak'!E:K,6,FALSE)</f>
        <v>#N/A</v>
      </c>
      <c r="AH1101" s="11" t="e">
        <f>VLOOKUP(L1101,'[1]update kontrak'!E:K,7,FALSE)</f>
        <v>#N/A</v>
      </c>
      <c r="AI1101" s="11"/>
      <c r="AJ1101" s="11" t="str">
        <f>VLOOKUP(L1101,[1]rekap!D:M,1,FALSE)</f>
        <v>Kersik</v>
      </c>
      <c r="AK1101" s="11" t="str">
        <f>VLOOKUP(L1101,'[1]singkron data'!D:E,2,FALSE)</f>
        <v>PT. Anugerah Borneo Indonesia (Kecil-Menengah)</v>
      </c>
      <c r="AL1101" s="11" t="str">
        <f>VLOOKUP(L1101,'[1]update 521'!D:D,1,FALSE)</f>
        <v>Kersik</v>
      </c>
      <c r="AM1101" s="11" t="s">
        <v>96</v>
      </c>
      <c r="AN1101" s="11" t="e">
        <f>VLOOKUP(L1101,[1]Sheet19!E:L,8,FALSE)</f>
        <v>#N/A</v>
      </c>
      <c r="AO1101" s="11" t="e">
        <f>VLOOKUP(L1101,[1]Sheet19!E:K,7,FALSE)</f>
        <v>#N/A</v>
      </c>
      <c r="AP1101" s="12"/>
    </row>
    <row r="1102" spans="1:42" ht="15" x14ac:dyDescent="0.2">
      <c r="A1102" s="8" t="s">
        <v>2488</v>
      </c>
      <c r="B1102" s="9" t="s">
        <v>60</v>
      </c>
      <c r="C1102" s="9">
        <v>1227</v>
      </c>
      <c r="D1102" s="9" t="s">
        <v>44</v>
      </c>
      <c r="E1102" s="30"/>
      <c r="F1102" s="9" t="s">
        <v>2399</v>
      </c>
      <c r="G1102" s="9" t="s">
        <v>74</v>
      </c>
      <c r="H1102" s="9" t="s">
        <v>47</v>
      </c>
      <c r="I1102" s="9" t="s">
        <v>144</v>
      </c>
      <c r="J1102" s="9" t="s">
        <v>1549</v>
      </c>
      <c r="K1102" s="9" t="s">
        <v>2562</v>
      </c>
      <c r="L1102" s="10" t="s">
        <v>2562</v>
      </c>
      <c r="M1102" s="9" t="s">
        <v>51</v>
      </c>
      <c r="N1102" s="9">
        <v>208</v>
      </c>
      <c r="O1102" s="9">
        <v>10</v>
      </c>
      <c r="P1102" s="9">
        <v>16</v>
      </c>
      <c r="Q1102" s="9">
        <v>26</v>
      </c>
      <c r="R1102" s="9">
        <v>0.16839999999999999</v>
      </c>
      <c r="S1102" s="9">
        <v>-8.1776248999999996</v>
      </c>
      <c r="T1102" s="9">
        <v>122.8992444</v>
      </c>
      <c r="U1102" s="9" t="s">
        <v>52</v>
      </c>
      <c r="V1102" s="11" t="str">
        <f>VLOOKUP(L1102,'[1]singkron data'!D:E,2,FALSE)</f>
        <v>PT. Arum Daya Sentausa</v>
      </c>
      <c r="W1102" s="11"/>
      <c r="X1102" s="11"/>
      <c r="Y1102" s="11">
        <f>VLOOKUP(L1102,'[1]singkron data'!D:H,5,FALSE)</f>
        <v>0</v>
      </c>
      <c r="Z1102" s="11">
        <f>VLOOKUP(L1102,'[1]singkron data'!D:I,6,FALSE)</f>
        <v>0</v>
      </c>
      <c r="AA1102" s="11">
        <f>VLOOKUP(L1102,'[1]singkron data'!D:L,9,FALSE)</f>
        <v>81287843669</v>
      </c>
      <c r="AB1102" s="11" t="s">
        <v>54</v>
      </c>
      <c r="AC1102" s="11" t="str">
        <f>VLOOKUP(L1102,'[1]singkron data'!D:M,10,FALSE)</f>
        <v>Galuh-B</v>
      </c>
      <c r="AD1102" s="11" t="str">
        <f>VLOOKUP(L1102,'[1]data 1129'!F:O,10,FALSE)</f>
        <v>Tahap IV 200</v>
      </c>
      <c r="AE1102" s="11">
        <f>VLOOKUP(L1102,'[1]singkron data'!D:P,13,FALSE)</f>
        <v>0</v>
      </c>
      <c r="AF1102" s="11" t="s">
        <v>55</v>
      </c>
      <c r="AG1102" s="11" t="e">
        <f>VLOOKUP(L1102,'[1]update kontrak'!E:K,6,FALSE)</f>
        <v>#N/A</v>
      </c>
      <c r="AH1102" s="11" t="e">
        <f>VLOOKUP(L1102,'[1]update kontrak'!E:K,7,FALSE)</f>
        <v>#N/A</v>
      </c>
      <c r="AI1102" s="11"/>
      <c r="AJ1102" s="11" t="str">
        <f>VLOOKUP(L1102,[1]rekap!D:M,1,FALSE)</f>
        <v>Ratulodong</v>
      </c>
      <c r="AK1102" s="11" t="str">
        <f>VLOOKUP(L1102,'[1]singkron data'!D:E,2,FALSE)</f>
        <v>PT. Arum Daya Sentausa</v>
      </c>
      <c r="AL1102" s="11" t="str">
        <f>VLOOKUP(L1102,'[1]update 521'!D:D,1,FALSE)</f>
        <v>Ratulodong</v>
      </c>
      <c r="AM1102" s="11" t="s">
        <v>96</v>
      </c>
      <c r="AN1102" s="11" t="e">
        <f>VLOOKUP(L1102,[1]Sheet19!E:L,8,FALSE)</f>
        <v>#N/A</v>
      </c>
      <c r="AO1102" s="11" t="e">
        <f>VLOOKUP(L1102,[1]Sheet19!E:K,7,FALSE)</f>
        <v>#N/A</v>
      </c>
      <c r="AP1102" s="12"/>
    </row>
    <row r="1103" spans="1:42" ht="15" x14ac:dyDescent="0.2">
      <c r="A1103" s="8" t="s">
        <v>2488</v>
      </c>
      <c r="B1103" s="9" t="s">
        <v>60</v>
      </c>
      <c r="C1103" s="9">
        <v>1228</v>
      </c>
      <c r="D1103" s="9" t="s">
        <v>1112</v>
      </c>
      <c r="E1103" s="30"/>
      <c r="F1103" s="9" t="s">
        <v>1477</v>
      </c>
      <c r="G1103" s="9" t="s">
        <v>1243</v>
      </c>
      <c r="H1103" s="9" t="s">
        <v>287</v>
      </c>
      <c r="I1103" s="9" t="s">
        <v>1479</v>
      </c>
      <c r="J1103" s="9" t="s">
        <v>1480</v>
      </c>
      <c r="K1103" s="9" t="s">
        <v>2563</v>
      </c>
      <c r="L1103" s="10" t="s">
        <v>2563</v>
      </c>
      <c r="M1103" s="9" t="s">
        <v>51</v>
      </c>
      <c r="N1103" s="9">
        <v>161</v>
      </c>
      <c r="O1103" s="9">
        <v>20</v>
      </c>
      <c r="P1103" s="9">
        <v>90</v>
      </c>
      <c r="Q1103" s="9">
        <v>110</v>
      </c>
      <c r="R1103" s="9">
        <v>1.49</v>
      </c>
      <c r="S1103" s="9">
        <v>0.50377799999999995</v>
      </c>
      <c r="T1103" s="9">
        <v>122.53551899999999</v>
      </c>
      <c r="U1103" s="9" t="s">
        <v>52</v>
      </c>
      <c r="V1103" s="11" t="str">
        <f>VLOOKUP(L1103,'[1]singkron data'!D:E,2,FALSE)</f>
        <v>PT. Inovasi Multi Kreasindo (Kecil)</v>
      </c>
      <c r="W1103" s="13">
        <f>VLOOKUP(L1103,'[1]data 1129'!F:H,3,FALSE)</f>
        <v>4500000000</v>
      </c>
      <c r="X1103" s="11" t="s">
        <v>55</v>
      </c>
      <c r="Y1103" s="11" t="str">
        <f>VLOOKUP(L1103,'[1]singkron data'!D:H,5,FALSE)</f>
        <v>Manado</v>
      </c>
      <c r="Z1103" s="11" t="str">
        <f>VLOOKUP(L1103,'[1]singkron data'!D:I,6,FALSE)</f>
        <v>Online</v>
      </c>
      <c r="AA1103" s="11" t="str">
        <f>VLOOKUP(L1103,'[1]singkron data'!D:L,9,FALSE)</f>
        <v>085197324265/maikel</v>
      </c>
      <c r="AB1103" s="11" t="s">
        <v>54</v>
      </c>
      <c r="AC1103" s="11" t="str">
        <f>VLOOKUP(L1103,'[1]singkron data'!D:M,10,FALSE)</f>
        <v>TK</v>
      </c>
      <c r="AD1103" s="11" t="str">
        <f>VLOOKUP(L1103,'[1]data 1129'!F:O,10,FALSE)</f>
        <v>Tahap III 166</v>
      </c>
      <c r="AE1103" s="11" t="str">
        <f>VLOOKUP(L1103,'[1]singkron data'!D:P,13,FALSE)</f>
        <v>sudah</v>
      </c>
      <c r="AF1103" s="11" t="s">
        <v>55</v>
      </c>
      <c r="AG1103" s="11" t="e">
        <f>VLOOKUP(L1103,'[1]update kontrak'!E:K,6,FALSE)</f>
        <v>#N/A</v>
      </c>
      <c r="AH1103" s="11" t="e">
        <f>VLOOKUP(L1103,'[1]update kontrak'!E:K,7,FALSE)</f>
        <v>#N/A</v>
      </c>
      <c r="AI1103" s="11" t="s">
        <v>58</v>
      </c>
      <c r="AJ1103" s="11" t="str">
        <f>VLOOKUP(L1103,[1]rekap!D:M,1,FALSE)</f>
        <v>Limbatihu</v>
      </c>
      <c r="AK1103" s="11" t="str">
        <f>VLOOKUP(L1103,'[1]singkron data'!D:E,2,FALSE)</f>
        <v>PT. Inovasi Multi Kreasindo (Kecil)</v>
      </c>
      <c r="AL1103" s="11" t="str">
        <f>VLOOKUP(L1103,'[1]update 521'!D:D,1,FALSE)</f>
        <v>Limbatihu</v>
      </c>
      <c r="AM1103" s="11" t="s">
        <v>57</v>
      </c>
      <c r="AN1103" s="17">
        <f>VLOOKUP(L1103,[1]Sheet19!E:L,8,FALSE)</f>
        <v>3429328207.9200001</v>
      </c>
      <c r="AO1103" s="11" t="str">
        <f>VLOOKUP(L1103,[1]Sheet19!E:K,7,FALSE)</f>
        <v>KONTRAK</v>
      </c>
      <c r="AP1103" s="12" t="s">
        <v>41</v>
      </c>
    </row>
    <row r="1104" spans="1:42" ht="15" x14ac:dyDescent="0.2">
      <c r="A1104" s="8" t="s">
        <v>2488</v>
      </c>
      <c r="B1104" s="9" t="s">
        <v>60</v>
      </c>
      <c r="C1104" s="9">
        <v>1229</v>
      </c>
      <c r="D1104" s="9" t="s">
        <v>1631</v>
      </c>
      <c r="E1104" s="30"/>
      <c r="F1104" s="9" t="s">
        <v>2114</v>
      </c>
      <c r="G1104" s="9" t="s">
        <v>1882</v>
      </c>
      <c r="H1104" s="9" t="s">
        <v>47</v>
      </c>
      <c r="I1104" s="9" t="s">
        <v>2115</v>
      </c>
      <c r="J1104" s="9" t="s">
        <v>2116</v>
      </c>
      <c r="K1104" s="9" t="s">
        <v>2564</v>
      </c>
      <c r="L1104" s="10" t="s">
        <v>2564</v>
      </c>
      <c r="M1104" s="9" t="s">
        <v>51</v>
      </c>
      <c r="N1104" s="9">
        <v>1225</v>
      </c>
      <c r="O1104" s="9" t="s">
        <v>72</v>
      </c>
      <c r="P1104" s="9">
        <v>625</v>
      </c>
      <c r="Q1104" s="9">
        <v>625</v>
      </c>
      <c r="R1104" s="9">
        <v>1</v>
      </c>
      <c r="S1104" s="9">
        <v>2.4605839999999999</v>
      </c>
      <c r="T1104" s="9">
        <v>100.34052</v>
      </c>
      <c r="U1104" s="9" t="s">
        <v>52</v>
      </c>
      <c r="V1104" s="11" t="str">
        <f>VLOOKUP(L1104,'[1]singkron data'!D:E,2,FALSE)</f>
        <v>PT. Ganesha Jaya</v>
      </c>
      <c r="W1104" s="13">
        <f>VLOOKUP(L1104,'[1]update tim 2'!D:F,3,FALSE)</f>
        <v>3363551000</v>
      </c>
      <c r="X1104" s="11" t="s">
        <v>55</v>
      </c>
      <c r="Y1104" s="11">
        <f>VLOOKUP(L1104,'[1]singkron data'!D:H,5,FALSE)</f>
        <v>0</v>
      </c>
      <c r="Z1104" s="11">
        <f>VLOOKUP(L1104,'[1]singkron data'!D:I,6,FALSE)</f>
        <v>0</v>
      </c>
      <c r="AA1104" s="11" t="str">
        <f>VLOOKUP(L1104,'[1]singkron data'!D:L,9,FALSE)</f>
        <v>081283064488/eko</v>
      </c>
      <c r="AB1104" s="11" t="s">
        <v>54</v>
      </c>
      <c r="AC1104" s="11" t="str">
        <f>VLOOKUP(L1104,'[1]singkron data'!D:M,10,FALSE)</f>
        <v>Dedd</v>
      </c>
      <c r="AD1104" s="11" t="str">
        <f>VLOOKUP(L1104,'[1]data 1129'!F:O,10,FALSE)</f>
        <v>Tahap IV 200</v>
      </c>
      <c r="AE1104" s="11">
        <f>VLOOKUP(L1104,'[1]singkron data'!D:P,13,FALSE)</f>
        <v>0</v>
      </c>
      <c r="AF1104" s="11" t="s">
        <v>55</v>
      </c>
      <c r="AG1104" s="11" t="e">
        <f>VLOOKUP(L1104,'[1]update kontrak'!E:K,6,FALSE)</f>
        <v>#N/A</v>
      </c>
      <c r="AH1104" s="11" t="e">
        <f>VLOOKUP(L1104,'[1]update kontrak'!E:K,7,FALSE)</f>
        <v>#N/A</v>
      </c>
      <c r="AI1104" s="11"/>
      <c r="AJ1104" s="11" t="str">
        <f>VLOOKUP(L1104,[1]rekap!D:M,1,FALSE)</f>
        <v>Panipahan</v>
      </c>
      <c r="AK1104" s="11" t="str">
        <f>VLOOKUP(L1104,'[1]singkron data'!D:E,2,FALSE)</f>
        <v>PT. Ganesha Jaya</v>
      </c>
      <c r="AL1104" s="11" t="str">
        <f>VLOOKUP(L1104,'[1]update 521'!D:D,1,FALSE)</f>
        <v>Panipahan</v>
      </c>
      <c r="AM1104" s="11" t="s">
        <v>57</v>
      </c>
      <c r="AN1104" s="11" t="e">
        <f>VLOOKUP(L1104,[1]Sheet19!E:L,8,FALSE)</f>
        <v>#N/A</v>
      </c>
      <c r="AO1104" s="11" t="s">
        <v>58</v>
      </c>
      <c r="AP1104" s="12"/>
    </row>
    <row r="1105" spans="1:42" ht="15" x14ac:dyDescent="0.2">
      <c r="A1105" s="8" t="s">
        <v>2565</v>
      </c>
      <c r="B1105" s="9" t="s">
        <v>60</v>
      </c>
      <c r="C1105" s="9">
        <v>1230</v>
      </c>
      <c r="D1105" s="9" t="s">
        <v>1631</v>
      </c>
      <c r="E1105" s="30"/>
      <c r="F1105" s="9" t="s">
        <v>2088</v>
      </c>
      <c r="G1105" s="9" t="s">
        <v>1831</v>
      </c>
      <c r="H1105" s="9" t="s">
        <v>47</v>
      </c>
      <c r="I1105" s="9" t="s">
        <v>2089</v>
      </c>
      <c r="J1105" s="9" t="s">
        <v>2566</v>
      </c>
      <c r="K1105" s="9" t="s">
        <v>2088</v>
      </c>
      <c r="L1105" s="10" t="s">
        <v>2088</v>
      </c>
      <c r="M1105" s="9" t="s">
        <v>65</v>
      </c>
      <c r="N1105" s="9">
        <v>1500</v>
      </c>
      <c r="O1105" s="9" t="s">
        <v>72</v>
      </c>
      <c r="P1105" s="9">
        <v>80</v>
      </c>
      <c r="Q1105" s="9">
        <v>80</v>
      </c>
      <c r="R1105" s="9">
        <v>1</v>
      </c>
      <c r="S1105" s="9">
        <v>-1.448599</v>
      </c>
      <c r="T1105" s="9">
        <v>99.116743999999997</v>
      </c>
      <c r="U1105" s="9" t="s">
        <v>52</v>
      </c>
      <c r="V1105" s="11" t="s">
        <v>2086</v>
      </c>
      <c r="W1105" s="13">
        <f>VLOOKUP(L1105,'[1]update tim 2'!D:F,3,FALSE)</f>
        <v>7910332000</v>
      </c>
      <c r="X1105" s="11" t="s">
        <v>55</v>
      </c>
      <c r="Y1105" s="11">
        <f>VLOOKUP(L1105,'[1]singkron data'!D:H,5,FALSE)</f>
        <v>0</v>
      </c>
      <c r="Z1105" s="11">
        <f>VLOOKUP(L1105,'[1]singkron data'!D:I,6,FALSE)</f>
        <v>0</v>
      </c>
      <c r="AA1105" s="11" t="s">
        <v>2087</v>
      </c>
      <c r="AB1105" s="11" t="s">
        <v>54</v>
      </c>
      <c r="AC1105" s="11" t="s">
        <v>1199</v>
      </c>
      <c r="AD1105" s="11" t="str">
        <f>VLOOKUP(L1105,'[1]data 1129'!F:O,10,FALSE)</f>
        <v>Tahap IV 200</v>
      </c>
      <c r="AE1105" s="11">
        <f>VLOOKUP(L1105,'[1]singkron data'!D:P,13,FALSE)</f>
        <v>0</v>
      </c>
      <c r="AF1105" s="11" t="s">
        <v>55</v>
      </c>
      <c r="AG1105" s="11" t="e">
        <f>VLOOKUP(L1105,'[1]update kontrak'!E:K,6,FALSE)</f>
        <v>#N/A</v>
      </c>
      <c r="AH1105" s="11" t="e">
        <f>VLOOKUP(L1105,'[1]update kontrak'!E:K,7,FALSE)</f>
        <v>#N/A</v>
      </c>
      <c r="AI1105" s="11"/>
      <c r="AJ1105" s="11" t="str">
        <f>VLOOKUP(L1105,[1]rekap!D:M,1,FALSE)</f>
        <v>Saliguma</v>
      </c>
      <c r="AK1105" s="11" t="str">
        <f>VLOOKUP(L1105,'[1]singkron data'!D:E,2,FALSE)</f>
        <v>PT. Wijaya Karya Bangunan Gedung</v>
      </c>
      <c r="AL1105" s="11" t="str">
        <f>VLOOKUP(L1105,'[1]update 521'!D:D,1,FALSE)</f>
        <v>Saliguma</v>
      </c>
      <c r="AM1105" s="11" t="s">
        <v>57</v>
      </c>
      <c r="AN1105" s="11" t="e">
        <f>VLOOKUP(L1105,[1]Sheet19!E:L,8,FALSE)</f>
        <v>#N/A</v>
      </c>
      <c r="AO1105" s="11" t="s">
        <v>58</v>
      </c>
      <c r="AP1105" s="12"/>
    </row>
    <row r="1106" spans="1:42" ht="16" x14ac:dyDescent="0.2">
      <c r="A1106" s="8" t="s">
        <v>2565</v>
      </c>
      <c r="B1106" s="9" t="s">
        <v>60</v>
      </c>
      <c r="C1106" s="9">
        <v>1231</v>
      </c>
      <c r="D1106" s="9" t="s">
        <v>1631</v>
      </c>
      <c r="E1106" s="30"/>
      <c r="F1106" s="9" t="s">
        <v>2088</v>
      </c>
      <c r="G1106" s="15" t="s">
        <v>1831</v>
      </c>
      <c r="H1106" s="9" t="s">
        <v>47</v>
      </c>
      <c r="I1106" s="15" t="s">
        <v>2089</v>
      </c>
      <c r="J1106" s="15" t="s">
        <v>2567</v>
      </c>
      <c r="K1106" s="9" t="s">
        <v>2568</v>
      </c>
      <c r="L1106" s="10" t="s">
        <v>2568</v>
      </c>
      <c r="M1106" s="9" t="s">
        <v>51</v>
      </c>
      <c r="N1106" s="9">
        <v>210</v>
      </c>
      <c r="O1106" s="9">
        <v>30</v>
      </c>
      <c r="P1106" s="9">
        <v>18</v>
      </c>
      <c r="Q1106" s="9">
        <v>48</v>
      </c>
      <c r="R1106" s="9">
        <v>0.24</v>
      </c>
      <c r="S1106" s="9">
        <v>-1.08375</v>
      </c>
      <c r="T1106" s="9">
        <v>98.960110999999998</v>
      </c>
      <c r="U1106" s="9" t="s">
        <v>52</v>
      </c>
      <c r="V1106" s="11" t="s">
        <v>2086</v>
      </c>
      <c r="W1106" s="13">
        <f>VLOOKUP(L1106,'[1]update tim 2'!D:F,3,FALSE)</f>
        <v>3438042000</v>
      </c>
      <c r="X1106" s="11" t="s">
        <v>55</v>
      </c>
      <c r="Y1106" s="11">
        <f>VLOOKUP(L1106,'[1]singkron data'!D:H,5,FALSE)</f>
        <v>0</v>
      </c>
      <c r="Z1106" s="11">
        <f>VLOOKUP(L1106,'[1]singkron data'!D:I,6,FALSE)</f>
        <v>0</v>
      </c>
      <c r="AA1106" s="11" t="s">
        <v>2087</v>
      </c>
      <c r="AB1106" s="11" t="s">
        <v>54</v>
      </c>
      <c r="AC1106" s="11" t="s">
        <v>1199</v>
      </c>
      <c r="AD1106" s="11" t="str">
        <f>VLOOKUP(L1106,'[1]data 1129'!F:O,10,FALSE)</f>
        <v>Tahap IV 200</v>
      </c>
      <c r="AE1106" s="11">
        <f>VLOOKUP(L1106,'[1]singkron data'!D:P,13,FALSE)</f>
        <v>0</v>
      </c>
      <c r="AF1106" s="11" t="s">
        <v>55</v>
      </c>
      <c r="AG1106" s="11" t="e">
        <f>VLOOKUP(L1106,'[1]update kontrak'!E:K,6,FALSE)</f>
        <v>#N/A</v>
      </c>
      <c r="AH1106" s="11" t="e">
        <f>VLOOKUP(L1106,'[1]update kontrak'!E:K,7,FALSE)</f>
        <v>#N/A</v>
      </c>
      <c r="AI1106" s="11"/>
      <c r="AJ1106" s="11" t="str">
        <f>VLOOKUP(L1106,[1]rekap!D:M,1,FALSE)</f>
        <v>Muara Sikabaluan</v>
      </c>
      <c r="AK1106" s="11" t="str">
        <f>VLOOKUP(L1106,'[1]singkron data'!D:E,2,FALSE)</f>
        <v>PT. Wijaya Karya Bangunan Gedung</v>
      </c>
      <c r="AL1106" s="11" t="str">
        <f>VLOOKUP(L1106,'[1]update 521'!D:D,1,FALSE)</f>
        <v>Muara Sikabaluan</v>
      </c>
      <c r="AM1106" s="11" t="s">
        <v>57</v>
      </c>
      <c r="AN1106" s="11" t="e">
        <f>VLOOKUP(L1106,[1]Sheet19!E:L,8,FALSE)</f>
        <v>#N/A</v>
      </c>
      <c r="AO1106" s="11" t="s">
        <v>58</v>
      </c>
      <c r="AP1106" s="12"/>
    </row>
    <row r="1107" spans="1:42" ht="15" x14ac:dyDescent="0.2">
      <c r="A1107" s="8" t="s">
        <v>2565</v>
      </c>
      <c r="B1107" s="9" t="s">
        <v>60</v>
      </c>
      <c r="C1107" s="9">
        <v>1232</v>
      </c>
      <c r="D1107" s="9" t="s">
        <v>514</v>
      </c>
      <c r="E1107" s="30"/>
      <c r="F1107" s="9" t="s">
        <v>2569</v>
      </c>
      <c r="G1107" s="9" t="s">
        <v>545</v>
      </c>
      <c r="H1107" s="9" t="s">
        <v>47</v>
      </c>
      <c r="I1107" s="9" t="s">
        <v>2376</v>
      </c>
      <c r="J1107" s="9" t="s">
        <v>2570</v>
      </c>
      <c r="K1107" s="9" t="s">
        <v>2571</v>
      </c>
      <c r="L1107" s="10" t="s">
        <v>2571</v>
      </c>
      <c r="M1107" s="9" t="s">
        <v>65</v>
      </c>
      <c r="N1107" s="9">
        <v>485</v>
      </c>
      <c r="O1107" s="9" t="s">
        <v>72</v>
      </c>
      <c r="P1107" s="9">
        <v>493</v>
      </c>
      <c r="Q1107" s="9">
        <v>493</v>
      </c>
      <c r="R1107" s="9">
        <v>0.34100000000000003</v>
      </c>
      <c r="S1107" s="9">
        <v>-1.021682</v>
      </c>
      <c r="T1107" s="9">
        <v>117.116838</v>
      </c>
      <c r="U1107" s="9" t="s">
        <v>52</v>
      </c>
      <c r="V1107" s="11" t="str">
        <f>VLOOKUP(L1107,'[1]singkron data'!D:E,2,FALSE)</f>
        <v>CV. Alam Semesta Mendukung</v>
      </c>
      <c r="W1107" s="11"/>
      <c r="X1107" s="11"/>
      <c r="Y1107" s="11" t="str">
        <f>VLOOKUP(L1107,'[1]singkron data'!D:H,5,FALSE)</f>
        <v>Kutai</v>
      </c>
      <c r="Z1107" s="11" t="str">
        <f>VLOOKUP(L1107,'[1]singkron data'!D:I,6,FALSE)</f>
        <v>Online</v>
      </c>
      <c r="AA1107" s="11" t="str">
        <f>VLOOKUP(L1107,'[1]singkron data'!D:L,9,FALSE)</f>
        <v>082396807749/ahmad</v>
      </c>
      <c r="AB1107" s="11" t="s">
        <v>54</v>
      </c>
      <c r="AC1107" s="11" t="str">
        <f>VLOOKUP(L1107,'[1]singkron data'!D:M,10,FALSE)</f>
        <v>Azim-Rin</v>
      </c>
      <c r="AD1107" s="11" t="str">
        <f>VLOOKUP(L1107,'[1]data 1129'!F:O,10,FALSE)</f>
        <v>Tahap IV 200</v>
      </c>
      <c r="AE1107" s="11">
        <f>VLOOKUP(L1107,'[1]singkron data'!D:P,13,FALSE)</f>
        <v>0</v>
      </c>
      <c r="AF1107" s="11"/>
      <c r="AG1107" s="11" t="e">
        <f>VLOOKUP(L1107,'[1]update kontrak'!E:K,6,FALSE)</f>
        <v>#N/A</v>
      </c>
      <c r="AH1107" s="11" t="e">
        <f>VLOOKUP(L1107,'[1]update kontrak'!E:K,7,FALSE)</f>
        <v>#N/A</v>
      </c>
      <c r="AI1107" s="11"/>
      <c r="AJ1107" s="11" t="str">
        <f>VLOOKUP(L1107,[1]rekap!D:M,1,FALSE)</f>
        <v>Samboja Kuala</v>
      </c>
      <c r="AK1107" s="11" t="str">
        <f>VLOOKUP(L1107,'[1]singkron data'!D:E,2,FALSE)</f>
        <v>CV. Alam Semesta Mendukung</v>
      </c>
      <c r="AL1107" s="11" t="str">
        <f>VLOOKUP(L1107,'[1]update 521'!D:D,1,FALSE)</f>
        <v>Samboja Kuala</v>
      </c>
      <c r="AM1107" s="11" t="e">
        <v>#N/A</v>
      </c>
      <c r="AN1107" s="11" t="e">
        <f>VLOOKUP(L1107,[1]Sheet19!E:L,8,FALSE)</f>
        <v>#N/A</v>
      </c>
      <c r="AO1107" s="11" t="e">
        <f>VLOOKUP(L1107,[1]Sheet19!E:K,7,FALSE)</f>
        <v>#N/A</v>
      </c>
      <c r="AP1107" s="12"/>
    </row>
    <row r="1108" spans="1:42" ht="15" x14ac:dyDescent="0.2">
      <c r="A1108" s="8" t="s">
        <v>2565</v>
      </c>
      <c r="B1108" s="9" t="s">
        <v>60</v>
      </c>
      <c r="C1108" s="9">
        <v>1233</v>
      </c>
      <c r="D1108" s="9" t="s">
        <v>1631</v>
      </c>
      <c r="E1108" s="30"/>
      <c r="F1108" s="9" t="s">
        <v>1655</v>
      </c>
      <c r="G1108" s="9" t="s">
        <v>1656</v>
      </c>
      <c r="H1108" s="9" t="s">
        <v>47</v>
      </c>
      <c r="I1108" s="9" t="s">
        <v>1664</v>
      </c>
      <c r="J1108" s="9" t="s">
        <v>2572</v>
      </c>
      <c r="K1108" s="9" t="s">
        <v>2573</v>
      </c>
      <c r="L1108" s="9" t="s">
        <v>2573</v>
      </c>
      <c r="M1108" s="9" t="s">
        <v>51</v>
      </c>
      <c r="N1108" s="9">
        <v>50</v>
      </c>
      <c r="O1108" s="9">
        <v>5</v>
      </c>
      <c r="P1108" s="9">
        <v>30</v>
      </c>
      <c r="Q1108" s="9">
        <v>35</v>
      </c>
      <c r="R1108" s="9">
        <v>0.28999999999999998</v>
      </c>
      <c r="S1108" s="9">
        <v>5.0837560000000002</v>
      </c>
      <c r="T1108" s="9">
        <v>95.321803000000003</v>
      </c>
      <c r="U1108" s="9"/>
      <c r="V1108" s="11" t="e">
        <f>VLOOKUP(L1108,'[1]singkron data'!D:E,2,FALSE)</f>
        <v>#N/A</v>
      </c>
      <c r="W1108" s="11" t="e">
        <f>VLOOKUP(L1108,'[1]update tim 2'!D:F,3,FALSE)</f>
        <v>#N/A</v>
      </c>
      <c r="X1108" s="11" t="s">
        <v>55</v>
      </c>
      <c r="Y1108" s="11" t="e">
        <f>VLOOKUP(L1108,'[1]singkron data'!D:H,5,FALSE)</f>
        <v>#N/A</v>
      </c>
      <c r="Z1108" s="11" t="e">
        <f>VLOOKUP(L1108,'[1]singkron data'!D:I,6,FALSE)</f>
        <v>#N/A</v>
      </c>
      <c r="AA1108" s="11" t="e">
        <f>VLOOKUP(L1108,'[1]singkron data'!D:L,9,FALSE)</f>
        <v>#N/A</v>
      </c>
      <c r="AB1108" s="11" t="s">
        <v>694</v>
      </c>
      <c r="AC1108" s="11" t="s">
        <v>1660</v>
      </c>
      <c r="AD1108" s="11" t="s">
        <v>364</v>
      </c>
      <c r="AE1108" s="11" t="e">
        <f>VLOOKUP(L1108,'[1]singkron data'!D:P,13,FALSE)</f>
        <v>#N/A</v>
      </c>
      <c r="AF1108" s="11" t="s">
        <v>55</v>
      </c>
      <c r="AG1108" s="11" t="e">
        <f>VLOOKUP(L1108,'[1]update kontrak'!E:K,6,FALSE)</f>
        <v>#N/A</v>
      </c>
      <c r="AH1108" s="11" t="e">
        <f>VLOOKUP(L1108,'[1]update kontrak'!E:K,7,FALSE)</f>
        <v>#N/A</v>
      </c>
      <c r="AI1108" s="11"/>
      <c r="AJ1108" s="11" t="str">
        <f>VLOOKUP(L1108,[1]rekap!D:M,1,FALSE)</f>
        <v>Gle Jong</v>
      </c>
      <c r="AK1108" s="11" t="e">
        <f>VLOOKUP(L1108,'[1]singkron data'!D:E,2,FALSE)</f>
        <v>#N/A</v>
      </c>
      <c r="AL1108" s="11" t="str">
        <f>VLOOKUP(L1108,'[1]update 521'!D:D,1,FALSE)</f>
        <v>Gle Jong</v>
      </c>
      <c r="AM1108" s="11" t="s">
        <v>57</v>
      </c>
      <c r="AN1108" s="11" t="e">
        <f>VLOOKUP(L1108,[1]Sheet19!E:L,8,FALSE)</f>
        <v>#N/A</v>
      </c>
      <c r="AO1108" s="11" t="s">
        <v>1129</v>
      </c>
      <c r="AP1108" s="12"/>
    </row>
    <row r="1109" spans="1:42" ht="15" x14ac:dyDescent="0.2">
      <c r="A1109" s="8" t="s">
        <v>2565</v>
      </c>
      <c r="B1109" s="9" t="s">
        <v>60</v>
      </c>
      <c r="C1109" s="9">
        <v>1234</v>
      </c>
      <c r="D1109" s="9" t="s">
        <v>514</v>
      </c>
      <c r="E1109" s="30"/>
      <c r="F1109" s="9" t="s">
        <v>2375</v>
      </c>
      <c r="G1109" s="9" t="s">
        <v>545</v>
      </c>
      <c r="H1109" s="9" t="s">
        <v>47</v>
      </c>
      <c r="I1109" s="9" t="s">
        <v>2376</v>
      </c>
      <c r="J1109" s="9" t="s">
        <v>2574</v>
      </c>
      <c r="K1109" s="9" t="s">
        <v>2375</v>
      </c>
      <c r="L1109" s="10" t="s">
        <v>2375</v>
      </c>
      <c r="M1109" s="9" t="s">
        <v>65</v>
      </c>
      <c r="N1109" s="9">
        <v>652</v>
      </c>
      <c r="O1109" s="9">
        <v>15</v>
      </c>
      <c r="P1109" s="9">
        <v>652</v>
      </c>
      <c r="Q1109" s="9">
        <v>667</v>
      </c>
      <c r="R1109" s="9">
        <v>0.19</v>
      </c>
      <c r="S1109" s="9">
        <v>-0.17299300000000001</v>
      </c>
      <c r="T1109" s="9">
        <v>116.448959</v>
      </c>
      <c r="U1109" s="9" t="s">
        <v>52</v>
      </c>
      <c r="V1109" s="11" t="s">
        <v>2379</v>
      </c>
      <c r="W1109" s="11"/>
      <c r="X1109" s="11"/>
      <c r="Y1109" s="11" t="str">
        <f>VLOOKUP(L1109,'[1]singkron data'!D:H,5,FALSE)</f>
        <v xml:space="preserve"> Kutai Kartanegara</v>
      </c>
      <c r="Z1109" s="11" t="str">
        <f>VLOOKUP(L1109,'[1]singkron data'!D:I,6,FALSE)</f>
        <v>Online</v>
      </c>
      <c r="AA1109" s="11" t="str">
        <f>VLOOKUP(L1109,'[1]singkron data'!D:L,9,FALSE)</f>
        <v>081293305027/iqbal</v>
      </c>
      <c r="AB1109" s="11" t="s">
        <v>54</v>
      </c>
      <c r="AC1109" s="11" t="str">
        <f>VLOOKUP(L1109,'[1]singkron data'!D:M,10,FALSE)</f>
        <v>Iqbal/AM</v>
      </c>
      <c r="AD1109" s="11" t="str">
        <f>VLOOKUP(L1109,'[1]data 1129'!F:O,10,FALSE)</f>
        <v>Tahap IV 200</v>
      </c>
      <c r="AE1109" s="11">
        <f>VLOOKUP(L1109,'[1]singkron data'!D:P,13,FALSE)</f>
        <v>0</v>
      </c>
      <c r="AF1109" s="11"/>
      <c r="AG1109" s="11" t="e">
        <f>VLOOKUP(L1109,'[1]update kontrak'!E:K,6,FALSE)</f>
        <v>#N/A</v>
      </c>
      <c r="AH1109" s="11" t="e">
        <f>VLOOKUP(L1109,'[1]update kontrak'!E:K,7,FALSE)</f>
        <v>#N/A</v>
      </c>
      <c r="AI1109" s="11"/>
      <c r="AJ1109" s="11" t="str">
        <f>VLOOKUP(L1109,[1]rekap!D:M,1,FALSE)</f>
        <v>Semayang</v>
      </c>
      <c r="AK1109" s="11" t="str">
        <f>VLOOKUP(L1109,'[1]singkron data'!D:E,2,FALSE)</f>
        <v>PT. Global Tri Jaya</v>
      </c>
      <c r="AL1109" s="11" t="str">
        <f>VLOOKUP(L1109,'[1]update 521'!D:D,1,FALSE)</f>
        <v>Semayang</v>
      </c>
      <c r="AM1109" s="11" t="s">
        <v>96</v>
      </c>
      <c r="AN1109" s="11" t="e">
        <f>VLOOKUP(L1109,[1]Sheet19!E:L,8,FALSE)</f>
        <v>#N/A</v>
      </c>
      <c r="AO1109" s="11" t="e">
        <f>VLOOKUP(L1109,[1]Sheet19!E:K,7,FALSE)</f>
        <v>#N/A</v>
      </c>
      <c r="AP1109" s="12"/>
    </row>
    <row r="1110" spans="1:42" ht="16" x14ac:dyDescent="0.2">
      <c r="A1110" s="8" t="s">
        <v>2565</v>
      </c>
      <c r="B1110" s="9" t="s">
        <v>60</v>
      </c>
      <c r="C1110" s="9">
        <v>1235</v>
      </c>
      <c r="D1110" s="9" t="s">
        <v>1631</v>
      </c>
      <c r="E1110" s="30"/>
      <c r="F1110" s="9" t="s">
        <v>1904</v>
      </c>
      <c r="G1110" s="15" t="s">
        <v>1724</v>
      </c>
      <c r="H1110" s="9" t="s">
        <v>47</v>
      </c>
      <c r="I1110" s="15" t="s">
        <v>1925</v>
      </c>
      <c r="J1110" s="15" t="s">
        <v>1926</v>
      </c>
      <c r="K1110" s="9" t="s">
        <v>2575</v>
      </c>
      <c r="L1110" s="10" t="s">
        <v>2575</v>
      </c>
      <c r="M1110" s="9" t="s">
        <v>51</v>
      </c>
      <c r="N1110" s="9">
        <v>133</v>
      </c>
      <c r="O1110" s="9">
        <v>32</v>
      </c>
      <c r="P1110" s="9">
        <v>120</v>
      </c>
      <c r="Q1110" s="9">
        <v>152</v>
      </c>
      <c r="R1110" s="9">
        <v>1.19</v>
      </c>
      <c r="S1110" s="9">
        <v>1.09674</v>
      </c>
      <c r="T1110" s="9">
        <v>97.831900000000005</v>
      </c>
      <c r="U1110" s="9" t="s">
        <v>52</v>
      </c>
      <c r="V1110" s="11" t="str">
        <f>VLOOKUP(L1110,'[1]singkron data'!D:E,2,FALSE)</f>
        <v>CV. Pribumi Abdi (Kecil)</v>
      </c>
      <c r="W1110" s="11"/>
      <c r="X1110" s="11"/>
      <c r="Y1110" s="11" t="str">
        <f>VLOOKUP(L1110,'[1]singkron data'!D:H,5,FALSE)</f>
        <v>Jakarta</v>
      </c>
      <c r="Z1110" s="11" t="str">
        <f>VLOOKUP(L1110,'[1]singkron data'!D:I,6,FALSE)</f>
        <v>Online</v>
      </c>
      <c r="AA1110" s="11" t="str">
        <f>VLOOKUP(L1110,'[1]singkron data'!D:L,9,FALSE)</f>
        <v>082276369250/jerry</v>
      </c>
      <c r="AB1110" s="11" t="s">
        <v>54</v>
      </c>
      <c r="AC1110" s="11" t="str">
        <f>VLOOKUP(L1110,'[1]singkron data'!D:M,10,FALSE)</f>
        <v>Pandu</v>
      </c>
      <c r="AD1110" s="11" t="str">
        <f>VLOOKUP(L1110,'[1]data 1129'!F:O,10,FALSE)</f>
        <v>Tahap IV 200</v>
      </c>
      <c r="AE1110" s="11">
        <f>VLOOKUP(L1110,'[1]singkron data'!D:P,13,FALSE)</f>
        <v>0</v>
      </c>
      <c r="AF1110" s="11" t="s">
        <v>55</v>
      </c>
      <c r="AG1110" s="11" t="e">
        <f>VLOOKUP(L1110,'[1]update kontrak'!E:K,6,FALSE)</f>
        <v>#N/A</v>
      </c>
      <c r="AH1110" s="11" t="e">
        <f>VLOOKUP(L1110,'[1]update kontrak'!E:K,7,FALSE)</f>
        <v>#N/A</v>
      </c>
      <c r="AI1110" s="11"/>
      <c r="AJ1110" s="11" t="str">
        <f>VLOOKUP(L1110,[1]rekap!D:M,1,FALSE)</f>
        <v>Bozihona</v>
      </c>
      <c r="AK1110" s="11" t="str">
        <f>VLOOKUP(L1110,'[1]singkron data'!D:E,2,FALSE)</f>
        <v>CV. Pribumi Abdi (Kecil)</v>
      </c>
      <c r="AL1110" s="11" t="str">
        <f>VLOOKUP(L1110,'[1]update 521'!D:D,1,FALSE)</f>
        <v>Bozihona</v>
      </c>
      <c r="AM1110" s="11" t="s">
        <v>96</v>
      </c>
      <c r="AN1110" s="11" t="e">
        <f>VLOOKUP(L1110,[1]Sheet19!E:L,8,FALSE)</f>
        <v>#N/A</v>
      </c>
      <c r="AO1110" s="11" t="e">
        <f>VLOOKUP(L1110,[1]Sheet19!E:K,7,FALSE)</f>
        <v>#N/A</v>
      </c>
      <c r="AP1110" s="12"/>
    </row>
    <row r="1111" spans="1:42" ht="15" x14ac:dyDescent="0.2">
      <c r="A1111" s="8" t="s">
        <v>2565</v>
      </c>
      <c r="B1111" s="9" t="s">
        <v>60</v>
      </c>
      <c r="C1111" s="9">
        <v>1236</v>
      </c>
      <c r="D1111" s="9" t="s">
        <v>514</v>
      </c>
      <c r="E1111" s="30"/>
      <c r="F1111" s="9" t="s">
        <v>2375</v>
      </c>
      <c r="G1111" s="9" t="s">
        <v>545</v>
      </c>
      <c r="H1111" s="9" t="s">
        <v>47</v>
      </c>
      <c r="I1111" s="9" t="s">
        <v>2376</v>
      </c>
      <c r="J1111" s="9" t="s">
        <v>2576</v>
      </c>
      <c r="K1111" s="9" t="s">
        <v>2577</v>
      </c>
      <c r="L1111" s="10" t="s">
        <v>2577</v>
      </c>
      <c r="M1111" s="9" t="s">
        <v>81</v>
      </c>
      <c r="N1111" s="9">
        <v>710</v>
      </c>
      <c r="O1111" s="9" t="s">
        <v>72</v>
      </c>
      <c r="P1111" s="9">
        <v>710</v>
      </c>
      <c r="Q1111" s="9">
        <v>710</v>
      </c>
      <c r="R1111" s="9">
        <v>0.2</v>
      </c>
      <c r="S1111" s="9">
        <v>-0.41284700000000002</v>
      </c>
      <c r="T1111" s="9">
        <v>116.28053300000001</v>
      </c>
      <c r="U1111" s="9" t="s">
        <v>52</v>
      </c>
      <c r="V1111" s="11" t="s">
        <v>2379</v>
      </c>
      <c r="W1111" s="11"/>
      <c r="X1111" s="11"/>
      <c r="Y1111" s="11" t="str">
        <f>VLOOKUP(L1111,'[1]singkron data'!D:H,5,FALSE)</f>
        <v xml:space="preserve"> Kutai Kartanegara</v>
      </c>
      <c r="Z1111" s="11" t="str">
        <f>VLOOKUP(L1111,'[1]singkron data'!D:I,6,FALSE)</f>
        <v>Online</v>
      </c>
      <c r="AA1111" s="11" t="str">
        <f>VLOOKUP(L1111,'[1]singkron data'!D:L,9,FALSE)</f>
        <v>081293305027/iqbal</v>
      </c>
      <c r="AB1111" s="11" t="s">
        <v>54</v>
      </c>
      <c r="AC1111" s="11" t="str">
        <f>VLOOKUP(L1111,'[1]singkron data'!D:M,10,FALSE)</f>
        <v>Iqbal/AM</v>
      </c>
      <c r="AD1111" s="11" t="str">
        <f>VLOOKUP(L1111,'[1]data 1129'!F:O,10,FALSE)</f>
        <v>Tahap IV 200</v>
      </c>
      <c r="AE1111" s="11">
        <f>VLOOKUP(L1111,'[1]singkron data'!D:P,13,FALSE)</f>
        <v>0</v>
      </c>
      <c r="AF1111" s="11"/>
      <c r="AG1111" s="11" t="e">
        <f>VLOOKUP(L1111,'[1]update kontrak'!E:K,6,FALSE)</f>
        <v>#N/A</v>
      </c>
      <c r="AH1111" s="11" t="e">
        <f>VLOOKUP(L1111,'[1]update kontrak'!E:K,7,FALSE)</f>
        <v>#N/A</v>
      </c>
      <c r="AI1111" s="11"/>
      <c r="AJ1111" s="11" t="str">
        <f>VLOOKUP(L1111,[1]rekap!D:M,1,FALSE)</f>
        <v>Jantur Selatan</v>
      </c>
      <c r="AK1111" s="11" t="str">
        <f>VLOOKUP(L1111,'[1]singkron data'!D:E,2,FALSE)</f>
        <v>PT. Global Tri Jaya</v>
      </c>
      <c r="AL1111" s="11" t="str">
        <f>VLOOKUP(L1111,'[1]update 521'!D:D,1,FALSE)</f>
        <v>Jantur Selatan</v>
      </c>
      <c r="AM1111" s="11" t="s">
        <v>96</v>
      </c>
      <c r="AN1111" s="11" t="e">
        <f>VLOOKUP(L1111,[1]Sheet19!E:L,8,FALSE)</f>
        <v>#N/A</v>
      </c>
      <c r="AO1111" s="11" t="e">
        <f>VLOOKUP(L1111,[1]Sheet19!E:K,7,FALSE)</f>
        <v>#N/A</v>
      </c>
      <c r="AP1111" s="12"/>
    </row>
    <row r="1112" spans="1:42" ht="15" x14ac:dyDescent="0.2">
      <c r="A1112" s="8" t="s">
        <v>2565</v>
      </c>
      <c r="B1112" s="9" t="s">
        <v>60</v>
      </c>
      <c r="C1112" s="9">
        <v>1237</v>
      </c>
      <c r="D1112" s="9" t="s">
        <v>908</v>
      </c>
      <c r="E1112" s="30"/>
      <c r="F1112" s="9" t="s">
        <v>1013</v>
      </c>
      <c r="G1112" s="9" t="s">
        <v>908</v>
      </c>
      <c r="H1112" s="9" t="s">
        <v>911</v>
      </c>
      <c r="I1112" s="9" t="s">
        <v>1014</v>
      </c>
      <c r="J1112" s="9" t="s">
        <v>1020</v>
      </c>
      <c r="K1112" s="9" t="s">
        <v>2578</v>
      </c>
      <c r="L1112" s="9" t="s">
        <v>2578</v>
      </c>
      <c r="M1112" s="9" t="s">
        <v>51</v>
      </c>
      <c r="N1112" s="9">
        <v>42</v>
      </c>
      <c r="O1112" s="9">
        <v>42</v>
      </c>
      <c r="P1112" s="9">
        <v>3</v>
      </c>
      <c r="Q1112" s="9">
        <v>45</v>
      </c>
      <c r="R1112" s="9">
        <v>0.06</v>
      </c>
      <c r="S1112" s="9">
        <v>-0.987066</v>
      </c>
      <c r="T1112" s="9">
        <v>134.80286000000001</v>
      </c>
      <c r="U1112" s="9"/>
      <c r="V1112" s="11" t="s">
        <v>694</v>
      </c>
      <c r="W1112" s="11"/>
      <c r="X1112" s="11"/>
      <c r="Y1112" s="11" t="e">
        <f>VLOOKUP(L1112,'[1]singkron data'!D:H,5,FALSE)</f>
        <v>#N/A</v>
      </c>
      <c r="Z1112" s="11" t="e">
        <f>VLOOKUP(L1112,'[1]singkron data'!D:I,6,FALSE)</f>
        <v>#N/A</v>
      </c>
      <c r="AA1112" s="11" t="e">
        <f>VLOOKUP(L1112,'[1]singkron data'!D:L,9,FALSE)</f>
        <v>#N/A</v>
      </c>
      <c r="AB1112" s="11" t="s">
        <v>694</v>
      </c>
      <c r="AC1112" s="11" t="e">
        <f>VLOOKUP(L1112,'[1]singkron data'!D:M,10,FALSE)</f>
        <v>#N/A</v>
      </c>
      <c r="AD1112" s="11"/>
      <c r="AE1112" s="11" t="e">
        <f>VLOOKUP(L1112,'[1]singkron data'!D:P,13,FALSE)</f>
        <v>#N/A</v>
      </c>
      <c r="AF1112" s="11" t="s">
        <v>55</v>
      </c>
      <c r="AG1112" s="11" t="e">
        <f>VLOOKUP(L1112,'[1]update kontrak'!E:K,6,FALSE)</f>
        <v>#N/A</v>
      </c>
      <c r="AH1112" s="11" t="e">
        <f>VLOOKUP(L1112,'[1]update kontrak'!E:K,7,FALSE)</f>
        <v>#N/A</v>
      </c>
      <c r="AI1112" s="11"/>
      <c r="AJ1112" s="11" t="str">
        <f>VLOOKUP(L1112,[1]rekap!D:M,1,FALSE)</f>
        <v>Warido</v>
      </c>
      <c r="AK1112" s="11" t="e">
        <f>VLOOKUP(L1112,'[1]singkron data'!D:E,2,FALSE)</f>
        <v>#N/A</v>
      </c>
      <c r="AL1112" s="11" t="str">
        <f>VLOOKUP(L1112,'[1]update 521'!D:D,1,FALSE)</f>
        <v>Warido</v>
      </c>
      <c r="AM1112" s="11" t="e">
        <f>VLOOKUP(L1112,[1]Sheet18!I:M,5,FALSE)</f>
        <v>#N/A</v>
      </c>
      <c r="AN1112" s="11" t="e">
        <f>VLOOKUP(L1112,[1]Sheet19!E:L,8,FALSE)</f>
        <v>#N/A</v>
      </c>
      <c r="AO1112" s="11" t="e">
        <f>VLOOKUP(L1112,[1]Sheet19!E:K,7,FALSE)</f>
        <v>#N/A</v>
      </c>
      <c r="AP1112" s="12"/>
    </row>
    <row r="1113" spans="1:42" ht="15" x14ac:dyDescent="0.2">
      <c r="A1113" s="8" t="s">
        <v>2565</v>
      </c>
      <c r="B1113" s="9" t="s">
        <v>60</v>
      </c>
      <c r="C1113" s="9">
        <v>1238</v>
      </c>
      <c r="D1113" s="9" t="s">
        <v>908</v>
      </c>
      <c r="E1113" s="30"/>
      <c r="F1113" s="9" t="s">
        <v>1029</v>
      </c>
      <c r="G1113" s="9" t="s">
        <v>908</v>
      </c>
      <c r="H1113" s="9" t="s">
        <v>911</v>
      </c>
      <c r="I1113" s="9" t="s">
        <v>1014</v>
      </c>
      <c r="J1113" s="9" t="s">
        <v>1034</v>
      </c>
      <c r="K1113" s="9" t="s">
        <v>2579</v>
      </c>
      <c r="L1113" s="9" t="s">
        <v>2579</v>
      </c>
      <c r="M1113" s="9" t="s">
        <v>51</v>
      </c>
      <c r="N1113" s="9">
        <v>140</v>
      </c>
      <c r="O1113" s="9">
        <v>21</v>
      </c>
      <c r="P1113" s="9">
        <v>1</v>
      </c>
      <c r="Q1113" s="9">
        <v>22</v>
      </c>
      <c r="R1113" s="9">
        <v>6.25E-2</v>
      </c>
      <c r="S1113" s="9">
        <v>-0.93086049999999998</v>
      </c>
      <c r="T1113" s="9">
        <v>135.7816722</v>
      </c>
      <c r="U1113" s="9"/>
      <c r="V1113" s="11" t="s">
        <v>694</v>
      </c>
      <c r="W1113" s="11"/>
      <c r="X1113" s="11"/>
      <c r="Y1113" s="11" t="e">
        <f>VLOOKUP(L1113,'[1]singkron data'!D:H,5,FALSE)</f>
        <v>#N/A</v>
      </c>
      <c r="Z1113" s="11" t="e">
        <f>VLOOKUP(L1113,'[1]singkron data'!D:I,6,FALSE)</f>
        <v>#N/A</v>
      </c>
      <c r="AA1113" s="11" t="e">
        <f>VLOOKUP(L1113,'[1]singkron data'!D:L,9,FALSE)</f>
        <v>#N/A</v>
      </c>
      <c r="AB1113" s="11" t="s">
        <v>694</v>
      </c>
      <c r="AC1113" s="11" t="e">
        <f>VLOOKUP(L1113,'[1]singkron data'!D:M,10,FALSE)</f>
        <v>#N/A</v>
      </c>
      <c r="AD1113" s="11"/>
      <c r="AE1113" s="11" t="e">
        <f>VLOOKUP(L1113,'[1]singkron data'!D:P,13,FALSE)</f>
        <v>#N/A</v>
      </c>
      <c r="AF1113" s="11" t="s">
        <v>55</v>
      </c>
      <c r="AG1113" s="11" t="e">
        <f>VLOOKUP(L1113,'[1]update kontrak'!E:K,6,FALSE)</f>
        <v>#N/A</v>
      </c>
      <c r="AH1113" s="11" t="e">
        <f>VLOOKUP(L1113,'[1]update kontrak'!E:K,7,FALSE)</f>
        <v>#N/A</v>
      </c>
      <c r="AI1113" s="11"/>
      <c r="AJ1113" s="11" t="str">
        <f>VLOOKUP(L1113,[1]rekap!D:M,1,FALSE)</f>
        <v>Swaipak</v>
      </c>
      <c r="AK1113" s="11" t="e">
        <f>VLOOKUP(L1113,'[1]singkron data'!D:E,2,FALSE)</f>
        <v>#N/A</v>
      </c>
      <c r="AL1113" s="11" t="str">
        <f>VLOOKUP(L1113,'[1]update 521'!D:D,1,FALSE)</f>
        <v>Swaipak</v>
      </c>
      <c r="AM1113" s="11" t="e">
        <f>VLOOKUP(L1113,[1]Sheet18!I:M,5,FALSE)</f>
        <v>#N/A</v>
      </c>
      <c r="AN1113" s="11" t="e">
        <f>VLOOKUP(L1113,[1]Sheet19!E:L,8,FALSE)</f>
        <v>#N/A</v>
      </c>
      <c r="AO1113" s="11" t="e">
        <f>VLOOKUP(L1113,[1]Sheet19!E:K,7,FALSE)</f>
        <v>#N/A</v>
      </c>
      <c r="AP1113" s="12"/>
    </row>
    <row r="1114" spans="1:42" ht="16" x14ac:dyDescent="0.2">
      <c r="A1114" s="8" t="s">
        <v>2565</v>
      </c>
      <c r="B1114" s="9" t="s">
        <v>60</v>
      </c>
      <c r="C1114" s="9">
        <v>1239</v>
      </c>
      <c r="D1114" s="9" t="s">
        <v>908</v>
      </c>
      <c r="E1114" s="30"/>
      <c r="F1114" s="9" t="s">
        <v>946</v>
      </c>
      <c r="G1114" s="15" t="s">
        <v>910</v>
      </c>
      <c r="H1114" s="9" t="s">
        <v>911</v>
      </c>
      <c r="I1114" s="15" t="s">
        <v>947</v>
      </c>
      <c r="J1114" s="15" t="s">
        <v>2580</v>
      </c>
      <c r="K1114" s="9" t="s">
        <v>2581</v>
      </c>
      <c r="L1114" s="9" t="s">
        <v>2581</v>
      </c>
      <c r="M1114" s="9" t="s">
        <v>51</v>
      </c>
      <c r="N1114" s="9">
        <v>5</v>
      </c>
      <c r="O1114" s="9" t="s">
        <v>72</v>
      </c>
      <c r="P1114" s="9">
        <v>27</v>
      </c>
      <c r="Q1114" s="9">
        <v>27</v>
      </c>
      <c r="R1114" s="9">
        <v>0.63780000000000003</v>
      </c>
      <c r="S1114" s="9">
        <v>-3.1784629999999998</v>
      </c>
      <c r="T1114" s="9">
        <v>132.62049999999999</v>
      </c>
      <c r="U1114" s="9"/>
      <c r="V1114" s="11" t="s">
        <v>694</v>
      </c>
      <c r="W1114" s="11"/>
      <c r="X1114" s="11"/>
      <c r="Y1114" s="11" t="e">
        <f>VLOOKUP(L1114,'[1]singkron data'!D:H,5,FALSE)</f>
        <v>#N/A</v>
      </c>
      <c r="Z1114" s="11" t="e">
        <f>VLOOKUP(L1114,'[1]singkron data'!D:I,6,FALSE)</f>
        <v>#N/A</v>
      </c>
      <c r="AA1114" s="11" t="e">
        <f>VLOOKUP(L1114,'[1]singkron data'!D:L,9,FALSE)</f>
        <v>#N/A</v>
      </c>
      <c r="AB1114" s="11" t="s">
        <v>694</v>
      </c>
      <c r="AC1114" s="11" t="e">
        <f>VLOOKUP(L1114,'[1]singkron data'!D:M,10,FALSE)</f>
        <v>#N/A</v>
      </c>
      <c r="AD1114" s="11"/>
      <c r="AE1114" s="11" t="e">
        <f>VLOOKUP(L1114,'[1]singkron data'!D:P,13,FALSE)</f>
        <v>#N/A</v>
      </c>
      <c r="AF1114" s="11"/>
      <c r="AG1114" s="11" t="e">
        <f>VLOOKUP(L1114,'[1]update kontrak'!E:K,6,FALSE)</f>
        <v>#N/A</v>
      </c>
      <c r="AH1114" s="11" t="e">
        <f>VLOOKUP(L1114,'[1]update kontrak'!E:K,7,FALSE)</f>
        <v>#N/A</v>
      </c>
      <c r="AI1114" s="11"/>
      <c r="AJ1114" s="11" t="str">
        <f>VLOOKUP(L1114,[1]rekap!D:M,1,FALSE)</f>
        <v>Tunas Gain</v>
      </c>
      <c r="AK1114" s="11" t="e">
        <f>VLOOKUP(L1114,'[1]singkron data'!D:E,2,FALSE)</f>
        <v>#N/A</v>
      </c>
      <c r="AL1114" s="11" t="str">
        <f>VLOOKUP(L1114,'[1]update 521'!D:D,1,FALSE)</f>
        <v>Tunas Gain</v>
      </c>
      <c r="AM1114" s="11" t="e">
        <f>VLOOKUP(L1114,[1]Sheet18!I:M,5,FALSE)</f>
        <v>#N/A</v>
      </c>
      <c r="AN1114" s="11" t="e">
        <f>VLOOKUP(L1114,[1]Sheet19!E:L,8,FALSE)</f>
        <v>#N/A</v>
      </c>
      <c r="AO1114" s="11" t="e">
        <f>VLOOKUP(L1114,[1]Sheet19!E:K,7,FALSE)</f>
        <v>#N/A</v>
      </c>
      <c r="AP1114" s="12"/>
    </row>
    <row r="1115" spans="1:42" ht="15" x14ac:dyDescent="0.2">
      <c r="A1115" s="8" t="s">
        <v>2565</v>
      </c>
      <c r="B1115" s="9" t="s">
        <v>60</v>
      </c>
      <c r="C1115" s="9">
        <v>1240</v>
      </c>
      <c r="D1115" s="9" t="s">
        <v>908</v>
      </c>
      <c r="E1115" s="30"/>
      <c r="F1115" s="9" t="s">
        <v>946</v>
      </c>
      <c r="G1115" s="9" t="s">
        <v>910</v>
      </c>
      <c r="H1115" s="9" t="s">
        <v>911</v>
      </c>
      <c r="I1115" s="9" t="s">
        <v>947</v>
      </c>
      <c r="J1115" s="9" t="s">
        <v>2582</v>
      </c>
      <c r="K1115" s="9" t="s">
        <v>2583</v>
      </c>
      <c r="L1115" s="9" t="s">
        <v>2583</v>
      </c>
      <c r="M1115" s="9" t="s">
        <v>51</v>
      </c>
      <c r="N1115" s="9">
        <v>91</v>
      </c>
      <c r="O1115" s="9" t="s">
        <v>72</v>
      </c>
      <c r="P1115" s="9">
        <v>14</v>
      </c>
      <c r="Q1115" s="9">
        <v>14</v>
      </c>
      <c r="R1115" s="9">
        <v>0.13800000000000001</v>
      </c>
      <c r="S1115" s="9">
        <v>-2.7809650000000001</v>
      </c>
      <c r="T1115" s="9">
        <v>132.700536</v>
      </c>
      <c r="U1115" s="9"/>
      <c r="V1115" s="11" t="s">
        <v>694</v>
      </c>
      <c r="W1115" s="11"/>
      <c r="X1115" s="11"/>
      <c r="Y1115" s="11" t="e">
        <f>VLOOKUP(L1115,'[1]singkron data'!D:H,5,FALSE)</f>
        <v>#N/A</v>
      </c>
      <c r="Z1115" s="11" t="e">
        <f>VLOOKUP(L1115,'[1]singkron data'!D:I,6,FALSE)</f>
        <v>#N/A</v>
      </c>
      <c r="AA1115" s="11" t="e">
        <f>VLOOKUP(L1115,'[1]singkron data'!D:L,9,FALSE)</f>
        <v>#N/A</v>
      </c>
      <c r="AB1115" s="11" t="s">
        <v>694</v>
      </c>
      <c r="AC1115" s="11" t="e">
        <f>VLOOKUP(L1115,'[1]singkron data'!D:M,10,FALSE)</f>
        <v>#N/A</v>
      </c>
      <c r="AD1115" s="11"/>
      <c r="AE1115" s="11" t="e">
        <f>VLOOKUP(L1115,'[1]singkron data'!D:P,13,FALSE)</f>
        <v>#N/A</v>
      </c>
      <c r="AF1115" s="11"/>
      <c r="AG1115" s="11" t="e">
        <f>VLOOKUP(L1115,'[1]update kontrak'!E:K,6,FALSE)</f>
        <v>#N/A</v>
      </c>
      <c r="AH1115" s="11" t="e">
        <f>VLOOKUP(L1115,'[1]update kontrak'!E:K,7,FALSE)</f>
        <v>#N/A</v>
      </c>
      <c r="AI1115" s="11"/>
      <c r="AJ1115" s="11" t="str">
        <f>VLOOKUP(L1115,[1]rekap!D:M,1,FALSE)</f>
        <v>Goras</v>
      </c>
      <c r="AK1115" s="11" t="e">
        <f>VLOOKUP(L1115,'[1]singkron data'!D:E,2,FALSE)</f>
        <v>#N/A</v>
      </c>
      <c r="AL1115" s="11" t="str">
        <f>VLOOKUP(L1115,'[1]update 521'!D:D,1,FALSE)</f>
        <v>Goras</v>
      </c>
      <c r="AM1115" s="11" t="e">
        <f>VLOOKUP(L1115,[1]Sheet18!I:M,5,FALSE)</f>
        <v>#N/A</v>
      </c>
      <c r="AN1115" s="11" t="e">
        <f>VLOOKUP(L1115,[1]Sheet19!E:L,8,FALSE)</f>
        <v>#N/A</v>
      </c>
      <c r="AO1115" s="11" t="e">
        <f>VLOOKUP(L1115,[1]Sheet19!E:K,7,FALSE)</f>
        <v>#N/A</v>
      </c>
      <c r="AP1115" s="12"/>
    </row>
    <row r="1116" spans="1:42" ht="15" x14ac:dyDescent="0.2">
      <c r="A1116" s="8" t="s">
        <v>2565</v>
      </c>
      <c r="B1116" s="9" t="s">
        <v>60</v>
      </c>
      <c r="C1116" s="9">
        <v>1241</v>
      </c>
      <c r="D1116" s="9" t="s">
        <v>908</v>
      </c>
      <c r="E1116" s="30"/>
      <c r="F1116" s="9" t="s">
        <v>2584</v>
      </c>
      <c r="G1116" s="9" t="s">
        <v>1060</v>
      </c>
      <c r="H1116" s="9" t="s">
        <v>911</v>
      </c>
      <c r="I1116" s="9" t="s">
        <v>2585</v>
      </c>
      <c r="J1116" s="9" t="s">
        <v>2586</v>
      </c>
      <c r="K1116" s="9" t="s">
        <v>2587</v>
      </c>
      <c r="L1116" s="9" t="s">
        <v>2587</v>
      </c>
      <c r="M1116" s="9" t="s">
        <v>51</v>
      </c>
      <c r="N1116" s="9">
        <v>35</v>
      </c>
      <c r="O1116" s="9" t="s">
        <v>72</v>
      </c>
      <c r="P1116" s="9">
        <v>46</v>
      </c>
      <c r="Q1116" s="9">
        <v>46</v>
      </c>
      <c r="R1116" s="9">
        <v>0.15</v>
      </c>
      <c r="S1116" s="9">
        <v>-0.43806147299999998</v>
      </c>
      <c r="T1116" s="9">
        <v>129.90428309999999</v>
      </c>
      <c r="U1116" s="9"/>
      <c r="V1116" s="11" t="s">
        <v>694</v>
      </c>
      <c r="W1116" s="11"/>
      <c r="X1116" s="11"/>
      <c r="Y1116" s="11" t="e">
        <f>VLOOKUP(L1116,'[1]singkron data'!D:H,5,FALSE)</f>
        <v>#N/A</v>
      </c>
      <c r="Z1116" s="11" t="e">
        <f>VLOOKUP(L1116,'[1]singkron data'!D:I,6,FALSE)</f>
        <v>#N/A</v>
      </c>
      <c r="AA1116" s="11" t="e">
        <f>VLOOKUP(L1116,'[1]singkron data'!D:L,9,FALSE)</f>
        <v>#N/A</v>
      </c>
      <c r="AB1116" s="11" t="s">
        <v>694</v>
      </c>
      <c r="AC1116" s="11" t="e">
        <f>VLOOKUP(L1116,'[1]singkron data'!D:M,10,FALSE)</f>
        <v>#N/A</v>
      </c>
      <c r="AD1116" s="11"/>
      <c r="AE1116" s="11" t="e">
        <f>VLOOKUP(L1116,'[1]singkron data'!D:P,13,FALSE)</f>
        <v>#N/A</v>
      </c>
      <c r="AF1116" s="11"/>
      <c r="AG1116" s="11" t="e">
        <f>VLOOKUP(L1116,'[1]update kontrak'!E:K,6,FALSE)</f>
        <v>#N/A</v>
      </c>
      <c r="AH1116" s="11" t="e">
        <f>VLOOKUP(L1116,'[1]update kontrak'!E:K,7,FALSE)</f>
        <v>#N/A</v>
      </c>
      <c r="AI1116" s="11"/>
      <c r="AJ1116" s="11" t="str">
        <f>VLOOKUP(L1116,[1]rekap!D:M,1,FALSE)</f>
        <v>Gag</v>
      </c>
      <c r="AK1116" s="11" t="e">
        <f>VLOOKUP(L1116,'[1]singkron data'!D:E,2,FALSE)</f>
        <v>#N/A</v>
      </c>
      <c r="AL1116" s="11" t="str">
        <f>VLOOKUP(L1116,'[1]update 521'!D:D,1,FALSE)</f>
        <v>Gag</v>
      </c>
      <c r="AM1116" s="11" t="e">
        <f>VLOOKUP(L1116,[1]Sheet18!I:M,5,FALSE)</f>
        <v>#N/A</v>
      </c>
      <c r="AN1116" s="11" t="e">
        <f>VLOOKUP(L1116,[1]Sheet19!E:L,8,FALSE)</f>
        <v>#N/A</v>
      </c>
      <c r="AO1116" s="11" t="e">
        <f>VLOOKUP(L1116,[1]Sheet19!E:K,7,FALSE)</f>
        <v>#N/A</v>
      </c>
      <c r="AP1116" s="12"/>
    </row>
    <row r="1117" spans="1:42" ht="15" x14ac:dyDescent="0.2">
      <c r="A1117" s="8" t="s">
        <v>2565</v>
      </c>
      <c r="B1117" s="9" t="s">
        <v>60</v>
      </c>
      <c r="C1117" s="9">
        <v>1242</v>
      </c>
      <c r="D1117" s="9" t="s">
        <v>514</v>
      </c>
      <c r="E1117" s="30"/>
      <c r="F1117" s="9" t="s">
        <v>2569</v>
      </c>
      <c r="G1117" s="9" t="s">
        <v>545</v>
      </c>
      <c r="H1117" s="9" t="s">
        <v>47</v>
      </c>
      <c r="I1117" s="9" t="s">
        <v>2376</v>
      </c>
      <c r="J1117" s="9" t="s">
        <v>2588</v>
      </c>
      <c r="K1117" s="9" t="s">
        <v>2589</v>
      </c>
      <c r="L1117" s="10" t="s">
        <v>2589</v>
      </c>
      <c r="M1117" s="9" t="s">
        <v>51</v>
      </c>
      <c r="N1117" s="9">
        <v>302</v>
      </c>
      <c r="O1117" s="9" t="s">
        <v>72</v>
      </c>
      <c r="P1117" s="9">
        <v>290</v>
      </c>
      <c r="Q1117" s="9">
        <v>290</v>
      </c>
      <c r="R1117" s="9">
        <v>0.5</v>
      </c>
      <c r="S1117" s="9">
        <v>-0.56777999999999995</v>
      </c>
      <c r="T1117" s="9">
        <v>117.36915</v>
      </c>
      <c r="U1117" s="9" t="s">
        <v>52</v>
      </c>
      <c r="V1117" s="11" t="str">
        <f>VLOOKUP(L1117,'[1]singkron data'!D:E,2,FALSE)</f>
        <v>CV. Alam Semesta Mendukung</v>
      </c>
      <c r="W1117" s="11"/>
      <c r="X1117" s="11"/>
      <c r="Y1117" s="11" t="str">
        <f>VLOOKUP(L1117,'[1]singkron data'!D:H,5,FALSE)</f>
        <v>Kutai</v>
      </c>
      <c r="Z1117" s="11" t="str">
        <f>VLOOKUP(L1117,'[1]singkron data'!D:I,6,FALSE)</f>
        <v>Online</v>
      </c>
      <c r="AA1117" s="11" t="str">
        <f>VLOOKUP(L1117,'[1]singkron data'!D:L,9,FALSE)</f>
        <v>082396807749/ahmad</v>
      </c>
      <c r="AB1117" s="11" t="s">
        <v>54</v>
      </c>
      <c r="AC1117" s="11" t="str">
        <f>VLOOKUP(L1117,'[1]singkron data'!D:M,10,FALSE)</f>
        <v>Azim-Rin</v>
      </c>
      <c r="AD1117" s="11" t="str">
        <f>VLOOKUP(L1117,'[1]data 1129'!F:O,10,FALSE)</f>
        <v>Tahap IV 200</v>
      </c>
      <c r="AE1117" s="11">
        <f>VLOOKUP(L1117,'[1]singkron data'!D:P,13,FALSE)</f>
        <v>0</v>
      </c>
      <c r="AF1117" s="11"/>
      <c r="AG1117" s="11" t="e">
        <f>VLOOKUP(L1117,'[1]update kontrak'!E:K,6,FALSE)</f>
        <v>#N/A</v>
      </c>
      <c r="AH1117" s="11" t="e">
        <f>VLOOKUP(L1117,'[1]update kontrak'!E:K,7,FALSE)</f>
        <v>#N/A</v>
      </c>
      <c r="AI1117" s="11"/>
      <c r="AJ1117" s="11" t="str">
        <f>VLOOKUP(L1117,[1]rekap!D:M,1,FALSE)</f>
        <v>Handil Terusan</v>
      </c>
      <c r="AK1117" s="11" t="str">
        <f>VLOOKUP(L1117,'[1]singkron data'!D:E,2,FALSE)</f>
        <v>CV. Alam Semesta Mendukung</v>
      </c>
      <c r="AL1117" s="11" t="str">
        <f>VLOOKUP(L1117,'[1]update 521'!D:D,1,FALSE)</f>
        <v>Handil Terusan</v>
      </c>
      <c r="AM1117" s="11" t="e">
        <v>#N/A</v>
      </c>
      <c r="AN1117" s="11" t="e">
        <f>VLOOKUP(L1117,[1]Sheet19!E:L,8,FALSE)</f>
        <v>#N/A</v>
      </c>
      <c r="AO1117" s="11" t="e">
        <f>VLOOKUP(L1117,[1]Sheet19!E:K,7,FALSE)</f>
        <v>#N/A</v>
      </c>
      <c r="AP1117" s="12"/>
    </row>
    <row r="1118" spans="1:42" ht="15" x14ac:dyDescent="0.2">
      <c r="A1118" s="8" t="s">
        <v>2565</v>
      </c>
      <c r="B1118" s="9" t="s">
        <v>60</v>
      </c>
      <c r="C1118" s="9">
        <v>1243</v>
      </c>
      <c r="D1118" s="9" t="s">
        <v>1112</v>
      </c>
      <c r="E1118" s="30"/>
      <c r="F1118" s="9" t="s">
        <v>1398</v>
      </c>
      <c r="G1118" s="9" t="s">
        <v>1243</v>
      </c>
      <c r="H1118" s="9" t="s">
        <v>287</v>
      </c>
      <c r="I1118" s="9" t="s">
        <v>1243</v>
      </c>
      <c r="J1118" s="9" t="s">
        <v>1399</v>
      </c>
      <c r="K1118" s="9" t="s">
        <v>2590</v>
      </c>
      <c r="L1118" s="10" t="s">
        <v>2590</v>
      </c>
      <c r="M1118" s="9" t="s">
        <v>51</v>
      </c>
      <c r="N1118" s="9">
        <v>60</v>
      </c>
      <c r="O1118" s="9">
        <v>10</v>
      </c>
      <c r="P1118" s="9">
        <v>50</v>
      </c>
      <c r="Q1118" s="9">
        <v>60</v>
      </c>
      <c r="R1118" s="9">
        <v>0.2</v>
      </c>
      <c r="S1118" s="9">
        <v>0.48197849999999998</v>
      </c>
      <c r="T1118" s="9">
        <v>122.7003711</v>
      </c>
      <c r="U1118" s="9" t="s">
        <v>52</v>
      </c>
      <c r="V1118" s="11" t="s">
        <v>1403</v>
      </c>
      <c r="W1118" s="13">
        <f>VLOOKUP(L1118,'[1]data 1129'!F:H,3,FALSE)</f>
        <v>4500000000</v>
      </c>
      <c r="X1118" s="11" t="s">
        <v>55</v>
      </c>
      <c r="Y1118" s="11">
        <f>VLOOKUP(L1118,'[1]singkron data'!D:H,5,FALSE)</f>
        <v>0</v>
      </c>
      <c r="Z1118" s="11">
        <f>VLOOKUP(L1118,'[1]singkron data'!D:I,6,FALSE)</f>
        <v>0</v>
      </c>
      <c r="AA1118" s="11" t="str">
        <f>VLOOKUP(L1118,'[1]singkron data'!D:L,9,FALSE)</f>
        <v>0811946557/sutanto</v>
      </c>
      <c r="AB1118" s="11" t="s">
        <v>54</v>
      </c>
      <c r="AC1118" s="11" t="str">
        <f>VLOOKUP(L1118,'[1]singkron data'!D:M,10,FALSE)</f>
        <v>Hyl</v>
      </c>
      <c r="AD1118" s="11" t="str">
        <f>VLOOKUP(L1118,'[1]data 1129'!F:O,10,FALSE)</f>
        <v>Tahap III 166</v>
      </c>
      <c r="AE1118" s="11" t="str">
        <f>VLOOKUP(L1118,'[1]singkron data'!D:P,13,FALSE)</f>
        <v>sudah</v>
      </c>
      <c r="AF1118" s="11" t="s">
        <v>55</v>
      </c>
      <c r="AG1118" s="11" t="e">
        <f>VLOOKUP(L1118,'[1]update kontrak'!E:K,6,FALSE)</f>
        <v>#N/A</v>
      </c>
      <c r="AH1118" s="11" t="e">
        <f>VLOOKUP(L1118,'[1]update kontrak'!E:K,7,FALSE)</f>
        <v>#N/A</v>
      </c>
      <c r="AI1118" s="11" t="s">
        <v>58</v>
      </c>
      <c r="AJ1118" s="11" t="str">
        <f>VLOOKUP(L1118,[1]rekap!D:M,1,FALSE)</f>
        <v>Olimeyala</v>
      </c>
      <c r="AK1118" s="11" t="str">
        <f>VLOOKUP(L1118,'[1]singkron data'!D:E,2,FALSE)</f>
        <v>PT. KARYA PALMALINDO ANUGERAH</v>
      </c>
      <c r="AL1118" s="11" t="str">
        <f>VLOOKUP(L1118,'[1]update 521'!D:D,1,FALSE)</f>
        <v>Olimeyala</v>
      </c>
      <c r="AM1118" s="11" t="s">
        <v>57</v>
      </c>
      <c r="AN1118" s="11" t="e">
        <f>VLOOKUP(L1118,[1]Sheet19!E:L,8,FALSE)</f>
        <v>#N/A</v>
      </c>
      <c r="AO1118" s="11" t="s">
        <v>58</v>
      </c>
      <c r="AP1118" s="12"/>
    </row>
    <row r="1119" spans="1:42" ht="15" x14ac:dyDescent="0.2">
      <c r="A1119" s="8" t="s">
        <v>2565</v>
      </c>
      <c r="B1119" s="9" t="s">
        <v>60</v>
      </c>
      <c r="C1119" s="9">
        <v>1244</v>
      </c>
      <c r="D1119" s="9" t="s">
        <v>514</v>
      </c>
      <c r="E1119" s="30"/>
      <c r="F1119" s="9" t="s">
        <v>597</v>
      </c>
      <c r="G1119" s="9" t="s">
        <v>540</v>
      </c>
      <c r="H1119" s="9" t="s">
        <v>47</v>
      </c>
      <c r="I1119" s="9" t="s">
        <v>598</v>
      </c>
      <c r="J1119" s="9" t="s">
        <v>599</v>
      </c>
      <c r="K1119" s="9" t="s">
        <v>2591</v>
      </c>
      <c r="L1119" s="10" t="s">
        <v>2591</v>
      </c>
      <c r="M1119" s="9" t="s">
        <v>51</v>
      </c>
      <c r="N1119" s="9">
        <v>388</v>
      </c>
      <c r="O1119" s="9" t="s">
        <v>72</v>
      </c>
      <c r="P1119" s="9">
        <v>373</v>
      </c>
      <c r="Q1119" s="9">
        <v>373</v>
      </c>
      <c r="R1119" s="9">
        <v>0.30099999999999999</v>
      </c>
      <c r="S1119" s="9">
        <v>-3.8079299999999998</v>
      </c>
      <c r="T1119" s="9">
        <v>114.60429999999999</v>
      </c>
      <c r="U1119" s="9" t="s">
        <v>52</v>
      </c>
      <c r="V1119" s="11" t="str">
        <f>VLOOKUP(L1119,'[1]singkron data'!D:E,2,FALSE)</f>
        <v>CV. Dwi Cipta Wijaya</v>
      </c>
      <c r="W1119" s="13">
        <f>VLOOKUP(L1119,'[1]update tim 2'!D:F,3,FALSE)</f>
        <v>4450202000</v>
      </c>
      <c r="X1119" s="11" t="s">
        <v>55</v>
      </c>
      <c r="Y1119" s="11">
        <f>VLOOKUP(L1119,'[1]singkron data'!D:H,5,FALSE)</f>
        <v>0</v>
      </c>
      <c r="Z1119" s="11">
        <f>VLOOKUP(L1119,'[1]singkron data'!D:I,6,FALSE)</f>
        <v>0</v>
      </c>
      <c r="AA1119" s="11">
        <f>VLOOKUP(L1119,'[1]singkron data'!D:L,9,FALSE)</f>
        <v>0</v>
      </c>
      <c r="AB1119" s="11" t="s">
        <v>54</v>
      </c>
      <c r="AC1119" s="11" t="s">
        <v>602</v>
      </c>
      <c r="AD1119" s="11" t="str">
        <f>VLOOKUP(L1119,'[1]data 1129'!F:O,10,FALSE)</f>
        <v>Tahap IV 200</v>
      </c>
      <c r="AE1119" s="11">
        <f>VLOOKUP(L1119,'[1]singkron data'!D:P,13,FALSE)</f>
        <v>0</v>
      </c>
      <c r="AF1119" s="11" t="s">
        <v>55</v>
      </c>
      <c r="AG1119" s="11" t="e">
        <f>VLOOKUP(L1119,'[1]update kontrak'!E:K,6,FALSE)</f>
        <v>#N/A</v>
      </c>
      <c r="AH1119" s="11" t="e">
        <f>VLOOKUP(L1119,'[1]update kontrak'!E:K,7,FALSE)</f>
        <v>#N/A</v>
      </c>
      <c r="AI1119" s="11"/>
      <c r="AJ1119" s="11" t="str">
        <f>VLOOKUP(L1119,[1]rekap!D:M,1,FALSE)</f>
        <v>Pagatan Besar</v>
      </c>
      <c r="AK1119" s="11" t="str">
        <f>VLOOKUP(L1119,'[1]singkron data'!D:E,2,FALSE)</f>
        <v>CV. Dwi Cipta Wijaya</v>
      </c>
      <c r="AL1119" s="11" t="str">
        <f>VLOOKUP(L1119,'[1]update 521'!D:D,1,FALSE)</f>
        <v>Pagatan Besar</v>
      </c>
      <c r="AM1119" s="11" t="s">
        <v>57</v>
      </c>
      <c r="AN1119" s="11" t="e">
        <f>VLOOKUP(L1119,[1]Sheet19!E:L,8,FALSE)</f>
        <v>#N/A</v>
      </c>
      <c r="AO1119" s="11" t="s">
        <v>58</v>
      </c>
      <c r="AP1119" s="12"/>
    </row>
    <row r="1120" spans="1:42" ht="15" x14ac:dyDescent="0.2">
      <c r="A1120" s="8" t="s">
        <v>2565</v>
      </c>
      <c r="B1120" s="9" t="s">
        <v>60</v>
      </c>
      <c r="C1120" s="9">
        <v>1245</v>
      </c>
      <c r="D1120" s="9" t="s">
        <v>1112</v>
      </c>
      <c r="E1120" s="30"/>
      <c r="F1120" s="9" t="s">
        <v>1398</v>
      </c>
      <c r="G1120" s="9" t="s">
        <v>1243</v>
      </c>
      <c r="H1120" s="9" t="s">
        <v>287</v>
      </c>
      <c r="I1120" s="9" t="s">
        <v>1243</v>
      </c>
      <c r="J1120" s="9" t="s">
        <v>1399</v>
      </c>
      <c r="K1120" s="9" t="s">
        <v>2592</v>
      </c>
      <c r="L1120" s="10" t="s">
        <v>2592</v>
      </c>
      <c r="M1120" s="9" t="s">
        <v>51</v>
      </c>
      <c r="N1120" s="9">
        <v>106</v>
      </c>
      <c r="O1120" s="9">
        <v>2</v>
      </c>
      <c r="P1120" s="9">
        <v>32</v>
      </c>
      <c r="Q1120" s="9">
        <v>34</v>
      </c>
      <c r="R1120" s="9">
        <v>0.1</v>
      </c>
      <c r="S1120" s="9">
        <v>0.4851105</v>
      </c>
      <c r="T1120" s="9">
        <v>122.72381179999999</v>
      </c>
      <c r="U1120" s="9" t="s">
        <v>52</v>
      </c>
      <c r="V1120" s="11" t="s">
        <v>1403</v>
      </c>
      <c r="W1120" s="13">
        <f>VLOOKUP(L1120,'[1]data 1129'!F:H,3,FALSE)</f>
        <v>4500000000</v>
      </c>
      <c r="X1120" s="11" t="s">
        <v>55</v>
      </c>
      <c r="Y1120" s="11">
        <f>VLOOKUP(L1120,'[1]singkron data'!D:H,5,FALSE)</f>
        <v>0</v>
      </c>
      <c r="Z1120" s="11">
        <f>VLOOKUP(L1120,'[1]singkron data'!D:I,6,FALSE)</f>
        <v>0</v>
      </c>
      <c r="AA1120" s="11" t="str">
        <f>VLOOKUP(L1120,'[1]singkron data'!D:L,9,FALSE)</f>
        <v>0811946557/sutanto</v>
      </c>
      <c r="AB1120" s="11" t="s">
        <v>54</v>
      </c>
      <c r="AC1120" s="11" t="str">
        <f>VLOOKUP(L1120,'[1]singkron data'!D:M,10,FALSE)</f>
        <v>Hyl</v>
      </c>
      <c r="AD1120" s="11" t="str">
        <f>VLOOKUP(L1120,'[1]data 1129'!F:O,10,FALSE)</f>
        <v>Tahap III 166</v>
      </c>
      <c r="AE1120" s="11" t="str">
        <f>VLOOKUP(L1120,'[1]singkron data'!D:P,13,FALSE)</f>
        <v>sudah</v>
      </c>
      <c r="AF1120" s="11" t="s">
        <v>55</v>
      </c>
      <c r="AG1120" s="11" t="e">
        <f>VLOOKUP(L1120,'[1]update kontrak'!E:K,6,FALSE)</f>
        <v>#N/A</v>
      </c>
      <c r="AH1120" s="11" t="e">
        <f>VLOOKUP(L1120,'[1]update kontrak'!E:K,7,FALSE)</f>
        <v>#N/A</v>
      </c>
      <c r="AI1120" s="11" t="s">
        <v>58</v>
      </c>
      <c r="AJ1120" s="11" t="str">
        <f>VLOOKUP(L1120,[1]rekap!D:M,1,FALSE)</f>
        <v>Huwongo</v>
      </c>
      <c r="AK1120" s="11" t="str">
        <f>VLOOKUP(L1120,'[1]singkron data'!D:E,2,FALSE)</f>
        <v>PT. KARYA PALMALINDO ANUGERAH</v>
      </c>
      <c r="AL1120" s="11" t="str">
        <f>VLOOKUP(L1120,'[1]update 521'!D:D,1,FALSE)</f>
        <v>Huwongo</v>
      </c>
      <c r="AM1120" s="11" t="s">
        <v>57</v>
      </c>
      <c r="AN1120" s="11" t="e">
        <f>VLOOKUP(L1120,[1]Sheet19!E:L,8,FALSE)</f>
        <v>#N/A</v>
      </c>
      <c r="AO1120" s="11" t="s">
        <v>58</v>
      </c>
      <c r="AP1120" s="12"/>
    </row>
    <row r="1121" spans="1:42" ht="15" x14ac:dyDescent="0.2">
      <c r="A1121" s="8" t="s">
        <v>2565</v>
      </c>
      <c r="B1121" s="9" t="s">
        <v>60</v>
      </c>
      <c r="C1121" s="9">
        <v>1246</v>
      </c>
      <c r="D1121" s="9" t="s">
        <v>1631</v>
      </c>
      <c r="E1121" s="30"/>
      <c r="F1121" s="9" t="s">
        <v>1699</v>
      </c>
      <c r="G1121" s="9" t="s">
        <v>1633</v>
      </c>
      <c r="H1121" s="9" t="s">
        <v>47</v>
      </c>
      <c r="I1121" s="9" t="s">
        <v>1700</v>
      </c>
      <c r="J1121" s="9" t="s">
        <v>2593</v>
      </c>
      <c r="K1121" s="9" t="s">
        <v>2594</v>
      </c>
      <c r="L1121" s="10" t="s">
        <v>2594</v>
      </c>
      <c r="M1121" s="9" t="s">
        <v>51</v>
      </c>
      <c r="N1121" s="9">
        <v>194</v>
      </c>
      <c r="O1121" s="9" t="s">
        <v>72</v>
      </c>
      <c r="P1121" s="9">
        <v>90</v>
      </c>
      <c r="Q1121" s="9">
        <v>90</v>
      </c>
      <c r="R1121" s="9">
        <v>1</v>
      </c>
      <c r="S1121" s="9">
        <v>3.9812219999999998</v>
      </c>
      <c r="T1121" s="9">
        <v>108.380056</v>
      </c>
      <c r="U1121" s="9" t="s">
        <v>52</v>
      </c>
      <c r="V1121" s="11" t="str">
        <f>VLOOKUP(L1121,'[1]singkron data'!D:E,2,FALSE)</f>
        <v>PT. Kelman Infra Perkasa</v>
      </c>
      <c r="W1121" s="11"/>
      <c r="X1121" s="11"/>
      <c r="Y1121" s="11">
        <f>VLOOKUP(L1121,'[1]singkron data'!D:H,5,FALSE)</f>
        <v>0</v>
      </c>
      <c r="Z1121" s="11">
        <f>VLOOKUP(L1121,'[1]singkron data'!D:I,6,FALSE)</f>
        <v>0</v>
      </c>
      <c r="AA1121" s="11" t="str">
        <f>VLOOKUP(L1121,'[1]singkron data'!D:L,9,FALSE)</f>
        <v>081914588646/ridwan</v>
      </c>
      <c r="AB1121" s="11" t="s">
        <v>54</v>
      </c>
      <c r="AC1121" s="11" t="str">
        <f>VLOOKUP(L1121,'[1]singkron data'!D:M,10,FALSE)</f>
        <v>Arif Rah</v>
      </c>
      <c r="AD1121" s="11" t="str">
        <f>VLOOKUP(L1121,'[1]data 1129'!F:O,10,FALSE)</f>
        <v>Tahap IV 200</v>
      </c>
      <c r="AE1121" s="11">
        <f>VLOOKUP(L1121,'[1]singkron data'!D:P,13,FALSE)</f>
        <v>0</v>
      </c>
      <c r="AF1121" s="11" t="s">
        <v>55</v>
      </c>
      <c r="AG1121" s="11" t="e">
        <f>VLOOKUP(L1121,'[1]update kontrak'!E:K,6,FALSE)</f>
        <v>#N/A</v>
      </c>
      <c r="AH1121" s="11" t="e">
        <f>VLOOKUP(L1121,'[1]update kontrak'!E:K,7,FALSE)</f>
        <v>#N/A</v>
      </c>
      <c r="AI1121" s="11"/>
      <c r="AJ1121" s="11" t="str">
        <f>VLOOKUP(L1121,[1]rekap!D:M,1,FALSE)</f>
        <v>Sepempang</v>
      </c>
      <c r="AK1121" s="11" t="str">
        <f>VLOOKUP(L1121,'[1]singkron data'!D:E,2,FALSE)</f>
        <v>PT. Kelman Infra Perkasa</v>
      </c>
      <c r="AL1121" s="11" t="str">
        <f>VLOOKUP(L1121,'[1]update 521'!D:D,1,FALSE)</f>
        <v>Sepempang</v>
      </c>
      <c r="AM1121" s="11" t="e">
        <v>#N/A</v>
      </c>
      <c r="AN1121" s="11" t="s">
        <v>2595</v>
      </c>
      <c r="AO1121" s="11" t="s">
        <v>2596</v>
      </c>
      <c r="AP1121" s="12" t="s">
        <v>2597</v>
      </c>
    </row>
    <row r="1122" spans="1:42" ht="15" x14ac:dyDescent="0.2">
      <c r="A1122" s="8" t="s">
        <v>2565</v>
      </c>
      <c r="B1122" s="9" t="s">
        <v>60</v>
      </c>
      <c r="C1122" s="9">
        <v>1247</v>
      </c>
      <c r="D1122" s="9" t="s">
        <v>908</v>
      </c>
      <c r="E1122" s="30"/>
      <c r="F1122" s="9" t="s">
        <v>1013</v>
      </c>
      <c r="G1122" s="9" t="s">
        <v>908</v>
      </c>
      <c r="H1122" s="9" t="s">
        <v>911</v>
      </c>
      <c r="I1122" s="9" t="s">
        <v>1014</v>
      </c>
      <c r="J1122" s="9" t="s">
        <v>2503</v>
      </c>
      <c r="K1122" s="9" t="s">
        <v>2598</v>
      </c>
      <c r="L1122" s="9" t="s">
        <v>2598</v>
      </c>
      <c r="M1122" s="9" t="s">
        <v>51</v>
      </c>
      <c r="N1122" s="9">
        <v>50</v>
      </c>
      <c r="O1122" s="9">
        <v>50</v>
      </c>
      <c r="P1122" s="9">
        <v>6</v>
      </c>
      <c r="Q1122" s="9">
        <v>56</v>
      </c>
      <c r="R1122" s="9">
        <v>0.06</v>
      </c>
      <c r="S1122" s="9">
        <v>-1.0081599999999999</v>
      </c>
      <c r="T1122" s="9">
        <v>134.93414000000001</v>
      </c>
      <c r="U1122" s="9"/>
      <c r="V1122" s="11" t="s">
        <v>694</v>
      </c>
      <c r="W1122" s="11"/>
      <c r="X1122" s="11"/>
      <c r="Y1122" s="11" t="e">
        <f>VLOOKUP(L1122,'[1]singkron data'!D:H,5,FALSE)</f>
        <v>#N/A</v>
      </c>
      <c r="Z1122" s="11" t="e">
        <f>VLOOKUP(L1122,'[1]singkron data'!D:I,6,FALSE)</f>
        <v>#N/A</v>
      </c>
      <c r="AA1122" s="11" t="e">
        <f>VLOOKUP(L1122,'[1]singkron data'!D:L,9,FALSE)</f>
        <v>#N/A</v>
      </c>
      <c r="AB1122" s="11" t="s">
        <v>694</v>
      </c>
      <c r="AC1122" s="11" t="e">
        <f>VLOOKUP(L1122,'[1]singkron data'!D:M,10,FALSE)</f>
        <v>#N/A</v>
      </c>
      <c r="AD1122" s="11"/>
      <c r="AE1122" s="11" t="e">
        <f>VLOOKUP(L1122,'[1]singkron data'!D:P,13,FALSE)</f>
        <v>#N/A</v>
      </c>
      <c r="AF1122" s="11" t="s">
        <v>55</v>
      </c>
      <c r="AG1122" s="11" t="e">
        <f>VLOOKUP(L1122,'[1]update kontrak'!E:K,6,FALSE)</f>
        <v>#N/A</v>
      </c>
      <c r="AH1122" s="11" t="e">
        <f>VLOOKUP(L1122,'[1]update kontrak'!E:K,7,FALSE)</f>
        <v>#N/A</v>
      </c>
      <c r="AI1122" s="11"/>
      <c r="AJ1122" s="11" t="str">
        <f>VLOOKUP(L1122,[1]rekap!D:M,1,FALSE)</f>
        <v>Sauri</v>
      </c>
      <c r="AK1122" s="11" t="e">
        <f>VLOOKUP(L1122,'[1]singkron data'!D:E,2,FALSE)</f>
        <v>#N/A</v>
      </c>
      <c r="AL1122" s="11" t="str">
        <f>VLOOKUP(L1122,'[1]update 521'!D:D,1,FALSE)</f>
        <v>Sauri</v>
      </c>
      <c r="AM1122" s="11" t="e">
        <f>VLOOKUP(L1122,[1]Sheet18!I:M,5,FALSE)</f>
        <v>#N/A</v>
      </c>
      <c r="AN1122" s="11" t="e">
        <f>VLOOKUP(L1122,[1]Sheet19!E:L,8,FALSE)</f>
        <v>#N/A</v>
      </c>
      <c r="AO1122" s="11" t="e">
        <f>VLOOKUP(L1122,[1]Sheet19!E:K,7,FALSE)</f>
        <v>#N/A</v>
      </c>
      <c r="AP1122" s="12"/>
    </row>
    <row r="1123" spans="1:42" ht="15" x14ac:dyDescent="0.2">
      <c r="A1123" s="8" t="s">
        <v>2565</v>
      </c>
      <c r="B1123" s="9" t="s">
        <v>60</v>
      </c>
      <c r="C1123" s="9">
        <v>1248</v>
      </c>
      <c r="D1123" s="9" t="s">
        <v>1112</v>
      </c>
      <c r="E1123" s="30"/>
      <c r="F1123" s="9" t="s">
        <v>2599</v>
      </c>
      <c r="G1123" s="9" t="s">
        <v>1141</v>
      </c>
      <c r="H1123" s="9" t="s">
        <v>287</v>
      </c>
      <c r="I1123" s="9" t="s">
        <v>1432</v>
      </c>
      <c r="J1123" s="9" t="s">
        <v>2600</v>
      </c>
      <c r="K1123" s="9" t="s">
        <v>2601</v>
      </c>
      <c r="L1123" s="10" t="s">
        <v>2601</v>
      </c>
      <c r="M1123" s="9" t="s">
        <v>51</v>
      </c>
      <c r="N1123" s="9">
        <v>93</v>
      </c>
      <c r="O1123" s="9">
        <v>34</v>
      </c>
      <c r="P1123" s="9">
        <v>13</v>
      </c>
      <c r="Q1123" s="9">
        <v>47</v>
      </c>
      <c r="R1123" s="9">
        <v>0.11</v>
      </c>
      <c r="S1123" s="9">
        <v>-5.5838739999999998</v>
      </c>
      <c r="T1123" s="9">
        <v>122.876718</v>
      </c>
      <c r="U1123" s="9" t="s">
        <v>52</v>
      </c>
      <c r="V1123" s="11" t="str">
        <f>VLOOKUP(L1123,'[1]singkron data'!D:E,2,FALSE)</f>
        <v>CV. Syafiqah Sabil Abadi</v>
      </c>
      <c r="W1123" s="13">
        <f>VLOOKUP(L1123,'[1]data 1129'!F:H,3,FALSE)</f>
        <v>4780636000</v>
      </c>
      <c r="X1123" s="11"/>
      <c r="Y1123" s="11">
        <f>VLOOKUP(L1123,'[1]singkron data'!D:H,5,FALSE)</f>
        <v>0</v>
      </c>
      <c r="Z1123" s="11" t="str">
        <f>VLOOKUP(L1123,'[1]singkron data'!D:I,6,FALSE)</f>
        <v>Online</v>
      </c>
      <c r="AA1123" s="11" t="str">
        <f>VLOOKUP(L1123,'[1]singkron data'!D:L,9,FALSE)</f>
        <v>081330034374/nasrudin</v>
      </c>
      <c r="AB1123" s="11" t="s">
        <v>54</v>
      </c>
      <c r="AC1123" s="11" t="str">
        <f>VLOOKUP(L1123,'[1]singkron data'!D:M,10,FALSE)</f>
        <v>Gal Fauzi Dpr</v>
      </c>
      <c r="AD1123" s="11" t="str">
        <f>VLOOKUP(L1123,'[1]data 1129'!F:O,10,FALSE)</f>
        <v>Tahap IV 200</v>
      </c>
      <c r="AE1123" s="11" t="str">
        <f>VLOOKUP(L1123,'[1]singkron data'!D:P,13,FALSE)</f>
        <v>sudah</v>
      </c>
      <c r="AF1123" s="11" t="s">
        <v>55</v>
      </c>
      <c r="AG1123" s="11" t="e">
        <f>VLOOKUP(L1123,'[1]update kontrak'!E:K,6,FALSE)</f>
        <v>#N/A</v>
      </c>
      <c r="AH1123" s="11" t="e">
        <f>VLOOKUP(L1123,'[1]update kontrak'!E:K,7,FALSE)</f>
        <v>#N/A</v>
      </c>
      <c r="AI1123" s="11"/>
      <c r="AJ1123" s="11" t="str">
        <f>VLOOKUP(L1123,[1]rekap!D:M,1,FALSE)</f>
        <v>Wasampela</v>
      </c>
      <c r="AK1123" s="11" t="str">
        <f>VLOOKUP(L1123,'[1]singkron data'!D:E,2,FALSE)</f>
        <v>CV. Syafiqah Sabil Abadi</v>
      </c>
      <c r="AL1123" s="11" t="str">
        <f>VLOOKUP(L1123,'[1]update 521'!D:D,1,FALSE)</f>
        <v>Wasampela</v>
      </c>
      <c r="AM1123" s="11" t="s">
        <v>1253</v>
      </c>
      <c r="AN1123" s="11" t="e">
        <f>VLOOKUP(L1123,[1]Sheet19!E:L,8,FALSE)</f>
        <v>#N/A</v>
      </c>
      <c r="AO1123" s="11" t="s">
        <v>58</v>
      </c>
      <c r="AP1123" s="12"/>
    </row>
    <row r="1124" spans="1:42" ht="15" x14ac:dyDescent="0.2">
      <c r="A1124" s="8" t="s">
        <v>2565</v>
      </c>
      <c r="B1124" s="9" t="s">
        <v>60</v>
      </c>
      <c r="C1124" s="9">
        <v>1249</v>
      </c>
      <c r="D1124" s="9" t="s">
        <v>514</v>
      </c>
      <c r="E1124" s="30"/>
      <c r="F1124" s="9" t="s">
        <v>597</v>
      </c>
      <c r="G1124" s="9" t="s">
        <v>540</v>
      </c>
      <c r="H1124" s="9" t="s">
        <v>47</v>
      </c>
      <c r="I1124" s="9" t="s">
        <v>598</v>
      </c>
      <c r="J1124" s="9" t="s">
        <v>2602</v>
      </c>
      <c r="K1124" s="9" t="s">
        <v>2603</v>
      </c>
      <c r="L1124" s="10" t="s">
        <v>2603</v>
      </c>
      <c r="M1124" s="9" t="s">
        <v>51</v>
      </c>
      <c r="N1124" s="9">
        <v>900</v>
      </c>
      <c r="O1124" s="9" t="s">
        <v>72</v>
      </c>
      <c r="P1124" s="9">
        <v>200</v>
      </c>
      <c r="Q1124" s="9">
        <v>200</v>
      </c>
      <c r="R1124" s="9">
        <v>0.50939999999999996</v>
      </c>
      <c r="S1124" s="9">
        <v>-4.0764899999999997</v>
      </c>
      <c r="T1124" s="9">
        <v>114.63021000000001</v>
      </c>
      <c r="U1124" s="9" t="s">
        <v>52</v>
      </c>
      <c r="V1124" s="11" t="str">
        <f>VLOOKUP(L1124,'[1]singkron data'!D:E,2,FALSE)</f>
        <v>CV. Dwi Cipta Wijaya</v>
      </c>
      <c r="W1124" s="13">
        <f>VLOOKUP(L1124,'[1]update tim 2'!D:F,3,FALSE)</f>
        <v>6910829000</v>
      </c>
      <c r="X1124" s="11" t="s">
        <v>55</v>
      </c>
      <c r="Y1124" s="11">
        <f>VLOOKUP(L1124,'[1]singkron data'!D:H,5,FALSE)</f>
        <v>0</v>
      </c>
      <c r="Z1124" s="11">
        <f>VLOOKUP(L1124,'[1]singkron data'!D:I,6,FALSE)</f>
        <v>0</v>
      </c>
      <c r="AA1124" s="11">
        <f>VLOOKUP(L1124,'[1]singkron data'!D:L,9,FALSE)</f>
        <v>0</v>
      </c>
      <c r="AB1124" s="11" t="s">
        <v>54</v>
      </c>
      <c r="AC1124" s="11" t="s">
        <v>602</v>
      </c>
      <c r="AD1124" s="11" t="str">
        <f>VLOOKUP(L1124,'[1]data 1129'!F:O,10,FALSE)</f>
        <v>Tahap IV 200</v>
      </c>
      <c r="AE1124" s="11">
        <f>VLOOKUP(L1124,'[1]singkron data'!D:P,13,FALSE)</f>
        <v>0</v>
      </c>
      <c r="AF1124" s="11" t="s">
        <v>55</v>
      </c>
      <c r="AG1124" s="11" t="e">
        <f>VLOOKUP(L1124,'[1]update kontrak'!E:K,6,FALSE)</f>
        <v>#N/A</v>
      </c>
      <c r="AH1124" s="11" t="e">
        <f>VLOOKUP(L1124,'[1]update kontrak'!E:K,7,FALSE)</f>
        <v>#N/A</v>
      </c>
      <c r="AI1124" s="11"/>
      <c r="AJ1124" s="11" t="str">
        <f>VLOOKUP(L1124,[1]rekap!D:M,1,FALSE)</f>
        <v>Batakan</v>
      </c>
      <c r="AK1124" s="11" t="str">
        <f>VLOOKUP(L1124,'[1]singkron data'!D:E,2,FALSE)</f>
        <v>CV. Dwi Cipta Wijaya</v>
      </c>
      <c r="AL1124" s="11" t="str">
        <f>VLOOKUP(L1124,'[1]update 521'!D:D,1,FALSE)</f>
        <v>Batakan</v>
      </c>
      <c r="AM1124" s="11" t="s">
        <v>57</v>
      </c>
      <c r="AN1124" s="11" t="e">
        <f>VLOOKUP(L1124,[1]Sheet19!E:L,8,FALSE)</f>
        <v>#N/A</v>
      </c>
      <c r="AO1124" s="11" t="s">
        <v>58</v>
      </c>
      <c r="AP1124" s="12"/>
    </row>
    <row r="1125" spans="1:42" ht="15" x14ac:dyDescent="0.2">
      <c r="A1125" s="8" t="s">
        <v>2565</v>
      </c>
      <c r="B1125" s="9" t="s">
        <v>60</v>
      </c>
      <c r="C1125" s="9">
        <v>1250</v>
      </c>
      <c r="D1125" s="9" t="s">
        <v>1112</v>
      </c>
      <c r="E1125" s="30"/>
      <c r="F1125" s="9" t="s">
        <v>2549</v>
      </c>
      <c r="G1125" s="9" t="s">
        <v>1141</v>
      </c>
      <c r="H1125" s="9" t="s">
        <v>287</v>
      </c>
      <c r="I1125" s="9" t="s">
        <v>2550</v>
      </c>
      <c r="J1125" s="9" t="s">
        <v>2604</v>
      </c>
      <c r="K1125" s="9" t="s">
        <v>2605</v>
      </c>
      <c r="L1125" s="10" t="s">
        <v>2605</v>
      </c>
      <c r="M1125" s="9" t="s">
        <v>51</v>
      </c>
      <c r="N1125" s="9">
        <v>185</v>
      </c>
      <c r="O1125" s="9">
        <v>120</v>
      </c>
      <c r="P1125" s="9">
        <v>150</v>
      </c>
      <c r="Q1125" s="9">
        <v>270</v>
      </c>
      <c r="R1125" s="9">
        <v>0.55000000000000004</v>
      </c>
      <c r="S1125" s="9">
        <v>-5.7600259999999999</v>
      </c>
      <c r="T1125" s="9">
        <v>123.900413</v>
      </c>
      <c r="U1125" s="9" t="s">
        <v>52</v>
      </c>
      <c r="V1125" s="11" t="str">
        <f>VLOOKUP(L1125,'[1]singkron data'!D:E,2,FALSE)</f>
        <v>PT. Intan Jaya Koneksi Cabang Baubau</v>
      </c>
      <c r="W1125" s="13">
        <f>VLOOKUP(L1125,'[1]data 1129'!F:H,3,FALSE)</f>
        <v>4780636000</v>
      </c>
      <c r="X1125" s="11"/>
      <c r="Y1125" s="11">
        <f>VLOOKUP(L1125,'[1]singkron data'!D:H,5,FALSE)</f>
        <v>0</v>
      </c>
      <c r="Z1125" s="11">
        <f>VLOOKUP(L1125,'[1]singkron data'!D:I,6,FALSE)</f>
        <v>0</v>
      </c>
      <c r="AA1125" s="31">
        <f>VLOOKUP(L1125,'[1]singkron data'!D:L,9,FALSE)</f>
        <v>85242082813</v>
      </c>
      <c r="AB1125" s="11" t="s">
        <v>54</v>
      </c>
      <c r="AC1125" s="11" t="str">
        <f>VLOOKUP(L1125,'[1]singkron data'!D:M,10,FALSE)</f>
        <v>Jaelani</v>
      </c>
      <c r="AD1125" s="11" t="str">
        <f>VLOOKUP(L1125,'[1]data 1129'!F:O,10,FALSE)</f>
        <v>Tahap IV 200</v>
      </c>
      <c r="AE1125" s="11" t="str">
        <f>VLOOKUP(L1125,'[1]singkron data'!D:P,13,FALSE)</f>
        <v>Tim baru</v>
      </c>
      <c r="AF1125" s="11" t="s">
        <v>55</v>
      </c>
      <c r="AG1125" s="11" t="e">
        <f>VLOOKUP(L1125,'[1]update kontrak'!E:K,6,FALSE)</f>
        <v>#N/A</v>
      </c>
      <c r="AH1125" s="11" t="e">
        <f>VLOOKUP(L1125,'[1]update kontrak'!E:K,7,FALSE)</f>
        <v>#N/A</v>
      </c>
      <c r="AI1125" s="11"/>
      <c r="AJ1125" s="11" t="str">
        <f>VLOOKUP(L1125,[1]rekap!D:M,1,FALSE)</f>
        <v>Lamanggau</v>
      </c>
      <c r="AK1125" s="11" t="str">
        <f>VLOOKUP(L1125,'[1]singkron data'!D:E,2,FALSE)</f>
        <v>PT. Intan Jaya Koneksi Cabang Baubau</v>
      </c>
      <c r="AL1125" s="11" t="str">
        <f>VLOOKUP(L1125,'[1]update 521'!D:D,1,FALSE)</f>
        <v>Lamanggau</v>
      </c>
      <c r="AM1125" s="11" t="s">
        <v>1253</v>
      </c>
      <c r="AN1125" s="11" t="e">
        <f>VLOOKUP(L1125,[1]Sheet19!E:L,8,FALSE)</f>
        <v>#N/A</v>
      </c>
      <c r="AO1125" s="11" t="s">
        <v>58</v>
      </c>
      <c r="AP1125" s="12"/>
    </row>
    <row r="1126" spans="1:42" ht="15" x14ac:dyDescent="0.2">
      <c r="A1126" s="8" t="s">
        <v>2565</v>
      </c>
      <c r="B1126" s="9" t="s">
        <v>60</v>
      </c>
      <c r="C1126" s="9">
        <v>1251</v>
      </c>
      <c r="D1126" s="9" t="s">
        <v>1112</v>
      </c>
      <c r="E1126" s="30"/>
      <c r="F1126" s="9" t="s">
        <v>1595</v>
      </c>
      <c r="G1126" s="9" t="s">
        <v>1114</v>
      </c>
      <c r="H1126" s="9" t="s">
        <v>287</v>
      </c>
      <c r="I1126" s="9" t="s">
        <v>1600</v>
      </c>
      <c r="J1126" s="9" t="s">
        <v>2606</v>
      </c>
      <c r="K1126" s="9" t="s">
        <v>2607</v>
      </c>
      <c r="L1126" s="10" t="s">
        <v>2607</v>
      </c>
      <c r="M1126" s="9" t="s">
        <v>51</v>
      </c>
      <c r="N1126" s="9">
        <v>318</v>
      </c>
      <c r="O1126" s="9">
        <v>100</v>
      </c>
      <c r="P1126" s="9">
        <v>31</v>
      </c>
      <c r="Q1126" s="9">
        <v>131</v>
      </c>
      <c r="R1126" s="9">
        <v>0.33</v>
      </c>
      <c r="S1126" s="9">
        <v>-5.0695189999999997</v>
      </c>
      <c r="T1126" s="9">
        <v>120.424781</v>
      </c>
      <c r="U1126" s="9" t="s">
        <v>52</v>
      </c>
      <c r="V1126" s="11" t="str">
        <f>VLOOKUP(L1126,'[1]singkron data'!D:E,2,FALSE)</f>
        <v>PT. Kamefeda Wijaya Indonesia</v>
      </c>
      <c r="W1126" s="13">
        <f>VLOOKUP(L1126,'[1]data 1129'!F:H,3,FALSE)</f>
        <v>6312774000</v>
      </c>
      <c r="X1126" s="11"/>
      <c r="Y1126" s="11">
        <f>VLOOKUP(L1126,'[1]singkron data'!D:H,5,FALSE)</f>
        <v>0</v>
      </c>
      <c r="Z1126" s="11">
        <f>VLOOKUP(L1126,'[1]singkron data'!D:I,6,FALSE)</f>
        <v>0</v>
      </c>
      <c r="AA1126" s="11" t="str">
        <f>VLOOKUP(L1126,'[1]singkron data'!D:L,9,FALSE)</f>
        <v>081241979999/ANDI</v>
      </c>
      <c r="AB1126" s="11" t="s">
        <v>54</v>
      </c>
      <c r="AC1126" s="11" t="str">
        <f>VLOOKUP(L1126,'[1]singkron data'!D:M,10,FALSE)</f>
        <v>TK</v>
      </c>
      <c r="AD1126" s="11" t="str">
        <f>VLOOKUP(L1126,'[1]data 1129'!F:O,10,FALSE)</f>
        <v>Tahap IV 200</v>
      </c>
      <c r="AE1126" s="11" t="str">
        <f>VLOOKUP(L1126,'[1]singkron data'!D:P,13,FALSE)</f>
        <v>Tim baru</v>
      </c>
      <c r="AF1126" s="11" t="s">
        <v>55</v>
      </c>
      <c r="AG1126" s="11" t="e">
        <f>VLOOKUP(L1126,'[1]update kontrak'!E:K,6,FALSE)</f>
        <v>#N/A</v>
      </c>
      <c r="AH1126" s="11" t="e">
        <f>VLOOKUP(L1126,'[1]update kontrak'!E:K,7,FALSE)</f>
        <v>#N/A</v>
      </c>
      <c r="AI1126" s="11"/>
      <c r="AJ1126" s="11" t="str">
        <f>VLOOKUP(L1126,[1]rekap!D:M,1,FALSE)</f>
        <v>Pulau Padaelo</v>
      </c>
      <c r="AK1126" s="11" t="str">
        <f>VLOOKUP(L1126,'[1]singkron data'!D:E,2,FALSE)</f>
        <v>PT. Kamefeda Wijaya Indonesia</v>
      </c>
      <c r="AL1126" s="11" t="str">
        <f>VLOOKUP(L1126,'[1]update 521'!D:D,1,FALSE)</f>
        <v>Pulau Padaelo</v>
      </c>
      <c r="AM1126" s="11" t="s">
        <v>1253</v>
      </c>
      <c r="AN1126" s="11" t="e">
        <f>VLOOKUP(L1126,[1]Sheet19!E:L,8,FALSE)</f>
        <v>#N/A</v>
      </c>
      <c r="AO1126" s="11" t="s">
        <v>58</v>
      </c>
      <c r="AP1126" s="12"/>
    </row>
    <row r="1127" spans="1:42" ht="15" x14ac:dyDescent="0.2">
      <c r="A1127" s="8" t="s">
        <v>2608</v>
      </c>
      <c r="B1127" s="9" t="s">
        <v>60</v>
      </c>
      <c r="C1127" s="9">
        <v>1253</v>
      </c>
      <c r="D1127" s="9" t="s">
        <v>1631</v>
      </c>
      <c r="E1127" s="30"/>
      <c r="F1127" s="9" t="s">
        <v>1779</v>
      </c>
      <c r="G1127" s="9" t="s">
        <v>1724</v>
      </c>
      <c r="H1127" s="9" t="s">
        <v>47</v>
      </c>
      <c r="I1127" s="9" t="s">
        <v>1780</v>
      </c>
      <c r="J1127" s="9" t="s">
        <v>2609</v>
      </c>
      <c r="K1127" s="9" t="s">
        <v>2609</v>
      </c>
      <c r="L1127" s="10" t="s">
        <v>2609</v>
      </c>
      <c r="M1127" s="9" t="s">
        <v>51</v>
      </c>
      <c r="N1127" s="9">
        <v>108</v>
      </c>
      <c r="O1127" s="9">
        <v>1</v>
      </c>
      <c r="P1127" s="9">
        <v>210</v>
      </c>
      <c r="Q1127" s="9">
        <v>211</v>
      </c>
      <c r="R1127" s="9">
        <v>1</v>
      </c>
      <c r="S1127" s="9">
        <v>3.8792779999999998</v>
      </c>
      <c r="T1127" s="9">
        <v>98.546971999999997</v>
      </c>
      <c r="U1127" s="9" t="s">
        <v>52</v>
      </c>
      <c r="V1127" s="11" t="str">
        <f>VLOOKUP(L1127,'[1]singkron data'!D:E,2,FALSE)</f>
        <v>PT Multi Gapura Pembangunan Semesta</v>
      </c>
      <c r="W1127" s="11"/>
      <c r="X1127" s="11"/>
      <c r="Y1127" s="11">
        <f>VLOOKUP(L1127,'[1]singkron data'!D:H,5,FALSE)</f>
        <v>0</v>
      </c>
      <c r="Z1127" s="11" t="str">
        <f>VLOOKUP(L1127,'[1]singkron data'!D:I,6,FALSE)</f>
        <v>Online</v>
      </c>
      <c r="AA1127" s="11" t="str">
        <f>VLOOKUP(L1127,'[1]singkron data'!D:L,9,FALSE)</f>
        <v>082297871501/habib</v>
      </c>
      <c r="AB1127" s="11" t="s">
        <v>54</v>
      </c>
      <c r="AC1127" s="11" t="str">
        <f>VLOOKUP(L1127,'[1]singkron data'!D:M,10,FALSE)</f>
        <v>TK</v>
      </c>
      <c r="AD1127" s="11" t="str">
        <f>VLOOKUP(L1127,'[1]data 1129'!F:O,10,FALSE)</f>
        <v>Tahap IV 200</v>
      </c>
      <c r="AE1127" s="11">
        <f>VLOOKUP(L1127,'[1]singkron data'!D:P,13,FALSE)</f>
        <v>0</v>
      </c>
      <c r="AF1127" s="11" t="s">
        <v>55</v>
      </c>
      <c r="AG1127" s="11" t="e">
        <f>VLOOKUP(L1127,'[1]update kontrak'!E:K,6,FALSE)</f>
        <v>#N/A</v>
      </c>
      <c r="AH1127" s="11" t="e">
        <f>VLOOKUP(L1127,'[1]update kontrak'!E:K,7,FALSE)</f>
        <v>#N/A</v>
      </c>
      <c r="AI1127" s="11"/>
      <c r="AJ1127" s="11" t="str">
        <f>VLOOKUP(L1127,[1]rekap!D:M,1,FALSE)</f>
        <v>Secanggang</v>
      </c>
      <c r="AK1127" s="11" t="str">
        <f>VLOOKUP(L1127,'[1]singkron data'!D:E,2,FALSE)</f>
        <v>PT Multi Gapura Pembangunan Semesta</v>
      </c>
      <c r="AL1127" s="11" t="str">
        <f>VLOOKUP(L1127,'[1]update 521'!D:D,1,FALSE)</f>
        <v>Secanggang</v>
      </c>
      <c r="AM1127" s="11" t="s">
        <v>96</v>
      </c>
      <c r="AN1127" s="11" t="e">
        <f>VLOOKUP(L1127,[1]Sheet19!E:L,8,FALSE)</f>
        <v>#N/A</v>
      </c>
      <c r="AO1127" s="11" t="e">
        <f>VLOOKUP(L1127,[1]Sheet19!E:K,7,FALSE)</f>
        <v>#N/A</v>
      </c>
      <c r="AP1127" s="12"/>
    </row>
    <row r="1128" spans="1:42" ht="15" x14ac:dyDescent="0.2">
      <c r="A1128" s="8" t="s">
        <v>2608</v>
      </c>
      <c r="B1128" s="9" t="s">
        <v>60</v>
      </c>
      <c r="C1128" s="9">
        <v>1254</v>
      </c>
      <c r="D1128" s="9" t="s">
        <v>514</v>
      </c>
      <c r="E1128" s="30"/>
      <c r="F1128" s="9" t="s">
        <v>2610</v>
      </c>
      <c r="G1128" s="9" t="s">
        <v>551</v>
      </c>
      <c r="H1128" s="9" t="s">
        <v>47</v>
      </c>
      <c r="I1128" s="9" t="s">
        <v>2611</v>
      </c>
      <c r="J1128" s="9" t="s">
        <v>2612</v>
      </c>
      <c r="K1128" s="9" t="s">
        <v>2613</v>
      </c>
      <c r="L1128" s="9" t="s">
        <v>2613</v>
      </c>
      <c r="M1128" s="9" t="s">
        <v>51</v>
      </c>
      <c r="N1128" s="9">
        <v>500</v>
      </c>
      <c r="O1128" s="30"/>
      <c r="P1128" s="9">
        <v>100</v>
      </c>
      <c r="Q1128" s="9">
        <v>100</v>
      </c>
      <c r="R1128" s="9">
        <v>0.4</v>
      </c>
      <c r="S1128" s="9">
        <v>4.1635559999999998</v>
      </c>
      <c r="T1128" s="9">
        <v>117.902126</v>
      </c>
      <c r="U1128" s="9" t="s">
        <v>52</v>
      </c>
      <c r="V1128" s="11" t="s">
        <v>564</v>
      </c>
      <c r="W1128" s="11"/>
      <c r="X1128" s="11"/>
      <c r="Y1128" s="11">
        <f>VLOOKUP(L1128,'[1]singkron data'!D:H,5,FALSE)</f>
        <v>0</v>
      </c>
      <c r="Z1128" s="11">
        <f>VLOOKUP(L1128,'[1]singkron data'!D:I,6,FALSE)</f>
        <v>0</v>
      </c>
      <c r="AA1128" s="11" t="s">
        <v>565</v>
      </c>
      <c r="AB1128" s="11" t="s">
        <v>54</v>
      </c>
      <c r="AC1128" s="11" t="s">
        <v>566</v>
      </c>
      <c r="AD1128" s="11" t="str">
        <f>VLOOKUP(L1128,'[1]data 1129'!F:O,10,FALSE)</f>
        <v>Tahap IV 200</v>
      </c>
      <c r="AE1128" s="11">
        <f>VLOOKUP(L1128,'[1]singkron data'!D:P,13,FALSE)</f>
        <v>0</v>
      </c>
      <c r="AF1128" s="11"/>
      <c r="AG1128" s="11" t="e">
        <f>VLOOKUP(L1128,'[1]update kontrak'!E:K,6,FALSE)</f>
        <v>#N/A</v>
      </c>
      <c r="AH1128" s="11" t="e">
        <f>VLOOKUP(L1128,'[1]update kontrak'!E:K,7,FALSE)</f>
        <v>#N/A</v>
      </c>
      <c r="AI1128" s="11"/>
      <c r="AJ1128" s="11" t="str">
        <f>VLOOKUP(L1128,[1]rekap!D:M,1,FALSE)</f>
        <v>Sungai Pancang</v>
      </c>
      <c r="AK1128" s="11" t="str">
        <f>VLOOKUP(L1128,'[1]singkron data'!D:E,2,FALSE)</f>
        <v>CV. Davindo Putra Perkasa</v>
      </c>
      <c r="AL1128" s="11" t="str">
        <f>VLOOKUP(L1128,'[1]update 521'!D:D,1,FALSE)</f>
        <v>Sungai Pancang</v>
      </c>
      <c r="AM1128" s="11" t="s">
        <v>96</v>
      </c>
      <c r="AN1128" s="11" t="e">
        <f>VLOOKUP(L1128,[1]Sheet19!E:L,8,FALSE)</f>
        <v>#N/A</v>
      </c>
      <c r="AO1128" s="11" t="e">
        <f>VLOOKUP(L1128,[1]Sheet19!E:K,7,FALSE)</f>
        <v>#N/A</v>
      </c>
      <c r="AP1128" s="12"/>
    </row>
    <row r="1129" spans="1:42" ht="15" x14ac:dyDescent="0.2">
      <c r="A1129" s="8" t="s">
        <v>2608</v>
      </c>
      <c r="B1129" s="9" t="s">
        <v>60</v>
      </c>
      <c r="C1129" s="9">
        <v>1255</v>
      </c>
      <c r="D1129" s="9" t="s">
        <v>688</v>
      </c>
      <c r="E1129" s="30"/>
      <c r="F1129" s="9" t="s">
        <v>802</v>
      </c>
      <c r="G1129" s="9" t="s">
        <v>715</v>
      </c>
      <c r="H1129" s="9" t="s">
        <v>287</v>
      </c>
      <c r="I1129" s="9" t="s">
        <v>2614</v>
      </c>
      <c r="J1129" s="9" t="s">
        <v>2615</v>
      </c>
      <c r="K1129" s="9" t="s">
        <v>2616</v>
      </c>
      <c r="L1129" s="9" t="s">
        <v>2616</v>
      </c>
      <c r="M1129" s="9" t="s">
        <v>51</v>
      </c>
      <c r="N1129" s="9">
        <v>413</v>
      </c>
      <c r="O1129" s="9">
        <v>7</v>
      </c>
      <c r="P1129" s="9">
        <v>63</v>
      </c>
      <c r="Q1129" s="9">
        <v>70</v>
      </c>
      <c r="R1129" s="9">
        <v>0.5</v>
      </c>
      <c r="S1129" s="9">
        <v>0.77700999999999998</v>
      </c>
      <c r="T1129" s="9">
        <v>127.30137000000001</v>
      </c>
      <c r="U1129" s="9"/>
      <c r="V1129" s="11" t="e">
        <f>VLOOKUP(L1129,'[1]singkron data'!D:E,2,FALSE)</f>
        <v>#N/A</v>
      </c>
      <c r="W1129" s="13">
        <f>VLOOKUP(L1129,[1]Sheet18!E:F,2,FALSE)</f>
        <v>4159715000</v>
      </c>
      <c r="X1129" s="11" t="s">
        <v>55</v>
      </c>
      <c r="Y1129" s="11" t="e">
        <f>VLOOKUP(L1129,'[1]singkron data'!D:H,5,FALSE)</f>
        <v>#N/A</v>
      </c>
      <c r="Z1129" s="11" t="e">
        <f>VLOOKUP(L1129,'[1]singkron data'!D:I,6,FALSE)</f>
        <v>#N/A</v>
      </c>
      <c r="AA1129" s="11" t="e">
        <f>VLOOKUP(L1129,'[1]singkron data'!D:L,9,FALSE)</f>
        <v>#N/A</v>
      </c>
      <c r="AB1129" s="11" t="s">
        <v>694</v>
      </c>
      <c r="AC1129" s="11" t="e">
        <f>VLOOKUP(L1129,'[1]singkron data'!D:M,10,FALSE)</f>
        <v>#N/A</v>
      </c>
      <c r="AD1129" s="11"/>
      <c r="AE1129" s="11" t="e">
        <f>VLOOKUP(L1129,'[1]singkron data'!D:P,13,FALSE)</f>
        <v>#N/A</v>
      </c>
      <c r="AF1129" s="11" t="s">
        <v>55</v>
      </c>
      <c r="AG1129" s="11" t="e">
        <f>VLOOKUP(L1129,'[1]update kontrak'!E:K,6,FALSE)</f>
        <v>#N/A</v>
      </c>
      <c r="AH1129" s="11" t="e">
        <f>VLOOKUP(L1129,'[1]update kontrak'!E:K,7,FALSE)</f>
        <v>#N/A</v>
      </c>
      <c r="AI1129" s="11"/>
      <c r="AJ1129" s="11" t="str">
        <f>VLOOKUP(L1129,[1]rekap!D:M,1,FALSE)</f>
        <v>Rua</v>
      </c>
      <c r="AK1129" s="11" t="e">
        <f>VLOOKUP(L1129,'[1]singkron data'!D:E,2,FALSE)</f>
        <v>#N/A</v>
      </c>
      <c r="AL1129" s="11" t="str">
        <f>VLOOKUP(L1129,'[1]update 521'!D:D,1,FALSE)</f>
        <v>Rua</v>
      </c>
      <c r="AM1129" s="11" t="s">
        <v>96</v>
      </c>
      <c r="AN1129" s="11" t="e">
        <f>VLOOKUP(L1129,[1]Sheet19!E:L,8,FALSE)</f>
        <v>#N/A</v>
      </c>
      <c r="AO1129" s="11" t="e">
        <f>VLOOKUP(L1129,[1]Sheet19!E:K,7,FALSE)</f>
        <v>#N/A</v>
      </c>
      <c r="AP1129" s="12"/>
    </row>
    <row r="1130" spans="1:42" ht="15" x14ac:dyDescent="0.2">
      <c r="A1130" s="8" t="s">
        <v>2608</v>
      </c>
      <c r="B1130" s="9" t="s">
        <v>60</v>
      </c>
      <c r="C1130" s="9">
        <v>1256</v>
      </c>
      <c r="D1130" s="9" t="s">
        <v>688</v>
      </c>
      <c r="E1130" s="30"/>
      <c r="F1130" s="9" t="s">
        <v>802</v>
      </c>
      <c r="G1130" s="9" t="s">
        <v>715</v>
      </c>
      <c r="H1130" s="9" t="s">
        <v>287</v>
      </c>
      <c r="I1130" s="9" t="s">
        <v>2617</v>
      </c>
      <c r="J1130" s="9" t="s">
        <v>2618</v>
      </c>
      <c r="K1130" s="9" t="s">
        <v>2619</v>
      </c>
      <c r="L1130" s="9" t="s">
        <v>2619</v>
      </c>
      <c r="M1130" s="9" t="s">
        <v>51</v>
      </c>
      <c r="N1130" s="9">
        <v>261</v>
      </c>
      <c r="O1130" s="9" t="s">
        <v>72</v>
      </c>
      <c r="P1130" s="9">
        <v>40</v>
      </c>
      <c r="Q1130" s="9">
        <v>40</v>
      </c>
      <c r="R1130" s="9">
        <v>0.54</v>
      </c>
      <c r="S1130" s="9">
        <v>0.79793000000000003</v>
      </c>
      <c r="T1130" s="9">
        <v>127.61998</v>
      </c>
      <c r="U1130" s="9"/>
      <c r="V1130" s="11" t="e">
        <f>VLOOKUP(L1130,'[1]singkron data'!D:E,2,FALSE)</f>
        <v>#N/A</v>
      </c>
      <c r="W1130" s="13">
        <f>VLOOKUP(L1130,[1]Sheet18!E:F,2,FALSE)</f>
        <v>3460112000</v>
      </c>
      <c r="X1130" s="11" t="s">
        <v>55</v>
      </c>
      <c r="Y1130" s="11" t="e">
        <f>VLOOKUP(L1130,'[1]singkron data'!D:H,5,FALSE)</f>
        <v>#N/A</v>
      </c>
      <c r="Z1130" s="11" t="e">
        <f>VLOOKUP(L1130,'[1]singkron data'!D:I,6,FALSE)</f>
        <v>#N/A</v>
      </c>
      <c r="AA1130" s="11" t="e">
        <f>VLOOKUP(L1130,'[1]singkron data'!D:L,9,FALSE)</f>
        <v>#N/A</v>
      </c>
      <c r="AB1130" s="11" t="s">
        <v>694</v>
      </c>
      <c r="AC1130" s="11" t="e">
        <f>VLOOKUP(L1130,'[1]singkron data'!D:M,10,FALSE)</f>
        <v>#N/A</v>
      </c>
      <c r="AD1130" s="11"/>
      <c r="AE1130" s="11" t="e">
        <f>VLOOKUP(L1130,'[1]singkron data'!D:P,13,FALSE)</f>
        <v>#N/A</v>
      </c>
      <c r="AF1130" s="11" t="s">
        <v>55</v>
      </c>
      <c r="AG1130" s="11" t="e">
        <f>VLOOKUP(L1130,'[1]update kontrak'!E:K,6,FALSE)</f>
        <v>#N/A</v>
      </c>
      <c r="AH1130" s="11" t="e">
        <f>VLOOKUP(L1130,'[1]update kontrak'!E:K,7,FALSE)</f>
        <v>#N/A</v>
      </c>
      <c r="AI1130" s="11"/>
      <c r="AJ1130" s="11" t="str">
        <f>VLOOKUP(L1130,[1]rekap!D:M,1,FALSE)</f>
        <v>Toniku</v>
      </c>
      <c r="AK1130" s="11" t="e">
        <f>VLOOKUP(L1130,'[1]singkron data'!D:E,2,FALSE)</f>
        <v>#N/A</v>
      </c>
      <c r="AL1130" s="11" t="str">
        <f>VLOOKUP(L1130,'[1]update 521'!D:D,1,FALSE)</f>
        <v>Toniku</v>
      </c>
      <c r="AM1130" s="11" t="s">
        <v>96</v>
      </c>
      <c r="AN1130" s="11" t="e">
        <f>VLOOKUP(L1130,[1]Sheet19!E:L,8,FALSE)</f>
        <v>#N/A</v>
      </c>
      <c r="AO1130" s="11" t="e">
        <f>VLOOKUP(L1130,[1]Sheet19!E:K,7,FALSE)</f>
        <v>#N/A</v>
      </c>
      <c r="AP1130" s="12"/>
    </row>
    <row r="1131" spans="1:42" ht="15" x14ac:dyDescent="0.2">
      <c r="A1131" s="8" t="s">
        <v>2608</v>
      </c>
      <c r="B1131" s="9" t="s">
        <v>60</v>
      </c>
      <c r="C1131" s="9">
        <v>1257</v>
      </c>
      <c r="D1131" s="9" t="s">
        <v>688</v>
      </c>
      <c r="E1131" s="30"/>
      <c r="F1131" s="9" t="s">
        <v>802</v>
      </c>
      <c r="G1131" s="9" t="s">
        <v>715</v>
      </c>
      <c r="H1131" s="9" t="s">
        <v>287</v>
      </c>
      <c r="I1131" s="9" t="s">
        <v>2617</v>
      </c>
      <c r="J1131" s="9" t="s">
        <v>2620</v>
      </c>
      <c r="K1131" s="9" t="s">
        <v>2621</v>
      </c>
      <c r="L1131" s="9" t="s">
        <v>2621</v>
      </c>
      <c r="M1131" s="9" t="s">
        <v>51</v>
      </c>
      <c r="N1131" s="9">
        <v>201</v>
      </c>
      <c r="O1131" s="9">
        <v>76</v>
      </c>
      <c r="P1131" s="9">
        <v>6</v>
      </c>
      <c r="Q1131" s="9">
        <v>82</v>
      </c>
      <c r="R1131" s="9">
        <v>1</v>
      </c>
      <c r="S1131" s="9">
        <v>0.88904000000000005</v>
      </c>
      <c r="T1131" s="9">
        <v>127.50941</v>
      </c>
      <c r="U1131" s="9"/>
      <c r="V1131" s="11" t="e">
        <f>VLOOKUP(L1131,'[1]singkron data'!D:E,2,FALSE)</f>
        <v>#N/A</v>
      </c>
      <c r="W1131" s="11"/>
      <c r="X1131" s="11"/>
      <c r="Y1131" s="11" t="e">
        <f>VLOOKUP(L1131,'[1]singkron data'!D:H,5,FALSE)</f>
        <v>#N/A</v>
      </c>
      <c r="Z1131" s="11" t="e">
        <f>VLOOKUP(L1131,'[1]singkron data'!D:I,6,FALSE)</f>
        <v>#N/A</v>
      </c>
      <c r="AA1131" s="11" t="e">
        <f>VLOOKUP(L1131,'[1]singkron data'!D:L,9,FALSE)</f>
        <v>#N/A</v>
      </c>
      <c r="AB1131" s="11" t="s">
        <v>694</v>
      </c>
      <c r="AC1131" s="11" t="e">
        <f>VLOOKUP(L1131,'[1]singkron data'!D:M,10,FALSE)</f>
        <v>#N/A</v>
      </c>
      <c r="AD1131" s="11"/>
      <c r="AE1131" s="11" t="e">
        <f>VLOOKUP(L1131,'[1]singkron data'!D:P,13,FALSE)</f>
        <v>#N/A</v>
      </c>
      <c r="AF1131" s="11"/>
      <c r="AG1131" s="11" t="e">
        <f>VLOOKUP(L1131,'[1]update kontrak'!E:K,6,FALSE)</f>
        <v>#N/A</v>
      </c>
      <c r="AH1131" s="11" t="e">
        <f>VLOOKUP(L1131,'[1]update kontrak'!E:K,7,FALSE)</f>
        <v>#N/A</v>
      </c>
      <c r="AI1131" s="11"/>
      <c r="AJ1131" s="11" t="str">
        <f>VLOOKUP(L1131,[1]rekap!D:M,1,FALSE)</f>
        <v>Sidongoli Dehe</v>
      </c>
      <c r="AK1131" s="11" t="e">
        <f>VLOOKUP(L1131,'[1]singkron data'!D:E,2,FALSE)</f>
        <v>#N/A</v>
      </c>
      <c r="AL1131" s="11" t="str">
        <f>VLOOKUP(L1131,'[1]update 521'!D:D,1,FALSE)</f>
        <v>Sidongoli Dehe</v>
      </c>
      <c r="AM1131" s="11" t="s">
        <v>96</v>
      </c>
      <c r="AN1131" s="11" t="e">
        <f>VLOOKUP(L1131,[1]Sheet19!E:L,8,FALSE)</f>
        <v>#N/A</v>
      </c>
      <c r="AO1131" s="11" t="e">
        <f>VLOOKUP(L1131,[1]Sheet19!E:K,7,FALSE)</f>
        <v>#N/A</v>
      </c>
      <c r="AP1131" s="12"/>
    </row>
    <row r="1132" spans="1:42" ht="15" x14ac:dyDescent="0.2">
      <c r="A1132" s="8" t="s">
        <v>2608</v>
      </c>
      <c r="B1132" s="9" t="s">
        <v>60</v>
      </c>
      <c r="C1132" s="9">
        <v>1258</v>
      </c>
      <c r="D1132" s="9" t="s">
        <v>284</v>
      </c>
      <c r="E1132" s="30"/>
      <c r="F1132" s="9" t="s">
        <v>493</v>
      </c>
      <c r="G1132" s="9" t="s">
        <v>301</v>
      </c>
      <c r="H1132" s="9" t="s">
        <v>287</v>
      </c>
      <c r="I1132" s="9" t="s">
        <v>1169</v>
      </c>
      <c r="J1132" s="9" t="s">
        <v>466</v>
      </c>
      <c r="K1132" s="9" t="s">
        <v>2622</v>
      </c>
      <c r="L1132" s="10" t="s">
        <v>2622</v>
      </c>
      <c r="M1132" s="9" t="s">
        <v>51</v>
      </c>
      <c r="N1132" s="9">
        <v>150</v>
      </c>
      <c r="O1132" s="9" t="s">
        <v>72</v>
      </c>
      <c r="P1132" s="9">
        <v>109</v>
      </c>
      <c r="Q1132" s="9">
        <v>109</v>
      </c>
      <c r="R1132" s="9">
        <v>0.02</v>
      </c>
      <c r="S1132" s="9">
        <v>-6.9148449999999997</v>
      </c>
      <c r="T1132" s="9">
        <v>109.93235799999999</v>
      </c>
      <c r="U1132" s="9"/>
      <c r="V1132" s="11" t="s">
        <v>2623</v>
      </c>
      <c r="W1132" s="11"/>
      <c r="X1132" s="11"/>
      <c r="Y1132" s="11" t="e">
        <f>VLOOKUP(L1132,'[1]singkron data'!D:H,5,FALSE)</f>
        <v>#N/A</v>
      </c>
      <c r="Z1132" s="11" t="e">
        <f>VLOOKUP(L1132,'[1]singkron data'!D:I,6,FALSE)</f>
        <v>#N/A</v>
      </c>
      <c r="AA1132" s="11" t="e">
        <f>VLOOKUP(L1132,'[1]singkron data'!D:L,9,FALSE)</f>
        <v>#N/A</v>
      </c>
      <c r="AB1132" s="11" t="s">
        <v>54</v>
      </c>
      <c r="AC1132" s="11" t="s">
        <v>2624</v>
      </c>
      <c r="AD1132" s="11" t="s">
        <v>364</v>
      </c>
      <c r="AE1132" s="11" t="e">
        <f>VLOOKUP(L1132,'[1]singkron data'!D:P,13,FALSE)</f>
        <v>#N/A</v>
      </c>
      <c r="AF1132" s="11" t="s">
        <v>55</v>
      </c>
      <c r="AG1132" s="11" t="e">
        <f>VLOOKUP(L1132,'[1]update kontrak'!E:K,6,FALSE)</f>
        <v>#N/A</v>
      </c>
      <c r="AH1132" s="11" t="e">
        <f>VLOOKUP(L1132,'[1]update kontrak'!E:K,7,FALSE)</f>
        <v>#N/A</v>
      </c>
      <c r="AI1132" s="11" t="s">
        <v>58</v>
      </c>
      <c r="AJ1132" s="11" t="str">
        <f>VLOOKUP(L1132,[1]rekap!D:M,1,FALSE)</f>
        <v>Kedawung</v>
      </c>
      <c r="AK1132" s="11" t="e">
        <f>VLOOKUP(L1132,'[1]singkron data'!D:E,2,FALSE)</f>
        <v>#N/A</v>
      </c>
      <c r="AL1132" s="11" t="str">
        <f>VLOOKUP(L1132,'[1]update 521'!D:D,1,FALSE)</f>
        <v>Kedawung</v>
      </c>
      <c r="AM1132" s="11" t="s">
        <v>1253</v>
      </c>
      <c r="AN1132" s="11" t="e">
        <f>VLOOKUP(L1132,[1]Sheet19!E:L,8,FALSE)</f>
        <v>#N/A</v>
      </c>
      <c r="AO1132" s="11" t="e">
        <f>VLOOKUP(L1132,[1]Sheet19!E:K,7,FALSE)</f>
        <v>#N/A</v>
      </c>
      <c r="AP1132" s="12"/>
    </row>
    <row r="1133" spans="1:42" ht="15" x14ac:dyDescent="0.2">
      <c r="A1133" s="8" t="s">
        <v>2608</v>
      </c>
      <c r="B1133" s="9" t="s">
        <v>60</v>
      </c>
      <c r="C1133" s="9">
        <v>1259</v>
      </c>
      <c r="D1133" s="9" t="s">
        <v>688</v>
      </c>
      <c r="E1133" s="30"/>
      <c r="F1133" s="9" t="s">
        <v>802</v>
      </c>
      <c r="G1133" s="9" t="s">
        <v>715</v>
      </c>
      <c r="H1133" s="9" t="s">
        <v>287</v>
      </c>
      <c r="I1133" s="9" t="s">
        <v>2617</v>
      </c>
      <c r="J1133" s="9" t="s">
        <v>2625</v>
      </c>
      <c r="K1133" s="9" t="s">
        <v>2626</v>
      </c>
      <c r="L1133" s="9" t="s">
        <v>2626</v>
      </c>
      <c r="M1133" s="9" t="s">
        <v>51</v>
      </c>
      <c r="N1133" s="9">
        <v>241</v>
      </c>
      <c r="O1133" s="9" t="s">
        <v>72</v>
      </c>
      <c r="P1133" s="9">
        <v>53</v>
      </c>
      <c r="Q1133" s="9">
        <v>53</v>
      </c>
      <c r="R1133" s="9">
        <v>1.5</v>
      </c>
      <c r="S1133" s="9">
        <v>1.0398400000000001</v>
      </c>
      <c r="T1133" s="9">
        <v>127.41273</v>
      </c>
      <c r="U1133" s="9"/>
      <c r="V1133" s="11" t="e">
        <f>VLOOKUP(L1133,'[1]singkron data'!D:E,2,FALSE)</f>
        <v>#N/A</v>
      </c>
      <c r="W1133" s="13">
        <f>VLOOKUP(L1133,[1]Sheet18!E:F,2,FALSE)</f>
        <v>4166123000</v>
      </c>
      <c r="X1133" s="11" t="s">
        <v>55</v>
      </c>
      <c r="Y1133" s="11" t="e">
        <f>VLOOKUP(L1133,'[1]singkron data'!D:H,5,FALSE)</f>
        <v>#N/A</v>
      </c>
      <c r="Z1133" s="11" t="e">
        <f>VLOOKUP(L1133,'[1]singkron data'!D:I,6,FALSE)</f>
        <v>#N/A</v>
      </c>
      <c r="AA1133" s="11" t="e">
        <f>VLOOKUP(L1133,'[1]singkron data'!D:L,9,FALSE)</f>
        <v>#N/A</v>
      </c>
      <c r="AB1133" s="11" t="s">
        <v>694</v>
      </c>
      <c r="AC1133" s="11" t="e">
        <f>VLOOKUP(L1133,'[1]singkron data'!D:M,10,FALSE)</f>
        <v>#N/A</v>
      </c>
      <c r="AD1133" s="11"/>
      <c r="AE1133" s="11" t="e">
        <f>VLOOKUP(L1133,'[1]singkron data'!D:P,13,FALSE)</f>
        <v>#N/A</v>
      </c>
      <c r="AF1133" s="11" t="s">
        <v>55</v>
      </c>
      <c r="AG1133" s="11" t="e">
        <f>VLOOKUP(L1133,'[1]update kontrak'!E:K,6,FALSE)</f>
        <v>#N/A</v>
      </c>
      <c r="AH1133" s="11" t="e">
        <f>VLOOKUP(L1133,'[1]update kontrak'!E:K,7,FALSE)</f>
        <v>#N/A</v>
      </c>
      <c r="AI1133" s="11"/>
      <c r="AJ1133" s="11" t="str">
        <f>VLOOKUP(L1133,[1]rekap!D:M,1,FALSE)</f>
        <v>Saria</v>
      </c>
      <c r="AK1133" s="11" t="e">
        <f>VLOOKUP(L1133,'[1]singkron data'!D:E,2,FALSE)</f>
        <v>#N/A</v>
      </c>
      <c r="AL1133" s="11" t="str">
        <f>VLOOKUP(L1133,'[1]update 521'!D:D,1,FALSE)</f>
        <v>Saria</v>
      </c>
      <c r="AM1133" s="11" t="s">
        <v>96</v>
      </c>
      <c r="AN1133" s="11" t="e">
        <f>VLOOKUP(L1133,[1]Sheet19!E:L,8,FALSE)</f>
        <v>#N/A</v>
      </c>
      <c r="AO1133" s="11" t="e">
        <f>VLOOKUP(L1133,[1]Sheet19!E:K,7,FALSE)</f>
        <v>#N/A</v>
      </c>
      <c r="AP1133" s="12"/>
    </row>
    <row r="1134" spans="1:42" ht="15" x14ac:dyDescent="0.2">
      <c r="A1134" s="8" t="s">
        <v>2608</v>
      </c>
      <c r="B1134" s="9" t="s">
        <v>60</v>
      </c>
      <c r="C1134" s="9">
        <v>1260</v>
      </c>
      <c r="D1134" s="9" t="s">
        <v>514</v>
      </c>
      <c r="E1134" s="30"/>
      <c r="F1134" s="9" t="s">
        <v>567</v>
      </c>
      <c r="G1134" s="9" t="s">
        <v>568</v>
      </c>
      <c r="H1134" s="9" t="s">
        <v>47</v>
      </c>
      <c r="I1134" s="9" t="s">
        <v>573</v>
      </c>
      <c r="J1134" s="9" t="s">
        <v>574</v>
      </c>
      <c r="K1134" s="9" t="s">
        <v>2627</v>
      </c>
      <c r="L1134" s="10" t="s">
        <v>2627</v>
      </c>
      <c r="M1134" s="9" t="s">
        <v>51</v>
      </c>
      <c r="N1134" s="9">
        <v>500</v>
      </c>
      <c r="O1134" s="9" t="s">
        <v>72</v>
      </c>
      <c r="P1134" s="9">
        <v>200</v>
      </c>
      <c r="Q1134" s="9">
        <v>200</v>
      </c>
      <c r="R1134" s="9">
        <v>1</v>
      </c>
      <c r="S1134" s="9">
        <v>0.79017499999999996</v>
      </c>
      <c r="T1134" s="9">
        <v>108.860156</v>
      </c>
      <c r="U1134" s="9"/>
      <c r="V1134" s="11" t="s">
        <v>576</v>
      </c>
      <c r="W1134" s="11"/>
      <c r="X1134" s="11"/>
      <c r="Y1134" s="11" t="e">
        <f>VLOOKUP(L1134,'[1]singkron data'!D:H,5,FALSE)</f>
        <v>#N/A</v>
      </c>
      <c r="Z1134" s="11" t="e">
        <f>VLOOKUP(L1134,'[1]singkron data'!D:I,6,FALSE)</f>
        <v>#N/A</v>
      </c>
      <c r="AA1134" s="11" t="s">
        <v>577</v>
      </c>
      <c r="AB1134" s="11" t="s">
        <v>54</v>
      </c>
      <c r="AC1134" s="11" t="s">
        <v>566</v>
      </c>
      <c r="AD1134" s="11" t="s">
        <v>364</v>
      </c>
      <c r="AE1134" s="11" t="e">
        <f>VLOOKUP(L1134,'[1]singkron data'!D:P,13,FALSE)</f>
        <v>#N/A</v>
      </c>
      <c r="AF1134" s="11" t="s">
        <v>55</v>
      </c>
      <c r="AG1134" s="11" t="e">
        <f>VLOOKUP(L1134,'[1]update kontrak'!E:K,6,FALSE)</f>
        <v>#N/A</v>
      </c>
      <c r="AH1134" s="11" t="e">
        <f>VLOOKUP(L1134,'[1]update kontrak'!E:K,7,FALSE)</f>
        <v>#N/A</v>
      </c>
      <c r="AI1134" s="11"/>
      <c r="AJ1134" s="11" t="str">
        <f>VLOOKUP(L1134,[1]rekap!D:M,1,FALSE)</f>
        <v>Karimunting</v>
      </c>
      <c r="AK1134" s="11" t="e">
        <f>VLOOKUP(L1134,'[1]singkron data'!D:E,2,FALSE)</f>
        <v>#N/A</v>
      </c>
      <c r="AL1134" s="11" t="str">
        <f>VLOOKUP(L1134,'[1]update 521'!D:D,1,FALSE)</f>
        <v>Karimunting</v>
      </c>
      <c r="AM1134" s="11" t="s">
        <v>96</v>
      </c>
      <c r="AN1134" s="11" t="e">
        <f>VLOOKUP(L1134,[1]Sheet19!E:L,8,FALSE)</f>
        <v>#N/A</v>
      </c>
      <c r="AO1134" s="11" t="e">
        <f>VLOOKUP(L1134,[1]Sheet19!E:K,7,FALSE)</f>
        <v>#N/A</v>
      </c>
      <c r="AP1134" s="12"/>
    </row>
    <row r="1135" spans="1:42" ht="15" x14ac:dyDescent="0.2">
      <c r="A1135" s="8" t="s">
        <v>2608</v>
      </c>
      <c r="B1135" s="9" t="s">
        <v>60</v>
      </c>
      <c r="C1135" s="9">
        <v>1261</v>
      </c>
      <c r="D1135" s="9" t="s">
        <v>688</v>
      </c>
      <c r="E1135" s="30"/>
      <c r="F1135" s="9" t="s">
        <v>2628</v>
      </c>
      <c r="G1135" s="9" t="s">
        <v>715</v>
      </c>
      <c r="H1135" s="9" t="s">
        <v>287</v>
      </c>
      <c r="I1135" s="9" t="s">
        <v>2629</v>
      </c>
      <c r="J1135" s="9" t="s">
        <v>2630</v>
      </c>
      <c r="K1135" s="9" t="s">
        <v>2631</v>
      </c>
      <c r="L1135" s="9" t="s">
        <v>2631</v>
      </c>
      <c r="M1135" s="9" t="s">
        <v>51</v>
      </c>
      <c r="N1135" s="9">
        <v>105</v>
      </c>
      <c r="O1135" s="9" t="s">
        <v>72</v>
      </c>
      <c r="P1135" s="9">
        <v>115</v>
      </c>
      <c r="Q1135" s="9">
        <v>115</v>
      </c>
      <c r="R1135" s="9">
        <v>2</v>
      </c>
      <c r="S1135" s="9">
        <v>1.49352</v>
      </c>
      <c r="T1135" s="9">
        <v>127.53898</v>
      </c>
      <c r="U1135" s="9"/>
      <c r="V1135" s="11" t="e">
        <f>VLOOKUP(L1135,'[1]singkron data'!D:E,2,FALSE)</f>
        <v>#N/A</v>
      </c>
      <c r="W1135" s="13" t="str">
        <f>VLOOKUP(L1135,[1]Sheet18!E:F,2,FALSE)</f>
        <v>belum ada</v>
      </c>
      <c r="X1135" s="11"/>
      <c r="Y1135" s="11" t="e">
        <f>VLOOKUP(L1135,'[1]singkron data'!D:H,5,FALSE)</f>
        <v>#N/A</v>
      </c>
      <c r="Z1135" s="11" t="e">
        <f>VLOOKUP(L1135,'[1]singkron data'!D:I,6,FALSE)</f>
        <v>#N/A</v>
      </c>
      <c r="AA1135" s="11" t="e">
        <f>VLOOKUP(L1135,'[1]singkron data'!D:L,9,FALSE)</f>
        <v>#N/A</v>
      </c>
      <c r="AB1135" s="11" t="s">
        <v>694</v>
      </c>
      <c r="AC1135" s="11" t="e">
        <f>VLOOKUP(L1135,'[1]singkron data'!D:M,10,FALSE)</f>
        <v>#N/A</v>
      </c>
      <c r="AD1135" s="11"/>
      <c r="AE1135" s="11" t="e">
        <f>VLOOKUP(L1135,'[1]singkron data'!D:P,13,FALSE)</f>
        <v>#N/A</v>
      </c>
      <c r="AF1135" s="11" t="s">
        <v>55</v>
      </c>
      <c r="AG1135" s="11" t="e">
        <f>VLOOKUP(L1135,'[1]update kontrak'!E:K,6,FALSE)</f>
        <v>#N/A</v>
      </c>
      <c r="AH1135" s="11" t="e">
        <f>VLOOKUP(L1135,'[1]update kontrak'!E:K,7,FALSE)</f>
        <v>#N/A</v>
      </c>
      <c r="AI1135" s="11"/>
      <c r="AJ1135" s="11" t="str">
        <f>VLOOKUP(L1135,[1]rekap!D:M,1,FALSE)</f>
        <v>Tongute Ternate</v>
      </c>
      <c r="AK1135" s="11" t="e">
        <f>VLOOKUP(L1135,'[1]singkron data'!D:E,2,FALSE)</f>
        <v>#N/A</v>
      </c>
      <c r="AL1135" s="11" t="str">
        <f>VLOOKUP(L1135,'[1]update 521'!D:D,1,FALSE)</f>
        <v>Tongute Ternate</v>
      </c>
      <c r="AM1135" s="11" t="s">
        <v>96</v>
      </c>
      <c r="AN1135" s="11" t="e">
        <f>VLOOKUP(L1135,[1]Sheet19!E:L,8,FALSE)</f>
        <v>#N/A</v>
      </c>
      <c r="AO1135" s="11" t="e">
        <f>VLOOKUP(L1135,[1]Sheet19!E:K,7,FALSE)</f>
        <v>#N/A</v>
      </c>
      <c r="AP1135" s="12"/>
    </row>
    <row r="1136" spans="1:42" ht="15" x14ac:dyDescent="0.2">
      <c r="A1136" s="8" t="s">
        <v>2608</v>
      </c>
      <c r="B1136" s="9" t="s">
        <v>60</v>
      </c>
      <c r="C1136" s="9">
        <v>1262</v>
      </c>
      <c r="D1136" s="9" t="s">
        <v>688</v>
      </c>
      <c r="E1136" s="30"/>
      <c r="F1136" s="9" t="s">
        <v>874</v>
      </c>
      <c r="G1136" s="9" t="s">
        <v>715</v>
      </c>
      <c r="H1136" s="9" t="s">
        <v>287</v>
      </c>
      <c r="I1136" s="9" t="s">
        <v>861</v>
      </c>
      <c r="J1136" s="9" t="s">
        <v>881</v>
      </c>
      <c r="K1136" s="9" t="s">
        <v>2632</v>
      </c>
      <c r="L1136" s="9" t="s">
        <v>2632</v>
      </c>
      <c r="M1136" s="9" t="s">
        <v>51</v>
      </c>
      <c r="N1136" s="9">
        <v>48</v>
      </c>
      <c r="O1136" s="9">
        <v>5</v>
      </c>
      <c r="P1136" s="9">
        <v>47</v>
      </c>
      <c r="Q1136" s="9">
        <v>52</v>
      </c>
      <c r="R1136" s="9">
        <v>2</v>
      </c>
      <c r="S1136" s="9">
        <v>2.169137578</v>
      </c>
      <c r="T1136" s="9">
        <v>128.24708430000001</v>
      </c>
      <c r="U1136" s="9"/>
      <c r="V1136" s="11" t="e">
        <f>VLOOKUP(L1136,'[1]singkron data'!D:E,2,FALSE)</f>
        <v>#N/A</v>
      </c>
      <c r="W1136" s="13" t="str">
        <f>VLOOKUP(L1136,[1]Sheet18!E:F,2,FALSE)</f>
        <v>belum ada</v>
      </c>
      <c r="X1136" s="11"/>
      <c r="Y1136" s="11" t="e">
        <f>VLOOKUP(L1136,'[1]singkron data'!D:H,5,FALSE)</f>
        <v>#N/A</v>
      </c>
      <c r="Z1136" s="11" t="e">
        <f>VLOOKUP(L1136,'[1]singkron data'!D:I,6,FALSE)</f>
        <v>#N/A</v>
      </c>
      <c r="AA1136" s="11" t="e">
        <f>VLOOKUP(L1136,'[1]singkron data'!D:L,9,FALSE)</f>
        <v>#N/A</v>
      </c>
      <c r="AB1136" s="11" t="s">
        <v>694</v>
      </c>
      <c r="AC1136" s="11" t="e">
        <f>VLOOKUP(L1136,'[1]singkron data'!D:M,10,FALSE)</f>
        <v>#N/A</v>
      </c>
      <c r="AD1136" s="11"/>
      <c r="AE1136" s="11" t="e">
        <f>VLOOKUP(L1136,'[1]singkron data'!D:P,13,FALSE)</f>
        <v>#N/A</v>
      </c>
      <c r="AF1136" s="11" t="s">
        <v>55</v>
      </c>
      <c r="AG1136" s="11" t="e">
        <f>VLOOKUP(L1136,'[1]update kontrak'!E:K,6,FALSE)</f>
        <v>#N/A</v>
      </c>
      <c r="AH1136" s="11" t="e">
        <f>VLOOKUP(L1136,'[1]update kontrak'!E:K,7,FALSE)</f>
        <v>#N/A</v>
      </c>
      <c r="AI1136" s="11"/>
      <c r="AJ1136" s="11" t="str">
        <f>VLOOKUP(L1136,[1]rekap!D:M,1,FALSE)</f>
        <v>Cucumare</v>
      </c>
      <c r="AK1136" s="11" t="e">
        <f>VLOOKUP(L1136,'[1]singkron data'!D:E,2,FALSE)</f>
        <v>#N/A</v>
      </c>
      <c r="AL1136" s="11" t="str">
        <f>VLOOKUP(L1136,'[1]update 521'!D:D,1,FALSE)</f>
        <v>Cucumare</v>
      </c>
      <c r="AM1136" s="11" t="s">
        <v>96</v>
      </c>
      <c r="AN1136" s="11" t="e">
        <f>VLOOKUP(L1136,[1]Sheet19!E:L,8,FALSE)</f>
        <v>#N/A</v>
      </c>
      <c r="AO1136" s="11" t="e">
        <f>VLOOKUP(L1136,[1]Sheet19!E:K,7,FALSE)</f>
        <v>#N/A</v>
      </c>
      <c r="AP1136" s="12"/>
    </row>
    <row r="1137" spans="1:42" ht="15" x14ac:dyDescent="0.2">
      <c r="A1137" s="8" t="s">
        <v>2608</v>
      </c>
      <c r="B1137" s="9" t="s">
        <v>60</v>
      </c>
      <c r="C1137" s="9">
        <v>1263</v>
      </c>
      <c r="D1137" s="9" t="s">
        <v>688</v>
      </c>
      <c r="E1137" s="30"/>
      <c r="F1137" s="9" t="s">
        <v>724</v>
      </c>
      <c r="G1137" s="9" t="s">
        <v>715</v>
      </c>
      <c r="H1137" s="9" t="s">
        <v>287</v>
      </c>
      <c r="I1137" s="9" t="s">
        <v>852</v>
      </c>
      <c r="J1137" s="9" t="s">
        <v>2633</v>
      </c>
      <c r="K1137" s="9" t="s">
        <v>724</v>
      </c>
      <c r="L1137" s="9" t="s">
        <v>724</v>
      </c>
      <c r="M1137" s="9" t="s">
        <v>65</v>
      </c>
      <c r="N1137" s="9">
        <v>221</v>
      </c>
      <c r="O1137" s="9">
        <v>95</v>
      </c>
      <c r="P1137" s="9">
        <v>99</v>
      </c>
      <c r="Q1137" s="9">
        <v>194</v>
      </c>
      <c r="R1137" s="9">
        <v>2.2000000000000002</v>
      </c>
      <c r="S1137" s="9">
        <v>0.24653</v>
      </c>
      <c r="T1137" s="9">
        <v>127.91536000000001</v>
      </c>
      <c r="U1137" s="9"/>
      <c r="V1137" s="11" t="e">
        <f>VLOOKUP(L1137,'[1]singkron data'!D:E,2,FALSE)</f>
        <v>#N/A</v>
      </c>
      <c r="W1137" s="13" t="str">
        <f>VLOOKUP(L1137,[1]Sheet18!E:F,2,FALSE)</f>
        <v>belum ada</v>
      </c>
      <c r="X1137" s="11"/>
      <c r="Y1137" s="11" t="e">
        <f>VLOOKUP(L1137,'[1]singkron data'!D:H,5,FALSE)</f>
        <v>#N/A</v>
      </c>
      <c r="Z1137" s="11" t="e">
        <f>VLOOKUP(L1137,'[1]singkron data'!D:I,6,FALSE)</f>
        <v>#N/A</v>
      </c>
      <c r="AA1137" s="11" t="e">
        <f>VLOOKUP(L1137,'[1]singkron data'!D:L,9,FALSE)</f>
        <v>#N/A</v>
      </c>
      <c r="AB1137" s="11" t="s">
        <v>694</v>
      </c>
      <c r="AC1137" s="11" t="e">
        <f>VLOOKUP(L1137,'[1]singkron data'!D:M,10,FALSE)</f>
        <v>#N/A</v>
      </c>
      <c r="AD1137" s="11"/>
      <c r="AE1137" s="11" t="e">
        <f>VLOOKUP(L1137,'[1]singkron data'!D:P,13,FALSE)</f>
        <v>#N/A</v>
      </c>
      <c r="AF1137" s="11" t="s">
        <v>55</v>
      </c>
      <c r="AG1137" s="11" t="e">
        <f>VLOOKUP(L1137,'[1]update kontrak'!E:K,6,FALSE)</f>
        <v>#N/A</v>
      </c>
      <c r="AH1137" s="11" t="e">
        <f>VLOOKUP(L1137,'[1]update kontrak'!E:K,7,FALSE)</f>
        <v>#N/A</v>
      </c>
      <c r="AI1137" s="11"/>
      <c r="AJ1137" s="11" t="str">
        <f>VLOOKUP(L1137,[1]rekap!D:M,1,FALSE)</f>
        <v>Loleo</v>
      </c>
      <c r="AK1137" s="11" t="e">
        <f>VLOOKUP(L1137,'[1]singkron data'!D:E,2,FALSE)</f>
        <v>#N/A</v>
      </c>
      <c r="AL1137" s="11" t="str">
        <f>VLOOKUP(L1137,'[1]update 521'!D:D,1,FALSE)</f>
        <v>Loleo</v>
      </c>
      <c r="AM1137" s="11" t="s">
        <v>96</v>
      </c>
      <c r="AN1137" s="11" t="e">
        <f>VLOOKUP(L1137,[1]Sheet19!E:L,8,FALSE)</f>
        <v>#N/A</v>
      </c>
      <c r="AO1137" s="11" t="e">
        <f>VLOOKUP(L1137,[1]Sheet19!E:K,7,FALSE)</f>
        <v>#N/A</v>
      </c>
      <c r="AP1137" s="12"/>
    </row>
    <row r="1138" spans="1:42" ht="15" x14ac:dyDescent="0.2">
      <c r="A1138" s="8" t="s">
        <v>2608</v>
      </c>
      <c r="B1138" s="9" t="s">
        <v>60</v>
      </c>
      <c r="C1138" s="9">
        <v>1264</v>
      </c>
      <c r="D1138" s="9" t="s">
        <v>688</v>
      </c>
      <c r="E1138" s="30"/>
      <c r="F1138" s="9" t="s">
        <v>724</v>
      </c>
      <c r="G1138" s="9" t="s">
        <v>715</v>
      </c>
      <c r="H1138" s="9" t="s">
        <v>287</v>
      </c>
      <c r="I1138" s="9" t="s">
        <v>716</v>
      </c>
      <c r="J1138" s="9" t="s">
        <v>2634</v>
      </c>
      <c r="K1138" s="9" t="s">
        <v>2635</v>
      </c>
      <c r="L1138" s="9" t="s">
        <v>2635</v>
      </c>
      <c r="M1138" s="9" t="s">
        <v>51</v>
      </c>
      <c r="N1138" s="9">
        <v>20</v>
      </c>
      <c r="O1138" s="9">
        <v>14</v>
      </c>
      <c r="P1138" s="9">
        <v>12</v>
      </c>
      <c r="Q1138" s="9">
        <v>26</v>
      </c>
      <c r="R1138" s="9">
        <v>1.5</v>
      </c>
      <c r="S1138" s="9">
        <v>5.0380000000000001E-2</v>
      </c>
      <c r="T1138" s="9">
        <v>127.89221999999999</v>
      </c>
      <c r="U1138" s="9"/>
      <c r="V1138" s="11" t="e">
        <f>VLOOKUP(L1138,'[1]singkron data'!D:E,2,FALSE)</f>
        <v>#N/A</v>
      </c>
      <c r="W1138" s="13" t="str">
        <f>VLOOKUP(L1138,[1]Sheet18!E:F,2,FALSE)</f>
        <v>belum ada</v>
      </c>
      <c r="X1138" s="11"/>
      <c r="Y1138" s="11" t="e">
        <f>VLOOKUP(L1138,'[1]singkron data'!D:H,5,FALSE)</f>
        <v>#N/A</v>
      </c>
      <c r="Z1138" s="11" t="e">
        <f>VLOOKUP(L1138,'[1]singkron data'!D:I,6,FALSE)</f>
        <v>#N/A</v>
      </c>
      <c r="AA1138" s="11" t="e">
        <f>VLOOKUP(L1138,'[1]singkron data'!D:L,9,FALSE)</f>
        <v>#N/A</v>
      </c>
      <c r="AB1138" s="11" t="s">
        <v>694</v>
      </c>
      <c r="AC1138" s="11" t="e">
        <f>VLOOKUP(L1138,'[1]singkron data'!D:M,10,FALSE)</f>
        <v>#N/A</v>
      </c>
      <c r="AD1138" s="11"/>
      <c r="AE1138" s="11" t="e">
        <f>VLOOKUP(L1138,'[1]singkron data'!D:P,13,FALSE)</f>
        <v>#N/A</v>
      </c>
      <c r="AF1138" s="11" t="s">
        <v>55</v>
      </c>
      <c r="AG1138" s="11" t="e">
        <f>VLOOKUP(L1138,'[1]update kontrak'!E:K,6,FALSE)</f>
        <v>#N/A</v>
      </c>
      <c r="AH1138" s="11" t="e">
        <f>VLOOKUP(L1138,'[1]update kontrak'!E:K,7,FALSE)</f>
        <v>#N/A</v>
      </c>
      <c r="AI1138" s="11"/>
      <c r="AJ1138" s="11" t="str">
        <f>VLOOKUP(L1138,[1]rekap!D:M,1,FALSE)</f>
        <v>Maffa</v>
      </c>
      <c r="AK1138" s="11" t="e">
        <f>VLOOKUP(L1138,'[1]singkron data'!D:E,2,FALSE)</f>
        <v>#N/A</v>
      </c>
      <c r="AL1138" s="11" t="str">
        <f>VLOOKUP(L1138,'[1]update 521'!D:D,1,FALSE)</f>
        <v>Maffa</v>
      </c>
      <c r="AM1138" s="11" t="s">
        <v>96</v>
      </c>
      <c r="AN1138" s="11" t="e">
        <f>VLOOKUP(L1138,[1]Sheet19!E:L,8,FALSE)</f>
        <v>#N/A</v>
      </c>
      <c r="AO1138" s="11" t="e">
        <f>VLOOKUP(L1138,[1]Sheet19!E:K,7,FALSE)</f>
        <v>#N/A</v>
      </c>
      <c r="AP1138" s="12"/>
    </row>
    <row r="1139" spans="1:42" ht="15" x14ac:dyDescent="0.2">
      <c r="A1139" s="8" t="s">
        <v>2608</v>
      </c>
      <c r="B1139" s="9" t="s">
        <v>60</v>
      </c>
      <c r="C1139" s="9">
        <v>1265</v>
      </c>
      <c r="D1139" s="9" t="s">
        <v>688</v>
      </c>
      <c r="E1139" s="30"/>
      <c r="F1139" s="9" t="s">
        <v>812</v>
      </c>
      <c r="G1139" s="9" t="s">
        <v>690</v>
      </c>
      <c r="H1139" s="9" t="s">
        <v>287</v>
      </c>
      <c r="I1139" s="9" t="s">
        <v>813</v>
      </c>
      <c r="J1139" s="9" t="s">
        <v>2636</v>
      </c>
      <c r="K1139" s="9" t="s">
        <v>2637</v>
      </c>
      <c r="L1139" s="9" t="s">
        <v>2637</v>
      </c>
      <c r="M1139" s="9" t="s">
        <v>51</v>
      </c>
      <c r="N1139" s="9">
        <v>165</v>
      </c>
      <c r="O1139" s="9" t="s">
        <v>72</v>
      </c>
      <c r="P1139" s="9" t="s">
        <v>72</v>
      </c>
      <c r="Q1139" s="9">
        <v>165</v>
      </c>
      <c r="R1139" s="9">
        <v>1.35</v>
      </c>
      <c r="S1139" s="9">
        <v>-3.2142900000000001</v>
      </c>
      <c r="T1139" s="9">
        <v>126.01685999999999</v>
      </c>
      <c r="U1139" s="9"/>
      <c r="V1139" s="11" t="e">
        <f>VLOOKUP(L1139,'[1]singkron data'!D:E,2,FALSE)</f>
        <v>#N/A</v>
      </c>
      <c r="W1139" s="11"/>
      <c r="X1139" s="11"/>
      <c r="Y1139" s="11" t="e">
        <f>VLOOKUP(L1139,'[1]singkron data'!D:H,5,FALSE)</f>
        <v>#N/A</v>
      </c>
      <c r="Z1139" s="11" t="e">
        <f>VLOOKUP(L1139,'[1]singkron data'!D:I,6,FALSE)</f>
        <v>#N/A</v>
      </c>
      <c r="AA1139" s="11" t="e">
        <f>VLOOKUP(L1139,'[1]singkron data'!D:L,9,FALSE)</f>
        <v>#N/A</v>
      </c>
      <c r="AB1139" s="11" t="s">
        <v>694</v>
      </c>
      <c r="AC1139" s="11" t="e">
        <f>VLOOKUP(L1139,'[1]singkron data'!D:M,10,FALSE)</f>
        <v>#N/A</v>
      </c>
      <c r="AD1139" s="11"/>
      <c r="AE1139" s="11" t="e">
        <f>VLOOKUP(L1139,'[1]singkron data'!D:P,13,FALSE)</f>
        <v>#N/A</v>
      </c>
      <c r="AF1139" s="11" t="s">
        <v>55</v>
      </c>
      <c r="AG1139" s="11" t="e">
        <f>VLOOKUP(L1139,'[1]update kontrak'!E:K,6,FALSE)</f>
        <v>#N/A</v>
      </c>
      <c r="AH1139" s="11" t="e">
        <f>VLOOKUP(L1139,'[1]update kontrak'!E:K,7,FALSE)</f>
        <v>#N/A</v>
      </c>
      <c r="AI1139" s="11"/>
      <c r="AJ1139" s="11" t="str">
        <f>VLOOKUP(L1139,[1]rekap!D:M,1,FALSE)</f>
        <v>Nanali</v>
      </c>
      <c r="AK1139" s="11" t="e">
        <f>VLOOKUP(L1139,'[1]singkron data'!D:E,2,FALSE)</f>
        <v>#N/A</v>
      </c>
      <c r="AL1139" s="11" t="str">
        <f>VLOOKUP(L1139,'[1]update 521'!D:D,1,FALSE)</f>
        <v>Nanali</v>
      </c>
      <c r="AM1139" s="11" t="s">
        <v>96</v>
      </c>
      <c r="AN1139" s="11" t="e">
        <f>VLOOKUP(L1139,[1]Sheet19!E:L,8,FALSE)</f>
        <v>#N/A</v>
      </c>
      <c r="AO1139" s="11" t="e">
        <f>VLOOKUP(L1139,[1]Sheet19!E:K,7,FALSE)</f>
        <v>#N/A</v>
      </c>
      <c r="AP1139" s="12"/>
    </row>
    <row r="1140" spans="1:42" ht="15" x14ac:dyDescent="0.2">
      <c r="A1140" s="8" t="s">
        <v>2608</v>
      </c>
      <c r="B1140" s="9" t="s">
        <v>60</v>
      </c>
      <c r="C1140" s="9">
        <v>1266</v>
      </c>
      <c r="D1140" s="9" t="s">
        <v>688</v>
      </c>
      <c r="E1140" s="30"/>
      <c r="F1140" s="9" t="s">
        <v>812</v>
      </c>
      <c r="G1140" s="9" t="s">
        <v>690</v>
      </c>
      <c r="H1140" s="9" t="s">
        <v>287</v>
      </c>
      <c r="I1140" s="9" t="s">
        <v>813</v>
      </c>
      <c r="J1140" s="9" t="s">
        <v>2638</v>
      </c>
      <c r="K1140" s="9" t="s">
        <v>2639</v>
      </c>
      <c r="L1140" s="9" t="s">
        <v>2639</v>
      </c>
      <c r="M1140" s="9" t="s">
        <v>51</v>
      </c>
      <c r="N1140" s="9">
        <v>135</v>
      </c>
      <c r="O1140" s="9">
        <v>20</v>
      </c>
      <c r="P1140" s="9">
        <v>34</v>
      </c>
      <c r="Q1140" s="9">
        <v>54</v>
      </c>
      <c r="R1140" s="9">
        <v>0.71</v>
      </c>
      <c r="S1140" s="9">
        <v>-3.6656300000000002</v>
      </c>
      <c r="T1140" s="9">
        <v>127.15966</v>
      </c>
      <c r="U1140" s="9"/>
      <c r="V1140" s="11" t="e">
        <f>VLOOKUP(L1140,'[1]singkron data'!D:E,2,FALSE)</f>
        <v>#N/A</v>
      </c>
      <c r="W1140" s="11"/>
      <c r="X1140" s="11"/>
      <c r="Y1140" s="11" t="e">
        <f>VLOOKUP(L1140,'[1]singkron data'!D:H,5,FALSE)</f>
        <v>#N/A</v>
      </c>
      <c r="Z1140" s="11" t="e">
        <f>VLOOKUP(L1140,'[1]singkron data'!D:I,6,FALSE)</f>
        <v>#N/A</v>
      </c>
      <c r="AA1140" s="11" t="e">
        <f>VLOOKUP(L1140,'[1]singkron data'!D:L,9,FALSE)</f>
        <v>#N/A</v>
      </c>
      <c r="AB1140" s="11" t="s">
        <v>694</v>
      </c>
      <c r="AC1140" s="11" t="e">
        <f>VLOOKUP(L1140,'[1]singkron data'!D:M,10,FALSE)</f>
        <v>#N/A</v>
      </c>
      <c r="AD1140" s="11"/>
      <c r="AE1140" s="11" t="e">
        <f>VLOOKUP(L1140,'[1]singkron data'!D:P,13,FALSE)</f>
        <v>#N/A</v>
      </c>
      <c r="AF1140" s="11" t="s">
        <v>55</v>
      </c>
      <c r="AG1140" s="11" t="e">
        <f>VLOOKUP(L1140,'[1]update kontrak'!E:K,6,FALSE)</f>
        <v>#N/A</v>
      </c>
      <c r="AH1140" s="11" t="e">
        <f>VLOOKUP(L1140,'[1]update kontrak'!E:K,7,FALSE)</f>
        <v>#N/A</v>
      </c>
      <c r="AI1140" s="11"/>
      <c r="AJ1140" s="11" t="str">
        <f>VLOOKUP(L1140,[1]rekap!D:M,1,FALSE)</f>
        <v>Waetawa</v>
      </c>
      <c r="AK1140" s="11" t="e">
        <f>VLOOKUP(L1140,'[1]singkron data'!D:E,2,FALSE)</f>
        <v>#N/A</v>
      </c>
      <c r="AL1140" s="11" t="str">
        <f>VLOOKUP(L1140,'[1]update 521'!D:D,1,FALSE)</f>
        <v>Waetawa</v>
      </c>
      <c r="AM1140" s="11" t="s">
        <v>96</v>
      </c>
      <c r="AN1140" s="11" t="e">
        <f>VLOOKUP(L1140,[1]Sheet19!E:L,8,FALSE)</f>
        <v>#N/A</v>
      </c>
      <c r="AO1140" s="11" t="e">
        <f>VLOOKUP(L1140,[1]Sheet19!E:K,7,FALSE)</f>
        <v>#N/A</v>
      </c>
      <c r="AP1140" s="12"/>
    </row>
    <row r="1141" spans="1:42" ht="15" x14ac:dyDescent="0.2">
      <c r="A1141" s="8" t="s">
        <v>2608</v>
      </c>
      <c r="B1141" s="9" t="s">
        <v>60</v>
      </c>
      <c r="C1141" s="9">
        <v>1267</v>
      </c>
      <c r="D1141" s="9" t="s">
        <v>688</v>
      </c>
      <c r="E1141" s="30"/>
      <c r="F1141" s="9" t="s">
        <v>2341</v>
      </c>
      <c r="G1141" s="9" t="s">
        <v>690</v>
      </c>
      <c r="H1141" s="9" t="s">
        <v>287</v>
      </c>
      <c r="I1141" s="9" t="s">
        <v>691</v>
      </c>
      <c r="J1141" s="9" t="s">
        <v>2342</v>
      </c>
      <c r="K1141" s="9" t="s">
        <v>2640</v>
      </c>
      <c r="L1141" s="9" t="s">
        <v>2640</v>
      </c>
      <c r="M1141" s="9" t="s">
        <v>51</v>
      </c>
      <c r="N1141" s="9">
        <v>53</v>
      </c>
      <c r="O1141" s="9" t="s">
        <v>72</v>
      </c>
      <c r="P1141" s="9" t="s">
        <v>72</v>
      </c>
      <c r="Q1141" s="9">
        <v>44</v>
      </c>
      <c r="R1141" s="9">
        <v>0.56000000000000005</v>
      </c>
      <c r="S1141" s="9">
        <v>-3.4058519999999999</v>
      </c>
      <c r="T1141" s="9">
        <v>129.975258</v>
      </c>
      <c r="U1141" s="9"/>
      <c r="V1141" s="11" t="e">
        <f>VLOOKUP(L1141,'[1]singkron data'!D:E,2,FALSE)</f>
        <v>#N/A</v>
      </c>
      <c r="W1141" s="11"/>
      <c r="X1141" s="11"/>
      <c r="Y1141" s="11" t="e">
        <f>VLOOKUP(L1141,'[1]singkron data'!D:H,5,FALSE)</f>
        <v>#N/A</v>
      </c>
      <c r="Z1141" s="11" t="e">
        <f>VLOOKUP(L1141,'[1]singkron data'!D:I,6,FALSE)</f>
        <v>#N/A</v>
      </c>
      <c r="AA1141" s="11" t="e">
        <f>VLOOKUP(L1141,'[1]singkron data'!D:L,9,FALSE)</f>
        <v>#N/A</v>
      </c>
      <c r="AB1141" s="11" t="s">
        <v>694</v>
      </c>
      <c r="AC1141" s="11" t="e">
        <f>VLOOKUP(L1141,'[1]singkron data'!D:M,10,FALSE)</f>
        <v>#N/A</v>
      </c>
      <c r="AD1141" s="11"/>
      <c r="AE1141" s="11" t="e">
        <f>VLOOKUP(L1141,'[1]singkron data'!D:P,13,FALSE)</f>
        <v>#N/A</v>
      </c>
      <c r="AF1141" s="11" t="s">
        <v>55</v>
      </c>
      <c r="AG1141" s="11" t="e">
        <f>VLOOKUP(L1141,'[1]update kontrak'!E:K,6,FALSE)</f>
        <v>#N/A</v>
      </c>
      <c r="AH1141" s="11" t="e">
        <f>VLOOKUP(L1141,'[1]update kontrak'!E:K,7,FALSE)</f>
        <v>#N/A</v>
      </c>
      <c r="AI1141" s="11"/>
      <c r="AJ1141" s="11" t="str">
        <f>VLOOKUP(L1141,[1]rekap!D:M,1,FALSE)</f>
        <v>Bemo Perak</v>
      </c>
      <c r="AK1141" s="11" t="e">
        <f>VLOOKUP(L1141,'[1]singkron data'!D:E,2,FALSE)</f>
        <v>#N/A</v>
      </c>
      <c r="AL1141" s="11" t="str">
        <f>VLOOKUP(L1141,'[1]update 521'!D:D,1,FALSE)</f>
        <v>Bemo Perak</v>
      </c>
      <c r="AM1141" s="11" t="s">
        <v>96</v>
      </c>
      <c r="AN1141" s="11" t="e">
        <f>VLOOKUP(L1141,[1]Sheet19!E:L,8,FALSE)</f>
        <v>#N/A</v>
      </c>
      <c r="AO1141" s="11" t="e">
        <f>VLOOKUP(L1141,[1]Sheet19!E:K,7,FALSE)</f>
        <v>#N/A</v>
      </c>
      <c r="AP1141" s="12"/>
    </row>
    <row r="1142" spans="1:42" ht="15" x14ac:dyDescent="0.2">
      <c r="A1142" s="8" t="s">
        <v>2608</v>
      </c>
      <c r="B1142" s="9" t="s">
        <v>60</v>
      </c>
      <c r="C1142" s="9">
        <v>1268</v>
      </c>
      <c r="D1142" s="9" t="s">
        <v>284</v>
      </c>
      <c r="E1142" s="30"/>
      <c r="F1142" s="9" t="s">
        <v>2641</v>
      </c>
      <c r="G1142" s="9" t="s">
        <v>301</v>
      </c>
      <c r="H1142" s="9" t="s">
        <v>287</v>
      </c>
      <c r="I1142" s="9" t="s">
        <v>2642</v>
      </c>
      <c r="J1142" s="9" t="s">
        <v>2643</v>
      </c>
      <c r="K1142" s="9" t="s">
        <v>2644</v>
      </c>
      <c r="L1142" s="10" t="s">
        <v>2644</v>
      </c>
      <c r="M1142" s="9" t="s">
        <v>51</v>
      </c>
      <c r="N1142" s="9">
        <v>425</v>
      </c>
      <c r="O1142" s="9" t="s">
        <v>72</v>
      </c>
      <c r="P1142" s="9">
        <v>336</v>
      </c>
      <c r="Q1142" s="9">
        <v>336</v>
      </c>
      <c r="R1142" s="9">
        <v>2</v>
      </c>
      <c r="S1142" s="9">
        <v>-6.8157290000000001</v>
      </c>
      <c r="T1142" s="9">
        <v>108.862013</v>
      </c>
      <c r="U1142" s="9"/>
      <c r="V1142" s="11" t="s">
        <v>2645</v>
      </c>
      <c r="W1142" s="11"/>
      <c r="X1142" s="11"/>
      <c r="Y1142" s="11" t="e">
        <f>VLOOKUP(L1142,'[1]singkron data'!D:H,5,FALSE)</f>
        <v>#N/A</v>
      </c>
      <c r="Z1142" s="11" t="e">
        <f>VLOOKUP(L1142,'[1]singkron data'!D:I,6,FALSE)</f>
        <v>#N/A</v>
      </c>
      <c r="AA1142" s="11" t="s">
        <v>2646</v>
      </c>
      <c r="AB1142" s="11" t="s">
        <v>54</v>
      </c>
      <c r="AC1142" s="11" t="s">
        <v>2624</v>
      </c>
      <c r="AD1142" s="11" t="s">
        <v>364</v>
      </c>
      <c r="AE1142" s="11" t="e">
        <f>VLOOKUP(L1142,'[1]singkron data'!D:P,13,FALSE)</f>
        <v>#N/A</v>
      </c>
      <c r="AF1142" s="11" t="s">
        <v>55</v>
      </c>
      <c r="AG1142" s="11" t="e">
        <f>VLOOKUP(L1142,'[1]update kontrak'!E:K,6,FALSE)</f>
        <v>#N/A</v>
      </c>
      <c r="AH1142" s="11" t="e">
        <f>VLOOKUP(L1142,'[1]update kontrak'!E:K,7,FALSE)</f>
        <v>#N/A</v>
      </c>
      <c r="AI1142" s="11" t="s">
        <v>58</v>
      </c>
      <c r="AJ1142" s="11" t="str">
        <f>VLOOKUP(L1142,[1]rekap!D:M,1,FALSE)</f>
        <v>Prapag Lor</v>
      </c>
      <c r="AK1142" s="11" t="e">
        <f>VLOOKUP(L1142,'[1]singkron data'!D:E,2,FALSE)</f>
        <v>#N/A</v>
      </c>
      <c r="AL1142" s="11" t="str">
        <f>VLOOKUP(L1142,'[1]update 521'!D:D,1,FALSE)</f>
        <v>Prapag Lor</v>
      </c>
      <c r="AM1142" s="11" t="s">
        <v>1253</v>
      </c>
      <c r="AN1142" s="11" t="e">
        <f>VLOOKUP(L1142,[1]Sheet19!E:L,8,FALSE)</f>
        <v>#N/A</v>
      </c>
      <c r="AO1142" s="11" t="e">
        <f>VLOOKUP(L1142,[1]Sheet19!E:K,7,FALSE)</f>
        <v>#N/A</v>
      </c>
      <c r="AP1142" s="12"/>
    </row>
    <row r="1143" spans="1:42" ht="15" x14ac:dyDescent="0.2">
      <c r="A1143" s="8" t="s">
        <v>2608</v>
      </c>
      <c r="B1143" s="9" t="s">
        <v>60</v>
      </c>
      <c r="C1143" s="9">
        <v>1269</v>
      </c>
      <c r="D1143" s="9" t="s">
        <v>688</v>
      </c>
      <c r="E1143" s="30"/>
      <c r="F1143" s="9" t="s">
        <v>735</v>
      </c>
      <c r="G1143" s="9" t="s">
        <v>690</v>
      </c>
      <c r="H1143" s="9" t="s">
        <v>287</v>
      </c>
      <c r="I1143" s="9" t="s">
        <v>691</v>
      </c>
      <c r="J1143" s="9" t="s">
        <v>2647</v>
      </c>
      <c r="K1143" s="9" t="s">
        <v>2648</v>
      </c>
      <c r="L1143" s="9" t="s">
        <v>2648</v>
      </c>
      <c r="M1143" s="9" t="s">
        <v>51</v>
      </c>
      <c r="N1143" s="9">
        <v>180</v>
      </c>
      <c r="O1143" s="9">
        <v>25</v>
      </c>
      <c r="P1143" s="9">
        <v>30</v>
      </c>
      <c r="Q1143" s="9">
        <v>55</v>
      </c>
      <c r="R1143" s="9">
        <v>1</v>
      </c>
      <c r="S1143" s="9">
        <v>-3.6314299999999999</v>
      </c>
      <c r="T1143" s="9">
        <v>130.86821</v>
      </c>
      <c r="U1143" s="9"/>
      <c r="V1143" s="11" t="e">
        <f>VLOOKUP(L1143,'[1]singkron data'!D:E,2,FALSE)</f>
        <v>#N/A</v>
      </c>
      <c r="W1143" s="11"/>
      <c r="X1143" s="11"/>
      <c r="Y1143" s="11" t="e">
        <f>VLOOKUP(L1143,'[1]singkron data'!D:H,5,FALSE)</f>
        <v>#N/A</v>
      </c>
      <c r="Z1143" s="11" t="e">
        <f>VLOOKUP(L1143,'[1]singkron data'!D:I,6,FALSE)</f>
        <v>#N/A</v>
      </c>
      <c r="AA1143" s="11" t="e">
        <f>VLOOKUP(L1143,'[1]singkron data'!D:L,9,FALSE)</f>
        <v>#N/A</v>
      </c>
      <c r="AB1143" s="11" t="s">
        <v>694</v>
      </c>
      <c r="AC1143" s="11" t="e">
        <f>VLOOKUP(L1143,'[1]singkron data'!D:M,10,FALSE)</f>
        <v>#N/A</v>
      </c>
      <c r="AD1143" s="11"/>
      <c r="AE1143" s="11" t="e">
        <f>VLOOKUP(L1143,'[1]singkron data'!D:P,13,FALSE)</f>
        <v>#N/A</v>
      </c>
      <c r="AF1143" s="11" t="s">
        <v>55</v>
      </c>
      <c r="AG1143" s="11" t="e">
        <f>VLOOKUP(L1143,'[1]update kontrak'!E:K,6,FALSE)</f>
        <v>#N/A</v>
      </c>
      <c r="AH1143" s="11" t="e">
        <f>VLOOKUP(L1143,'[1]update kontrak'!E:K,7,FALSE)</f>
        <v>#N/A</v>
      </c>
      <c r="AI1143" s="11"/>
      <c r="AJ1143" s="11" t="str">
        <f>VLOOKUP(L1143,[1]rekap!D:M,1,FALSE)</f>
        <v>Kilga Kilwouw</v>
      </c>
      <c r="AK1143" s="11" t="e">
        <f>VLOOKUP(L1143,'[1]singkron data'!D:E,2,FALSE)</f>
        <v>#N/A</v>
      </c>
      <c r="AL1143" s="11" t="str">
        <f>VLOOKUP(L1143,'[1]update 521'!D:D,1,FALSE)</f>
        <v>Kilga Kilwouw</v>
      </c>
      <c r="AM1143" s="11" t="e">
        <v>#N/A</v>
      </c>
      <c r="AN1143" s="11" t="e">
        <f>VLOOKUP(L1143,[1]Sheet19!E:L,8,FALSE)</f>
        <v>#N/A</v>
      </c>
      <c r="AO1143" s="11" t="e">
        <f>VLOOKUP(L1143,[1]Sheet19!E:K,7,FALSE)</f>
        <v>#N/A</v>
      </c>
      <c r="AP1143" s="12"/>
    </row>
    <row r="1144" spans="1:42" ht="15" x14ac:dyDescent="0.2">
      <c r="A1144" s="8" t="s">
        <v>2608</v>
      </c>
      <c r="B1144" s="9" t="s">
        <v>60</v>
      </c>
      <c r="C1144" s="9">
        <v>1270</v>
      </c>
      <c r="D1144" s="9" t="s">
        <v>284</v>
      </c>
      <c r="E1144" s="30"/>
      <c r="F1144" s="9" t="s">
        <v>2641</v>
      </c>
      <c r="G1144" s="9" t="s">
        <v>301</v>
      </c>
      <c r="H1144" s="9" t="s">
        <v>287</v>
      </c>
      <c r="I1144" s="9" t="s">
        <v>2642</v>
      </c>
      <c r="J1144" s="9" t="s">
        <v>2649</v>
      </c>
      <c r="K1144" s="9" t="s">
        <v>2650</v>
      </c>
      <c r="L1144" s="10" t="s">
        <v>2650</v>
      </c>
      <c r="M1144" s="9" t="s">
        <v>51</v>
      </c>
      <c r="N1144" s="9">
        <v>500</v>
      </c>
      <c r="O1144" s="9">
        <v>1</v>
      </c>
      <c r="P1144" s="9">
        <v>361</v>
      </c>
      <c r="Q1144" s="9">
        <v>362</v>
      </c>
      <c r="R1144" s="9">
        <v>0.5</v>
      </c>
      <c r="S1144" s="9">
        <v>-6.8739400000000002</v>
      </c>
      <c r="T1144" s="9">
        <v>108.91994</v>
      </c>
      <c r="U1144" s="9"/>
      <c r="V1144" s="11" t="s">
        <v>2645</v>
      </c>
      <c r="W1144" s="11"/>
      <c r="X1144" s="11"/>
      <c r="Y1144" s="11" t="e">
        <f>VLOOKUP(L1144,'[1]singkron data'!D:H,5,FALSE)</f>
        <v>#N/A</v>
      </c>
      <c r="Z1144" s="11" t="e">
        <f>VLOOKUP(L1144,'[1]singkron data'!D:I,6,FALSE)</f>
        <v>#N/A</v>
      </c>
      <c r="AA1144" s="11" t="s">
        <v>2646</v>
      </c>
      <c r="AB1144" s="11" t="s">
        <v>54</v>
      </c>
      <c r="AC1144" s="11" t="s">
        <v>2624</v>
      </c>
      <c r="AD1144" s="11" t="s">
        <v>364</v>
      </c>
      <c r="AE1144" s="11" t="e">
        <f>VLOOKUP(L1144,'[1]singkron data'!D:P,13,FALSE)</f>
        <v>#N/A</v>
      </c>
      <c r="AF1144" s="11" t="s">
        <v>55</v>
      </c>
      <c r="AG1144" s="11" t="e">
        <f>VLOOKUP(L1144,'[1]update kontrak'!E:K,6,FALSE)</f>
        <v>#N/A</v>
      </c>
      <c r="AH1144" s="11" t="e">
        <f>VLOOKUP(L1144,'[1]update kontrak'!E:K,7,FALSE)</f>
        <v>#N/A</v>
      </c>
      <c r="AI1144" s="11" t="s">
        <v>58</v>
      </c>
      <c r="AJ1144" s="11" t="str">
        <f>VLOOKUP(L1144,[1]rekap!D:M,1,FALSE)</f>
        <v>Kluwut</v>
      </c>
      <c r="AK1144" s="11" t="e">
        <f>VLOOKUP(L1144,'[1]singkron data'!D:E,2,FALSE)</f>
        <v>#N/A</v>
      </c>
      <c r="AL1144" s="11" t="str">
        <f>VLOOKUP(L1144,'[1]update 521'!D:D,1,FALSE)</f>
        <v>Kluwut</v>
      </c>
      <c r="AM1144" s="11" t="s">
        <v>1253</v>
      </c>
      <c r="AN1144" s="11" t="e">
        <f>VLOOKUP(L1144,[1]Sheet19!E:L,8,FALSE)</f>
        <v>#N/A</v>
      </c>
      <c r="AO1144" s="11" t="e">
        <f>VLOOKUP(L1144,[1]Sheet19!E:K,7,FALSE)</f>
        <v>#N/A</v>
      </c>
      <c r="AP1144" s="12"/>
    </row>
    <row r="1145" spans="1:42" ht="15" x14ac:dyDescent="0.2">
      <c r="A1145" s="21" t="s">
        <v>2608</v>
      </c>
      <c r="B1145" s="22" t="s">
        <v>60</v>
      </c>
      <c r="C1145" s="22">
        <v>1271</v>
      </c>
      <c r="D1145" s="22" t="s">
        <v>284</v>
      </c>
      <c r="E1145" s="46"/>
      <c r="F1145" s="22" t="s">
        <v>2641</v>
      </c>
      <c r="G1145" s="22" t="s">
        <v>301</v>
      </c>
      <c r="H1145" s="22" t="s">
        <v>287</v>
      </c>
      <c r="I1145" s="22" t="s">
        <v>2642</v>
      </c>
      <c r="J1145" s="22" t="s">
        <v>2649</v>
      </c>
      <c r="K1145" s="22" t="s">
        <v>2651</v>
      </c>
      <c r="L1145" s="22" t="s">
        <v>2651</v>
      </c>
      <c r="M1145" s="22" t="s">
        <v>51</v>
      </c>
      <c r="N1145" s="22">
        <v>172</v>
      </c>
      <c r="O1145" s="22">
        <v>1</v>
      </c>
      <c r="P1145" s="22">
        <v>133</v>
      </c>
      <c r="Q1145" s="22">
        <v>134</v>
      </c>
      <c r="R1145" s="22">
        <v>0.35</v>
      </c>
      <c r="S1145" s="22">
        <v>-6.8425168999999997</v>
      </c>
      <c r="T1145" s="22">
        <v>108.9284753</v>
      </c>
      <c r="U1145" s="22"/>
      <c r="V1145" s="25" t="s">
        <v>2652</v>
      </c>
      <c r="W1145" s="25"/>
      <c r="X1145" s="25"/>
      <c r="Y1145" s="25" t="e">
        <f>VLOOKUP(L1145,'[1]singkron data'!D:H,5,FALSE)</f>
        <v>#N/A</v>
      </c>
      <c r="Z1145" s="25" t="e">
        <f>VLOOKUP(L1145,'[1]singkron data'!D:I,6,FALSE)</f>
        <v>#N/A</v>
      </c>
      <c r="AA1145" s="25" t="s">
        <v>2653</v>
      </c>
      <c r="AB1145" s="25" t="s">
        <v>54</v>
      </c>
      <c r="AC1145" s="25" t="s">
        <v>2654</v>
      </c>
      <c r="AD1145" s="25" t="s">
        <v>364</v>
      </c>
      <c r="AE1145" s="25" t="s">
        <v>399</v>
      </c>
      <c r="AF1145" s="11" t="s">
        <v>55</v>
      </c>
      <c r="AG1145" s="25" t="e">
        <f>VLOOKUP(L1145,'[1]update kontrak'!E:K,6,FALSE)</f>
        <v>#N/A</v>
      </c>
      <c r="AH1145" s="25" t="e">
        <f>VLOOKUP(L1145,'[1]update kontrak'!E:K,7,FALSE)</f>
        <v>#N/A</v>
      </c>
      <c r="AI1145" s="25" t="s">
        <v>58</v>
      </c>
      <c r="AJ1145" s="25" t="str">
        <f>VLOOKUP(L1145,[1]rekap!D:M,1,FALSE)</f>
        <v>Grinting</v>
      </c>
      <c r="AK1145" s="25" t="e">
        <f>VLOOKUP(L1145,'[1]singkron data'!D:E,2,FALSE)</f>
        <v>#N/A</v>
      </c>
      <c r="AL1145" s="25" t="str">
        <f>VLOOKUP(L1145,'[1]update 521'!D:D,1,FALSE)</f>
        <v>Grinting</v>
      </c>
      <c r="AM1145" s="25" t="s">
        <v>337</v>
      </c>
      <c r="AN1145" s="11" t="e">
        <f>VLOOKUP(L1145,[1]Sheet19!E:L,8,FALSE)</f>
        <v>#N/A</v>
      </c>
      <c r="AO1145" s="11" t="e">
        <f>VLOOKUP(L1145,[1]Sheet19!E:K,7,FALSE)</f>
        <v>#N/A</v>
      </c>
      <c r="AP1145" s="47"/>
    </row>
    <row r="1146" spans="1:42" ht="15" x14ac:dyDescent="0.2">
      <c r="A1146" s="8" t="s">
        <v>2608</v>
      </c>
      <c r="B1146" s="9" t="s">
        <v>60</v>
      </c>
      <c r="C1146" s="9">
        <v>1272</v>
      </c>
      <c r="D1146" s="9" t="s">
        <v>688</v>
      </c>
      <c r="E1146" s="30"/>
      <c r="F1146" s="9" t="s">
        <v>902</v>
      </c>
      <c r="G1146" s="9" t="s">
        <v>690</v>
      </c>
      <c r="H1146" s="9" t="s">
        <v>287</v>
      </c>
      <c r="I1146" s="9" t="s">
        <v>767</v>
      </c>
      <c r="J1146" s="9" t="s">
        <v>903</v>
      </c>
      <c r="K1146" s="9" t="s">
        <v>2655</v>
      </c>
      <c r="L1146" s="9" t="s">
        <v>2655</v>
      </c>
      <c r="M1146" s="9" t="s">
        <v>51</v>
      </c>
      <c r="N1146" s="9">
        <v>120</v>
      </c>
      <c r="O1146" s="9">
        <v>150</v>
      </c>
      <c r="P1146" s="9">
        <v>20</v>
      </c>
      <c r="Q1146" s="9">
        <v>170</v>
      </c>
      <c r="R1146" s="9">
        <v>1.8</v>
      </c>
      <c r="S1146" s="9">
        <v>-5.8615599999999999</v>
      </c>
      <c r="T1146" s="9">
        <v>132.95552000000001</v>
      </c>
      <c r="U1146" s="9"/>
      <c r="V1146" s="11" t="s">
        <v>770</v>
      </c>
      <c r="W1146" s="11"/>
      <c r="X1146" s="11"/>
      <c r="Y1146" s="11" t="e">
        <f>VLOOKUP(L1146,'[1]singkron data'!D:H,5,FALSE)</f>
        <v>#N/A</v>
      </c>
      <c r="Z1146" s="11" t="e">
        <f>VLOOKUP(L1146,'[1]singkron data'!D:I,6,FALSE)</f>
        <v>#N/A</v>
      </c>
      <c r="AA1146" s="11" t="s">
        <v>771</v>
      </c>
      <c r="AB1146" s="11" t="s">
        <v>694</v>
      </c>
      <c r="AC1146" s="11" t="s">
        <v>772</v>
      </c>
      <c r="AD1146" s="11"/>
      <c r="AE1146" s="11" t="e">
        <f>VLOOKUP(L1146,'[1]singkron data'!D:P,13,FALSE)</f>
        <v>#N/A</v>
      </c>
      <c r="AF1146" s="11" t="s">
        <v>55</v>
      </c>
      <c r="AG1146" s="11" t="e">
        <f>VLOOKUP(L1146,'[1]update kontrak'!E:K,6,FALSE)</f>
        <v>#N/A</v>
      </c>
      <c r="AH1146" s="11" t="e">
        <f>VLOOKUP(L1146,'[1]update kontrak'!E:K,7,FALSE)</f>
        <v>#N/A</v>
      </c>
      <c r="AI1146" s="11"/>
      <c r="AJ1146" s="11" t="str">
        <f>VLOOKUP(L1146,[1]rekap!D:M,1,FALSE)</f>
        <v>Sather</v>
      </c>
      <c r="AK1146" s="11" t="e">
        <f>VLOOKUP(L1146,'[1]singkron data'!D:E,2,FALSE)</f>
        <v>#N/A</v>
      </c>
      <c r="AL1146" s="11" t="str">
        <f>VLOOKUP(L1146,'[1]update 521'!D:D,1,FALSE)</f>
        <v>Sather</v>
      </c>
      <c r="AM1146" s="11" t="e">
        <v>#N/A</v>
      </c>
      <c r="AN1146" s="11" t="e">
        <f>VLOOKUP(L1146,[1]Sheet19!E:L,8,FALSE)</f>
        <v>#N/A</v>
      </c>
      <c r="AO1146" s="11" t="e">
        <f>VLOOKUP(L1146,[1]Sheet19!E:K,7,FALSE)</f>
        <v>#N/A</v>
      </c>
      <c r="AP1146" s="12"/>
    </row>
    <row r="1147" spans="1:42" ht="15" x14ac:dyDescent="0.2">
      <c r="A1147" s="8" t="s">
        <v>2608</v>
      </c>
      <c r="B1147" s="9" t="s">
        <v>60</v>
      </c>
      <c r="C1147" s="9">
        <v>1273</v>
      </c>
      <c r="D1147" s="9" t="s">
        <v>284</v>
      </c>
      <c r="E1147" s="30"/>
      <c r="F1147" s="9" t="s">
        <v>2641</v>
      </c>
      <c r="G1147" s="9" t="s">
        <v>301</v>
      </c>
      <c r="H1147" s="9" t="s">
        <v>287</v>
      </c>
      <c r="I1147" s="9" t="s">
        <v>2642</v>
      </c>
      <c r="J1147" s="9" t="s">
        <v>264</v>
      </c>
      <c r="K1147" s="9" t="s">
        <v>2656</v>
      </c>
      <c r="L1147" s="10" t="s">
        <v>2656</v>
      </c>
      <c r="M1147" s="9" t="s">
        <v>51</v>
      </c>
      <c r="N1147" s="9">
        <v>1500</v>
      </c>
      <c r="O1147" s="9" t="s">
        <v>72</v>
      </c>
      <c r="P1147" s="9">
        <v>385</v>
      </c>
      <c r="Q1147" s="9">
        <v>385</v>
      </c>
      <c r="R1147" s="9">
        <v>0.05</v>
      </c>
      <c r="S1147" s="9">
        <v>-6.8472020000000002</v>
      </c>
      <c r="T1147" s="9">
        <v>108.8789</v>
      </c>
      <c r="U1147" s="9"/>
      <c r="V1147" s="11" t="s">
        <v>2657</v>
      </c>
      <c r="W1147" s="11"/>
      <c r="X1147" s="11"/>
      <c r="Y1147" s="11" t="e">
        <f>VLOOKUP(L1147,'[1]singkron data'!D:H,5,FALSE)</f>
        <v>#N/A</v>
      </c>
      <c r="Z1147" s="11" t="e">
        <f>VLOOKUP(L1147,'[1]singkron data'!D:I,6,FALSE)</f>
        <v>#N/A</v>
      </c>
      <c r="AA1147" s="11" t="s">
        <v>2658</v>
      </c>
      <c r="AB1147" s="11" t="s">
        <v>54</v>
      </c>
      <c r="AC1147" s="11" t="s">
        <v>1660</v>
      </c>
      <c r="AD1147" s="11" t="s">
        <v>364</v>
      </c>
      <c r="AE1147" s="11" t="e">
        <f>VLOOKUP(L1147,'[1]singkron data'!D:P,13,FALSE)</f>
        <v>#N/A</v>
      </c>
      <c r="AF1147" s="11" t="s">
        <v>55</v>
      </c>
      <c r="AG1147" s="11" t="e">
        <f>VLOOKUP(L1147,'[1]update kontrak'!E:K,6,FALSE)</f>
        <v>#N/A</v>
      </c>
      <c r="AH1147" s="11" t="e">
        <f>VLOOKUP(L1147,'[1]update kontrak'!E:K,7,FALSE)</f>
        <v>#N/A</v>
      </c>
      <c r="AI1147" s="11" t="s">
        <v>58</v>
      </c>
      <c r="AJ1147" s="11" t="str">
        <f>VLOOKUP(L1147,[1]rekap!D:M,1,FALSE)</f>
        <v>Pengaradan</v>
      </c>
      <c r="AK1147" s="11" t="e">
        <f>VLOOKUP(L1147,'[1]singkron data'!D:E,2,FALSE)</f>
        <v>#N/A</v>
      </c>
      <c r="AL1147" s="11" t="str">
        <f>VLOOKUP(L1147,'[1]update 521'!D:D,1,FALSE)</f>
        <v>Pengaradan</v>
      </c>
      <c r="AM1147" s="11" t="s">
        <v>1253</v>
      </c>
      <c r="AN1147" s="11" t="e">
        <f>VLOOKUP(L1147,[1]Sheet19!E:L,8,FALSE)</f>
        <v>#N/A</v>
      </c>
      <c r="AO1147" s="11" t="e">
        <f>VLOOKUP(L1147,[1]Sheet19!E:K,7,FALSE)</f>
        <v>#N/A</v>
      </c>
      <c r="AP1147" s="12"/>
    </row>
    <row r="1148" spans="1:42" ht="15" x14ac:dyDescent="0.2">
      <c r="A1148" s="8" t="s">
        <v>2608</v>
      </c>
      <c r="B1148" s="9" t="s">
        <v>60</v>
      </c>
      <c r="C1148" s="9">
        <v>1274</v>
      </c>
      <c r="D1148" s="9" t="s">
        <v>284</v>
      </c>
      <c r="E1148" s="30"/>
      <c r="F1148" s="9" t="s">
        <v>2641</v>
      </c>
      <c r="G1148" s="9" t="s">
        <v>301</v>
      </c>
      <c r="H1148" s="9" t="s">
        <v>287</v>
      </c>
      <c r="I1148" s="9" t="s">
        <v>2642</v>
      </c>
      <c r="J1148" s="9" t="s">
        <v>264</v>
      </c>
      <c r="K1148" s="9" t="s">
        <v>2659</v>
      </c>
      <c r="L1148" s="10" t="s">
        <v>2659</v>
      </c>
      <c r="M1148" s="9" t="s">
        <v>51</v>
      </c>
      <c r="N1148" s="9">
        <v>194</v>
      </c>
      <c r="O1148" s="9" t="s">
        <v>72</v>
      </c>
      <c r="P1148" s="9">
        <v>173</v>
      </c>
      <c r="Q1148" s="9">
        <v>173</v>
      </c>
      <c r="R1148" s="9">
        <v>0.05</v>
      </c>
      <c r="S1148" s="9">
        <v>-6.8479285980000002</v>
      </c>
      <c r="T1148" s="9">
        <v>108.88594670000001</v>
      </c>
      <c r="U1148" s="9"/>
      <c r="V1148" s="11" t="s">
        <v>2657</v>
      </c>
      <c r="W1148" s="11"/>
      <c r="X1148" s="11"/>
      <c r="Y1148" s="11" t="e">
        <f>VLOOKUP(L1148,'[1]singkron data'!D:H,5,FALSE)</f>
        <v>#N/A</v>
      </c>
      <c r="Z1148" s="11" t="e">
        <f>VLOOKUP(L1148,'[1]singkron data'!D:I,6,FALSE)</f>
        <v>#N/A</v>
      </c>
      <c r="AA1148" s="11" t="s">
        <v>2658</v>
      </c>
      <c r="AB1148" s="11" t="s">
        <v>54</v>
      </c>
      <c r="AC1148" s="11" t="s">
        <v>1660</v>
      </c>
      <c r="AD1148" s="11" t="s">
        <v>364</v>
      </c>
      <c r="AE1148" s="11" t="e">
        <f>VLOOKUP(L1148,'[1]singkron data'!D:P,13,FALSE)</f>
        <v>#N/A</v>
      </c>
      <c r="AF1148" s="11" t="s">
        <v>55</v>
      </c>
      <c r="AG1148" s="11" t="e">
        <f>VLOOKUP(L1148,'[1]update kontrak'!E:K,6,FALSE)</f>
        <v>#N/A</v>
      </c>
      <c r="AH1148" s="11" t="e">
        <f>VLOOKUP(L1148,'[1]update kontrak'!E:K,7,FALSE)</f>
        <v>#N/A</v>
      </c>
      <c r="AI1148" s="11" t="s">
        <v>58</v>
      </c>
      <c r="AJ1148" s="11" t="str">
        <f>VLOOKUP(L1148,[1]rekap!D:M,1,FALSE)</f>
        <v>Krakahan</v>
      </c>
      <c r="AK1148" s="11" t="e">
        <f>VLOOKUP(L1148,'[1]singkron data'!D:E,2,FALSE)</f>
        <v>#N/A</v>
      </c>
      <c r="AL1148" s="11" t="str">
        <f>VLOOKUP(L1148,'[1]update 521'!D:D,1,FALSE)</f>
        <v>Krakahan</v>
      </c>
      <c r="AM1148" s="11" t="s">
        <v>1253</v>
      </c>
      <c r="AN1148" s="11" t="e">
        <f>VLOOKUP(L1148,[1]Sheet19!E:L,8,FALSE)</f>
        <v>#N/A</v>
      </c>
      <c r="AO1148" s="11" t="e">
        <f>VLOOKUP(L1148,[1]Sheet19!E:K,7,FALSE)</f>
        <v>#N/A</v>
      </c>
      <c r="AP1148" s="12"/>
    </row>
    <row r="1149" spans="1:42" ht="15" x14ac:dyDescent="0.2">
      <c r="A1149" s="8" t="s">
        <v>2608</v>
      </c>
      <c r="B1149" s="9" t="s">
        <v>60</v>
      </c>
      <c r="C1149" s="9">
        <v>1275</v>
      </c>
      <c r="D1149" s="9" t="s">
        <v>908</v>
      </c>
      <c r="E1149" s="30"/>
      <c r="F1149" s="9" t="s">
        <v>1016</v>
      </c>
      <c r="G1149" s="9" t="s">
        <v>908</v>
      </c>
      <c r="H1149" s="9" t="s">
        <v>911</v>
      </c>
      <c r="I1149" s="9" t="s">
        <v>1014</v>
      </c>
      <c r="J1149" s="9" t="s">
        <v>2173</v>
      </c>
      <c r="K1149" s="9" t="s">
        <v>2660</v>
      </c>
      <c r="L1149" s="9" t="s">
        <v>2660</v>
      </c>
      <c r="M1149" s="9" t="s">
        <v>51</v>
      </c>
      <c r="N1149" s="9">
        <v>73</v>
      </c>
      <c r="O1149" s="9">
        <v>73</v>
      </c>
      <c r="P1149" s="9">
        <v>4</v>
      </c>
      <c r="Q1149" s="9">
        <v>77</v>
      </c>
      <c r="R1149" s="9">
        <v>0.06</v>
      </c>
      <c r="S1149" s="9">
        <v>-1.1355919999999999</v>
      </c>
      <c r="T1149" s="9">
        <v>134.90982600000001</v>
      </c>
      <c r="U1149" s="9"/>
      <c r="V1149" s="11" t="s">
        <v>694</v>
      </c>
      <c r="W1149" s="11"/>
      <c r="X1149" s="11"/>
      <c r="Y1149" s="11" t="e">
        <f>VLOOKUP(L1149,'[1]singkron data'!D:H,5,FALSE)</f>
        <v>#N/A</v>
      </c>
      <c r="Z1149" s="11" t="e">
        <f>VLOOKUP(L1149,'[1]singkron data'!D:I,6,FALSE)</f>
        <v>#N/A</v>
      </c>
      <c r="AA1149" s="11" t="e">
        <f>VLOOKUP(L1149,'[1]singkron data'!D:L,9,FALSE)</f>
        <v>#N/A</v>
      </c>
      <c r="AB1149" s="11" t="s">
        <v>694</v>
      </c>
      <c r="AC1149" s="11" t="e">
        <f>VLOOKUP(L1149,'[1]singkron data'!D:M,10,FALSE)</f>
        <v>#N/A</v>
      </c>
      <c r="AD1149" s="11"/>
      <c r="AE1149" s="11" t="e">
        <f>VLOOKUP(L1149,'[1]singkron data'!D:P,13,FALSE)</f>
        <v>#N/A</v>
      </c>
      <c r="AF1149" s="11" t="s">
        <v>55</v>
      </c>
      <c r="AG1149" s="11" t="e">
        <f>VLOOKUP(L1149,'[1]update kontrak'!E:K,6,FALSE)</f>
        <v>#N/A</v>
      </c>
      <c r="AH1149" s="11" t="e">
        <f>VLOOKUP(L1149,'[1]update kontrak'!E:K,7,FALSE)</f>
        <v>#N/A</v>
      </c>
      <c r="AI1149" s="11"/>
      <c r="AJ1149" s="11" t="str">
        <f>VLOOKUP(L1149,[1]rekap!D:M,1,FALSE)</f>
        <v>Pakreki</v>
      </c>
      <c r="AK1149" s="11" t="e">
        <f>VLOOKUP(L1149,'[1]singkron data'!D:E,2,FALSE)</f>
        <v>#N/A</v>
      </c>
      <c r="AL1149" s="11" t="str">
        <f>VLOOKUP(L1149,'[1]update 521'!D:D,1,FALSE)</f>
        <v>Pakreki</v>
      </c>
      <c r="AM1149" s="11" t="e">
        <f>VLOOKUP(L1149,[1]Sheet18!I:M,5,FALSE)</f>
        <v>#N/A</v>
      </c>
      <c r="AN1149" s="11" t="e">
        <f>VLOOKUP(L1149,[1]Sheet19!E:L,8,FALSE)</f>
        <v>#N/A</v>
      </c>
      <c r="AO1149" s="11" t="e">
        <f>VLOOKUP(L1149,[1]Sheet19!E:K,7,FALSE)</f>
        <v>#N/A</v>
      </c>
      <c r="AP1149" s="12"/>
    </row>
    <row r="1150" spans="1:42" ht="15" x14ac:dyDescent="0.2">
      <c r="A1150" s="8" t="s">
        <v>2608</v>
      </c>
      <c r="B1150" s="9" t="s">
        <v>60</v>
      </c>
      <c r="C1150" s="9">
        <v>1276</v>
      </c>
      <c r="D1150" s="9" t="s">
        <v>908</v>
      </c>
      <c r="E1150" s="30"/>
      <c r="F1150" s="9" t="s">
        <v>988</v>
      </c>
      <c r="G1150" s="9" t="s">
        <v>993</v>
      </c>
      <c r="H1150" s="9" t="s">
        <v>911</v>
      </c>
      <c r="I1150" s="9" t="s">
        <v>994</v>
      </c>
      <c r="J1150" s="9" t="s">
        <v>2661</v>
      </c>
      <c r="K1150" s="9" t="s">
        <v>2661</v>
      </c>
      <c r="L1150" s="9" t="s">
        <v>2661</v>
      </c>
      <c r="M1150" s="9" t="s">
        <v>51</v>
      </c>
      <c r="N1150" s="9">
        <v>322</v>
      </c>
      <c r="O1150" s="9">
        <v>80</v>
      </c>
      <c r="P1150" s="9" t="s">
        <v>72</v>
      </c>
      <c r="Q1150" s="9">
        <v>80</v>
      </c>
      <c r="R1150" s="9">
        <v>0.13200000000000001</v>
      </c>
      <c r="S1150" s="9">
        <v>-4.6236059999999997</v>
      </c>
      <c r="T1150" s="9">
        <v>136.147986</v>
      </c>
      <c r="U1150" s="9"/>
      <c r="V1150" s="11" t="s">
        <v>694</v>
      </c>
      <c r="W1150" s="11"/>
      <c r="X1150" s="11"/>
      <c r="Y1150" s="11" t="e">
        <f>VLOOKUP(L1150,'[1]singkron data'!D:H,5,FALSE)</f>
        <v>#N/A</v>
      </c>
      <c r="Z1150" s="11" t="e">
        <f>VLOOKUP(L1150,'[1]singkron data'!D:I,6,FALSE)</f>
        <v>#N/A</v>
      </c>
      <c r="AA1150" s="11" t="e">
        <f>VLOOKUP(L1150,'[1]singkron data'!D:L,9,FALSE)</f>
        <v>#N/A</v>
      </c>
      <c r="AB1150" s="11" t="s">
        <v>694</v>
      </c>
      <c r="AC1150" s="11" t="e">
        <f>VLOOKUP(L1150,'[1]singkron data'!D:M,10,FALSE)</f>
        <v>#N/A</v>
      </c>
      <c r="AD1150" s="11"/>
      <c r="AE1150" s="11" t="e">
        <f>VLOOKUP(L1150,'[1]singkron data'!D:P,13,FALSE)</f>
        <v>#N/A</v>
      </c>
      <c r="AF1150" s="11"/>
      <c r="AG1150" s="11" t="e">
        <f>VLOOKUP(L1150,'[1]update kontrak'!E:K,6,FALSE)</f>
        <v>#N/A</v>
      </c>
      <c r="AH1150" s="11" t="e">
        <f>VLOOKUP(L1150,'[1]update kontrak'!E:K,7,FALSE)</f>
        <v>#N/A</v>
      </c>
      <c r="AI1150" s="11"/>
      <c r="AJ1150" s="11" t="str">
        <f>VLOOKUP(L1150,[1]rekap!D:M,1,FALSE)</f>
        <v>Amar</v>
      </c>
      <c r="AK1150" s="11" t="e">
        <f>VLOOKUP(L1150,'[1]singkron data'!D:E,2,FALSE)</f>
        <v>#N/A</v>
      </c>
      <c r="AL1150" s="11" t="str">
        <f>VLOOKUP(L1150,'[1]update 521'!D:D,1,FALSE)</f>
        <v>Amar</v>
      </c>
      <c r="AM1150" s="11" t="e">
        <f>VLOOKUP(L1150,[1]Sheet18!I:M,5,FALSE)</f>
        <v>#N/A</v>
      </c>
      <c r="AN1150" s="11" t="e">
        <f>VLOOKUP(L1150,[1]Sheet19!E:L,8,FALSE)</f>
        <v>#N/A</v>
      </c>
      <c r="AO1150" s="11" t="e">
        <f>VLOOKUP(L1150,[1]Sheet19!E:K,7,FALSE)</f>
        <v>#N/A</v>
      </c>
      <c r="AP1150" s="12"/>
    </row>
    <row r="1151" spans="1:42" ht="15" x14ac:dyDescent="0.2">
      <c r="A1151" s="8" t="s">
        <v>2608</v>
      </c>
      <c r="B1151" s="9" t="s">
        <v>60</v>
      </c>
      <c r="C1151" s="9">
        <v>1277</v>
      </c>
      <c r="D1151" s="9" t="s">
        <v>908</v>
      </c>
      <c r="E1151" s="30"/>
      <c r="F1151" s="9" t="s">
        <v>988</v>
      </c>
      <c r="G1151" s="9" t="s">
        <v>993</v>
      </c>
      <c r="H1151" s="9" t="s">
        <v>911</v>
      </c>
      <c r="I1151" s="9" t="s">
        <v>994</v>
      </c>
      <c r="J1151" s="9" t="s">
        <v>2661</v>
      </c>
      <c r="K1151" s="9" t="s">
        <v>2662</v>
      </c>
      <c r="L1151" s="9" t="s">
        <v>2662</v>
      </c>
      <c r="M1151" s="9" t="s">
        <v>51</v>
      </c>
      <c r="N1151" s="9">
        <v>200</v>
      </c>
      <c r="O1151" s="9">
        <v>40</v>
      </c>
      <c r="P1151" s="9" t="s">
        <v>72</v>
      </c>
      <c r="Q1151" s="9">
        <v>40</v>
      </c>
      <c r="R1151" s="9">
        <v>0.13500000000000001</v>
      </c>
      <c r="S1151" s="9">
        <v>-4.6621069999999998</v>
      </c>
      <c r="T1151" s="9">
        <v>136.32615899999999</v>
      </c>
      <c r="U1151" s="9"/>
      <c r="V1151" s="11" t="s">
        <v>694</v>
      </c>
      <c r="W1151" s="11"/>
      <c r="X1151" s="11"/>
      <c r="Y1151" s="11" t="e">
        <f>VLOOKUP(L1151,'[1]singkron data'!D:H,5,FALSE)</f>
        <v>#N/A</v>
      </c>
      <c r="Z1151" s="11" t="e">
        <f>VLOOKUP(L1151,'[1]singkron data'!D:I,6,FALSE)</f>
        <v>#N/A</v>
      </c>
      <c r="AA1151" s="11" t="e">
        <f>VLOOKUP(L1151,'[1]singkron data'!D:L,9,FALSE)</f>
        <v>#N/A</v>
      </c>
      <c r="AB1151" s="11" t="s">
        <v>694</v>
      </c>
      <c r="AC1151" s="11" t="e">
        <f>VLOOKUP(L1151,'[1]singkron data'!D:M,10,FALSE)</f>
        <v>#N/A</v>
      </c>
      <c r="AD1151" s="11"/>
      <c r="AE1151" s="11" t="e">
        <f>VLOOKUP(L1151,'[1]singkron data'!D:P,13,FALSE)</f>
        <v>#N/A</v>
      </c>
      <c r="AF1151" s="11"/>
      <c r="AG1151" s="11" t="e">
        <f>VLOOKUP(L1151,'[1]update kontrak'!E:K,6,FALSE)</f>
        <v>#N/A</v>
      </c>
      <c r="AH1151" s="11" t="e">
        <f>VLOOKUP(L1151,'[1]update kontrak'!E:K,7,FALSE)</f>
        <v>#N/A</v>
      </c>
      <c r="AI1151" s="11"/>
      <c r="AJ1151" s="11" t="str">
        <f>VLOOKUP(L1151,[1]rekap!D:M,1,FALSE)</f>
        <v>Ipiri</v>
      </c>
      <c r="AK1151" s="11" t="e">
        <f>VLOOKUP(L1151,'[1]singkron data'!D:E,2,FALSE)</f>
        <v>#N/A</v>
      </c>
      <c r="AL1151" s="11" t="str">
        <f>VLOOKUP(L1151,'[1]update 521'!D:D,1,FALSE)</f>
        <v>Ipiri</v>
      </c>
      <c r="AM1151" s="11" t="e">
        <f>VLOOKUP(L1151,[1]Sheet18!I:M,5,FALSE)</f>
        <v>#N/A</v>
      </c>
      <c r="AN1151" s="11" t="e">
        <f>VLOOKUP(L1151,[1]Sheet19!E:L,8,FALSE)</f>
        <v>#N/A</v>
      </c>
      <c r="AO1151" s="11" t="e">
        <f>VLOOKUP(L1151,[1]Sheet19!E:K,7,FALSE)</f>
        <v>#N/A</v>
      </c>
      <c r="AP1151" s="12"/>
    </row>
    <row r="1152" spans="1:42" ht="15" x14ac:dyDescent="0.2">
      <c r="A1152" s="8" t="s">
        <v>2608</v>
      </c>
      <c r="B1152" s="9" t="s">
        <v>60</v>
      </c>
      <c r="C1152" s="9">
        <v>1278</v>
      </c>
      <c r="D1152" s="9" t="s">
        <v>688</v>
      </c>
      <c r="E1152" s="30"/>
      <c r="F1152" s="9" t="s">
        <v>689</v>
      </c>
      <c r="G1152" s="9" t="s">
        <v>690</v>
      </c>
      <c r="H1152" s="9" t="s">
        <v>287</v>
      </c>
      <c r="I1152" s="9" t="s">
        <v>691</v>
      </c>
      <c r="J1152" s="9" t="s">
        <v>692</v>
      </c>
      <c r="K1152" s="9" t="s">
        <v>2663</v>
      </c>
      <c r="L1152" s="9" t="s">
        <v>2663</v>
      </c>
      <c r="M1152" s="9" t="s">
        <v>51</v>
      </c>
      <c r="N1152" s="9">
        <v>145</v>
      </c>
      <c r="O1152" s="9">
        <v>50</v>
      </c>
      <c r="P1152" s="9">
        <v>150</v>
      </c>
      <c r="Q1152" s="9">
        <v>200</v>
      </c>
      <c r="R1152" s="9">
        <v>0.64</v>
      </c>
      <c r="S1152" s="9">
        <v>-3.06046</v>
      </c>
      <c r="T1152" s="9">
        <v>130.46025</v>
      </c>
      <c r="U1152" s="9"/>
      <c r="V1152" s="11" t="e">
        <f>VLOOKUP(L1152,'[1]singkron data'!D:E,2,FALSE)</f>
        <v>#N/A</v>
      </c>
      <c r="W1152" s="11"/>
      <c r="X1152" s="11"/>
      <c r="Y1152" s="11" t="e">
        <f>VLOOKUP(L1152,'[1]singkron data'!D:H,5,FALSE)</f>
        <v>#N/A</v>
      </c>
      <c r="Z1152" s="11" t="e">
        <f>VLOOKUP(L1152,'[1]singkron data'!D:I,6,FALSE)</f>
        <v>#N/A</v>
      </c>
      <c r="AA1152" s="11" t="e">
        <f>VLOOKUP(L1152,'[1]singkron data'!D:L,9,FALSE)</f>
        <v>#N/A</v>
      </c>
      <c r="AB1152" s="11" t="s">
        <v>694</v>
      </c>
      <c r="AC1152" s="11" t="e">
        <f>VLOOKUP(L1152,'[1]singkron data'!D:M,10,FALSE)</f>
        <v>#N/A</v>
      </c>
      <c r="AD1152" s="11"/>
      <c r="AE1152" s="11" t="e">
        <f>VLOOKUP(L1152,'[1]singkron data'!D:P,13,FALSE)</f>
        <v>#N/A</v>
      </c>
      <c r="AF1152" s="11" t="s">
        <v>55</v>
      </c>
      <c r="AG1152" s="11" t="e">
        <f>VLOOKUP(L1152,'[1]update kontrak'!E:K,6,FALSE)</f>
        <v>#N/A</v>
      </c>
      <c r="AH1152" s="11" t="e">
        <f>VLOOKUP(L1152,'[1]update kontrak'!E:K,7,FALSE)</f>
        <v>#N/A</v>
      </c>
      <c r="AI1152" s="11"/>
      <c r="AJ1152" s="11" t="str">
        <f>VLOOKUP(L1152,[1]rekap!D:M,1,FALSE)</f>
        <v>Sesar</v>
      </c>
      <c r="AK1152" s="11" t="e">
        <f>VLOOKUP(L1152,'[1]singkron data'!D:E,2,FALSE)</f>
        <v>#N/A</v>
      </c>
      <c r="AL1152" s="11" t="str">
        <f>VLOOKUP(L1152,'[1]update 521'!D:D,1,FALSE)</f>
        <v>Sesar</v>
      </c>
      <c r="AM1152" s="11" t="e">
        <v>#N/A</v>
      </c>
      <c r="AN1152" s="11" t="e">
        <f>VLOOKUP(L1152,[1]Sheet19!E:L,8,FALSE)</f>
        <v>#N/A</v>
      </c>
      <c r="AO1152" s="11" t="e">
        <f>VLOOKUP(L1152,[1]Sheet19!E:K,7,FALSE)</f>
        <v>#N/A</v>
      </c>
      <c r="AP1152" s="12"/>
    </row>
    <row r="1153" spans="1:42" ht="15" x14ac:dyDescent="0.2">
      <c r="A1153" s="27" t="s">
        <v>2608</v>
      </c>
      <c r="B1153" s="28" t="s">
        <v>60</v>
      </c>
      <c r="C1153" s="28">
        <v>1279</v>
      </c>
      <c r="D1153" s="28" t="s">
        <v>1112</v>
      </c>
      <c r="E1153" s="45"/>
      <c r="F1153" s="28" t="s">
        <v>1398</v>
      </c>
      <c r="G1153" s="28" t="s">
        <v>1243</v>
      </c>
      <c r="H1153" s="28" t="s">
        <v>287</v>
      </c>
      <c r="I1153" s="28" t="s">
        <v>1243</v>
      </c>
      <c r="J1153" s="28" t="s">
        <v>1399</v>
      </c>
      <c r="K1153" s="28" t="s">
        <v>2664</v>
      </c>
      <c r="L1153" s="35" t="s">
        <v>2664</v>
      </c>
      <c r="M1153" s="28" t="s">
        <v>51</v>
      </c>
      <c r="N1153" s="28">
        <v>74</v>
      </c>
      <c r="O1153" s="28">
        <v>36</v>
      </c>
      <c r="P1153" s="28">
        <v>20</v>
      </c>
      <c r="Q1153" s="28">
        <v>56</v>
      </c>
      <c r="R1153" s="28" t="s">
        <v>2502</v>
      </c>
      <c r="S1153" s="28">
        <v>0.4954672</v>
      </c>
      <c r="T1153" s="28">
        <v>122.8235006</v>
      </c>
      <c r="U1153" s="28"/>
      <c r="V1153" s="29" t="s">
        <v>2665</v>
      </c>
      <c r="W1153" s="29"/>
      <c r="X1153" s="29" t="s">
        <v>55</v>
      </c>
      <c r="Y1153" s="29" t="e">
        <f>VLOOKUP(L1153,'[1]singkron data'!D:H,5,FALSE)</f>
        <v>#N/A</v>
      </c>
      <c r="Z1153" s="29" t="e">
        <f>VLOOKUP(L1153,'[1]singkron data'!D:I,6,FALSE)</f>
        <v>#N/A</v>
      </c>
      <c r="AA1153" s="29" t="e">
        <f>VLOOKUP(L1153,'[1]singkron data'!D:L,9,FALSE)</f>
        <v>#N/A</v>
      </c>
      <c r="AB1153" s="29" t="s">
        <v>54</v>
      </c>
      <c r="AC1153" s="29" t="s">
        <v>2666</v>
      </c>
      <c r="AD1153" s="29" t="s">
        <v>364</v>
      </c>
      <c r="AE1153" s="29" t="e">
        <f>VLOOKUP(L1153,'[1]singkron data'!D:P,13,FALSE)</f>
        <v>#N/A</v>
      </c>
      <c r="AF1153" s="11" t="s">
        <v>55</v>
      </c>
      <c r="AG1153" s="29" t="e">
        <f>VLOOKUP(L1153,'[1]update kontrak'!E:K,6,FALSE)</f>
        <v>#N/A</v>
      </c>
      <c r="AH1153" s="29" t="e">
        <f>VLOOKUP(L1153,'[1]update kontrak'!E:K,7,FALSE)</f>
        <v>#N/A</v>
      </c>
      <c r="AI1153" s="29"/>
      <c r="AJ1153" s="29" t="str">
        <f>VLOOKUP(L1153,[1]rekap!D:M,1,FALSE)</f>
        <v>Luluo</v>
      </c>
      <c r="AK1153" s="29" t="e">
        <f>VLOOKUP(L1153,'[1]singkron data'!D:E,2,FALSE)</f>
        <v>#N/A</v>
      </c>
      <c r="AL1153" s="29" t="str">
        <f>VLOOKUP(L1153,'[1]update 521'!D:D,1,FALSE)</f>
        <v>Luluo</v>
      </c>
      <c r="AM1153" s="29" t="s">
        <v>1253</v>
      </c>
      <c r="AN1153" s="11" t="e">
        <f>VLOOKUP(L1153,[1]Sheet19!E:L,8,FALSE)</f>
        <v>#N/A</v>
      </c>
      <c r="AO1153" s="11" t="e">
        <f>VLOOKUP(L1153,[1]Sheet19!E:K,7,FALSE)</f>
        <v>#N/A</v>
      </c>
      <c r="AP1153" s="48"/>
    </row>
    <row r="1154" spans="1:42" ht="15" x14ac:dyDescent="0.2">
      <c r="A1154" s="8" t="s">
        <v>2608</v>
      </c>
      <c r="B1154" s="9" t="s">
        <v>60</v>
      </c>
      <c r="C1154" s="9">
        <v>1281</v>
      </c>
      <c r="D1154" s="9" t="s">
        <v>44</v>
      </c>
      <c r="E1154" s="30"/>
      <c r="F1154" s="9" t="s">
        <v>164</v>
      </c>
      <c r="G1154" s="9" t="s">
        <v>74</v>
      </c>
      <c r="H1154" s="9" t="s">
        <v>47</v>
      </c>
      <c r="I1154" s="9" t="s">
        <v>174</v>
      </c>
      <c r="J1154" s="9" t="s">
        <v>2667</v>
      </c>
      <c r="K1154" s="9" t="s">
        <v>2668</v>
      </c>
      <c r="L1154" s="10" t="s">
        <v>2668</v>
      </c>
      <c r="M1154" s="9" t="s">
        <v>51</v>
      </c>
      <c r="N1154" s="9">
        <v>218</v>
      </c>
      <c r="O1154" s="9">
        <v>36</v>
      </c>
      <c r="P1154" s="9">
        <v>85</v>
      </c>
      <c r="Q1154" s="9">
        <v>121</v>
      </c>
      <c r="R1154" s="9">
        <v>1</v>
      </c>
      <c r="S1154" s="9">
        <v>-10.32113</v>
      </c>
      <c r="T1154" s="9">
        <v>123.47068</v>
      </c>
      <c r="U1154" s="9"/>
      <c r="V1154" s="11" t="s">
        <v>170</v>
      </c>
      <c r="W1154" s="11"/>
      <c r="X1154" s="11"/>
      <c r="Y1154" s="11" t="e">
        <f>VLOOKUP(L1154,'[1]singkron data'!D:H,5,FALSE)</f>
        <v>#N/A</v>
      </c>
      <c r="Z1154" s="11" t="e">
        <f>VLOOKUP(L1154,'[1]singkron data'!D:I,6,FALSE)</f>
        <v>#N/A</v>
      </c>
      <c r="AA1154" s="11" t="s">
        <v>171</v>
      </c>
      <c r="AB1154" s="11" t="s">
        <v>54</v>
      </c>
      <c r="AC1154" s="11" t="s">
        <v>172</v>
      </c>
      <c r="AD1154" s="11" t="s">
        <v>364</v>
      </c>
      <c r="AE1154" s="11" t="e">
        <f>VLOOKUP(L1154,'[1]singkron data'!D:P,13,FALSE)</f>
        <v>#N/A</v>
      </c>
      <c r="AF1154" s="11" t="s">
        <v>55</v>
      </c>
      <c r="AG1154" s="11" t="e">
        <f>VLOOKUP(L1154,'[1]update kontrak'!E:K,6,FALSE)</f>
        <v>#N/A</v>
      </c>
      <c r="AH1154" s="11" t="e">
        <f>VLOOKUP(L1154,'[1]update kontrak'!E:K,7,FALSE)</f>
        <v>#N/A</v>
      </c>
      <c r="AI1154" s="11"/>
      <c r="AJ1154" s="11" t="str">
        <f>VLOOKUP(L1154,[1]rekap!D:M,1,FALSE)</f>
        <v>Tablolong</v>
      </c>
      <c r="AK1154" s="11" t="e">
        <f>VLOOKUP(L1154,'[1]singkron data'!D:E,2,FALSE)</f>
        <v>#N/A</v>
      </c>
      <c r="AL1154" s="11" t="str">
        <f>VLOOKUP(L1154,'[1]update 521'!D:D,1,FALSE)</f>
        <v>Tablolong</v>
      </c>
      <c r="AM1154" s="11" t="s">
        <v>96</v>
      </c>
      <c r="AN1154" s="11" t="e">
        <f>VLOOKUP(L1154,[1]Sheet19!E:L,8,FALSE)</f>
        <v>#N/A</v>
      </c>
      <c r="AO1154" s="11" t="e">
        <f>VLOOKUP(L1154,[1]Sheet19!E:K,7,FALSE)</f>
        <v>#N/A</v>
      </c>
      <c r="AP1154" s="12"/>
    </row>
    <row r="1155" spans="1:42" ht="15" x14ac:dyDescent="0.2">
      <c r="A1155" s="8" t="s">
        <v>2608</v>
      </c>
      <c r="B1155" s="9" t="s">
        <v>60</v>
      </c>
      <c r="C1155" s="9">
        <v>1282</v>
      </c>
      <c r="D1155" s="9" t="s">
        <v>44</v>
      </c>
      <c r="E1155" s="30"/>
      <c r="F1155" s="9" t="s">
        <v>91</v>
      </c>
      <c r="G1155" s="9" t="s">
        <v>74</v>
      </c>
      <c r="H1155" s="9" t="s">
        <v>47</v>
      </c>
      <c r="I1155" s="9" t="s">
        <v>92</v>
      </c>
      <c r="J1155" s="9" t="s">
        <v>2669</v>
      </c>
      <c r="K1155" s="9" t="s">
        <v>2670</v>
      </c>
      <c r="L1155" s="10" t="s">
        <v>2670</v>
      </c>
      <c r="M1155" s="9" t="s">
        <v>51</v>
      </c>
      <c r="N1155" s="9">
        <v>106</v>
      </c>
      <c r="O1155" s="9">
        <v>68</v>
      </c>
      <c r="P1155" s="9">
        <v>35</v>
      </c>
      <c r="Q1155" s="9">
        <v>103</v>
      </c>
      <c r="R1155" s="9">
        <v>0.75</v>
      </c>
      <c r="S1155" s="9">
        <v>-8.3549489999999995</v>
      </c>
      <c r="T1155" s="9">
        <v>123.96346200000001</v>
      </c>
      <c r="U1155" s="9"/>
      <c r="V1155" s="11" t="s">
        <v>2671</v>
      </c>
      <c r="W1155" s="11"/>
      <c r="X1155" s="11"/>
      <c r="Y1155" s="11" t="e">
        <f>VLOOKUP(L1155,'[1]singkron data'!D:H,5,FALSE)</f>
        <v>#N/A</v>
      </c>
      <c r="Z1155" s="11" t="e">
        <f>VLOOKUP(L1155,'[1]singkron data'!D:I,6,FALSE)</f>
        <v>#N/A</v>
      </c>
      <c r="AA1155" s="11" t="s">
        <v>94</v>
      </c>
      <c r="AB1155" s="11" t="s">
        <v>54</v>
      </c>
      <c r="AC1155" s="11" t="s">
        <v>95</v>
      </c>
      <c r="AD1155" s="11" t="s">
        <v>364</v>
      </c>
      <c r="AE1155" s="11" t="e">
        <f>VLOOKUP(L1155,'[1]singkron data'!D:P,13,FALSE)</f>
        <v>#N/A</v>
      </c>
      <c r="AF1155" s="11" t="s">
        <v>55</v>
      </c>
      <c r="AG1155" s="11" t="e">
        <f>VLOOKUP(L1155,'[1]update kontrak'!E:K,6,FALSE)</f>
        <v>#N/A</v>
      </c>
      <c r="AH1155" s="11" t="e">
        <f>VLOOKUP(L1155,'[1]update kontrak'!E:K,7,FALSE)</f>
        <v>#N/A</v>
      </c>
      <c r="AI1155" s="11"/>
      <c r="AJ1155" s="11" t="str">
        <f>VLOOKUP(L1155,[1]rekap!D:M,1,FALSE)</f>
        <v>Kayang</v>
      </c>
      <c r="AK1155" s="11" t="e">
        <f>VLOOKUP(L1155,'[1]singkron data'!D:E,2,FALSE)</f>
        <v>#N/A</v>
      </c>
      <c r="AL1155" s="11" t="str">
        <f>VLOOKUP(L1155,'[1]update 521'!D:D,1,FALSE)</f>
        <v>Kayang</v>
      </c>
      <c r="AM1155" s="11" t="s">
        <v>96</v>
      </c>
      <c r="AN1155" s="11" t="e">
        <f>VLOOKUP(L1155,[1]Sheet19!E:L,8,FALSE)</f>
        <v>#N/A</v>
      </c>
      <c r="AO1155" s="11" t="e">
        <f>VLOOKUP(L1155,[1]Sheet19!E:K,7,FALSE)</f>
        <v>#N/A</v>
      </c>
      <c r="AP1155" s="12"/>
    </row>
    <row r="1156" spans="1:42" ht="15" x14ac:dyDescent="0.2">
      <c r="A1156" s="8" t="s">
        <v>2608</v>
      </c>
      <c r="B1156" s="9" t="s">
        <v>60</v>
      </c>
      <c r="C1156" s="9">
        <v>1283</v>
      </c>
      <c r="D1156" s="9" t="s">
        <v>44</v>
      </c>
      <c r="E1156" s="30"/>
      <c r="F1156" s="9" t="s">
        <v>91</v>
      </c>
      <c r="G1156" s="9" t="s">
        <v>74</v>
      </c>
      <c r="H1156" s="9" t="s">
        <v>47</v>
      </c>
      <c r="I1156" s="9" t="s">
        <v>92</v>
      </c>
      <c r="J1156" s="9" t="s">
        <v>2672</v>
      </c>
      <c r="K1156" s="9" t="s">
        <v>2673</v>
      </c>
      <c r="L1156" s="10" t="s">
        <v>2673</v>
      </c>
      <c r="M1156" s="9" t="s">
        <v>51</v>
      </c>
      <c r="N1156" s="9">
        <v>218</v>
      </c>
      <c r="O1156" s="9">
        <v>14</v>
      </c>
      <c r="P1156" s="9">
        <v>66</v>
      </c>
      <c r="Q1156" s="9">
        <v>80</v>
      </c>
      <c r="R1156" s="9">
        <v>1.72E-2</v>
      </c>
      <c r="S1156" s="9">
        <v>-8.4380199999999999</v>
      </c>
      <c r="T1156" s="9">
        <v>124.20683</v>
      </c>
      <c r="U1156" s="9"/>
      <c r="V1156" s="11" t="s">
        <v>2671</v>
      </c>
      <c r="W1156" s="11"/>
      <c r="X1156" s="11"/>
      <c r="Y1156" s="11" t="e">
        <f>VLOOKUP(L1156,'[1]singkron data'!D:H,5,FALSE)</f>
        <v>#N/A</v>
      </c>
      <c r="Z1156" s="11" t="e">
        <f>VLOOKUP(L1156,'[1]singkron data'!D:I,6,FALSE)</f>
        <v>#N/A</v>
      </c>
      <c r="AA1156" s="11" t="s">
        <v>94</v>
      </c>
      <c r="AB1156" s="11" t="s">
        <v>54</v>
      </c>
      <c r="AC1156" s="11" t="s">
        <v>95</v>
      </c>
      <c r="AD1156" s="11" t="s">
        <v>364</v>
      </c>
      <c r="AE1156" s="11" t="e">
        <f>VLOOKUP(L1156,'[1]singkron data'!D:P,13,FALSE)</f>
        <v>#N/A</v>
      </c>
      <c r="AF1156" s="11" t="s">
        <v>55</v>
      </c>
      <c r="AG1156" s="11" t="e">
        <f>VLOOKUP(L1156,'[1]update kontrak'!E:K,6,FALSE)</f>
        <v>#N/A</v>
      </c>
      <c r="AH1156" s="11" t="e">
        <f>VLOOKUP(L1156,'[1]update kontrak'!E:K,7,FALSE)</f>
        <v>#N/A</v>
      </c>
      <c r="AI1156" s="11"/>
      <c r="AJ1156" s="11" t="str">
        <f>VLOOKUP(L1156,[1]rekap!D:M,1,FALSE)</f>
        <v>Toang</v>
      </c>
      <c r="AK1156" s="11" t="e">
        <f>VLOOKUP(L1156,'[1]singkron data'!D:E,2,FALSE)</f>
        <v>#N/A</v>
      </c>
      <c r="AL1156" s="11" t="str">
        <f>VLOOKUP(L1156,'[1]update 521'!D:D,1,FALSE)</f>
        <v>Toang</v>
      </c>
      <c r="AM1156" s="11" t="s">
        <v>96</v>
      </c>
      <c r="AN1156" s="11" t="e">
        <f>VLOOKUP(L1156,[1]Sheet19!E:L,8,FALSE)</f>
        <v>#N/A</v>
      </c>
      <c r="AO1156" s="11" t="e">
        <f>VLOOKUP(L1156,[1]Sheet19!E:K,7,FALSE)</f>
        <v>#N/A</v>
      </c>
      <c r="AP1156" s="12"/>
    </row>
    <row r="1157" spans="1:42" ht="15" x14ac:dyDescent="0.2">
      <c r="A1157" s="8" t="s">
        <v>2608</v>
      </c>
      <c r="B1157" s="9" t="s">
        <v>60</v>
      </c>
      <c r="C1157" s="9">
        <v>1284</v>
      </c>
      <c r="D1157" s="9" t="s">
        <v>44</v>
      </c>
      <c r="E1157" s="30"/>
      <c r="F1157" s="9" t="s">
        <v>91</v>
      </c>
      <c r="G1157" s="9" t="s">
        <v>74</v>
      </c>
      <c r="H1157" s="9" t="s">
        <v>47</v>
      </c>
      <c r="I1157" s="9" t="s">
        <v>92</v>
      </c>
      <c r="J1157" s="9" t="s">
        <v>2674</v>
      </c>
      <c r="K1157" s="9" t="s">
        <v>2675</v>
      </c>
      <c r="L1157" s="10" t="s">
        <v>2675</v>
      </c>
      <c r="M1157" s="9" t="s">
        <v>51</v>
      </c>
      <c r="N1157" s="9">
        <v>130</v>
      </c>
      <c r="O1157" s="9">
        <v>25</v>
      </c>
      <c r="P1157" s="9">
        <v>61</v>
      </c>
      <c r="Q1157" s="9">
        <v>86</v>
      </c>
      <c r="R1157" s="9">
        <v>1</v>
      </c>
      <c r="S1157" s="9">
        <v>-8.4709500000000002</v>
      </c>
      <c r="T1157" s="9">
        <v>124.27933</v>
      </c>
      <c r="U1157" s="9"/>
      <c r="V1157" s="11" t="s">
        <v>2671</v>
      </c>
      <c r="W1157" s="11"/>
      <c r="X1157" s="11"/>
      <c r="Y1157" s="11" t="e">
        <f>VLOOKUP(L1157,'[1]singkron data'!D:H,5,FALSE)</f>
        <v>#N/A</v>
      </c>
      <c r="Z1157" s="11" t="e">
        <f>VLOOKUP(L1157,'[1]singkron data'!D:I,6,FALSE)</f>
        <v>#N/A</v>
      </c>
      <c r="AA1157" s="11" t="s">
        <v>94</v>
      </c>
      <c r="AB1157" s="11" t="s">
        <v>54</v>
      </c>
      <c r="AC1157" s="11" t="s">
        <v>95</v>
      </c>
      <c r="AD1157" s="11" t="s">
        <v>364</v>
      </c>
      <c r="AE1157" s="11" t="e">
        <f>VLOOKUP(L1157,'[1]singkron data'!D:P,13,FALSE)</f>
        <v>#N/A</v>
      </c>
      <c r="AF1157" s="11" t="s">
        <v>55</v>
      </c>
      <c r="AG1157" s="11" t="e">
        <f>VLOOKUP(L1157,'[1]update kontrak'!E:K,6,FALSE)</f>
        <v>#N/A</v>
      </c>
      <c r="AH1157" s="11" t="e">
        <f>VLOOKUP(L1157,'[1]update kontrak'!E:K,7,FALSE)</f>
        <v>#N/A</v>
      </c>
      <c r="AI1157" s="11"/>
      <c r="AJ1157" s="11" t="str">
        <f>VLOOKUP(L1157,[1]rekap!D:M,1,FALSE)</f>
        <v>Tereweng</v>
      </c>
      <c r="AK1157" s="11" t="e">
        <f>VLOOKUP(L1157,'[1]singkron data'!D:E,2,FALSE)</f>
        <v>#N/A</v>
      </c>
      <c r="AL1157" s="11" t="str">
        <f>VLOOKUP(L1157,'[1]update 521'!D:D,1,FALSE)</f>
        <v>Tereweng</v>
      </c>
      <c r="AM1157" s="11" t="s">
        <v>96</v>
      </c>
      <c r="AN1157" s="11" t="e">
        <f>VLOOKUP(L1157,[1]Sheet19!E:L,8,FALSE)</f>
        <v>#N/A</v>
      </c>
      <c r="AO1157" s="11" t="e">
        <f>VLOOKUP(L1157,[1]Sheet19!E:K,7,FALSE)</f>
        <v>#N/A</v>
      </c>
      <c r="AP1157" s="12"/>
    </row>
    <row r="1158" spans="1:42" ht="15" x14ac:dyDescent="0.2">
      <c r="A1158" s="8" t="s">
        <v>2608</v>
      </c>
      <c r="B1158" s="9" t="s">
        <v>60</v>
      </c>
      <c r="C1158" s="9">
        <v>1285</v>
      </c>
      <c r="D1158" s="9" t="s">
        <v>44</v>
      </c>
      <c r="E1158" s="30"/>
      <c r="F1158" s="9" t="s">
        <v>91</v>
      </c>
      <c r="G1158" s="9" t="s">
        <v>74</v>
      </c>
      <c r="H1158" s="9" t="s">
        <v>47</v>
      </c>
      <c r="I1158" s="9" t="s">
        <v>92</v>
      </c>
      <c r="J1158" s="9" t="s">
        <v>2676</v>
      </c>
      <c r="K1158" s="9" t="s">
        <v>2677</v>
      </c>
      <c r="L1158" s="10" t="s">
        <v>2677</v>
      </c>
      <c r="M1158" s="9" t="s">
        <v>51</v>
      </c>
      <c r="N1158" s="9">
        <v>197</v>
      </c>
      <c r="O1158" s="9">
        <v>11</v>
      </c>
      <c r="P1158" s="9">
        <v>53</v>
      </c>
      <c r="Q1158" s="9">
        <v>64</v>
      </c>
      <c r="R1158" s="9">
        <v>1</v>
      </c>
      <c r="S1158" s="9">
        <v>-8.2677200000000006</v>
      </c>
      <c r="T1158" s="9">
        <v>124.40796</v>
      </c>
      <c r="U1158" s="9"/>
      <c r="V1158" s="11" t="e">
        <f>VLOOKUP(L1158,'[1]singkron data'!D:E,2,FALSE)</f>
        <v>#N/A</v>
      </c>
      <c r="W1158" s="11"/>
      <c r="X1158" s="11"/>
      <c r="Y1158" s="11" t="e">
        <f>VLOOKUP(M1158,'[1]update tim 2'!E:G,3,FALSE)</f>
        <v>#N/A</v>
      </c>
      <c r="Z1158" s="11" t="e">
        <f>VLOOKUP(L1158,'[1]singkron data'!D:I,6,FALSE)</f>
        <v>#N/A</v>
      </c>
      <c r="AA1158" s="11" t="e">
        <f>VLOOKUP(L1158,'[1]singkron data'!D:L,9,FALSE)</f>
        <v>#N/A</v>
      </c>
      <c r="AB1158" s="11" t="s">
        <v>54</v>
      </c>
      <c r="AC1158" s="11" t="s">
        <v>1660</v>
      </c>
      <c r="AD1158" s="11" t="s">
        <v>364</v>
      </c>
      <c r="AE1158" s="11" t="e">
        <f>VLOOKUP(L1158,'[1]singkron data'!D:P,13,FALSE)</f>
        <v>#N/A</v>
      </c>
      <c r="AF1158" s="11" t="s">
        <v>55</v>
      </c>
      <c r="AG1158" s="11" t="e">
        <f>VLOOKUP(L1158,'[1]update kontrak'!E:K,6,FALSE)</f>
        <v>#N/A</v>
      </c>
      <c r="AH1158" s="11" t="e">
        <f>VLOOKUP(L1158,'[1]update kontrak'!E:K,7,FALSE)</f>
        <v>#N/A</v>
      </c>
      <c r="AI1158" s="11"/>
      <c r="AJ1158" s="11" t="str">
        <f>VLOOKUP(L1158,[1]rekap!D:M,1,FALSE)</f>
        <v>Alor Kecil</v>
      </c>
      <c r="AK1158" s="11" t="e">
        <f>VLOOKUP(L1158,'[1]singkron data'!D:E,2,FALSE)</f>
        <v>#N/A</v>
      </c>
      <c r="AL1158" s="11" t="str">
        <f>VLOOKUP(L1158,'[1]update 521'!D:D,1,FALSE)</f>
        <v>Alor Kecil</v>
      </c>
      <c r="AM1158" s="11" t="s">
        <v>96</v>
      </c>
      <c r="AN1158" s="11" t="e">
        <f>VLOOKUP(L1158,[1]Sheet19!E:L,8,FALSE)</f>
        <v>#N/A</v>
      </c>
      <c r="AO1158" s="11" t="e">
        <f>VLOOKUP(L1158,[1]Sheet19!E:K,7,FALSE)</f>
        <v>#N/A</v>
      </c>
      <c r="AP1158" s="12"/>
    </row>
    <row r="1159" spans="1:42" ht="15" x14ac:dyDescent="0.2">
      <c r="A1159" s="8" t="s">
        <v>2608</v>
      </c>
      <c r="B1159" s="9" t="s">
        <v>60</v>
      </c>
      <c r="C1159" s="9">
        <v>1286</v>
      </c>
      <c r="D1159" s="9" t="s">
        <v>44</v>
      </c>
      <c r="E1159" s="30"/>
      <c r="F1159" s="9" t="s">
        <v>73</v>
      </c>
      <c r="G1159" s="9" t="s">
        <v>74</v>
      </c>
      <c r="H1159" s="9" t="s">
        <v>47</v>
      </c>
      <c r="I1159" s="9" t="s">
        <v>75</v>
      </c>
      <c r="J1159" s="9" t="s">
        <v>2678</v>
      </c>
      <c r="K1159" s="9" t="s">
        <v>2679</v>
      </c>
      <c r="L1159" s="10" t="s">
        <v>2679</v>
      </c>
      <c r="M1159" s="9" t="s">
        <v>51</v>
      </c>
      <c r="N1159" s="9">
        <v>155</v>
      </c>
      <c r="O1159" s="9">
        <v>71</v>
      </c>
      <c r="P1159" s="9">
        <v>35</v>
      </c>
      <c r="Q1159" s="9">
        <v>106</v>
      </c>
      <c r="R1159" s="9">
        <v>0.81</v>
      </c>
      <c r="S1159" s="9">
        <v>-8.9582580000000007</v>
      </c>
      <c r="T1159" s="9">
        <v>124.947157</v>
      </c>
      <c r="U1159" s="9"/>
      <c r="V1159" s="11" t="s">
        <v>2680</v>
      </c>
      <c r="W1159" s="13">
        <f>VLOOKUP(L1159,'[1]update tim 2'!D:F,3,FALSE)</f>
        <v>4372774000</v>
      </c>
      <c r="X1159" s="11" t="s">
        <v>55</v>
      </c>
      <c r="Y1159" s="11" t="e">
        <f>VLOOKUP(L1159,'[1]singkron data'!D:H,5,FALSE)</f>
        <v>#N/A</v>
      </c>
      <c r="Z1159" s="11" t="e">
        <f>VLOOKUP(L1159,'[1]singkron data'!D:I,6,FALSE)</f>
        <v>#N/A</v>
      </c>
      <c r="AA1159" s="11" t="s">
        <v>2681</v>
      </c>
      <c r="AB1159" s="11" t="s">
        <v>54</v>
      </c>
      <c r="AC1159" s="11" t="s">
        <v>1175</v>
      </c>
      <c r="AD1159" s="11" t="s">
        <v>364</v>
      </c>
      <c r="AE1159" s="11" t="e">
        <f>VLOOKUP(L1159,'[1]singkron data'!D:P,13,FALSE)</f>
        <v>#N/A</v>
      </c>
      <c r="AF1159" s="11" t="s">
        <v>55</v>
      </c>
      <c r="AG1159" s="11" t="e">
        <f>VLOOKUP(L1159,'[1]update kontrak'!E:K,6,FALSE)</f>
        <v>#N/A</v>
      </c>
      <c r="AH1159" s="11" t="e">
        <f>VLOOKUP(L1159,'[1]update kontrak'!E:K,7,FALSE)</f>
        <v>#N/A</v>
      </c>
      <c r="AI1159" s="11"/>
      <c r="AJ1159" s="11" t="str">
        <f>VLOOKUP(L1159,[1]rekap!D:M,1,FALSE)</f>
        <v>Silawan</v>
      </c>
      <c r="AK1159" s="11" t="e">
        <f>VLOOKUP(L1159,'[1]singkron data'!D:E,2,FALSE)</f>
        <v>#N/A</v>
      </c>
      <c r="AL1159" s="11" t="str">
        <f>VLOOKUP(L1159,'[1]update 521'!D:D,1,FALSE)</f>
        <v>Silawan</v>
      </c>
      <c r="AM1159" s="11" t="s">
        <v>57</v>
      </c>
      <c r="AN1159" s="11" t="e">
        <f>VLOOKUP(L1159,[1]Sheet19!E:L,8,FALSE)</f>
        <v>#N/A</v>
      </c>
      <c r="AO1159" s="11" t="s">
        <v>58</v>
      </c>
      <c r="AP1159" s="12"/>
    </row>
    <row r="1160" spans="1:42" ht="15" x14ac:dyDescent="0.2">
      <c r="A1160" s="8" t="s">
        <v>2608</v>
      </c>
      <c r="B1160" s="9" t="s">
        <v>60</v>
      </c>
      <c r="C1160" s="9">
        <v>1287</v>
      </c>
      <c r="D1160" s="9" t="s">
        <v>44</v>
      </c>
      <c r="E1160" s="30"/>
      <c r="F1160" s="9" t="s">
        <v>198</v>
      </c>
      <c r="G1160" s="9" t="s">
        <v>74</v>
      </c>
      <c r="H1160" s="9" t="s">
        <v>47</v>
      </c>
      <c r="I1160" s="9" t="s">
        <v>2682</v>
      </c>
      <c r="J1160" s="9" t="s">
        <v>2683</v>
      </c>
      <c r="K1160" s="9" t="s">
        <v>2616</v>
      </c>
      <c r="L1160" s="10" t="s">
        <v>2616</v>
      </c>
      <c r="M1160" s="9" t="s">
        <v>51</v>
      </c>
      <c r="N1160" s="9">
        <v>413</v>
      </c>
      <c r="O1160" s="9">
        <v>7</v>
      </c>
      <c r="P1160" s="9">
        <v>63</v>
      </c>
      <c r="Q1160" s="9">
        <v>70</v>
      </c>
      <c r="R1160" s="9">
        <v>0.5</v>
      </c>
      <c r="S1160" s="9">
        <v>-9.7627140000000008</v>
      </c>
      <c r="T1160" s="9">
        <v>119.415325</v>
      </c>
      <c r="U1160" s="9"/>
      <c r="V1160" s="11" t="s">
        <v>2684</v>
      </c>
      <c r="W1160" s="11"/>
      <c r="X1160" s="11"/>
      <c r="Y1160" s="11"/>
      <c r="Z1160" s="11"/>
      <c r="AA1160" s="11" t="s">
        <v>2685</v>
      </c>
      <c r="AB1160" s="11" t="s">
        <v>54</v>
      </c>
      <c r="AC1160" s="11" t="s">
        <v>2686</v>
      </c>
      <c r="AD1160" s="11" t="s">
        <v>364</v>
      </c>
      <c r="AE1160" s="11" t="e">
        <f>VLOOKUP(L1160,'[1]singkron data'!D:P,13,FALSE)</f>
        <v>#N/A</v>
      </c>
      <c r="AF1160" s="11" t="s">
        <v>55</v>
      </c>
      <c r="AG1160" s="11" t="e">
        <f>VLOOKUP(L1160,'[1]update kontrak'!E:K,6,FALSE)</f>
        <v>#N/A</v>
      </c>
      <c r="AH1160" s="11" t="e">
        <f>VLOOKUP(L1160,'[1]update kontrak'!E:K,7,FALSE)</f>
        <v>#N/A</v>
      </c>
      <c r="AI1160" s="11"/>
      <c r="AJ1160" s="11" t="str">
        <f>VLOOKUP(L1160,[1]rekap!D:M,1,FALSE)</f>
        <v>Rua</v>
      </c>
      <c r="AK1160" s="11" t="e">
        <f>VLOOKUP(L1160,'[1]singkron data'!D:E,2,FALSE)</f>
        <v>#N/A</v>
      </c>
      <c r="AL1160" s="11" t="str">
        <f>VLOOKUP(L1160,'[1]update 521'!D:D,1,FALSE)</f>
        <v>Rua</v>
      </c>
      <c r="AM1160" s="11" t="s">
        <v>96</v>
      </c>
      <c r="AN1160" s="11" t="e">
        <f>VLOOKUP(L1160,[1]Sheet19!E:L,8,FALSE)</f>
        <v>#N/A</v>
      </c>
      <c r="AO1160" s="11" t="e">
        <f>VLOOKUP(L1160,[1]Sheet19!E:K,7,FALSE)</f>
        <v>#N/A</v>
      </c>
      <c r="AP1160" s="12"/>
    </row>
    <row r="1161" spans="1:42" ht="15" x14ac:dyDescent="0.2">
      <c r="A1161" s="8" t="s">
        <v>2608</v>
      </c>
      <c r="B1161" s="9" t="s">
        <v>60</v>
      </c>
      <c r="C1161" s="9">
        <v>1288</v>
      </c>
      <c r="D1161" s="9" t="s">
        <v>1631</v>
      </c>
      <c r="E1161" s="30"/>
      <c r="F1161" s="9" t="s">
        <v>1853</v>
      </c>
      <c r="G1161" s="9" t="s">
        <v>1854</v>
      </c>
      <c r="H1161" s="9" t="s">
        <v>47</v>
      </c>
      <c r="I1161" s="9" t="s">
        <v>1855</v>
      </c>
      <c r="J1161" s="9" t="s">
        <v>2687</v>
      </c>
      <c r="K1161" s="9" t="s">
        <v>2688</v>
      </c>
      <c r="L1161" s="10" t="s">
        <v>2688</v>
      </c>
      <c r="M1161" s="9" t="s">
        <v>51</v>
      </c>
      <c r="N1161" s="9">
        <v>34</v>
      </c>
      <c r="O1161" s="9" t="s">
        <v>72</v>
      </c>
      <c r="P1161" s="9">
        <v>35</v>
      </c>
      <c r="Q1161" s="9">
        <v>35</v>
      </c>
      <c r="R1161" s="9">
        <v>0.9</v>
      </c>
      <c r="S1161" s="9">
        <v>-4.7108452999999999</v>
      </c>
      <c r="T1161" s="9">
        <v>103.28480140000001</v>
      </c>
      <c r="U1161" s="9"/>
      <c r="V1161" s="11" t="s">
        <v>1864</v>
      </c>
      <c r="W1161" s="11"/>
      <c r="X1161" s="11"/>
      <c r="Y1161" s="11" t="e">
        <f>VLOOKUP(L1161,'[1]singkron data'!D:H,5,FALSE)</f>
        <v>#N/A</v>
      </c>
      <c r="Z1161" s="11" t="e">
        <f>VLOOKUP(L1161,'[1]singkron data'!D:I,6,FALSE)</f>
        <v>#N/A</v>
      </c>
      <c r="AA1161" s="11" t="s">
        <v>1865</v>
      </c>
      <c r="AB1161" s="11" t="s">
        <v>54</v>
      </c>
      <c r="AC1161" s="11" t="s">
        <v>1646</v>
      </c>
      <c r="AD1161" s="11" t="s">
        <v>364</v>
      </c>
      <c r="AE1161" s="11" t="e">
        <f>VLOOKUP(L1161,'[1]singkron data'!D:P,13,FALSE)</f>
        <v>#N/A</v>
      </c>
      <c r="AF1161" s="11" t="s">
        <v>55</v>
      </c>
      <c r="AG1161" s="11" t="e">
        <f>VLOOKUP(L1161,'[1]update kontrak'!E:K,6,FALSE)</f>
        <v>#N/A</v>
      </c>
      <c r="AH1161" s="11" t="e">
        <f>VLOOKUP(L1161,'[1]update kontrak'!E:K,7,FALSE)</f>
        <v>#N/A</v>
      </c>
      <c r="AI1161" s="11"/>
      <c r="AJ1161" s="11" t="str">
        <f>VLOOKUP(L1161,[1]rekap!D:M,1,FALSE)</f>
        <v>Tanjung Pandan</v>
      </c>
      <c r="AK1161" s="11" t="e">
        <f>VLOOKUP(L1161,'[1]singkron data'!D:E,2,FALSE)</f>
        <v>#N/A</v>
      </c>
      <c r="AL1161" s="11" t="str">
        <f>VLOOKUP(L1161,'[1]update 521'!D:D,1,FALSE)</f>
        <v>Tanjung Pandan</v>
      </c>
      <c r="AM1161" s="11" t="s">
        <v>96</v>
      </c>
      <c r="AN1161" s="11" t="e">
        <f>VLOOKUP(L1161,[1]Sheet19!E:L,8,FALSE)</f>
        <v>#N/A</v>
      </c>
      <c r="AO1161" s="11" t="e">
        <f>VLOOKUP(L1161,[1]Sheet19!E:K,7,FALSE)</f>
        <v>#N/A</v>
      </c>
      <c r="AP1161" s="12"/>
    </row>
    <row r="1162" spans="1:42" ht="15" x14ac:dyDescent="0.2">
      <c r="A1162" s="8" t="s">
        <v>2608</v>
      </c>
      <c r="B1162" s="9" t="s">
        <v>60</v>
      </c>
      <c r="C1162" s="9">
        <v>1289</v>
      </c>
      <c r="D1162" s="9" t="s">
        <v>908</v>
      </c>
      <c r="E1162" s="30"/>
      <c r="F1162" s="9" t="s">
        <v>1013</v>
      </c>
      <c r="G1162" s="9" t="s">
        <v>908</v>
      </c>
      <c r="H1162" s="9" t="s">
        <v>911</v>
      </c>
      <c r="I1162" s="9" t="s">
        <v>1014</v>
      </c>
      <c r="J1162" s="9" t="s">
        <v>1020</v>
      </c>
      <c r="K1162" s="9" t="s">
        <v>2689</v>
      </c>
      <c r="L1162" s="9" t="s">
        <v>2689</v>
      </c>
      <c r="M1162" s="9" t="s">
        <v>51</v>
      </c>
      <c r="N1162" s="9">
        <v>30</v>
      </c>
      <c r="O1162" s="9">
        <v>19</v>
      </c>
      <c r="P1162" s="9">
        <v>11</v>
      </c>
      <c r="Q1162" s="9">
        <v>30</v>
      </c>
      <c r="R1162" s="9">
        <v>0.06</v>
      </c>
      <c r="S1162" s="9">
        <v>-1.06609</v>
      </c>
      <c r="T1162" s="9">
        <v>134.82789</v>
      </c>
      <c r="U1162" s="9"/>
      <c r="V1162" s="11" t="s">
        <v>694</v>
      </c>
      <c r="W1162" s="11"/>
      <c r="X1162" s="11"/>
      <c r="Y1162" s="11" t="e">
        <f>VLOOKUP(L1162,'[1]singkron data'!D:H,5,FALSE)</f>
        <v>#N/A</v>
      </c>
      <c r="Z1162" s="11" t="e">
        <f>VLOOKUP(L1162,'[1]singkron data'!D:I,6,FALSE)</f>
        <v>#N/A</v>
      </c>
      <c r="AA1162" s="11" t="e">
        <f>VLOOKUP(L1162,'[1]singkron data'!D:L,9,FALSE)</f>
        <v>#N/A</v>
      </c>
      <c r="AB1162" s="11" t="s">
        <v>694</v>
      </c>
      <c r="AC1162" s="11" t="e">
        <f>VLOOKUP(L1162,'[1]singkron data'!D:M,10,FALSE)</f>
        <v>#N/A</v>
      </c>
      <c r="AD1162" s="11"/>
      <c r="AE1162" s="11" t="e">
        <f>VLOOKUP(L1162,'[1]singkron data'!D:P,13,FALSE)</f>
        <v>#N/A</v>
      </c>
      <c r="AF1162" s="11" t="s">
        <v>55</v>
      </c>
      <c r="AG1162" s="11" t="e">
        <f>VLOOKUP(L1162,'[1]update kontrak'!E:K,6,FALSE)</f>
        <v>#N/A</v>
      </c>
      <c r="AH1162" s="11" t="e">
        <f>VLOOKUP(L1162,'[1]update kontrak'!E:K,7,FALSE)</f>
        <v>#N/A</v>
      </c>
      <c r="AI1162" s="11"/>
      <c r="AJ1162" s="11" t="str">
        <f>VLOOKUP(L1162,[1]rekap!D:M,1,FALSE)</f>
        <v>Namber</v>
      </c>
      <c r="AK1162" s="11" t="e">
        <f>VLOOKUP(L1162,'[1]singkron data'!D:E,2,FALSE)</f>
        <v>#N/A</v>
      </c>
      <c r="AL1162" s="11" t="str">
        <f>VLOOKUP(L1162,'[1]update 521'!D:D,1,FALSE)</f>
        <v>Namber</v>
      </c>
      <c r="AM1162" s="11" t="e">
        <f>VLOOKUP(L1162,[1]Sheet18!I:M,5,FALSE)</f>
        <v>#N/A</v>
      </c>
      <c r="AN1162" s="11" t="e">
        <f>VLOOKUP(L1162,[1]Sheet19!E:L,8,FALSE)</f>
        <v>#N/A</v>
      </c>
      <c r="AO1162" s="11" t="e">
        <f>VLOOKUP(L1162,[1]Sheet19!E:K,7,FALSE)</f>
        <v>#N/A</v>
      </c>
      <c r="AP1162" s="12"/>
    </row>
    <row r="1163" spans="1:42" ht="15" x14ac:dyDescent="0.2">
      <c r="A1163" s="21" t="s">
        <v>2608</v>
      </c>
      <c r="B1163" s="22" t="s">
        <v>60</v>
      </c>
      <c r="C1163" s="22">
        <v>1290</v>
      </c>
      <c r="D1163" s="22" t="s">
        <v>284</v>
      </c>
      <c r="E1163" s="46"/>
      <c r="F1163" s="22" t="s">
        <v>429</v>
      </c>
      <c r="G1163" s="22" t="s">
        <v>286</v>
      </c>
      <c r="H1163" s="22" t="s">
        <v>287</v>
      </c>
      <c r="I1163" s="22" t="s">
        <v>433</v>
      </c>
      <c r="J1163" s="22" t="s">
        <v>2690</v>
      </c>
      <c r="K1163" s="22" t="s">
        <v>2691</v>
      </c>
      <c r="L1163" s="22" t="s">
        <v>2691</v>
      </c>
      <c r="M1163" s="22" t="s">
        <v>51</v>
      </c>
      <c r="N1163" s="22">
        <v>373</v>
      </c>
      <c r="O1163" s="22" t="s">
        <v>72</v>
      </c>
      <c r="P1163" s="22" t="s">
        <v>72</v>
      </c>
      <c r="Q1163" s="22">
        <v>289</v>
      </c>
      <c r="R1163" s="22">
        <v>1.1779999999999999</v>
      </c>
      <c r="S1163" s="22">
        <v>-7.7299639999999998</v>
      </c>
      <c r="T1163" s="22">
        <v>108.501541</v>
      </c>
      <c r="U1163" s="22"/>
      <c r="V1163" s="25" t="s">
        <v>2692</v>
      </c>
      <c r="W1163" s="25"/>
      <c r="X1163" s="25"/>
      <c r="Y1163" s="25" t="e">
        <f>VLOOKUP(L1163,'[1]singkron data'!D:H,5,FALSE)</f>
        <v>#N/A</v>
      </c>
      <c r="Z1163" s="25" t="e">
        <f>VLOOKUP(L1163,'[1]singkron data'!D:I,6,FALSE)</f>
        <v>#N/A</v>
      </c>
      <c r="AA1163" s="25" t="s">
        <v>2693</v>
      </c>
      <c r="AB1163" s="25" t="s">
        <v>54</v>
      </c>
      <c r="AC1163" s="25" t="s">
        <v>2694</v>
      </c>
      <c r="AD1163" s="25" t="s">
        <v>364</v>
      </c>
      <c r="AE1163" s="25" t="s">
        <v>399</v>
      </c>
      <c r="AF1163" s="11" t="s">
        <v>55</v>
      </c>
      <c r="AG1163" s="25" t="e">
        <f>VLOOKUP(L1163,'[1]update kontrak'!E:K,6,FALSE)</f>
        <v>#N/A</v>
      </c>
      <c r="AH1163" s="25" t="e">
        <f>VLOOKUP(L1163,'[1]update kontrak'!E:K,7,FALSE)</f>
        <v>#N/A</v>
      </c>
      <c r="AI1163" s="25"/>
      <c r="AJ1163" s="25" t="str">
        <f>VLOOKUP(L1163,[1]rekap!D:M,1,FALSE)</f>
        <v>Batukaras</v>
      </c>
      <c r="AK1163" s="25" t="e">
        <f>VLOOKUP(L1163,'[1]singkron data'!D:E,2,FALSE)</f>
        <v>#N/A</v>
      </c>
      <c r="AL1163" s="25" t="str">
        <f>VLOOKUP(L1163,'[1]update 521'!D:D,1,FALSE)</f>
        <v>Batukaras</v>
      </c>
      <c r="AM1163" s="25" t="s">
        <v>337</v>
      </c>
      <c r="AN1163" s="11" t="e">
        <f>VLOOKUP(L1163,[1]Sheet19!E:L,8,FALSE)</f>
        <v>#N/A</v>
      </c>
      <c r="AO1163" s="11" t="e">
        <f>VLOOKUP(L1163,[1]Sheet19!E:K,7,FALSE)</f>
        <v>#N/A</v>
      </c>
      <c r="AP1163" s="47"/>
    </row>
    <row r="1164" spans="1:42" ht="15" x14ac:dyDescent="0.2">
      <c r="A1164" s="8" t="s">
        <v>2608</v>
      </c>
      <c r="B1164" s="9" t="s">
        <v>60</v>
      </c>
      <c r="C1164" s="9">
        <v>1291</v>
      </c>
      <c r="D1164" s="9" t="s">
        <v>1631</v>
      </c>
      <c r="E1164" s="30"/>
      <c r="F1164" s="9" t="s">
        <v>2022</v>
      </c>
      <c r="G1164" s="9" t="s">
        <v>1668</v>
      </c>
      <c r="H1164" s="9" t="s">
        <v>47</v>
      </c>
      <c r="I1164" s="9" t="s">
        <v>2025</v>
      </c>
      <c r="J1164" s="9" t="s">
        <v>2025</v>
      </c>
      <c r="K1164" s="9" t="s">
        <v>2695</v>
      </c>
      <c r="L1164" s="10" t="s">
        <v>2695</v>
      </c>
      <c r="M1164" s="9" t="s">
        <v>51</v>
      </c>
      <c r="N1164" s="9">
        <v>62</v>
      </c>
      <c r="O1164" s="9">
        <v>30</v>
      </c>
      <c r="P1164" s="9">
        <v>32</v>
      </c>
      <c r="Q1164" s="9">
        <v>62</v>
      </c>
      <c r="R1164" s="9">
        <v>0.06</v>
      </c>
      <c r="S1164" s="9">
        <v>-3.8274879999999998</v>
      </c>
      <c r="T1164" s="9">
        <v>105.43946099999999</v>
      </c>
      <c r="U1164" s="9"/>
      <c r="V1164" s="11" t="s">
        <v>1747</v>
      </c>
      <c r="W1164" s="11"/>
      <c r="X1164" s="11"/>
      <c r="Y1164" s="11" t="e">
        <f>VLOOKUP(L1164,'[1]singkron data'!D:H,5,FALSE)</f>
        <v>#N/A</v>
      </c>
      <c r="Z1164" s="11" t="e">
        <f>VLOOKUP(L1164,'[1]singkron data'!D:I,6,FALSE)</f>
        <v>#N/A</v>
      </c>
      <c r="AA1164" s="11" t="s">
        <v>1748</v>
      </c>
      <c r="AB1164" s="11" t="s">
        <v>54</v>
      </c>
      <c r="AC1164" s="11" t="s">
        <v>322</v>
      </c>
      <c r="AD1164" s="11" t="s">
        <v>364</v>
      </c>
      <c r="AE1164" s="11" t="e">
        <f>VLOOKUP(L1164,'[1]singkron data'!D:P,13,FALSE)</f>
        <v>#N/A</v>
      </c>
      <c r="AF1164" s="11" t="s">
        <v>55</v>
      </c>
      <c r="AG1164" s="11" t="e">
        <f>VLOOKUP(L1164,'[1]update kontrak'!E:K,6,FALSE)</f>
        <v>#N/A</v>
      </c>
      <c r="AH1164" s="11" t="e">
        <f>VLOOKUP(L1164,'[1]update kontrak'!E:K,7,FALSE)</f>
        <v>#N/A</v>
      </c>
      <c r="AI1164" s="11"/>
      <c r="AJ1164" s="11" t="str">
        <f>VLOOKUP(L1164,[1]rekap!D:M,1,FALSE)</f>
        <v>Sungai Badak</v>
      </c>
      <c r="AK1164" s="11" t="e">
        <f>VLOOKUP(L1164,'[1]singkron data'!D:E,2,FALSE)</f>
        <v>#N/A</v>
      </c>
      <c r="AL1164" s="11" t="str">
        <f>VLOOKUP(L1164,'[1]update 521'!D:D,1,FALSE)</f>
        <v>Sungai Badak</v>
      </c>
      <c r="AM1164" s="11" t="e">
        <v>#N/A</v>
      </c>
      <c r="AN1164" s="11" t="e">
        <f>VLOOKUP(L1164,[1]Sheet19!E:L,8,FALSE)</f>
        <v>#N/A</v>
      </c>
      <c r="AO1164" s="11" t="e">
        <f>VLOOKUP(L1164,[1]Sheet19!E:K,7,FALSE)</f>
        <v>#N/A</v>
      </c>
      <c r="AP1164" s="12"/>
    </row>
    <row r="1165" spans="1:42" ht="15" x14ac:dyDescent="0.2">
      <c r="A1165" s="8" t="s">
        <v>2608</v>
      </c>
      <c r="B1165" s="9" t="s">
        <v>60</v>
      </c>
      <c r="C1165" s="9">
        <v>1292</v>
      </c>
      <c r="D1165" s="9" t="s">
        <v>908</v>
      </c>
      <c r="E1165" s="30"/>
      <c r="F1165" s="9" t="s">
        <v>968</v>
      </c>
      <c r="G1165" s="9" t="s">
        <v>908</v>
      </c>
      <c r="H1165" s="9" t="s">
        <v>911</v>
      </c>
      <c r="I1165" s="9" t="s">
        <v>971</v>
      </c>
      <c r="J1165" s="9" t="s">
        <v>976</v>
      </c>
      <c r="K1165" s="9" t="s">
        <v>2696</v>
      </c>
      <c r="L1165" s="9" t="s">
        <v>2696</v>
      </c>
      <c r="M1165" s="9" t="s">
        <v>51</v>
      </c>
      <c r="N1165" s="9">
        <v>447</v>
      </c>
      <c r="O1165" s="9">
        <v>55</v>
      </c>
      <c r="P1165" s="9">
        <v>130</v>
      </c>
      <c r="Q1165" s="9">
        <v>185</v>
      </c>
      <c r="R1165" s="9">
        <v>0.30261900000000003</v>
      </c>
      <c r="S1165" s="9">
        <v>-2.2358028999999999</v>
      </c>
      <c r="T1165" s="9">
        <v>136.37845060000001</v>
      </c>
      <c r="U1165" s="9"/>
      <c r="V1165" s="11" t="s">
        <v>694</v>
      </c>
      <c r="W1165" s="11"/>
      <c r="X1165" s="11"/>
      <c r="Y1165" s="11" t="e">
        <f>VLOOKUP(L1165,'[1]singkron data'!D:H,5,FALSE)</f>
        <v>#N/A</v>
      </c>
      <c r="Z1165" s="11" t="e">
        <f>VLOOKUP(L1165,'[1]singkron data'!D:I,6,FALSE)</f>
        <v>#N/A</v>
      </c>
      <c r="AA1165" s="11" t="e">
        <f>VLOOKUP(L1165,'[1]singkron data'!D:L,9,FALSE)</f>
        <v>#N/A</v>
      </c>
      <c r="AB1165" s="11" t="s">
        <v>694</v>
      </c>
      <c r="AC1165" s="11" t="e">
        <f>VLOOKUP(L1165,'[1]singkron data'!D:M,10,FALSE)</f>
        <v>#N/A</v>
      </c>
      <c r="AD1165" s="11"/>
      <c r="AE1165" s="11" t="e">
        <f>VLOOKUP(L1165,'[1]singkron data'!D:P,13,FALSE)</f>
        <v>#N/A</v>
      </c>
      <c r="AF1165" s="11"/>
      <c r="AG1165" s="11" t="e">
        <f>VLOOKUP(L1165,'[1]update kontrak'!E:K,6,FALSE)</f>
        <v>#N/A</v>
      </c>
      <c r="AH1165" s="11" t="e">
        <f>VLOOKUP(L1165,'[1]update kontrak'!E:K,7,FALSE)</f>
        <v>#N/A</v>
      </c>
      <c r="AI1165" s="11"/>
      <c r="AJ1165" s="11" t="str">
        <f>VLOOKUP(L1165,[1]rekap!D:M,1,FALSE)</f>
        <v>Waren I</v>
      </c>
      <c r="AK1165" s="11" t="e">
        <f>VLOOKUP(L1165,'[1]singkron data'!D:E,2,FALSE)</f>
        <v>#N/A</v>
      </c>
      <c r="AL1165" s="11" t="str">
        <f>VLOOKUP(L1165,'[1]update 521'!D:D,1,FALSE)</f>
        <v>Waren I</v>
      </c>
      <c r="AM1165" s="11" t="e">
        <f>VLOOKUP(L1165,[1]Sheet18!I:M,5,FALSE)</f>
        <v>#N/A</v>
      </c>
      <c r="AN1165" s="11" t="e">
        <f>VLOOKUP(L1165,[1]Sheet19!E:L,8,FALSE)</f>
        <v>#N/A</v>
      </c>
      <c r="AO1165" s="11" t="e">
        <f>VLOOKUP(L1165,[1]Sheet19!E:K,7,FALSE)</f>
        <v>#N/A</v>
      </c>
      <c r="AP1165" s="12"/>
    </row>
    <row r="1166" spans="1:42" ht="15" x14ac:dyDescent="0.2">
      <c r="A1166" s="8" t="s">
        <v>2608</v>
      </c>
      <c r="B1166" s="9" t="s">
        <v>60</v>
      </c>
      <c r="C1166" s="9">
        <v>1293</v>
      </c>
      <c r="D1166" s="9" t="s">
        <v>44</v>
      </c>
      <c r="E1166" s="30"/>
      <c r="F1166" s="9" t="s">
        <v>61</v>
      </c>
      <c r="G1166" s="9" t="s">
        <v>46</v>
      </c>
      <c r="H1166" s="9" t="s">
        <v>47</v>
      </c>
      <c r="I1166" s="9" t="s">
        <v>62</v>
      </c>
      <c r="J1166" s="9" t="s">
        <v>2697</v>
      </c>
      <c r="K1166" s="9" t="s">
        <v>2698</v>
      </c>
      <c r="L1166" s="10" t="s">
        <v>2698</v>
      </c>
      <c r="M1166" s="9" t="s">
        <v>51</v>
      </c>
      <c r="N1166" s="9">
        <v>403</v>
      </c>
      <c r="O1166" s="9">
        <v>13</v>
      </c>
      <c r="P1166" s="9">
        <v>185</v>
      </c>
      <c r="Q1166" s="9">
        <v>198</v>
      </c>
      <c r="R1166" s="9">
        <v>0.06</v>
      </c>
      <c r="S1166" s="9">
        <v>-8.7192080000000001</v>
      </c>
      <c r="T1166" s="9">
        <v>116.05895099999999</v>
      </c>
      <c r="U1166" s="9"/>
      <c r="V1166" s="11" t="s">
        <v>2699</v>
      </c>
      <c r="W1166" s="11"/>
      <c r="X1166" s="11"/>
      <c r="Y1166" s="11" t="e">
        <f>VLOOKUP(L1166,'[1]singkron data'!D:H,5,FALSE)</f>
        <v>#N/A</v>
      </c>
      <c r="Z1166" s="11" t="e">
        <f>VLOOKUP(L1166,'[1]singkron data'!D:I,6,FALSE)</f>
        <v>#N/A</v>
      </c>
      <c r="AA1166" s="11" t="s">
        <v>160</v>
      </c>
      <c r="AB1166" s="11" t="s">
        <v>54</v>
      </c>
      <c r="AC1166" s="11" t="s">
        <v>1660</v>
      </c>
      <c r="AD1166" s="11" t="s">
        <v>364</v>
      </c>
      <c r="AE1166" s="11" t="e">
        <f>VLOOKUP(L1166,'[1]singkron data'!D:P,13,FALSE)</f>
        <v>#N/A</v>
      </c>
      <c r="AF1166" s="11" t="s">
        <v>55</v>
      </c>
      <c r="AG1166" s="11" t="e">
        <f>VLOOKUP(L1166,'[1]update kontrak'!E:K,6,FALSE)</f>
        <v>#N/A</v>
      </c>
      <c r="AH1166" s="11" t="e">
        <f>VLOOKUP(L1166,'[1]update kontrak'!E:K,7,FALSE)</f>
        <v>#N/A</v>
      </c>
      <c r="AI1166" s="11" t="s">
        <v>58</v>
      </c>
      <c r="AJ1166" s="11" t="str">
        <f>VLOOKUP(L1166,[1]rekap!D:M,1,FALSE)</f>
        <v>Lembar Selatan</v>
      </c>
      <c r="AK1166" s="11" t="e">
        <f>VLOOKUP(L1166,'[1]singkron data'!D:E,2,FALSE)</f>
        <v>#N/A</v>
      </c>
      <c r="AL1166" s="11" t="str">
        <f>VLOOKUP(L1166,'[1]update 521'!D:D,1,FALSE)</f>
        <v>Lembar Selatan</v>
      </c>
      <c r="AM1166" s="11" t="s">
        <v>96</v>
      </c>
      <c r="AN1166" s="11" t="e">
        <f>VLOOKUP(L1166,[1]Sheet19!E:L,8,FALSE)</f>
        <v>#N/A</v>
      </c>
      <c r="AO1166" s="11" t="e">
        <f>VLOOKUP(L1166,[1]Sheet19!E:K,7,FALSE)</f>
        <v>#N/A</v>
      </c>
      <c r="AP1166" s="12"/>
    </row>
    <row r="1167" spans="1:42" ht="15" x14ac:dyDescent="0.2">
      <c r="A1167" s="8" t="s">
        <v>2608</v>
      </c>
      <c r="B1167" s="9" t="s">
        <v>60</v>
      </c>
      <c r="C1167" s="9">
        <v>1294</v>
      </c>
      <c r="D1167" s="9" t="s">
        <v>44</v>
      </c>
      <c r="E1167" s="30"/>
      <c r="F1167" s="9" t="s">
        <v>77</v>
      </c>
      <c r="G1167" s="9" t="s">
        <v>46</v>
      </c>
      <c r="H1167" s="9" t="s">
        <v>47</v>
      </c>
      <c r="I1167" s="9" t="s">
        <v>78</v>
      </c>
      <c r="J1167" s="9" t="s">
        <v>2700</v>
      </c>
      <c r="K1167" s="9" t="s">
        <v>2700</v>
      </c>
      <c r="L1167" s="10" t="s">
        <v>2700</v>
      </c>
      <c r="M1167" s="9" t="s">
        <v>51</v>
      </c>
      <c r="N1167" s="9">
        <v>320</v>
      </c>
      <c r="O1167" s="9" t="s">
        <v>72</v>
      </c>
      <c r="P1167" s="9">
        <v>150</v>
      </c>
      <c r="Q1167" s="9">
        <v>150</v>
      </c>
      <c r="R1167" s="9">
        <v>1.26</v>
      </c>
      <c r="S1167" s="9">
        <v>-8.6977360000000008</v>
      </c>
      <c r="T1167" s="9">
        <v>116.573348</v>
      </c>
      <c r="U1167" s="9"/>
      <c r="V1167" s="11" t="e">
        <f>VLOOKUP(L1167,'[1]singkron data'!D:E,2,FALSE)</f>
        <v>#N/A</v>
      </c>
      <c r="W1167" s="11"/>
      <c r="X1167" s="11"/>
      <c r="Y1167" s="11" t="e">
        <f>VLOOKUP(L1167,'[1]singkron data'!D:H,5,FALSE)</f>
        <v>#N/A</v>
      </c>
      <c r="Z1167" s="11" t="e">
        <f>VLOOKUP(L1167,'[1]singkron data'!D:I,6,FALSE)</f>
        <v>#N/A</v>
      </c>
      <c r="AA1167" s="11" t="e">
        <f>VLOOKUP(L1167,'[1]singkron data'!D:L,9,FALSE)</f>
        <v>#N/A</v>
      </c>
      <c r="AB1167" s="11" t="s">
        <v>54</v>
      </c>
      <c r="AC1167" s="11" t="e">
        <f>VLOOKUP(L1167,'[1]singkron data'!D:M,10,FALSE)</f>
        <v>#N/A</v>
      </c>
      <c r="AD1167" s="11" t="s">
        <v>364</v>
      </c>
      <c r="AE1167" s="11" t="e">
        <f>VLOOKUP(L1167,'[1]singkron data'!D:P,13,FALSE)</f>
        <v>#N/A</v>
      </c>
      <c r="AF1167" s="11" t="s">
        <v>55</v>
      </c>
      <c r="AG1167" s="11" t="e">
        <f>VLOOKUP(L1167,'[1]update kontrak'!E:K,6,FALSE)</f>
        <v>#N/A</v>
      </c>
      <c r="AH1167" s="11" t="e">
        <f>VLOOKUP(L1167,'[1]update kontrak'!E:K,7,FALSE)</f>
        <v>#N/A</v>
      </c>
      <c r="AI1167" s="11"/>
      <c r="AJ1167" s="11" t="str">
        <f>VLOOKUP(L1167,[1]rekap!D:M,1,FALSE)</f>
        <v>Labuhan Haji</v>
      </c>
      <c r="AK1167" s="11" t="e">
        <f>VLOOKUP(L1167,'[1]singkron data'!D:E,2,FALSE)</f>
        <v>#N/A</v>
      </c>
      <c r="AL1167" s="11" t="str">
        <f>VLOOKUP(L1167,'[1]update 521'!D:D,1,FALSE)</f>
        <v>Labuhan Haji</v>
      </c>
      <c r="AM1167" s="11" t="s">
        <v>96</v>
      </c>
      <c r="AN1167" s="11" t="e">
        <f>VLOOKUP(L1167,[1]Sheet19!E:L,8,FALSE)</f>
        <v>#N/A</v>
      </c>
      <c r="AO1167" s="11" t="e">
        <f>VLOOKUP(L1167,[1]Sheet19!E:K,7,FALSE)</f>
        <v>#N/A</v>
      </c>
      <c r="AP1167" s="12"/>
    </row>
    <row r="1168" spans="1:42" ht="15" x14ac:dyDescent="0.2">
      <c r="A1168" s="27" t="s">
        <v>2608</v>
      </c>
      <c r="B1168" s="28" t="s">
        <v>60</v>
      </c>
      <c r="C1168" s="28">
        <v>1295</v>
      </c>
      <c r="D1168" s="28" t="s">
        <v>1112</v>
      </c>
      <c r="E1168" s="45"/>
      <c r="F1168" s="28" t="s">
        <v>1377</v>
      </c>
      <c r="G1168" s="28" t="s">
        <v>1184</v>
      </c>
      <c r="H1168" s="28" t="s">
        <v>287</v>
      </c>
      <c r="I1168" s="28" t="s">
        <v>1378</v>
      </c>
      <c r="J1168" s="28" t="s">
        <v>2701</v>
      </c>
      <c r="K1168" s="28" t="s">
        <v>2702</v>
      </c>
      <c r="L1168" s="35" t="s">
        <v>2702</v>
      </c>
      <c r="M1168" s="28" t="s">
        <v>51</v>
      </c>
      <c r="N1168" s="28">
        <v>63</v>
      </c>
      <c r="O1168" s="28">
        <v>3</v>
      </c>
      <c r="P1168" s="28">
        <v>60</v>
      </c>
      <c r="Q1168" s="28">
        <v>63</v>
      </c>
      <c r="R1168" s="28">
        <v>0.1</v>
      </c>
      <c r="S1168" s="28">
        <v>-1.2308939999999999</v>
      </c>
      <c r="T1168" s="28">
        <v>123.244376</v>
      </c>
      <c r="U1168" s="28"/>
      <c r="V1168" s="29" t="s">
        <v>2703</v>
      </c>
      <c r="W1168" s="29"/>
      <c r="X1168" s="29"/>
      <c r="Y1168" s="29" t="e">
        <f>VLOOKUP(L1168,'[1]singkron data'!D:H,5,FALSE)</f>
        <v>#N/A</v>
      </c>
      <c r="Z1168" s="29" t="e">
        <f>VLOOKUP(L1168,'[1]singkron data'!D:I,6,FALSE)</f>
        <v>#N/A</v>
      </c>
      <c r="AA1168" s="29" t="s">
        <v>2704</v>
      </c>
      <c r="AB1168" s="29" t="s">
        <v>54</v>
      </c>
      <c r="AC1168" s="29" t="s">
        <v>167</v>
      </c>
      <c r="AD1168" s="29" t="s">
        <v>364</v>
      </c>
      <c r="AE1168" s="29" t="e">
        <f>VLOOKUP(L1168,'[1]singkron data'!D:P,13,FALSE)</f>
        <v>#N/A</v>
      </c>
      <c r="AF1168" s="11" t="s">
        <v>55</v>
      </c>
      <c r="AG1168" s="29" t="e">
        <f>VLOOKUP(L1168,'[1]update kontrak'!E:K,6,FALSE)</f>
        <v>#N/A</v>
      </c>
      <c r="AH1168" s="29" t="e">
        <f>VLOOKUP(L1168,'[1]update kontrak'!E:K,7,FALSE)</f>
        <v>#N/A</v>
      </c>
      <c r="AI1168" s="29"/>
      <c r="AJ1168" s="29" t="str">
        <f>VLOOKUP(L1168,[1]rekap!D:M,1,FALSE)</f>
        <v>Montop</v>
      </c>
      <c r="AK1168" s="29" t="e">
        <f>VLOOKUP(L1168,'[1]singkron data'!D:E,2,FALSE)</f>
        <v>#N/A</v>
      </c>
      <c r="AL1168" s="29" t="str">
        <f>VLOOKUP(L1168,'[1]update 521'!D:D,1,FALSE)</f>
        <v>Montop</v>
      </c>
      <c r="AM1168" s="29" t="s">
        <v>1253</v>
      </c>
      <c r="AN1168" s="11" t="e">
        <f>VLOOKUP(L1168,[1]Sheet19!E:L,8,FALSE)</f>
        <v>#N/A</v>
      </c>
      <c r="AO1168" s="11" t="e">
        <f>VLOOKUP(L1168,[1]Sheet19!E:K,7,FALSE)</f>
        <v>#N/A</v>
      </c>
      <c r="AP1168" s="48"/>
    </row>
    <row r="1169" spans="1:42" ht="15" x14ac:dyDescent="0.2">
      <c r="A1169" s="8" t="s">
        <v>2608</v>
      </c>
      <c r="B1169" s="9" t="s">
        <v>60</v>
      </c>
      <c r="C1169" s="9">
        <v>1296</v>
      </c>
      <c r="D1169" s="9" t="s">
        <v>284</v>
      </c>
      <c r="E1169" s="30"/>
      <c r="F1169" s="9" t="s">
        <v>389</v>
      </c>
      <c r="G1169" s="9" t="s">
        <v>301</v>
      </c>
      <c r="H1169" s="9" t="s">
        <v>287</v>
      </c>
      <c r="I1169" s="9" t="s">
        <v>394</v>
      </c>
      <c r="J1169" s="9" t="s">
        <v>2705</v>
      </c>
      <c r="K1169" s="9" t="s">
        <v>2706</v>
      </c>
      <c r="L1169" s="10" t="s">
        <v>2706</v>
      </c>
      <c r="M1169" s="9" t="s">
        <v>51</v>
      </c>
      <c r="N1169" s="9">
        <v>96</v>
      </c>
      <c r="O1169" s="9">
        <v>30</v>
      </c>
      <c r="P1169" s="9">
        <v>37</v>
      </c>
      <c r="Q1169" s="9">
        <v>67</v>
      </c>
      <c r="R1169" s="9">
        <v>8.4000000000000005E-2</v>
      </c>
      <c r="S1169" s="9">
        <v>-7.7533839999999996</v>
      </c>
      <c r="T1169" s="9">
        <v>109.47017</v>
      </c>
      <c r="U1169" s="9"/>
      <c r="V1169" s="11" t="s">
        <v>2707</v>
      </c>
      <c r="W1169" s="11"/>
      <c r="X1169" s="11" t="s">
        <v>55</v>
      </c>
      <c r="Y1169" s="11" t="e">
        <f>VLOOKUP(L1169,'[1]singkron data'!D:H,5,FALSE)</f>
        <v>#N/A</v>
      </c>
      <c r="Z1169" s="11" t="e">
        <f>VLOOKUP(L1169,'[1]singkron data'!D:I,6,FALSE)</f>
        <v>#N/A</v>
      </c>
      <c r="AA1169" s="11" t="s">
        <v>2708</v>
      </c>
      <c r="AB1169" s="11" t="s">
        <v>54</v>
      </c>
      <c r="AC1169" s="11" t="s">
        <v>268</v>
      </c>
      <c r="AD1169" s="11" t="s">
        <v>364</v>
      </c>
      <c r="AE1169" s="11" t="s">
        <v>1200</v>
      </c>
      <c r="AF1169" s="11" t="s">
        <v>55</v>
      </c>
      <c r="AG1169" s="11" t="e">
        <f>VLOOKUP(L1169,'[1]update kontrak'!E:K,6,FALSE)</f>
        <v>#N/A</v>
      </c>
      <c r="AH1169" s="11" t="e">
        <f>VLOOKUP(L1169,'[1]update kontrak'!E:K,7,FALSE)</f>
        <v>#N/A</v>
      </c>
      <c r="AI1169" s="11"/>
      <c r="AJ1169" s="11" t="str">
        <f>VLOOKUP(L1169,[1]rekap!D:M,1,FALSE)</f>
        <v>Tambakmulyo</v>
      </c>
      <c r="AK1169" s="11" t="e">
        <f>VLOOKUP(L1169,'[1]singkron data'!D:E,2,FALSE)</f>
        <v>#N/A</v>
      </c>
      <c r="AL1169" s="11" t="str">
        <f>VLOOKUP(L1169,'[1]update 521'!D:D,1,FALSE)</f>
        <v>Tambakmulyo</v>
      </c>
      <c r="AM1169" s="11" t="s">
        <v>57</v>
      </c>
      <c r="AN1169" s="11" t="e">
        <f>VLOOKUP(L1169,[1]Sheet19!E:L,8,FALSE)</f>
        <v>#N/A</v>
      </c>
      <c r="AO1169" s="11" t="e">
        <f>VLOOKUP(L1169,[1]Sheet19!E:K,7,FALSE)</f>
        <v>#N/A</v>
      </c>
      <c r="AP1169" s="12"/>
    </row>
    <row r="1170" spans="1:42" ht="15" x14ac:dyDescent="0.2">
      <c r="A1170" s="8" t="s">
        <v>2709</v>
      </c>
      <c r="B1170" s="9" t="s">
        <v>60</v>
      </c>
      <c r="C1170" s="9">
        <v>1297</v>
      </c>
      <c r="D1170" s="9" t="s">
        <v>1631</v>
      </c>
      <c r="E1170" s="30"/>
      <c r="F1170" s="9" t="s">
        <v>2710</v>
      </c>
      <c r="G1170" s="9" t="s">
        <v>1633</v>
      </c>
      <c r="H1170" s="9" t="s">
        <v>47</v>
      </c>
      <c r="I1170" s="9" t="s">
        <v>1700</v>
      </c>
      <c r="J1170" s="9" t="s">
        <v>2710</v>
      </c>
      <c r="K1170" s="9" t="s">
        <v>2711</v>
      </c>
      <c r="L1170" s="10" t="s">
        <v>2711</v>
      </c>
      <c r="M1170" s="9" t="s">
        <v>51</v>
      </c>
      <c r="N1170" s="9">
        <v>152</v>
      </c>
      <c r="O1170" s="9" t="s">
        <v>72</v>
      </c>
      <c r="P1170" s="9">
        <v>85</v>
      </c>
      <c r="Q1170" s="9">
        <v>85</v>
      </c>
      <c r="R1170" s="9" t="s">
        <v>72</v>
      </c>
      <c r="S1170" s="9">
        <v>2.4948556000000002</v>
      </c>
      <c r="T1170" s="9">
        <v>108.9563757</v>
      </c>
      <c r="U1170" s="9"/>
      <c r="V1170" s="11" t="s">
        <v>2712</v>
      </c>
      <c r="W1170" s="11"/>
      <c r="X1170" s="11"/>
      <c r="Y1170" s="11" t="e">
        <f>VLOOKUP(L1170,'[1]singkron data'!D:H,5,FALSE)</f>
        <v>#N/A</v>
      </c>
      <c r="Z1170" s="11" t="e">
        <f>VLOOKUP(L1170,'[1]singkron data'!D:I,6,FALSE)</f>
        <v>#N/A</v>
      </c>
      <c r="AA1170" s="11" t="s">
        <v>2713</v>
      </c>
      <c r="AB1170" s="11" t="s">
        <v>54</v>
      </c>
      <c r="AC1170" s="11" t="s">
        <v>2714</v>
      </c>
      <c r="AD1170" s="11" t="s">
        <v>364</v>
      </c>
      <c r="AE1170" s="11" t="e">
        <f>VLOOKUP(L1170,'[1]singkron data'!D:P,13,FALSE)</f>
        <v>#N/A</v>
      </c>
      <c r="AF1170" s="11" t="s">
        <v>55</v>
      </c>
      <c r="AG1170" s="11" t="e">
        <f>VLOOKUP(L1170,'[1]update kontrak'!E:K,6,FALSE)</f>
        <v>#N/A</v>
      </c>
      <c r="AH1170" s="11" t="e">
        <f>VLOOKUP(L1170,'[1]update kontrak'!E:K,7,FALSE)</f>
        <v>#N/A</v>
      </c>
      <c r="AI1170" s="11"/>
      <c r="AJ1170" s="11" t="str">
        <f>VLOOKUP(L1170,[1]rekap!D:M,1,FALSE)</f>
        <v>Batu Berlian</v>
      </c>
      <c r="AK1170" s="11" t="e">
        <f>VLOOKUP(L1170,'[1]singkron data'!D:E,2,FALSE)</f>
        <v>#N/A</v>
      </c>
      <c r="AL1170" s="11" t="str">
        <f>VLOOKUP(L1170,'[1]update 521'!D:D,1,FALSE)</f>
        <v>Batu Berlian</v>
      </c>
      <c r="AM1170" s="11" t="s">
        <v>96</v>
      </c>
      <c r="AN1170" s="11" t="s">
        <v>2712</v>
      </c>
      <c r="AO1170" s="11" t="s">
        <v>2713</v>
      </c>
      <c r="AP1170" s="12" t="s">
        <v>2714</v>
      </c>
    </row>
    <row r="1171" spans="1:42" ht="15" x14ac:dyDescent="0.2">
      <c r="A1171" s="8" t="s">
        <v>2709</v>
      </c>
      <c r="B1171" s="9" t="s">
        <v>60</v>
      </c>
      <c r="C1171" s="9">
        <v>1298</v>
      </c>
      <c r="D1171" s="9" t="s">
        <v>1631</v>
      </c>
      <c r="E1171" s="30"/>
      <c r="F1171" s="9" t="s">
        <v>2715</v>
      </c>
      <c r="G1171" s="9" t="s">
        <v>1633</v>
      </c>
      <c r="H1171" s="9" t="s">
        <v>47</v>
      </c>
      <c r="I1171" s="9" t="s">
        <v>1700</v>
      </c>
      <c r="J1171" s="9" t="s">
        <v>2715</v>
      </c>
      <c r="K1171" s="9" t="s">
        <v>2715</v>
      </c>
      <c r="L1171" s="10" t="s">
        <v>2715</v>
      </c>
      <c r="M1171" s="9" t="s">
        <v>51</v>
      </c>
      <c r="N1171" s="9">
        <v>94</v>
      </c>
      <c r="O1171" s="9" t="s">
        <v>72</v>
      </c>
      <c r="P1171" s="9">
        <v>61</v>
      </c>
      <c r="Q1171" s="9">
        <v>61</v>
      </c>
      <c r="R1171" s="9" t="s">
        <v>72</v>
      </c>
      <c r="S1171" s="9">
        <v>3.0146068000000001</v>
      </c>
      <c r="T1171" s="9">
        <v>108.8658349</v>
      </c>
      <c r="U1171" s="9"/>
      <c r="V1171" s="11" t="s">
        <v>2712</v>
      </c>
      <c r="W1171" s="11"/>
      <c r="X1171" s="11"/>
      <c r="Y1171" s="11" t="e">
        <f>VLOOKUP(L1171,'[1]singkron data'!D:H,5,FALSE)</f>
        <v>#N/A</v>
      </c>
      <c r="Z1171" s="11" t="e">
        <f>VLOOKUP(L1171,'[1]singkron data'!D:I,6,FALSE)</f>
        <v>#N/A</v>
      </c>
      <c r="AA1171" s="11" t="s">
        <v>2713</v>
      </c>
      <c r="AB1171" s="11" t="s">
        <v>54</v>
      </c>
      <c r="AC1171" s="11" t="s">
        <v>2714</v>
      </c>
      <c r="AD1171" s="11" t="s">
        <v>364</v>
      </c>
      <c r="AE1171" s="11" t="e">
        <f>VLOOKUP(L1171,'[1]singkron data'!D:P,13,FALSE)</f>
        <v>#N/A</v>
      </c>
      <c r="AF1171" s="11" t="s">
        <v>55</v>
      </c>
      <c r="AG1171" s="11" t="e">
        <f>VLOOKUP(L1171,'[1]update kontrak'!E:K,6,FALSE)</f>
        <v>#N/A</v>
      </c>
      <c r="AH1171" s="11" t="e">
        <f>VLOOKUP(L1171,'[1]update kontrak'!E:K,7,FALSE)</f>
        <v>#N/A</v>
      </c>
      <c r="AI1171" s="11"/>
      <c r="AJ1171" s="11" t="str">
        <f>VLOOKUP(L1171,[1]rekap!D:M,1,FALSE)</f>
        <v>Subi</v>
      </c>
      <c r="AK1171" s="11" t="e">
        <f>VLOOKUP(L1171,'[1]singkron data'!D:E,2,FALSE)</f>
        <v>#N/A</v>
      </c>
      <c r="AL1171" s="11" t="str">
        <f>VLOOKUP(L1171,'[1]update 521'!D:D,1,FALSE)</f>
        <v>Subi</v>
      </c>
      <c r="AM1171" s="11" t="s">
        <v>96</v>
      </c>
      <c r="AN1171" s="11" t="s">
        <v>2712</v>
      </c>
      <c r="AO1171" s="11" t="s">
        <v>2713</v>
      </c>
      <c r="AP1171" s="12" t="s">
        <v>2714</v>
      </c>
    </row>
    <row r="1172" spans="1:42" ht="15" x14ac:dyDescent="0.2">
      <c r="A1172" s="8" t="s">
        <v>2709</v>
      </c>
      <c r="B1172" s="9" t="s">
        <v>60</v>
      </c>
      <c r="C1172" s="9">
        <v>1299</v>
      </c>
      <c r="D1172" s="9" t="s">
        <v>1631</v>
      </c>
      <c r="E1172" s="30"/>
      <c r="F1172" s="9" t="s">
        <v>2715</v>
      </c>
      <c r="G1172" s="9" t="s">
        <v>1633</v>
      </c>
      <c r="H1172" s="9" t="s">
        <v>47</v>
      </c>
      <c r="I1172" s="9" t="s">
        <v>1700</v>
      </c>
      <c r="J1172" s="9" t="s">
        <v>2715</v>
      </c>
      <c r="K1172" s="9" t="s">
        <v>2716</v>
      </c>
      <c r="L1172" s="10" t="s">
        <v>2716</v>
      </c>
      <c r="M1172" s="9" t="s">
        <v>51</v>
      </c>
      <c r="N1172" s="9">
        <v>54</v>
      </c>
      <c r="O1172" s="9" t="s">
        <v>72</v>
      </c>
      <c r="P1172" s="9">
        <v>24</v>
      </c>
      <c r="Q1172" s="9">
        <v>24</v>
      </c>
      <c r="R1172" s="9" t="s">
        <v>72</v>
      </c>
      <c r="S1172" s="9">
        <v>3.0333909999999999</v>
      </c>
      <c r="T1172" s="9">
        <v>108.8648448</v>
      </c>
      <c r="U1172" s="9"/>
      <c r="V1172" s="11" t="s">
        <v>2712</v>
      </c>
      <c r="W1172" s="11"/>
      <c r="X1172" s="11"/>
      <c r="Y1172" s="11" t="e">
        <f>VLOOKUP(L1172,'[1]singkron data'!D:H,5,FALSE)</f>
        <v>#N/A</v>
      </c>
      <c r="Z1172" s="11" t="e">
        <f>VLOOKUP(L1172,'[1]singkron data'!D:I,6,FALSE)</f>
        <v>#N/A</v>
      </c>
      <c r="AA1172" s="11" t="s">
        <v>2713</v>
      </c>
      <c r="AB1172" s="11" t="s">
        <v>54</v>
      </c>
      <c r="AC1172" s="11" t="s">
        <v>2714</v>
      </c>
      <c r="AD1172" s="11" t="s">
        <v>364</v>
      </c>
      <c r="AE1172" s="11" t="e">
        <f>VLOOKUP(L1172,'[1]singkron data'!D:P,13,FALSE)</f>
        <v>#N/A</v>
      </c>
      <c r="AF1172" s="11" t="s">
        <v>55</v>
      </c>
      <c r="AG1172" s="11" t="e">
        <f>VLOOKUP(L1172,'[1]update kontrak'!E:K,6,FALSE)</f>
        <v>#N/A</v>
      </c>
      <c r="AH1172" s="11" t="e">
        <f>VLOOKUP(L1172,'[1]update kontrak'!E:K,7,FALSE)</f>
        <v>#N/A</v>
      </c>
      <c r="AI1172" s="11"/>
      <c r="AJ1172" s="11" t="str">
        <f>VLOOKUP(L1172,[1]rekap!D:M,1,FALSE)</f>
        <v>Meliah</v>
      </c>
      <c r="AK1172" s="11" t="e">
        <f>VLOOKUP(L1172,'[1]singkron data'!D:E,2,FALSE)</f>
        <v>#N/A</v>
      </c>
      <c r="AL1172" s="11" t="str">
        <f>VLOOKUP(L1172,'[1]update 521'!D:D,1,FALSE)</f>
        <v>Meliah</v>
      </c>
      <c r="AM1172" s="11" t="s">
        <v>96</v>
      </c>
      <c r="AN1172" s="11" t="s">
        <v>2712</v>
      </c>
      <c r="AO1172" s="11" t="s">
        <v>2713</v>
      </c>
      <c r="AP1172" s="12" t="s">
        <v>2714</v>
      </c>
    </row>
    <row r="1173" spans="1:42" ht="15" x14ac:dyDescent="0.2">
      <c r="A1173" s="8" t="s">
        <v>2709</v>
      </c>
      <c r="B1173" s="9" t="s">
        <v>60</v>
      </c>
      <c r="C1173" s="9">
        <v>1300</v>
      </c>
      <c r="D1173" s="9" t="s">
        <v>1631</v>
      </c>
      <c r="E1173" s="30"/>
      <c r="F1173" s="9" t="s">
        <v>2710</v>
      </c>
      <c r="G1173" s="9" t="s">
        <v>1633</v>
      </c>
      <c r="H1173" s="9" t="s">
        <v>47</v>
      </c>
      <c r="I1173" s="9" t="s">
        <v>1700</v>
      </c>
      <c r="J1173" s="9" t="s">
        <v>2710</v>
      </c>
      <c r="K1173" s="9" t="s">
        <v>2717</v>
      </c>
      <c r="L1173" s="10" t="s">
        <v>2717</v>
      </c>
      <c r="M1173" s="9" t="s">
        <v>51</v>
      </c>
      <c r="N1173" s="9">
        <v>131</v>
      </c>
      <c r="O1173" s="9" t="s">
        <v>72</v>
      </c>
      <c r="P1173" s="9">
        <v>89</v>
      </c>
      <c r="Q1173" s="9">
        <v>89</v>
      </c>
      <c r="R1173" s="9" t="s">
        <v>72</v>
      </c>
      <c r="S1173" s="9">
        <v>2.4996470999999998</v>
      </c>
      <c r="T1173" s="9">
        <v>109.0068143</v>
      </c>
      <c r="U1173" s="9"/>
      <c r="V1173" s="11" t="s">
        <v>2595</v>
      </c>
      <c r="W1173" s="11"/>
      <c r="X1173" s="11"/>
      <c r="Y1173" s="11" t="e">
        <f>VLOOKUP(L1173,'[1]singkron data'!D:H,5,FALSE)</f>
        <v>#N/A</v>
      </c>
      <c r="Z1173" s="11" t="e">
        <f>VLOOKUP(L1173,'[1]singkron data'!D:I,6,FALSE)</f>
        <v>#N/A</v>
      </c>
      <c r="AA1173" s="11" t="s">
        <v>2596</v>
      </c>
      <c r="AB1173" s="11" t="s">
        <v>54</v>
      </c>
      <c r="AC1173" s="11" t="s">
        <v>2597</v>
      </c>
      <c r="AD1173" s="11" t="s">
        <v>364</v>
      </c>
      <c r="AE1173" s="11" t="e">
        <f>VLOOKUP(L1173,'[1]singkron data'!D:P,13,FALSE)</f>
        <v>#N/A</v>
      </c>
      <c r="AF1173" s="11" t="s">
        <v>55</v>
      </c>
      <c r="AG1173" s="11" t="e">
        <f>VLOOKUP(L1173,'[1]update kontrak'!E:K,6,FALSE)</f>
        <v>#N/A</v>
      </c>
      <c r="AH1173" s="11" t="e">
        <f>VLOOKUP(L1173,'[1]update kontrak'!E:K,7,FALSE)</f>
        <v>#N/A</v>
      </c>
      <c r="AI1173" s="11"/>
      <c r="AJ1173" s="11" t="str">
        <f>VLOOKUP(L1173,[1]rekap!D:M,1,FALSE)</f>
        <v>Tanjung Setelung</v>
      </c>
      <c r="AK1173" s="11" t="e">
        <f>VLOOKUP(L1173,'[1]singkron data'!D:E,2,FALSE)</f>
        <v>#N/A</v>
      </c>
      <c r="AL1173" s="11" t="str">
        <f>VLOOKUP(L1173,'[1]update 521'!D:D,1,FALSE)</f>
        <v>Tanjung Setelung</v>
      </c>
      <c r="AM1173" s="11" t="s">
        <v>96</v>
      </c>
      <c r="AN1173" s="11" t="s">
        <v>2595</v>
      </c>
      <c r="AO1173" s="11" t="s">
        <v>2596</v>
      </c>
      <c r="AP1173" s="12" t="s">
        <v>2597</v>
      </c>
    </row>
    <row r="1174" spans="1:42" ht="15" x14ac:dyDescent="0.2">
      <c r="A1174" s="8" t="s">
        <v>2709</v>
      </c>
      <c r="B1174" s="9" t="s">
        <v>60</v>
      </c>
      <c r="C1174" s="9">
        <v>1301</v>
      </c>
      <c r="D1174" s="9" t="s">
        <v>1631</v>
      </c>
      <c r="E1174" s="30"/>
      <c r="F1174" s="9" t="s">
        <v>2710</v>
      </c>
      <c r="G1174" s="9" t="s">
        <v>1633</v>
      </c>
      <c r="H1174" s="9" t="s">
        <v>47</v>
      </c>
      <c r="I1174" s="9" t="s">
        <v>1700</v>
      </c>
      <c r="J1174" s="9" t="s">
        <v>2710</v>
      </c>
      <c r="K1174" s="9" t="s">
        <v>2710</v>
      </c>
      <c r="L1174" s="10" t="s">
        <v>2710</v>
      </c>
      <c r="M1174" s="9" t="s">
        <v>51</v>
      </c>
      <c r="N1174" s="9">
        <v>119</v>
      </c>
      <c r="O1174" s="9" t="s">
        <v>72</v>
      </c>
      <c r="P1174" s="9">
        <v>95</v>
      </c>
      <c r="Q1174" s="9">
        <v>95</v>
      </c>
      <c r="R1174" s="9" t="s">
        <v>72</v>
      </c>
      <c r="S1174" s="9">
        <v>2.5134500000000002</v>
      </c>
      <c r="T1174" s="9">
        <v>109.02231999999999</v>
      </c>
      <c r="U1174" s="9"/>
      <c r="V1174" s="11" t="s">
        <v>2595</v>
      </c>
      <c r="W1174" s="11"/>
      <c r="X1174" s="11"/>
      <c r="Y1174" s="11" t="e">
        <f>VLOOKUP(L1174,'[1]singkron data'!D:H,5,FALSE)</f>
        <v>#N/A</v>
      </c>
      <c r="Z1174" s="11" t="e">
        <f>VLOOKUP(L1174,'[1]singkron data'!D:I,6,FALSE)</f>
        <v>#N/A</v>
      </c>
      <c r="AA1174" s="11" t="s">
        <v>2596</v>
      </c>
      <c r="AB1174" s="11" t="s">
        <v>54</v>
      </c>
      <c r="AC1174" s="11" t="s">
        <v>2597</v>
      </c>
      <c r="AD1174" s="11" t="s">
        <v>364</v>
      </c>
      <c r="AE1174" s="11" t="e">
        <f>VLOOKUP(L1174,'[1]singkron data'!D:P,13,FALSE)</f>
        <v>#N/A</v>
      </c>
      <c r="AF1174" s="11" t="s">
        <v>55</v>
      </c>
      <c r="AG1174" s="11" t="e">
        <f>VLOOKUP(L1174,'[1]update kontrak'!E:K,6,FALSE)</f>
        <v>#N/A</v>
      </c>
      <c r="AH1174" s="11" t="e">
        <f>VLOOKUP(L1174,'[1]update kontrak'!E:K,7,FALSE)</f>
        <v>#N/A</v>
      </c>
      <c r="AI1174" s="11"/>
      <c r="AJ1174" s="11" t="str">
        <f>VLOOKUP(L1174,[1]rekap!D:M,1,FALSE)</f>
        <v>Serasan</v>
      </c>
      <c r="AK1174" s="11" t="e">
        <f>VLOOKUP(L1174,'[1]singkron data'!D:E,2,FALSE)</f>
        <v>#N/A</v>
      </c>
      <c r="AL1174" s="11" t="str">
        <f>VLOOKUP(L1174,'[1]update 521'!D:D,1,FALSE)</f>
        <v>Serasan</v>
      </c>
      <c r="AM1174" s="11" t="s">
        <v>96</v>
      </c>
      <c r="AN1174" s="11" t="s">
        <v>2595</v>
      </c>
      <c r="AO1174" s="11" t="s">
        <v>2596</v>
      </c>
      <c r="AP1174" s="12" t="s">
        <v>2597</v>
      </c>
    </row>
    <row r="1175" spans="1:42" ht="15" x14ac:dyDescent="0.2">
      <c r="A1175" s="8" t="s">
        <v>2709</v>
      </c>
      <c r="B1175" s="9" t="s">
        <v>60</v>
      </c>
      <c r="C1175" s="9">
        <v>1302</v>
      </c>
      <c r="D1175" s="9" t="s">
        <v>1631</v>
      </c>
      <c r="E1175" s="30"/>
      <c r="F1175" s="9" t="s">
        <v>2710</v>
      </c>
      <c r="G1175" s="9" t="s">
        <v>1633</v>
      </c>
      <c r="H1175" s="9" t="s">
        <v>47</v>
      </c>
      <c r="I1175" s="9" t="s">
        <v>1700</v>
      </c>
      <c r="J1175" s="9" t="s">
        <v>2718</v>
      </c>
      <c r="K1175" s="9" t="s">
        <v>2719</v>
      </c>
      <c r="L1175" s="10" t="s">
        <v>2719</v>
      </c>
      <c r="M1175" s="9" t="s">
        <v>51</v>
      </c>
      <c r="N1175" s="9">
        <v>110</v>
      </c>
      <c r="O1175" s="9" t="s">
        <v>72</v>
      </c>
      <c r="P1175" s="9">
        <v>62</v>
      </c>
      <c r="Q1175" s="9">
        <v>62</v>
      </c>
      <c r="R1175" s="9" t="s">
        <v>72</v>
      </c>
      <c r="S1175" s="9">
        <v>2.5003563</v>
      </c>
      <c r="T1175" s="9">
        <v>109.0492186</v>
      </c>
      <c r="U1175" s="9"/>
      <c r="V1175" s="11" t="s">
        <v>2595</v>
      </c>
      <c r="W1175" s="11"/>
      <c r="X1175" s="11"/>
      <c r="Y1175" s="11" t="e">
        <f>VLOOKUP(L1175,'[1]singkron data'!D:H,5,FALSE)</f>
        <v>#N/A</v>
      </c>
      <c r="Z1175" s="11" t="e">
        <f>VLOOKUP(L1175,'[1]singkron data'!D:I,6,FALSE)</f>
        <v>#N/A</v>
      </c>
      <c r="AA1175" s="11" t="s">
        <v>2596</v>
      </c>
      <c r="AB1175" s="11" t="s">
        <v>54</v>
      </c>
      <c r="AC1175" s="11" t="s">
        <v>2597</v>
      </c>
      <c r="AD1175" s="11" t="s">
        <v>364</v>
      </c>
      <c r="AE1175" s="11" t="e">
        <f>VLOOKUP(L1175,'[1]singkron data'!D:P,13,FALSE)</f>
        <v>#N/A</v>
      </c>
      <c r="AF1175" s="11" t="s">
        <v>55</v>
      </c>
      <c r="AG1175" s="11" t="e">
        <f>VLOOKUP(L1175,'[1]update kontrak'!E:K,6,FALSE)</f>
        <v>#N/A</v>
      </c>
      <c r="AH1175" s="11" t="e">
        <f>VLOOKUP(L1175,'[1]update kontrak'!E:K,7,FALSE)</f>
        <v>#N/A</v>
      </c>
      <c r="AI1175" s="11"/>
      <c r="AJ1175" s="11" t="str">
        <f>VLOOKUP(L1175,[1]rekap!D:M,1,FALSE)</f>
        <v>Air Ringau</v>
      </c>
      <c r="AK1175" s="11" t="e">
        <f>VLOOKUP(L1175,'[1]singkron data'!D:E,2,FALSE)</f>
        <v>#N/A</v>
      </c>
      <c r="AL1175" s="11" t="str">
        <f>VLOOKUP(L1175,'[1]update 521'!D:D,1,FALSE)</f>
        <v>Air Ringau</v>
      </c>
      <c r="AM1175" s="11" t="s">
        <v>96</v>
      </c>
      <c r="AN1175" s="11" t="s">
        <v>2595</v>
      </c>
      <c r="AO1175" s="11" t="s">
        <v>2596</v>
      </c>
      <c r="AP1175" s="12" t="s">
        <v>2597</v>
      </c>
    </row>
    <row r="1176" spans="1:42" ht="15" x14ac:dyDescent="0.2">
      <c r="A1176" s="8" t="s">
        <v>2709</v>
      </c>
      <c r="B1176" s="9" t="s">
        <v>60</v>
      </c>
      <c r="C1176" s="9">
        <v>1303</v>
      </c>
      <c r="D1176" s="9" t="s">
        <v>688</v>
      </c>
      <c r="E1176" s="30"/>
      <c r="F1176" s="9" t="s">
        <v>2720</v>
      </c>
      <c r="G1176" s="9" t="s">
        <v>690</v>
      </c>
      <c r="H1176" s="9" t="s">
        <v>287</v>
      </c>
      <c r="I1176" s="9" t="s">
        <v>830</v>
      </c>
      <c r="J1176" s="9" t="s">
        <v>2721</v>
      </c>
      <c r="K1176" s="9" t="s">
        <v>2720</v>
      </c>
      <c r="L1176" s="9" t="s">
        <v>2720</v>
      </c>
      <c r="M1176" s="9" t="s">
        <v>51</v>
      </c>
      <c r="N1176" s="9">
        <v>120</v>
      </c>
      <c r="O1176" s="9">
        <v>50</v>
      </c>
      <c r="P1176" s="9">
        <v>21</v>
      </c>
      <c r="Q1176" s="9">
        <v>71</v>
      </c>
      <c r="R1176" s="9">
        <v>1</v>
      </c>
      <c r="S1176" s="9">
        <v>-8.0261110000000002</v>
      </c>
      <c r="T1176" s="9">
        <v>127.150139</v>
      </c>
      <c r="U1176" s="9"/>
      <c r="V1176" s="11" t="e">
        <f>VLOOKUP(L1176,'[1]singkron data'!D:E,2,FALSE)</f>
        <v>#N/A</v>
      </c>
      <c r="W1176" s="11"/>
      <c r="X1176" s="11"/>
      <c r="Y1176" s="11" t="e">
        <f>VLOOKUP(L1176,'[1]singkron data'!D:H,5,FALSE)</f>
        <v>#N/A</v>
      </c>
      <c r="Z1176" s="11" t="e">
        <f>VLOOKUP(L1176,'[1]singkron data'!D:I,6,FALSE)</f>
        <v>#N/A</v>
      </c>
      <c r="AA1176" s="11" t="e">
        <f>VLOOKUP(L1176,'[1]singkron data'!D:L,9,FALSE)</f>
        <v>#N/A</v>
      </c>
      <c r="AB1176" s="11" t="s">
        <v>694</v>
      </c>
      <c r="AC1176" s="11" t="e">
        <f>VLOOKUP(L1176,'[1]singkron data'!D:M,10,FALSE)</f>
        <v>#N/A</v>
      </c>
      <c r="AD1176" s="11"/>
      <c r="AE1176" s="11" t="e">
        <f>VLOOKUP(L1176,'[1]singkron data'!D:P,13,FALSE)</f>
        <v>#N/A</v>
      </c>
      <c r="AF1176" s="11" t="s">
        <v>55</v>
      </c>
      <c r="AG1176" s="11" t="e">
        <f>VLOOKUP(L1176,'[1]update kontrak'!E:K,6,FALSE)</f>
        <v>#N/A</v>
      </c>
      <c r="AH1176" s="11" t="e">
        <f>VLOOKUP(L1176,'[1]update kontrak'!E:K,7,FALSE)</f>
        <v>#N/A</v>
      </c>
      <c r="AI1176" s="11"/>
      <c r="AJ1176" s="11" t="str">
        <f>VLOOKUP(L1176,[1]rekap!D:M,1,FALSE)</f>
        <v>Labelau</v>
      </c>
      <c r="AK1176" s="11" t="e">
        <f>VLOOKUP(L1176,'[1]singkron data'!D:E,2,FALSE)</f>
        <v>#N/A</v>
      </c>
      <c r="AL1176" s="11" t="str">
        <f>VLOOKUP(L1176,'[1]update 521'!D:D,1,FALSE)</f>
        <v>Labelau</v>
      </c>
      <c r="AM1176" s="11" t="s">
        <v>96</v>
      </c>
      <c r="AN1176" s="11" t="e">
        <f>VLOOKUP(L1176,[1]Sheet19!E:L,8,FALSE)</f>
        <v>#N/A</v>
      </c>
      <c r="AO1176" s="11" t="e">
        <f>VLOOKUP(L1176,[1]Sheet19!E:K,7,FALSE)</f>
        <v>#N/A</v>
      </c>
      <c r="AP1176" s="12"/>
    </row>
    <row r="1177" spans="1:42" ht="15" x14ac:dyDescent="0.2">
      <c r="A1177" s="8" t="s">
        <v>2709</v>
      </c>
      <c r="B1177" s="9" t="s">
        <v>60</v>
      </c>
      <c r="C1177" s="9">
        <v>1304</v>
      </c>
      <c r="D1177" s="9" t="s">
        <v>1112</v>
      </c>
      <c r="E1177" s="30"/>
      <c r="F1177" s="9" t="s">
        <v>1358</v>
      </c>
      <c r="G1177" s="9" t="s">
        <v>1125</v>
      </c>
      <c r="H1177" s="9" t="s">
        <v>287</v>
      </c>
      <c r="I1177" s="9" t="s">
        <v>1354</v>
      </c>
      <c r="J1177" s="9" t="s">
        <v>2722</v>
      </c>
      <c r="K1177" s="9" t="s">
        <v>2723</v>
      </c>
      <c r="L1177" s="9" t="s">
        <v>2723</v>
      </c>
      <c r="M1177" s="9" t="s">
        <v>65</v>
      </c>
      <c r="N1177" s="9">
        <v>135</v>
      </c>
      <c r="O1177" s="9" t="s">
        <v>72</v>
      </c>
      <c r="P1177" s="9">
        <v>102</v>
      </c>
      <c r="Q1177" s="9">
        <v>102</v>
      </c>
      <c r="R1177" s="9">
        <v>1</v>
      </c>
      <c r="S1177" s="49">
        <v>1.0096229999999999</v>
      </c>
      <c r="T1177" s="49">
        <v>124.29739499999999</v>
      </c>
      <c r="U1177" s="9"/>
      <c r="V1177" s="11" t="e">
        <f>VLOOKUP(L1177,'[1]singkron data'!D:E,2,FALSE)</f>
        <v>#N/A</v>
      </c>
      <c r="W1177" s="13"/>
      <c r="X1177" s="11"/>
      <c r="Y1177" s="11" t="e">
        <f>VLOOKUP(L1177,'[1]singkron data'!D:H,5,FALSE)</f>
        <v>#N/A</v>
      </c>
      <c r="Z1177" s="11" t="e">
        <f>VLOOKUP(L1177,'[1]singkron data'!D:I,6,FALSE)</f>
        <v>#N/A</v>
      </c>
      <c r="AA1177" s="11" t="e">
        <f>VLOOKUP(L1177,'[1]singkron data'!D:L,9,FALSE)</f>
        <v>#N/A</v>
      </c>
      <c r="AB1177" s="11" t="s">
        <v>694</v>
      </c>
      <c r="AC1177" s="11" t="e">
        <f>VLOOKUP(L1177,'[1]singkron data'!D:M,10,FALSE)</f>
        <v>#N/A</v>
      </c>
      <c r="AD1177" s="11"/>
      <c r="AE1177" s="11" t="e">
        <f>VLOOKUP(L1177,'[1]singkron data'!D:P,13,FALSE)</f>
        <v>#N/A</v>
      </c>
      <c r="AF1177" s="11" t="s">
        <v>55</v>
      </c>
      <c r="AG1177" s="11" t="e">
        <f>VLOOKUP(L1177,'[1]update kontrak'!E:K,6,FALSE)</f>
        <v>#N/A</v>
      </c>
      <c r="AH1177" s="11" t="e">
        <f>VLOOKUP(L1177,'[1]update kontrak'!E:K,7,FALSE)</f>
        <v>#N/A</v>
      </c>
      <c r="AI1177" s="11"/>
      <c r="AJ1177" s="11" t="str">
        <f>VLOOKUP(L1177,[1]rekap!D:M,1,FALSE)</f>
        <v>Poigar I</v>
      </c>
      <c r="AK1177" s="11" t="e">
        <f>VLOOKUP(L1177,'[1]singkron data'!D:E,2,FALSE)</f>
        <v>#N/A</v>
      </c>
      <c r="AL1177" s="11" t="str">
        <f>VLOOKUP(L1177,'[1]update 521'!D:D,1,FALSE)</f>
        <v>Poigar I</v>
      </c>
      <c r="AM1177" s="11" t="s">
        <v>1253</v>
      </c>
      <c r="AN1177" s="11" t="e">
        <f>VLOOKUP(L1177,[1]Sheet19!E:L,8,FALSE)</f>
        <v>#N/A</v>
      </c>
      <c r="AO1177" s="11" t="e">
        <f>VLOOKUP(L1177,[1]Sheet19!E:K,7,FALSE)</f>
        <v>#N/A</v>
      </c>
      <c r="AP1177" s="12"/>
    </row>
    <row r="1178" spans="1:42" ht="15" x14ac:dyDescent="0.2">
      <c r="A1178" s="8" t="s">
        <v>2709</v>
      </c>
      <c r="B1178" s="9" t="s">
        <v>60</v>
      </c>
      <c r="C1178" s="9">
        <v>1305</v>
      </c>
      <c r="D1178" s="9" t="s">
        <v>514</v>
      </c>
      <c r="E1178" s="30"/>
      <c r="F1178" s="9" t="s">
        <v>2569</v>
      </c>
      <c r="G1178" s="9" t="s">
        <v>545</v>
      </c>
      <c r="H1178" s="9" t="s">
        <v>47</v>
      </c>
      <c r="I1178" s="9" t="s">
        <v>2376</v>
      </c>
      <c r="J1178" s="9" t="s">
        <v>2724</v>
      </c>
      <c r="K1178" s="9" t="s">
        <v>2724</v>
      </c>
      <c r="L1178" s="10" t="s">
        <v>2724</v>
      </c>
      <c r="M1178" s="9" t="s">
        <v>51</v>
      </c>
      <c r="N1178" s="9">
        <v>550</v>
      </c>
      <c r="O1178" s="9" t="s">
        <v>72</v>
      </c>
      <c r="P1178" s="9">
        <v>400</v>
      </c>
      <c r="Q1178" s="9">
        <v>400</v>
      </c>
      <c r="R1178" s="9">
        <v>0.15</v>
      </c>
      <c r="S1178" s="9">
        <v>-0.84257499999999996</v>
      </c>
      <c r="T1178" s="9">
        <v>117.250568</v>
      </c>
      <c r="U1178" s="9"/>
      <c r="V1178" s="11" t="s">
        <v>2725</v>
      </c>
      <c r="W1178" s="11"/>
      <c r="X1178" s="11"/>
      <c r="Y1178" s="11" t="e">
        <f>VLOOKUP(L1178,'[1]singkron data'!D:H,5,FALSE)</f>
        <v>#N/A</v>
      </c>
      <c r="Z1178" s="11" t="e">
        <f>VLOOKUP(L1178,'[1]singkron data'!D:I,6,FALSE)</f>
        <v>#N/A</v>
      </c>
      <c r="AA1178" s="11" t="s">
        <v>2726</v>
      </c>
      <c r="AB1178" s="11" t="s">
        <v>54</v>
      </c>
      <c r="AC1178" s="11" t="s">
        <v>2727</v>
      </c>
      <c r="AD1178" s="11" t="s">
        <v>364</v>
      </c>
      <c r="AE1178" s="11" t="e">
        <f>VLOOKUP(L1178,'[1]singkron data'!D:P,13,FALSE)</f>
        <v>#N/A</v>
      </c>
      <c r="AF1178" s="11" t="s">
        <v>55</v>
      </c>
      <c r="AG1178" s="11" t="e">
        <f>VLOOKUP(L1178,'[1]update kontrak'!E:K,6,FALSE)</f>
        <v>#N/A</v>
      </c>
      <c r="AH1178" s="11" t="e">
        <f>VLOOKUP(L1178,'[1]update kontrak'!E:K,7,FALSE)</f>
        <v>#N/A</v>
      </c>
      <c r="AI1178" s="11"/>
      <c r="AJ1178" s="11" t="str">
        <f>VLOOKUP(L1178,[1]rekap!D:M,1,FALSE)</f>
        <v>Muara Jawa</v>
      </c>
      <c r="AK1178" s="11" t="e">
        <f>VLOOKUP(L1178,'[1]singkron data'!D:E,2,FALSE)</f>
        <v>#N/A</v>
      </c>
      <c r="AL1178" s="11" t="str">
        <f>VLOOKUP(L1178,'[1]update 521'!D:D,1,FALSE)</f>
        <v>Muara Jawa</v>
      </c>
      <c r="AM1178" s="11" t="e">
        <v>#N/A</v>
      </c>
      <c r="AN1178" s="11" t="e">
        <f>VLOOKUP(L1178,[1]Sheet19!E:L,8,FALSE)</f>
        <v>#N/A</v>
      </c>
      <c r="AO1178" s="11" t="e">
        <f>VLOOKUP(L1178,[1]Sheet19!E:K,7,FALSE)</f>
        <v>#N/A</v>
      </c>
      <c r="AP1178" s="12"/>
    </row>
    <row r="1179" spans="1:42" ht="15" x14ac:dyDescent="0.2">
      <c r="A1179" s="8" t="s">
        <v>2709</v>
      </c>
      <c r="B1179" s="9" t="s">
        <v>60</v>
      </c>
      <c r="C1179" s="9">
        <v>1306</v>
      </c>
      <c r="D1179" s="9" t="s">
        <v>908</v>
      </c>
      <c r="E1179" s="30"/>
      <c r="F1179" s="9" t="s">
        <v>909</v>
      </c>
      <c r="G1179" s="9" t="s">
        <v>910</v>
      </c>
      <c r="H1179" s="9" t="s">
        <v>911</v>
      </c>
      <c r="I1179" s="9" t="s">
        <v>2169</v>
      </c>
      <c r="J1179" s="9" t="s">
        <v>2728</v>
      </c>
      <c r="K1179" s="9" t="s">
        <v>2729</v>
      </c>
      <c r="L1179" s="9" t="s">
        <v>2729</v>
      </c>
      <c r="M1179" s="9" t="s">
        <v>51</v>
      </c>
      <c r="N1179" s="9">
        <v>70</v>
      </c>
      <c r="O1179" s="9">
        <v>100</v>
      </c>
      <c r="P1179" s="9">
        <v>3</v>
      </c>
      <c r="Q1179" s="9">
        <v>103</v>
      </c>
      <c r="R1179" s="9">
        <v>0.25</v>
      </c>
      <c r="S1179" s="9">
        <v>-1.5025649999999999</v>
      </c>
      <c r="T1179" s="9">
        <v>134.08515800000001</v>
      </c>
      <c r="U1179" s="9"/>
      <c r="V1179" s="11" t="s">
        <v>694</v>
      </c>
      <c r="W1179" s="11"/>
      <c r="X1179" s="11"/>
      <c r="Y1179" s="11" t="e">
        <f>VLOOKUP(L1179,'[1]singkron data'!D:H,5,FALSE)</f>
        <v>#N/A</v>
      </c>
      <c r="Z1179" s="11" t="e">
        <f>VLOOKUP(L1179,'[1]singkron data'!D:I,6,FALSE)</f>
        <v>#N/A</v>
      </c>
      <c r="AA1179" s="11" t="e">
        <f>VLOOKUP(L1179,'[1]singkron data'!D:L,9,FALSE)</f>
        <v>#N/A</v>
      </c>
      <c r="AB1179" s="11" t="s">
        <v>694</v>
      </c>
      <c r="AC1179" s="11" t="e">
        <f>VLOOKUP(L1179,'[1]singkron data'!D:M,10,FALSE)</f>
        <v>#N/A</v>
      </c>
      <c r="AD1179" s="11"/>
      <c r="AE1179" s="11" t="e">
        <f>VLOOKUP(L1179,'[1]singkron data'!D:P,13,FALSE)</f>
        <v>#N/A</v>
      </c>
      <c r="AF1179" s="11"/>
      <c r="AG1179" s="11" t="e">
        <f>VLOOKUP(L1179,'[1]update kontrak'!E:K,6,FALSE)</f>
        <v>#N/A</v>
      </c>
      <c r="AH1179" s="11" t="e">
        <f>VLOOKUP(L1179,'[1]update kontrak'!E:K,7,FALSE)</f>
        <v>#N/A</v>
      </c>
      <c r="AI1179" s="11"/>
      <c r="AJ1179" s="11" t="str">
        <f>VLOOKUP(L1179,[1]rekap!D:M,1,FALSE)</f>
        <v>Yombekiri I</v>
      </c>
      <c r="AK1179" s="11" t="e">
        <f>VLOOKUP(L1179,'[1]singkron data'!D:E,2,FALSE)</f>
        <v>#N/A</v>
      </c>
      <c r="AL1179" s="11" t="str">
        <f>VLOOKUP(L1179,'[1]update 521'!D:D,1,FALSE)</f>
        <v>Yombekiri I</v>
      </c>
      <c r="AM1179" s="11" t="e">
        <f>VLOOKUP(L1179,[1]Sheet18!I:M,5,FALSE)</f>
        <v>#N/A</v>
      </c>
      <c r="AN1179" s="11" t="e">
        <f>VLOOKUP(L1179,[1]Sheet19!E:L,8,FALSE)</f>
        <v>#N/A</v>
      </c>
      <c r="AO1179" s="11" t="e">
        <f>VLOOKUP(L1179,[1]Sheet19!E:K,7,FALSE)</f>
        <v>#N/A</v>
      </c>
      <c r="AP1179" s="12"/>
    </row>
    <row r="1180" spans="1:42" ht="15" x14ac:dyDescent="0.2">
      <c r="A1180" s="8" t="s">
        <v>2709</v>
      </c>
      <c r="B1180" s="9" t="s">
        <v>60</v>
      </c>
      <c r="C1180" s="9">
        <v>1307</v>
      </c>
      <c r="D1180" s="9" t="s">
        <v>908</v>
      </c>
      <c r="E1180" s="30"/>
      <c r="F1180" s="9" t="s">
        <v>1106</v>
      </c>
      <c r="G1180" s="9" t="s">
        <v>1060</v>
      </c>
      <c r="H1180" s="9" t="s">
        <v>911</v>
      </c>
      <c r="I1180" s="9" t="s">
        <v>1107</v>
      </c>
      <c r="J1180" s="9" t="s">
        <v>2730</v>
      </c>
      <c r="K1180" s="9" t="s">
        <v>2731</v>
      </c>
      <c r="L1180" s="9" t="s">
        <v>2731</v>
      </c>
      <c r="M1180" s="9" t="s">
        <v>51</v>
      </c>
      <c r="N1180" s="9">
        <v>103</v>
      </c>
      <c r="O1180" s="9">
        <v>72</v>
      </c>
      <c r="P1180" s="9">
        <v>10</v>
      </c>
      <c r="Q1180" s="9">
        <v>82</v>
      </c>
      <c r="R1180" s="9">
        <v>0.5</v>
      </c>
      <c r="S1180" s="9">
        <v>-1.473419</v>
      </c>
      <c r="T1180" s="9">
        <v>131.876239</v>
      </c>
      <c r="U1180" s="9"/>
      <c r="V1180" s="11" t="s">
        <v>694</v>
      </c>
      <c r="W1180" s="11"/>
      <c r="X1180" s="11"/>
      <c r="Y1180" s="11" t="e">
        <f>VLOOKUP(L1180,'[1]singkron data'!D:H,5,FALSE)</f>
        <v>#N/A</v>
      </c>
      <c r="Z1180" s="11" t="e">
        <f>VLOOKUP(L1180,'[1]singkron data'!D:I,6,FALSE)</f>
        <v>#N/A</v>
      </c>
      <c r="AA1180" s="11" t="e">
        <f>VLOOKUP(L1180,'[1]singkron data'!D:L,9,FALSE)</f>
        <v>#N/A</v>
      </c>
      <c r="AB1180" s="11" t="s">
        <v>694</v>
      </c>
      <c r="AC1180" s="11" t="e">
        <f>VLOOKUP(L1180,'[1]singkron data'!D:M,10,FALSE)</f>
        <v>#N/A</v>
      </c>
      <c r="AD1180" s="11"/>
      <c r="AE1180" s="11" t="e">
        <f>VLOOKUP(L1180,'[1]singkron data'!D:P,13,FALSE)</f>
        <v>#N/A</v>
      </c>
      <c r="AF1180" s="11"/>
      <c r="AG1180" s="11" t="e">
        <f>VLOOKUP(L1180,'[1]update kontrak'!E:K,6,FALSE)</f>
        <v>#N/A</v>
      </c>
      <c r="AH1180" s="11" t="e">
        <f>VLOOKUP(L1180,'[1]update kontrak'!E:K,7,FALSE)</f>
        <v>#N/A</v>
      </c>
      <c r="AI1180" s="11"/>
      <c r="AJ1180" s="11" t="str">
        <f>VLOOKUP(L1180,[1]rekap!D:M,1,FALSE)</f>
        <v>Sayal</v>
      </c>
      <c r="AK1180" s="11" t="e">
        <f>VLOOKUP(L1180,'[1]singkron data'!D:E,2,FALSE)</f>
        <v>#N/A</v>
      </c>
      <c r="AL1180" s="11" t="str">
        <f>VLOOKUP(L1180,'[1]update 521'!D:D,1,FALSE)</f>
        <v>Sayal</v>
      </c>
      <c r="AM1180" s="11" t="e">
        <f>VLOOKUP(L1180,[1]Sheet18!I:M,5,FALSE)</f>
        <v>#N/A</v>
      </c>
      <c r="AN1180" s="11" t="e">
        <f>VLOOKUP(L1180,[1]Sheet19!E:L,8,FALSE)</f>
        <v>#N/A</v>
      </c>
      <c r="AO1180" s="11" t="e">
        <f>VLOOKUP(L1180,[1]Sheet19!E:K,7,FALSE)</f>
        <v>#N/A</v>
      </c>
      <c r="AP1180" s="12"/>
    </row>
    <row r="1181" spans="1:42" ht="15" x14ac:dyDescent="0.2">
      <c r="A1181" s="8" t="s">
        <v>2709</v>
      </c>
      <c r="B1181" s="9" t="s">
        <v>60</v>
      </c>
      <c r="C1181" s="9">
        <v>1308</v>
      </c>
      <c r="D1181" s="9" t="s">
        <v>284</v>
      </c>
      <c r="E1181" s="30"/>
      <c r="F1181" s="9" t="s">
        <v>359</v>
      </c>
      <c r="G1181" s="9" t="s">
        <v>286</v>
      </c>
      <c r="H1181" s="9" t="s">
        <v>287</v>
      </c>
      <c r="I1181" s="9" t="s">
        <v>319</v>
      </c>
      <c r="J1181" s="9" t="s">
        <v>2732</v>
      </c>
      <c r="K1181" s="9" t="s">
        <v>2733</v>
      </c>
      <c r="L1181" s="10" t="s">
        <v>2733</v>
      </c>
      <c r="M1181" s="9" t="s">
        <v>51</v>
      </c>
      <c r="N1181" s="9">
        <v>261</v>
      </c>
      <c r="O1181" s="9" t="s">
        <v>72</v>
      </c>
      <c r="P1181" s="9">
        <v>97</v>
      </c>
      <c r="Q1181" s="9">
        <v>97</v>
      </c>
      <c r="R1181" s="9">
        <v>0.28999999999999998</v>
      </c>
      <c r="S1181" s="9">
        <v>-7.4235445000000002</v>
      </c>
      <c r="T1181" s="9">
        <v>106.682226</v>
      </c>
      <c r="U1181" s="9"/>
      <c r="V1181" s="11" t="s">
        <v>2707</v>
      </c>
      <c r="W1181" s="11"/>
      <c r="X1181" s="11" t="s">
        <v>55</v>
      </c>
      <c r="Y1181" s="11"/>
      <c r="Z1181" s="11" t="e">
        <f>VLOOKUP(L1181,'[1]singkron data'!D:I,6,FALSE)</f>
        <v>#N/A</v>
      </c>
      <c r="AA1181" s="11" t="s">
        <v>2708</v>
      </c>
      <c r="AB1181" s="11" t="s">
        <v>54</v>
      </c>
      <c r="AC1181" s="11" t="s">
        <v>268</v>
      </c>
      <c r="AD1181" s="11" t="s">
        <v>364</v>
      </c>
      <c r="AE1181" s="11" t="s">
        <v>1200</v>
      </c>
      <c r="AF1181" s="11" t="s">
        <v>55</v>
      </c>
      <c r="AG1181" s="11" t="e">
        <f>VLOOKUP(L1181,'[1]update kontrak'!E:K,6,FALSE)</f>
        <v>#N/A</v>
      </c>
      <c r="AH1181" s="11" t="e">
        <f>VLOOKUP(L1181,'[1]update kontrak'!E:K,7,FALSE)</f>
        <v>#N/A</v>
      </c>
      <c r="AI1181" s="11"/>
      <c r="AJ1181" s="11" t="str">
        <f>VLOOKUP(L1181,[1]rekap!D:M,1,FALSE)</f>
        <v>Buniasih</v>
      </c>
      <c r="AK1181" s="11" t="e">
        <f>VLOOKUP(L1181,'[1]singkron data'!D:E,2,FALSE)</f>
        <v>#N/A</v>
      </c>
      <c r="AL1181" s="11" t="str">
        <f>VLOOKUP(L1181,'[1]update 521'!D:D,1,FALSE)</f>
        <v>Buniasih</v>
      </c>
      <c r="AM1181" s="11" t="s">
        <v>57</v>
      </c>
      <c r="AN1181" s="11" t="e">
        <f>VLOOKUP(L1181,[1]Sheet19!E:L,8,FALSE)</f>
        <v>#N/A</v>
      </c>
      <c r="AO1181" s="11" t="e">
        <f>VLOOKUP(L1181,[1]Sheet19!E:K,7,FALSE)</f>
        <v>#N/A</v>
      </c>
      <c r="AP1181" s="12"/>
    </row>
    <row r="1182" spans="1:42" ht="15" x14ac:dyDescent="0.2">
      <c r="A1182" s="8" t="s">
        <v>2709</v>
      </c>
      <c r="B1182" s="9" t="s">
        <v>60</v>
      </c>
      <c r="C1182" s="9">
        <v>1309</v>
      </c>
      <c r="D1182" s="9" t="s">
        <v>1631</v>
      </c>
      <c r="E1182" s="30"/>
      <c r="F1182" s="9" t="s">
        <v>1830</v>
      </c>
      <c r="G1182" s="9" t="s">
        <v>1831</v>
      </c>
      <c r="H1182" s="9" t="s">
        <v>47</v>
      </c>
      <c r="I1182" s="9" t="s">
        <v>1832</v>
      </c>
      <c r="J1182" s="9" t="s">
        <v>2734</v>
      </c>
      <c r="K1182" s="9" t="s">
        <v>2735</v>
      </c>
      <c r="L1182" s="10" t="s">
        <v>2735</v>
      </c>
      <c r="M1182" s="9" t="s">
        <v>51</v>
      </c>
      <c r="N1182" s="9">
        <v>1700</v>
      </c>
      <c r="O1182" s="9" t="s">
        <v>72</v>
      </c>
      <c r="P1182" s="9">
        <v>324</v>
      </c>
      <c r="Q1182" s="9">
        <v>324</v>
      </c>
      <c r="R1182" s="9">
        <v>1</v>
      </c>
      <c r="S1182" s="9">
        <v>-0.151227</v>
      </c>
      <c r="T1182" s="9">
        <v>99.762118000000001</v>
      </c>
      <c r="U1182" s="9"/>
      <c r="V1182" s="11" t="s">
        <v>1834</v>
      </c>
      <c r="W1182" s="13">
        <f>VLOOKUP(L1182,'[1]update tim 2'!D:F,3,FALSE)</f>
        <v>3033920000</v>
      </c>
      <c r="X1182" s="11" t="s">
        <v>55</v>
      </c>
      <c r="Y1182" s="11" t="e">
        <f>VLOOKUP(L1182,'[1]singkron data'!D:H,5,FALSE)</f>
        <v>#N/A</v>
      </c>
      <c r="Z1182" s="11" t="e">
        <f>VLOOKUP(L1182,'[1]singkron data'!D:I,6,FALSE)</f>
        <v>#N/A</v>
      </c>
      <c r="AA1182" s="11" t="s">
        <v>1835</v>
      </c>
      <c r="AB1182" s="11" t="s">
        <v>54</v>
      </c>
      <c r="AC1182" s="11" t="s">
        <v>1836</v>
      </c>
      <c r="AD1182" s="11" t="s">
        <v>364</v>
      </c>
      <c r="AE1182" s="11" t="e">
        <f>VLOOKUP(L1182,'[1]singkron data'!D:P,13,FALSE)</f>
        <v>#N/A</v>
      </c>
      <c r="AF1182" s="11" t="s">
        <v>55</v>
      </c>
      <c r="AG1182" s="11" t="e">
        <f>VLOOKUP(L1182,'[1]update kontrak'!E:K,6,FALSE)</f>
        <v>#N/A</v>
      </c>
      <c r="AH1182" s="11" t="e">
        <f>VLOOKUP(L1182,'[1]update kontrak'!E:K,7,FALSE)</f>
        <v>#N/A</v>
      </c>
      <c r="AI1182" s="11"/>
      <c r="AJ1182" s="11" t="str">
        <f>VLOOKUP(L1182,[1]rekap!D:M,1,FALSE)</f>
        <v>Katiagan</v>
      </c>
      <c r="AK1182" s="11" t="e">
        <f>VLOOKUP(L1182,'[1]singkron data'!D:E,2,FALSE)</f>
        <v>#N/A</v>
      </c>
      <c r="AL1182" s="11" t="str">
        <f>VLOOKUP(L1182,'[1]update 521'!D:D,1,FALSE)</f>
        <v>Katiagan</v>
      </c>
      <c r="AM1182" s="11" t="s">
        <v>57</v>
      </c>
      <c r="AN1182" s="11" t="e">
        <f>VLOOKUP(L1182,[1]Sheet19!E:L,8,FALSE)</f>
        <v>#N/A</v>
      </c>
      <c r="AO1182" s="11" t="s">
        <v>58</v>
      </c>
      <c r="AP1182" s="12"/>
    </row>
    <row r="1183" spans="1:42" ht="15" x14ac:dyDescent="0.2">
      <c r="A1183" s="8" t="s">
        <v>2709</v>
      </c>
      <c r="B1183" s="9" t="s">
        <v>60</v>
      </c>
      <c r="C1183" s="9">
        <v>1310</v>
      </c>
      <c r="D1183" s="9" t="s">
        <v>1631</v>
      </c>
      <c r="E1183" s="30"/>
      <c r="F1183" s="9" t="s">
        <v>1929</v>
      </c>
      <c r="G1183" s="9" t="s">
        <v>1724</v>
      </c>
      <c r="H1183" s="9" t="s">
        <v>47</v>
      </c>
      <c r="I1183" s="9" t="s">
        <v>1936</v>
      </c>
      <c r="J1183" s="9" t="s">
        <v>2736</v>
      </c>
      <c r="K1183" s="9" t="s">
        <v>2737</v>
      </c>
      <c r="L1183" s="10" t="s">
        <v>2737</v>
      </c>
      <c r="M1183" s="9" t="s">
        <v>51</v>
      </c>
      <c r="N1183" s="9">
        <v>65</v>
      </c>
      <c r="O1183" s="9" t="s">
        <v>72</v>
      </c>
      <c r="P1183" s="9">
        <v>84</v>
      </c>
      <c r="Q1183" s="9">
        <v>84</v>
      </c>
      <c r="R1183" s="9">
        <v>0.5</v>
      </c>
      <c r="S1183" s="9">
        <v>3.2270829999999999</v>
      </c>
      <c r="T1183" s="9">
        <v>99.590968000000004</v>
      </c>
      <c r="U1183" s="9"/>
      <c r="V1183" s="11" t="s">
        <v>2738</v>
      </c>
      <c r="W1183" s="11"/>
      <c r="X1183" s="11"/>
      <c r="Y1183" s="11" t="e">
        <f>VLOOKUP(L1183,'[1]singkron data'!D:H,5,FALSE)</f>
        <v>#N/A</v>
      </c>
      <c r="Z1183" s="11" t="e">
        <f>VLOOKUP(L1183,'[1]singkron data'!D:I,6,FALSE)</f>
        <v>#N/A</v>
      </c>
      <c r="AA1183" s="11" t="s">
        <v>2739</v>
      </c>
      <c r="AB1183" s="11" t="s">
        <v>54</v>
      </c>
      <c r="AC1183" s="11" t="s">
        <v>2740</v>
      </c>
      <c r="AD1183" s="11" t="s">
        <v>364</v>
      </c>
      <c r="AE1183" s="11" t="e">
        <f>VLOOKUP(L1183,'[1]singkron data'!D:P,13,FALSE)</f>
        <v>#N/A</v>
      </c>
      <c r="AF1183" s="11" t="s">
        <v>55</v>
      </c>
      <c r="AG1183" s="11" t="e">
        <f>VLOOKUP(L1183,'[1]update kontrak'!E:K,6,FALSE)</f>
        <v>#N/A</v>
      </c>
      <c r="AH1183" s="11" t="e">
        <f>VLOOKUP(L1183,'[1]update kontrak'!E:K,7,FALSE)</f>
        <v>#N/A</v>
      </c>
      <c r="AI1183" s="11"/>
      <c r="AJ1183" s="11" t="str">
        <f>VLOOKUP(L1183,[1]rekap!D:M,1,FALSE)</f>
        <v>Bagan Arya</v>
      </c>
      <c r="AK1183" s="11" t="e">
        <f>VLOOKUP(L1183,'[1]singkron data'!D:E,2,FALSE)</f>
        <v>#N/A</v>
      </c>
      <c r="AL1183" s="11" t="str">
        <f>VLOOKUP(L1183,'[1]update 521'!D:D,1,FALSE)</f>
        <v>Bagan Arya</v>
      </c>
      <c r="AM1183" s="11" t="e">
        <v>#N/A</v>
      </c>
      <c r="AN1183" s="11" t="e">
        <f>VLOOKUP(L1183,[1]Sheet19!E:L,8,FALSE)</f>
        <v>#N/A</v>
      </c>
      <c r="AO1183" s="11" t="e">
        <f>VLOOKUP(L1183,[1]Sheet19!E:K,7,FALSE)</f>
        <v>#N/A</v>
      </c>
      <c r="AP1183" s="12"/>
    </row>
    <row r="1184" spans="1:42" ht="15" x14ac:dyDescent="0.2">
      <c r="A1184" s="8" t="s">
        <v>2709</v>
      </c>
      <c r="B1184" s="9" t="s">
        <v>60</v>
      </c>
      <c r="C1184" s="9">
        <v>1311</v>
      </c>
      <c r="D1184" s="9" t="s">
        <v>1631</v>
      </c>
      <c r="E1184" s="30"/>
      <c r="F1184" s="9" t="s">
        <v>2741</v>
      </c>
      <c r="G1184" s="9" t="s">
        <v>1831</v>
      </c>
      <c r="H1184" s="9" t="s">
        <v>47</v>
      </c>
      <c r="I1184" s="9" t="s">
        <v>2089</v>
      </c>
      <c r="J1184" s="9" t="s">
        <v>2742</v>
      </c>
      <c r="K1184" s="9" t="s">
        <v>2743</v>
      </c>
      <c r="L1184" s="10" t="s">
        <v>2743</v>
      </c>
      <c r="M1184" s="9" t="s">
        <v>51</v>
      </c>
      <c r="N1184" s="9">
        <v>75</v>
      </c>
      <c r="O1184" s="9">
        <v>35</v>
      </c>
      <c r="P1184" s="9">
        <v>40</v>
      </c>
      <c r="Q1184" s="9">
        <v>75</v>
      </c>
      <c r="R1184" s="9">
        <v>0.4</v>
      </c>
      <c r="S1184" s="9">
        <v>-2.1312199999999999</v>
      </c>
      <c r="T1184" s="9">
        <v>99.709829999999997</v>
      </c>
      <c r="U1184" s="9"/>
      <c r="V1184" s="11" t="s">
        <v>2744</v>
      </c>
      <c r="W1184" s="13">
        <f>VLOOKUP(L1184,'[1]update tim 2'!D:F,3,FALSE)</f>
        <v>4580392000</v>
      </c>
      <c r="X1184" s="11" t="s">
        <v>55</v>
      </c>
      <c r="Y1184" s="11" t="e">
        <f>VLOOKUP(L1184,'[1]singkron data'!D:H,5,FALSE)</f>
        <v>#N/A</v>
      </c>
      <c r="Z1184" s="11" t="e">
        <f>VLOOKUP(L1184,'[1]singkron data'!D:I,6,FALSE)</f>
        <v>#N/A</v>
      </c>
      <c r="AA1184" s="11" t="s">
        <v>2745</v>
      </c>
      <c r="AB1184" s="11" t="s">
        <v>54</v>
      </c>
      <c r="AC1184" s="11" t="s">
        <v>2746</v>
      </c>
      <c r="AD1184" s="11" t="s">
        <v>364</v>
      </c>
      <c r="AE1184" s="11" t="e">
        <f>VLOOKUP(L1184,'[1]singkron data'!D:P,13,FALSE)</f>
        <v>#N/A</v>
      </c>
      <c r="AF1184" s="11" t="s">
        <v>55</v>
      </c>
      <c r="AG1184" s="11" t="e">
        <f>VLOOKUP(L1184,'[1]update kontrak'!E:K,6,FALSE)</f>
        <v>#N/A</v>
      </c>
      <c r="AH1184" s="11" t="e">
        <f>VLOOKUP(L1184,'[1]update kontrak'!E:K,7,FALSE)</f>
        <v>#N/A</v>
      </c>
      <c r="AI1184" s="11"/>
      <c r="AJ1184" s="11" t="str">
        <f>VLOOKUP(L1184,[1]rekap!D:M,1,FALSE)</f>
        <v>Matobe</v>
      </c>
      <c r="AK1184" s="11" t="e">
        <f>VLOOKUP(L1184,'[1]singkron data'!D:E,2,FALSE)</f>
        <v>#N/A</v>
      </c>
      <c r="AL1184" s="11" t="str">
        <f>VLOOKUP(L1184,'[1]update 521'!D:D,1,FALSE)</f>
        <v>Matobe</v>
      </c>
      <c r="AM1184" s="11" t="s">
        <v>57</v>
      </c>
      <c r="AN1184" s="11" t="e">
        <f>VLOOKUP(L1184,[1]Sheet19!E:L,8,FALSE)</f>
        <v>#N/A</v>
      </c>
      <c r="AO1184" s="11" t="s">
        <v>58</v>
      </c>
      <c r="AP1184" s="12"/>
    </row>
    <row r="1185" spans="1:42" ht="15" x14ac:dyDescent="0.2">
      <c r="A1185" s="8" t="s">
        <v>2709</v>
      </c>
      <c r="B1185" s="9" t="s">
        <v>60</v>
      </c>
      <c r="C1185" s="9">
        <v>1312</v>
      </c>
      <c r="D1185" s="9" t="s">
        <v>1631</v>
      </c>
      <c r="E1185" s="30"/>
      <c r="F1185" s="9" t="s">
        <v>1929</v>
      </c>
      <c r="G1185" s="9" t="s">
        <v>1724</v>
      </c>
      <c r="H1185" s="9" t="s">
        <v>47</v>
      </c>
      <c r="I1185" s="9" t="s">
        <v>1930</v>
      </c>
      <c r="J1185" s="9" t="s">
        <v>2747</v>
      </c>
      <c r="K1185" s="9" t="s">
        <v>2748</v>
      </c>
      <c r="L1185" s="10" t="s">
        <v>2748</v>
      </c>
      <c r="M1185" s="9" t="s">
        <v>51</v>
      </c>
      <c r="N1185" s="9">
        <v>1500</v>
      </c>
      <c r="O1185" s="9" t="s">
        <v>72</v>
      </c>
      <c r="P1185" s="9">
        <v>821</v>
      </c>
      <c r="Q1185" s="9">
        <v>821</v>
      </c>
      <c r="R1185" s="9">
        <v>1</v>
      </c>
      <c r="S1185" s="9">
        <v>2.936442</v>
      </c>
      <c r="T1185" s="9">
        <v>99.973594000000006</v>
      </c>
      <c r="U1185" s="9"/>
      <c r="V1185" s="11" t="s">
        <v>2738</v>
      </c>
      <c r="W1185" s="11"/>
      <c r="X1185" s="11"/>
      <c r="Y1185" s="11" t="e">
        <f>VLOOKUP(L1185,'[1]singkron data'!D:H,5,FALSE)</f>
        <v>#N/A</v>
      </c>
      <c r="Z1185" s="11" t="e">
        <f>VLOOKUP(L1185,'[1]singkron data'!D:I,6,FALSE)</f>
        <v>#N/A</v>
      </c>
      <c r="AA1185" s="11" t="s">
        <v>2739</v>
      </c>
      <c r="AB1185" s="11" t="s">
        <v>54</v>
      </c>
      <c r="AC1185" s="11" t="s">
        <v>2740</v>
      </c>
      <c r="AD1185" s="11" t="s">
        <v>364</v>
      </c>
      <c r="AE1185" s="11" t="e">
        <f>VLOOKUP(L1185,'[1]singkron data'!D:P,13,FALSE)</f>
        <v>#N/A</v>
      </c>
      <c r="AF1185" s="11" t="s">
        <v>55</v>
      </c>
      <c r="AG1185" s="11" t="e">
        <f>VLOOKUP(L1185,'[1]update kontrak'!E:K,6,FALSE)</f>
        <v>#N/A</v>
      </c>
      <c r="AH1185" s="11" t="e">
        <f>VLOOKUP(L1185,'[1]update kontrak'!E:K,7,FALSE)</f>
        <v>#N/A</v>
      </c>
      <c r="AI1185" s="11"/>
      <c r="AJ1185" s="11" t="str">
        <f>VLOOKUP(L1185,[1]rekap!D:M,1,FALSE)</f>
        <v>Sei Sembilang</v>
      </c>
      <c r="AK1185" s="11" t="e">
        <f>VLOOKUP(L1185,'[1]singkron data'!D:E,2,FALSE)</f>
        <v>#N/A</v>
      </c>
      <c r="AL1185" s="11" t="str">
        <f>VLOOKUP(L1185,'[1]update 521'!D:D,1,FALSE)</f>
        <v>Sei Sembilang</v>
      </c>
      <c r="AM1185" s="11" t="e">
        <v>#N/A</v>
      </c>
      <c r="AN1185" s="11" t="e">
        <f>VLOOKUP(L1185,[1]Sheet19!E:L,8,FALSE)</f>
        <v>#N/A</v>
      </c>
      <c r="AO1185" s="11" t="e">
        <f>VLOOKUP(L1185,[1]Sheet19!E:K,7,FALSE)</f>
        <v>#N/A</v>
      </c>
      <c r="AP1185" s="12"/>
    </row>
    <row r="1186" spans="1:42" ht="15" x14ac:dyDescent="0.2">
      <c r="A1186" s="8" t="s">
        <v>2709</v>
      </c>
      <c r="B1186" s="9" t="s">
        <v>60</v>
      </c>
      <c r="C1186" s="9">
        <v>1313</v>
      </c>
      <c r="D1186" s="9" t="s">
        <v>1631</v>
      </c>
      <c r="E1186" s="30"/>
      <c r="F1186" s="9" t="s">
        <v>2741</v>
      </c>
      <c r="G1186" s="9" t="s">
        <v>1831</v>
      </c>
      <c r="H1186" s="9" t="s">
        <v>47</v>
      </c>
      <c r="I1186" s="9" t="s">
        <v>2089</v>
      </c>
      <c r="J1186" s="9" t="s">
        <v>2749</v>
      </c>
      <c r="K1186" s="9" t="s">
        <v>2749</v>
      </c>
      <c r="L1186" s="10" t="s">
        <v>2749</v>
      </c>
      <c r="M1186" s="9" t="s">
        <v>51</v>
      </c>
      <c r="N1186" s="9">
        <v>515</v>
      </c>
      <c r="O1186" s="9">
        <v>23</v>
      </c>
      <c r="P1186" s="9">
        <v>90</v>
      </c>
      <c r="Q1186" s="9">
        <v>113</v>
      </c>
      <c r="R1186" s="9">
        <v>1</v>
      </c>
      <c r="S1186" s="9">
        <v>-2.788802</v>
      </c>
      <c r="T1186" s="9">
        <v>100.199243</v>
      </c>
      <c r="U1186" s="9"/>
      <c r="V1186" s="11" t="s">
        <v>2744</v>
      </c>
      <c r="W1186" s="13">
        <f>VLOOKUP(L1186,'[1]update tim 2'!D:F,3,FALSE)</f>
        <v>3709223000</v>
      </c>
      <c r="X1186" s="11" t="s">
        <v>55</v>
      </c>
      <c r="Y1186" s="11" t="e">
        <f>VLOOKUP(L1186,'[1]singkron data'!D:H,5,FALSE)</f>
        <v>#N/A</v>
      </c>
      <c r="Z1186" s="11" t="e">
        <f>VLOOKUP(L1186,'[1]singkron data'!D:I,6,FALSE)</f>
        <v>#N/A</v>
      </c>
      <c r="AA1186" s="11" t="s">
        <v>2745</v>
      </c>
      <c r="AB1186" s="11" t="s">
        <v>54</v>
      </c>
      <c r="AC1186" s="11" t="s">
        <v>2746</v>
      </c>
      <c r="AD1186" s="11" t="s">
        <v>364</v>
      </c>
      <c r="AE1186" s="11" t="e">
        <f>VLOOKUP(L1186,'[1]singkron data'!D:P,13,FALSE)</f>
        <v>#N/A</v>
      </c>
      <c r="AF1186" s="11" t="s">
        <v>55</v>
      </c>
      <c r="AG1186" s="11" t="e">
        <f>VLOOKUP(L1186,'[1]update kontrak'!E:K,6,FALSE)</f>
        <v>#N/A</v>
      </c>
      <c r="AH1186" s="11" t="e">
        <f>VLOOKUP(L1186,'[1]update kontrak'!E:K,7,FALSE)</f>
        <v>#N/A</v>
      </c>
      <c r="AI1186" s="11"/>
      <c r="AJ1186" s="11" t="str">
        <f>VLOOKUP(L1186,[1]rekap!D:M,1,FALSE)</f>
        <v>Sikakap</v>
      </c>
      <c r="AK1186" s="11" t="e">
        <f>VLOOKUP(L1186,'[1]singkron data'!D:E,2,FALSE)</f>
        <v>#N/A</v>
      </c>
      <c r="AL1186" s="11" t="str">
        <f>VLOOKUP(L1186,'[1]update 521'!D:D,1,FALSE)</f>
        <v>Sikakap</v>
      </c>
      <c r="AM1186" s="11" t="s">
        <v>57</v>
      </c>
      <c r="AN1186" s="11" t="e">
        <f>VLOOKUP(L1186,[1]Sheet19!E:L,8,FALSE)</f>
        <v>#N/A</v>
      </c>
      <c r="AO1186" s="11" t="s">
        <v>58</v>
      </c>
      <c r="AP1186" s="12"/>
    </row>
    <row r="1187" spans="1:42" ht="15" x14ac:dyDescent="0.2">
      <c r="A1187" s="8" t="s">
        <v>2709</v>
      </c>
      <c r="B1187" s="9" t="s">
        <v>60</v>
      </c>
      <c r="C1187" s="9">
        <v>1314</v>
      </c>
      <c r="D1187" s="9" t="s">
        <v>1631</v>
      </c>
      <c r="E1187" s="30"/>
      <c r="F1187" s="9" t="s">
        <v>1779</v>
      </c>
      <c r="G1187" s="9" t="s">
        <v>1724</v>
      </c>
      <c r="H1187" s="9" t="s">
        <v>47</v>
      </c>
      <c r="I1187" s="9" t="s">
        <v>1783</v>
      </c>
      <c r="J1187" s="9" t="s">
        <v>1784</v>
      </c>
      <c r="K1187" s="9" t="s">
        <v>2750</v>
      </c>
      <c r="L1187" s="10" t="s">
        <v>2750</v>
      </c>
      <c r="M1187" s="9" t="s">
        <v>51</v>
      </c>
      <c r="N1187" s="9">
        <v>241</v>
      </c>
      <c r="O1187" s="9" t="s">
        <v>72</v>
      </c>
      <c r="P1187" s="9">
        <v>45</v>
      </c>
      <c r="Q1187" s="9">
        <v>45</v>
      </c>
      <c r="R1187" s="9">
        <v>1</v>
      </c>
      <c r="S1187" s="9">
        <v>3.6736</v>
      </c>
      <c r="T1187" s="9">
        <v>98.837999999999994</v>
      </c>
      <c r="U1187" s="9"/>
      <c r="V1187" s="11" t="s">
        <v>2751</v>
      </c>
      <c r="W1187" s="11"/>
      <c r="X1187" s="11"/>
      <c r="Y1187" s="11" t="e">
        <f>VLOOKUP(L1187,'[1]singkron data'!D:H,5,FALSE)</f>
        <v>#N/A</v>
      </c>
      <c r="Z1187" s="11" t="e">
        <f>VLOOKUP(L1187,'[1]singkron data'!D:I,6,FALSE)</f>
        <v>#N/A</v>
      </c>
      <c r="AA1187" s="11" t="s">
        <v>2752</v>
      </c>
      <c r="AB1187" s="11" t="s">
        <v>54</v>
      </c>
      <c r="AC1187" s="11" t="s">
        <v>268</v>
      </c>
      <c r="AD1187" s="11" t="s">
        <v>364</v>
      </c>
      <c r="AE1187" s="11" t="e">
        <f>VLOOKUP(L1187,'[1]singkron data'!D:P,13,FALSE)</f>
        <v>#N/A</v>
      </c>
      <c r="AF1187" s="11" t="s">
        <v>55</v>
      </c>
      <c r="AG1187" s="11" t="e">
        <f>VLOOKUP(L1187,'[1]update kontrak'!E:K,6,FALSE)</f>
        <v>#N/A</v>
      </c>
      <c r="AH1187" s="11" t="e">
        <f>VLOOKUP(L1187,'[1]update kontrak'!E:K,7,FALSE)</f>
        <v>#N/A</v>
      </c>
      <c r="AI1187" s="11"/>
      <c r="AJ1187" s="11" t="str">
        <f>VLOOKUP(L1187,[1]rekap!D:M,1,FALSE)</f>
        <v>Kelambir</v>
      </c>
      <c r="AK1187" s="11" t="e">
        <f>VLOOKUP(L1187,'[1]singkron data'!D:E,2,FALSE)</f>
        <v>#N/A</v>
      </c>
      <c r="AL1187" s="11" t="str">
        <f>VLOOKUP(L1187,'[1]update 521'!D:D,1,FALSE)</f>
        <v>Kelambir</v>
      </c>
      <c r="AM1187" s="11" t="e">
        <v>#N/A</v>
      </c>
      <c r="AN1187" s="11" t="e">
        <f>VLOOKUP(L1187,[1]Sheet19!E:L,8,FALSE)</f>
        <v>#N/A</v>
      </c>
      <c r="AO1187" s="11" t="e">
        <f>VLOOKUP(L1187,[1]Sheet19!E:K,7,FALSE)</f>
        <v>#N/A</v>
      </c>
      <c r="AP1187" s="12"/>
    </row>
    <row r="1188" spans="1:42" ht="15" x14ac:dyDescent="0.2">
      <c r="A1188" s="8" t="s">
        <v>2709</v>
      </c>
      <c r="B1188" s="9" t="s">
        <v>60</v>
      </c>
      <c r="C1188" s="9">
        <v>1315</v>
      </c>
      <c r="D1188" s="9" t="s">
        <v>1631</v>
      </c>
      <c r="E1188" s="30"/>
      <c r="F1188" s="9" t="s">
        <v>1866</v>
      </c>
      <c r="G1188" s="9" t="s">
        <v>1831</v>
      </c>
      <c r="H1188" s="9" t="s">
        <v>47</v>
      </c>
      <c r="I1188" s="9" t="s">
        <v>1867</v>
      </c>
      <c r="J1188" s="9" t="s">
        <v>1868</v>
      </c>
      <c r="K1188" s="9" t="s">
        <v>2753</v>
      </c>
      <c r="L1188" s="10" t="s">
        <v>2753</v>
      </c>
      <c r="M1188" s="9" t="s">
        <v>51</v>
      </c>
      <c r="N1188" s="9">
        <v>150</v>
      </c>
      <c r="O1188" s="9" t="s">
        <v>72</v>
      </c>
      <c r="P1188" s="9">
        <v>27</v>
      </c>
      <c r="Q1188" s="9">
        <v>27</v>
      </c>
      <c r="R1188" s="9" t="s">
        <v>2754</v>
      </c>
      <c r="S1188" s="9">
        <v>-0.69441200000000003</v>
      </c>
      <c r="T1188" s="9">
        <v>100.178535</v>
      </c>
      <c r="U1188" s="9"/>
      <c r="V1188" s="11" t="s">
        <v>2755</v>
      </c>
      <c r="W1188" s="13">
        <f>VLOOKUP(L1188,'[1]update tim 2'!D:F,3,FALSE)</f>
        <v>4823621000</v>
      </c>
      <c r="X1188" s="11" t="s">
        <v>55</v>
      </c>
      <c r="Y1188" s="11" t="e">
        <f>VLOOKUP(L1188,'[1]singkron data'!D:H,5,FALSE)</f>
        <v>#N/A</v>
      </c>
      <c r="Z1188" s="11" t="e">
        <f>VLOOKUP(L1188,'[1]singkron data'!D:I,6,FALSE)</f>
        <v>#N/A</v>
      </c>
      <c r="AA1188" s="11" t="s">
        <v>2756</v>
      </c>
      <c r="AB1188" s="11" t="s">
        <v>54</v>
      </c>
      <c r="AC1188" s="11" t="s">
        <v>2746</v>
      </c>
      <c r="AD1188" s="11" t="s">
        <v>364</v>
      </c>
      <c r="AE1188" s="11" t="e">
        <f>VLOOKUP(L1188,'[1]singkron data'!D:P,13,FALSE)</f>
        <v>#N/A</v>
      </c>
      <c r="AF1188" s="11" t="s">
        <v>55</v>
      </c>
      <c r="AG1188" s="11" t="e">
        <f>VLOOKUP(L1188,'[1]update kontrak'!E:K,6,FALSE)</f>
        <v>#N/A</v>
      </c>
      <c r="AH1188" s="11" t="e">
        <f>VLOOKUP(L1188,'[1]update kontrak'!E:K,7,FALSE)</f>
        <v>#N/A</v>
      </c>
      <c r="AI1188" s="11"/>
      <c r="AJ1188" s="11" t="str">
        <f>VLOOKUP(L1188,[1]rekap!D:M,1,FALSE)</f>
        <v>Manggopoh Palak Gadang Ulakan</v>
      </c>
      <c r="AK1188" s="11" t="e">
        <f>VLOOKUP(L1188,'[1]singkron data'!D:E,2,FALSE)</f>
        <v>#N/A</v>
      </c>
      <c r="AL1188" s="11" t="str">
        <f>VLOOKUP(L1188,'[1]update 521'!D:D,1,FALSE)</f>
        <v>Manggopoh Palak Gadang Ulakan</v>
      </c>
      <c r="AM1188" s="11" t="s">
        <v>57</v>
      </c>
      <c r="AN1188" s="11" t="e">
        <f>VLOOKUP(L1188,[1]Sheet19!E:L,8,FALSE)</f>
        <v>#N/A</v>
      </c>
      <c r="AO1188" s="11" t="s">
        <v>58</v>
      </c>
      <c r="AP1188" s="12"/>
    </row>
    <row r="1189" spans="1:42" ht="15" x14ac:dyDescent="0.2">
      <c r="A1189" s="8" t="s">
        <v>2709</v>
      </c>
      <c r="B1189" s="9" t="s">
        <v>60</v>
      </c>
      <c r="C1189" s="9">
        <v>1316</v>
      </c>
      <c r="D1189" s="9" t="s">
        <v>1631</v>
      </c>
      <c r="E1189" s="30"/>
      <c r="F1189" s="9" t="s">
        <v>2120</v>
      </c>
      <c r="G1189" s="9" t="s">
        <v>1831</v>
      </c>
      <c r="H1189" s="9" t="s">
        <v>47</v>
      </c>
      <c r="I1189" s="9" t="s">
        <v>1867</v>
      </c>
      <c r="J1189" s="9" t="s">
        <v>2757</v>
      </c>
      <c r="K1189" s="9" t="s">
        <v>2758</v>
      </c>
      <c r="L1189" s="10" t="s">
        <v>2758</v>
      </c>
      <c r="M1189" s="9" t="s">
        <v>51</v>
      </c>
      <c r="N1189" s="9">
        <v>200</v>
      </c>
      <c r="O1189" s="9">
        <v>6</v>
      </c>
      <c r="P1189" s="9">
        <v>145</v>
      </c>
      <c r="Q1189" s="9">
        <v>151</v>
      </c>
      <c r="R1189" s="9">
        <v>1</v>
      </c>
      <c r="S1189" s="9">
        <v>-0.44814199999999998</v>
      </c>
      <c r="T1189" s="9">
        <v>99.976704999999995</v>
      </c>
      <c r="U1189" s="9"/>
      <c r="V1189" s="11" t="s">
        <v>2755</v>
      </c>
      <c r="W1189" s="13">
        <f>VLOOKUP(L1189,'[1]update tim 2'!D:F,3,FALSE)</f>
        <v>3995796000</v>
      </c>
      <c r="X1189" s="11" t="s">
        <v>55</v>
      </c>
      <c r="Y1189" s="11" t="e">
        <f>VLOOKUP(L1189,'[1]singkron data'!D:H,5,FALSE)</f>
        <v>#N/A</v>
      </c>
      <c r="Z1189" s="11" t="e">
        <f>VLOOKUP(L1189,'[1]singkron data'!D:I,6,FALSE)</f>
        <v>#N/A</v>
      </c>
      <c r="AA1189" s="11" t="s">
        <v>2756</v>
      </c>
      <c r="AB1189" s="11" t="s">
        <v>54</v>
      </c>
      <c r="AC1189" s="11" t="s">
        <v>2746</v>
      </c>
      <c r="AD1189" s="11" t="s">
        <v>364</v>
      </c>
      <c r="AE1189" s="11" t="e">
        <f>VLOOKUP(L1189,'[1]singkron data'!D:P,13,FALSE)</f>
        <v>#N/A</v>
      </c>
      <c r="AF1189" s="11" t="s">
        <v>55</v>
      </c>
      <c r="AG1189" s="11" t="e">
        <f>VLOOKUP(L1189,'[1]update kontrak'!E:K,6,FALSE)</f>
        <v>#N/A</v>
      </c>
      <c r="AH1189" s="11" t="e">
        <f>VLOOKUP(L1189,'[1]update kontrak'!E:K,7,FALSE)</f>
        <v>#N/A</v>
      </c>
      <c r="AI1189" s="11"/>
      <c r="AJ1189" s="11" t="str">
        <f>VLOOKUP(L1189,[1]rekap!D:M,1,FALSE)</f>
        <v>Gasan Gadang</v>
      </c>
      <c r="AK1189" s="11" t="e">
        <f>VLOOKUP(L1189,'[1]singkron data'!D:E,2,FALSE)</f>
        <v>#N/A</v>
      </c>
      <c r="AL1189" s="11" t="str">
        <f>VLOOKUP(L1189,'[1]update 521'!D:D,1,FALSE)</f>
        <v>Gasan Gadang</v>
      </c>
      <c r="AM1189" s="11" t="s">
        <v>57</v>
      </c>
      <c r="AN1189" s="11" t="e">
        <f>VLOOKUP(L1189,[1]Sheet19!E:L,8,FALSE)</f>
        <v>#N/A</v>
      </c>
      <c r="AO1189" s="11" t="s">
        <v>58</v>
      </c>
      <c r="AP1189" s="12"/>
    </row>
    <row r="1190" spans="1:42" ht="15" x14ac:dyDescent="0.2">
      <c r="A1190" s="8" t="s">
        <v>2709</v>
      </c>
      <c r="B1190" s="9" t="s">
        <v>60</v>
      </c>
      <c r="C1190" s="9">
        <v>1317</v>
      </c>
      <c r="D1190" s="9" t="s">
        <v>1631</v>
      </c>
      <c r="E1190" s="30"/>
      <c r="F1190" s="9" t="s">
        <v>1902</v>
      </c>
      <c r="G1190" s="9" t="s">
        <v>1724</v>
      </c>
      <c r="H1190" s="9" t="s">
        <v>47</v>
      </c>
      <c r="I1190" s="9" t="s">
        <v>1790</v>
      </c>
      <c r="J1190" s="9" t="s">
        <v>2759</v>
      </c>
      <c r="K1190" s="9" t="s">
        <v>2760</v>
      </c>
      <c r="L1190" s="10" t="s">
        <v>2760</v>
      </c>
      <c r="M1190" s="9" t="s">
        <v>51</v>
      </c>
      <c r="N1190" s="9">
        <v>111</v>
      </c>
      <c r="O1190" s="9">
        <v>30</v>
      </c>
      <c r="P1190" s="9">
        <v>20</v>
      </c>
      <c r="Q1190" s="9">
        <v>50</v>
      </c>
      <c r="R1190" s="9">
        <v>0.64</v>
      </c>
      <c r="S1190" s="9">
        <v>0.80417000000000005</v>
      </c>
      <c r="T1190" s="9">
        <v>97.907290000000003</v>
      </c>
      <c r="U1190" s="9"/>
      <c r="V1190" s="11" t="s">
        <v>2761</v>
      </c>
      <c r="W1190" s="11"/>
      <c r="X1190" s="11"/>
      <c r="Y1190" s="11" t="e">
        <f>VLOOKUP(L1190,'[1]singkron data'!D:H,5,FALSE)</f>
        <v>#N/A</v>
      </c>
      <c r="Z1190" s="11" t="e">
        <f>VLOOKUP(L1190,'[1]singkron data'!D:I,6,FALSE)</f>
        <v>#N/A</v>
      </c>
      <c r="AA1190" s="11" t="s">
        <v>2762</v>
      </c>
      <c r="AB1190" s="11" t="s">
        <v>54</v>
      </c>
      <c r="AC1190" s="11" t="s">
        <v>2763</v>
      </c>
      <c r="AD1190" s="11" t="s">
        <v>364</v>
      </c>
      <c r="AE1190" s="11" t="e">
        <f>VLOOKUP(L1190,'[1]singkron data'!D:P,13,FALSE)</f>
        <v>#N/A</v>
      </c>
      <c r="AF1190" s="11" t="s">
        <v>55</v>
      </c>
      <c r="AG1190" s="11" t="e">
        <f>VLOOKUP(L1190,'[1]update kontrak'!E:K,6,FALSE)</f>
        <v>#N/A</v>
      </c>
      <c r="AH1190" s="11" t="e">
        <f>VLOOKUP(L1190,'[1]update kontrak'!E:K,7,FALSE)</f>
        <v>#N/A</v>
      </c>
      <c r="AI1190" s="11"/>
      <c r="AJ1190" s="11" t="str">
        <f>VLOOKUP(L1190,[1]rekap!D:M,1,FALSE)</f>
        <v>Siwalu Banua</v>
      </c>
      <c r="AK1190" s="11" t="e">
        <f>VLOOKUP(L1190,'[1]singkron data'!D:E,2,FALSE)</f>
        <v>#N/A</v>
      </c>
      <c r="AL1190" s="11" t="str">
        <f>VLOOKUP(L1190,'[1]update 521'!D:D,1,FALSE)</f>
        <v>Siwalu Banua</v>
      </c>
      <c r="AM1190" s="11" t="e">
        <v>#N/A</v>
      </c>
      <c r="AN1190" s="11" t="e">
        <f>VLOOKUP(L1190,[1]Sheet19!E:L,8,FALSE)</f>
        <v>#N/A</v>
      </c>
      <c r="AO1190" s="11" t="e">
        <f>VLOOKUP(L1190,[1]Sheet19!E:K,7,FALSE)</f>
        <v>#N/A</v>
      </c>
      <c r="AP1190" s="12"/>
    </row>
    <row r="1191" spans="1:42" ht="15" x14ac:dyDescent="0.2">
      <c r="A1191" s="8" t="s">
        <v>2709</v>
      </c>
      <c r="B1191" s="9" t="s">
        <v>60</v>
      </c>
      <c r="C1191" s="9">
        <v>1318</v>
      </c>
      <c r="D1191" s="9" t="s">
        <v>1631</v>
      </c>
      <c r="E1191" s="30"/>
      <c r="F1191" s="9" t="s">
        <v>2088</v>
      </c>
      <c r="G1191" s="9" t="s">
        <v>1831</v>
      </c>
      <c r="H1191" s="9" t="s">
        <v>47</v>
      </c>
      <c r="I1191" s="9" t="s">
        <v>2089</v>
      </c>
      <c r="J1191" s="9" t="s">
        <v>2764</v>
      </c>
      <c r="K1191" s="9" t="s">
        <v>2765</v>
      </c>
      <c r="L1191" s="10" t="s">
        <v>2765</v>
      </c>
      <c r="M1191" s="9" t="s">
        <v>51</v>
      </c>
      <c r="N1191" s="9">
        <v>70</v>
      </c>
      <c r="O1191" s="9" t="s">
        <v>72</v>
      </c>
      <c r="P1191" s="9">
        <v>50</v>
      </c>
      <c r="Q1191" s="9">
        <v>50</v>
      </c>
      <c r="R1191" s="9">
        <v>1</v>
      </c>
      <c r="S1191" s="9">
        <v>-0.92466999999999999</v>
      </c>
      <c r="T1191" s="9">
        <v>98.908298000000002</v>
      </c>
      <c r="U1191" s="9"/>
      <c r="V1191" s="11" t="s">
        <v>2744</v>
      </c>
      <c r="W1191" s="11"/>
      <c r="X1191" s="11"/>
      <c r="Y1191" s="11" t="e">
        <f>VLOOKUP(L1191,'[1]singkron data'!D:H,5,FALSE)</f>
        <v>#N/A</v>
      </c>
      <c r="Z1191" s="11" t="e">
        <f>VLOOKUP(L1191,'[1]singkron data'!D:I,6,FALSE)</f>
        <v>#N/A</v>
      </c>
      <c r="AA1191" s="11" t="s">
        <v>2745</v>
      </c>
      <c r="AB1191" s="11" t="s">
        <v>54</v>
      </c>
      <c r="AC1191" s="11" t="s">
        <v>2746</v>
      </c>
      <c r="AD1191" s="11" t="s">
        <v>364</v>
      </c>
      <c r="AE1191" s="11" t="e">
        <f>VLOOKUP(L1191,'[1]singkron data'!D:P,13,FALSE)</f>
        <v>#N/A</v>
      </c>
      <c r="AF1191" s="11" t="s">
        <v>55</v>
      </c>
      <c r="AG1191" s="11" t="e">
        <f>VLOOKUP(L1191,'[1]update kontrak'!E:K,6,FALSE)</f>
        <v>#N/A</v>
      </c>
      <c r="AH1191" s="11" t="e">
        <f>VLOOKUP(L1191,'[1]update kontrak'!E:K,7,FALSE)</f>
        <v>#N/A</v>
      </c>
      <c r="AI1191" s="11"/>
      <c r="AJ1191" s="11" t="str">
        <f>VLOOKUP(L1191,[1]rekap!D:M,1,FALSE)</f>
        <v>Sigapokna</v>
      </c>
      <c r="AK1191" s="11" t="e">
        <f>VLOOKUP(L1191,'[1]singkron data'!D:E,2,FALSE)</f>
        <v>#N/A</v>
      </c>
      <c r="AL1191" s="11" t="str">
        <f>VLOOKUP(L1191,'[1]update 521'!D:D,1,FALSE)</f>
        <v>Sigapokna</v>
      </c>
      <c r="AM1191" s="11" t="s">
        <v>57</v>
      </c>
      <c r="AN1191" s="11" t="e">
        <f>VLOOKUP(L1191,[1]Sheet19!E:L,8,FALSE)</f>
        <v>#N/A</v>
      </c>
      <c r="AO1191" s="11" t="s">
        <v>58</v>
      </c>
      <c r="AP1191" s="12"/>
    </row>
    <row r="1192" spans="1:42" ht="15" x14ac:dyDescent="0.2">
      <c r="A1192" s="8" t="s">
        <v>2709</v>
      </c>
      <c r="B1192" s="9" t="s">
        <v>60</v>
      </c>
      <c r="C1192" s="9">
        <v>1319</v>
      </c>
      <c r="D1192" s="9" t="s">
        <v>1631</v>
      </c>
      <c r="E1192" s="30"/>
      <c r="F1192" s="9" t="s">
        <v>1866</v>
      </c>
      <c r="G1192" s="9" t="s">
        <v>1831</v>
      </c>
      <c r="H1192" s="9" t="s">
        <v>47</v>
      </c>
      <c r="I1192" s="9" t="s">
        <v>2083</v>
      </c>
      <c r="J1192" s="9" t="s">
        <v>2766</v>
      </c>
      <c r="K1192" s="9" t="s">
        <v>2767</v>
      </c>
      <c r="L1192" s="10" t="s">
        <v>2767</v>
      </c>
      <c r="M1192" s="9" t="s">
        <v>51</v>
      </c>
      <c r="N1192" s="9">
        <v>73</v>
      </c>
      <c r="O1192" s="9" t="s">
        <v>72</v>
      </c>
      <c r="P1192" s="9">
        <v>73</v>
      </c>
      <c r="Q1192" s="9">
        <v>73</v>
      </c>
      <c r="R1192" s="9">
        <v>2.1000000000000001E-2</v>
      </c>
      <c r="S1192" s="9">
        <v>-0.93876999999999999</v>
      </c>
      <c r="T1192" s="9">
        <v>100.35119</v>
      </c>
      <c r="U1192" s="9"/>
      <c r="V1192" s="11" t="s">
        <v>2755</v>
      </c>
      <c r="W1192" s="13">
        <f>VLOOKUP(L1192,'[1]update tim 2'!D:F,3,FALSE)</f>
        <v>3046259000</v>
      </c>
      <c r="X1192" s="11" t="s">
        <v>55</v>
      </c>
      <c r="Y1192" s="11" t="e">
        <f>VLOOKUP(L1192,'[1]singkron data'!D:H,5,FALSE)</f>
        <v>#N/A</v>
      </c>
      <c r="Z1192" s="11" t="e">
        <f>VLOOKUP(L1192,'[1]singkron data'!D:I,6,FALSE)</f>
        <v>#N/A</v>
      </c>
      <c r="AA1192" s="11" t="s">
        <v>2756</v>
      </c>
      <c r="AB1192" s="11" t="s">
        <v>54</v>
      </c>
      <c r="AC1192" s="11" t="s">
        <v>2746</v>
      </c>
      <c r="AD1192" s="11" t="s">
        <v>364</v>
      </c>
      <c r="AE1192" s="11" t="e">
        <f>VLOOKUP(L1192,'[1]singkron data'!D:P,13,FALSE)</f>
        <v>#N/A</v>
      </c>
      <c r="AF1192" s="11" t="s">
        <v>55</v>
      </c>
      <c r="AG1192" s="11" t="e">
        <f>VLOOKUP(L1192,'[1]update kontrak'!E:K,6,FALSE)</f>
        <v>#N/A</v>
      </c>
      <c r="AH1192" s="11" t="e">
        <f>VLOOKUP(L1192,'[1]update kontrak'!E:K,7,FALSE)</f>
        <v>#N/A</v>
      </c>
      <c r="AI1192" s="11"/>
      <c r="AJ1192" s="11" t="str">
        <f>VLOOKUP(L1192,[1]rekap!D:M,1,FALSE)</f>
        <v>Purus</v>
      </c>
      <c r="AK1192" s="11" t="e">
        <f>VLOOKUP(L1192,'[1]singkron data'!D:E,2,FALSE)</f>
        <v>#N/A</v>
      </c>
      <c r="AL1192" s="11" t="str">
        <f>VLOOKUP(L1192,'[1]update 521'!D:D,1,FALSE)</f>
        <v>Purus</v>
      </c>
      <c r="AM1192" s="11" t="s">
        <v>57</v>
      </c>
      <c r="AN1192" s="11" t="e">
        <f>VLOOKUP(L1192,[1]Sheet19!E:L,8,FALSE)</f>
        <v>#N/A</v>
      </c>
      <c r="AO1192" s="11" t="s">
        <v>58</v>
      </c>
      <c r="AP1192" s="12"/>
    </row>
    <row r="1193" spans="1:42" ht="15" x14ac:dyDescent="0.2">
      <c r="A1193" s="8" t="s">
        <v>2709</v>
      </c>
      <c r="B1193" s="9" t="s">
        <v>60</v>
      </c>
      <c r="C1193" s="9">
        <v>1320</v>
      </c>
      <c r="D1193" s="9" t="s">
        <v>1631</v>
      </c>
      <c r="E1193" s="30"/>
      <c r="F1193" s="9" t="s">
        <v>1902</v>
      </c>
      <c r="G1193" s="9" t="s">
        <v>1724</v>
      </c>
      <c r="H1193" s="9" t="s">
        <v>47</v>
      </c>
      <c r="I1193" s="9" t="s">
        <v>1903</v>
      </c>
      <c r="J1193" s="9" t="s">
        <v>1909</v>
      </c>
      <c r="K1193" s="9" t="s">
        <v>2768</v>
      </c>
      <c r="L1193" s="10" t="s">
        <v>2768</v>
      </c>
      <c r="M1193" s="9" t="s">
        <v>51</v>
      </c>
      <c r="N1193" s="9">
        <v>40</v>
      </c>
      <c r="O1193" s="9">
        <v>5</v>
      </c>
      <c r="P1193" s="9">
        <v>30</v>
      </c>
      <c r="Q1193" s="9">
        <v>35</v>
      </c>
      <c r="R1193" s="9">
        <v>1</v>
      </c>
      <c r="S1193" s="9">
        <v>1.170237</v>
      </c>
      <c r="T1193" s="9">
        <v>97.299880999999999</v>
      </c>
      <c r="U1193" s="9"/>
      <c r="V1193" s="11" t="s">
        <v>2769</v>
      </c>
      <c r="W1193" s="11"/>
      <c r="X1193" s="11"/>
      <c r="Y1193" s="11" t="e">
        <f>VLOOKUP(L1193,'[1]singkron data'!D:H,5,FALSE)</f>
        <v>#N/A</v>
      </c>
      <c r="Z1193" s="11" t="e">
        <f>VLOOKUP(L1193,'[1]singkron data'!D:I,6,FALSE)</f>
        <v>#N/A</v>
      </c>
      <c r="AA1193" s="11" t="s">
        <v>1910</v>
      </c>
      <c r="AB1193" s="11" t="s">
        <v>54</v>
      </c>
      <c r="AC1193" s="11" t="s">
        <v>2714</v>
      </c>
      <c r="AD1193" s="11" t="s">
        <v>364</v>
      </c>
      <c r="AE1193" s="11" t="e">
        <f>VLOOKUP(L1193,'[1]singkron data'!D:P,13,FALSE)</f>
        <v>#N/A</v>
      </c>
      <c r="AF1193" s="11" t="s">
        <v>55</v>
      </c>
      <c r="AG1193" s="11" t="e">
        <f>VLOOKUP(L1193,'[1]update kontrak'!E:K,6,FALSE)</f>
        <v>#N/A</v>
      </c>
      <c r="AH1193" s="11" t="e">
        <f>VLOOKUP(L1193,'[1]update kontrak'!E:K,7,FALSE)</f>
        <v>#N/A</v>
      </c>
      <c r="AI1193" s="11"/>
      <c r="AJ1193" s="11" t="str">
        <f>VLOOKUP(L1193,[1]rekap!D:M,1,FALSE)</f>
        <v>Faekhuna'A</v>
      </c>
      <c r="AK1193" s="11" t="e">
        <f>VLOOKUP(L1193,'[1]singkron data'!D:E,2,FALSE)</f>
        <v>#N/A</v>
      </c>
      <c r="AL1193" s="11" t="str">
        <f>VLOOKUP(L1193,'[1]update 521'!D:D,1,FALSE)</f>
        <v>Faekhuna'A</v>
      </c>
      <c r="AM1193" s="11" t="s">
        <v>96</v>
      </c>
      <c r="AN1193" s="11" t="e">
        <f>VLOOKUP(L1193,[1]Sheet19!E:L,8,FALSE)</f>
        <v>#N/A</v>
      </c>
      <c r="AO1193" s="11" t="e">
        <f>VLOOKUP(L1193,[1]Sheet19!E:K,7,FALSE)</f>
        <v>#N/A</v>
      </c>
      <c r="AP1193" s="12"/>
    </row>
    <row r="1194" spans="1:42" ht="15" x14ac:dyDescent="0.2">
      <c r="A1194" s="8" t="s">
        <v>2709</v>
      </c>
      <c r="B1194" s="9" t="s">
        <v>60</v>
      </c>
      <c r="C1194" s="9">
        <v>1321</v>
      </c>
      <c r="D1194" s="9" t="s">
        <v>1631</v>
      </c>
      <c r="E1194" s="30"/>
      <c r="F1194" s="9" t="s">
        <v>2082</v>
      </c>
      <c r="G1194" s="9" t="s">
        <v>1831</v>
      </c>
      <c r="H1194" s="9" t="s">
        <v>47</v>
      </c>
      <c r="I1194" s="9" t="s">
        <v>1841</v>
      </c>
      <c r="J1194" s="9" t="s">
        <v>2092</v>
      </c>
      <c r="K1194" s="9" t="s">
        <v>2770</v>
      </c>
      <c r="L1194" s="10" t="s">
        <v>2770</v>
      </c>
      <c r="M1194" s="9" t="s">
        <v>51</v>
      </c>
      <c r="N1194" s="9">
        <v>284</v>
      </c>
      <c r="O1194" s="9">
        <v>155</v>
      </c>
      <c r="P1194" s="9">
        <v>35</v>
      </c>
      <c r="Q1194" s="9">
        <v>190</v>
      </c>
      <c r="R1194" s="9">
        <v>0.05</v>
      </c>
      <c r="S1194" s="9">
        <v>-1.1966110000000001</v>
      </c>
      <c r="T1194" s="9">
        <v>100.430589</v>
      </c>
      <c r="U1194" s="9"/>
      <c r="V1194" s="11" t="s">
        <v>2771</v>
      </c>
      <c r="W1194" s="11"/>
      <c r="X1194" s="11"/>
      <c r="Y1194" s="11" t="e">
        <f>VLOOKUP(L1194,'[1]singkron data'!D:H,5,FALSE)</f>
        <v>#N/A</v>
      </c>
      <c r="Z1194" s="11" t="e">
        <f>VLOOKUP(L1194,'[1]singkron data'!D:I,6,FALSE)</f>
        <v>#N/A</v>
      </c>
      <c r="AA1194" s="11" t="s">
        <v>2772</v>
      </c>
      <c r="AB1194" s="11" t="s">
        <v>54</v>
      </c>
      <c r="AC1194" s="11" t="s">
        <v>2134</v>
      </c>
      <c r="AD1194" s="11" t="s">
        <v>364</v>
      </c>
      <c r="AE1194" s="11" t="e">
        <f>VLOOKUP(L1194,'[1]singkron data'!D:P,13,FALSE)</f>
        <v>#N/A</v>
      </c>
      <c r="AF1194" s="11" t="s">
        <v>55</v>
      </c>
      <c r="AG1194" s="11" t="e">
        <f>VLOOKUP(L1194,'[1]update kontrak'!E:K,6,FALSE)</f>
        <v>#N/A</v>
      </c>
      <c r="AH1194" s="11" t="e">
        <f>VLOOKUP(L1194,'[1]update kontrak'!E:K,7,FALSE)</f>
        <v>#N/A</v>
      </c>
      <c r="AI1194" s="11"/>
      <c r="AJ1194" s="11" t="str">
        <f>VLOOKUP(L1194,[1]rekap!D:M,1,FALSE)</f>
        <v>Mandeh</v>
      </c>
      <c r="AK1194" s="11" t="e">
        <f>VLOOKUP(L1194,'[1]singkron data'!D:E,2,FALSE)</f>
        <v>#N/A</v>
      </c>
      <c r="AL1194" s="11" t="str">
        <f>VLOOKUP(L1194,'[1]update 521'!D:D,1,FALSE)</f>
        <v>Mandeh</v>
      </c>
      <c r="AM1194" s="11" t="s">
        <v>96</v>
      </c>
      <c r="AN1194" s="11" t="e">
        <f>VLOOKUP(L1194,[1]Sheet19!E:L,8,FALSE)</f>
        <v>#N/A</v>
      </c>
      <c r="AO1194" s="11" t="e">
        <f>VLOOKUP(L1194,[1]Sheet19!E:K,7,FALSE)</f>
        <v>#N/A</v>
      </c>
      <c r="AP1194" s="12"/>
    </row>
    <row r="1195" spans="1:42" ht="15" x14ac:dyDescent="0.2">
      <c r="A1195" s="8" t="s">
        <v>2709</v>
      </c>
      <c r="B1195" s="9" t="s">
        <v>60</v>
      </c>
      <c r="C1195" s="9">
        <v>1322</v>
      </c>
      <c r="D1195" s="9" t="s">
        <v>1631</v>
      </c>
      <c r="E1195" s="30"/>
      <c r="F1195" s="9" t="s">
        <v>2773</v>
      </c>
      <c r="G1195" s="9" t="s">
        <v>1831</v>
      </c>
      <c r="H1195" s="9" t="s">
        <v>47</v>
      </c>
      <c r="I1195" s="9" t="s">
        <v>1841</v>
      </c>
      <c r="J1195" s="9" t="s">
        <v>2092</v>
      </c>
      <c r="K1195" s="9" t="s">
        <v>2774</v>
      </c>
      <c r="L1195" s="10" t="s">
        <v>2774</v>
      </c>
      <c r="M1195" s="9" t="s">
        <v>51</v>
      </c>
      <c r="N1195" s="9">
        <v>546</v>
      </c>
      <c r="O1195" s="9">
        <v>89</v>
      </c>
      <c r="P1195" s="9">
        <v>320</v>
      </c>
      <c r="Q1195" s="9">
        <v>409</v>
      </c>
      <c r="R1195" s="9">
        <v>0.04</v>
      </c>
      <c r="S1195" s="9">
        <v>-1.27057</v>
      </c>
      <c r="T1195" s="9">
        <v>100.46453099999999</v>
      </c>
      <c r="U1195" s="9"/>
      <c r="V1195" s="11" t="s">
        <v>2771</v>
      </c>
      <c r="W1195" s="13">
        <f>VLOOKUP(L1195,'[1]update tim 2'!D:F,3,FALSE)</f>
        <v>2849667000</v>
      </c>
      <c r="X1195" s="11" t="s">
        <v>55</v>
      </c>
      <c r="Y1195" s="11" t="e">
        <f>VLOOKUP(L1195,'[1]singkron data'!D:H,5,FALSE)</f>
        <v>#N/A</v>
      </c>
      <c r="Z1195" s="11" t="e">
        <f>VLOOKUP(L1195,'[1]singkron data'!D:I,6,FALSE)</f>
        <v>#N/A</v>
      </c>
      <c r="AA1195" s="11" t="s">
        <v>2772</v>
      </c>
      <c r="AB1195" s="11" t="s">
        <v>54</v>
      </c>
      <c r="AC1195" s="11" t="s">
        <v>2134</v>
      </c>
      <c r="AD1195" s="11" t="s">
        <v>364</v>
      </c>
      <c r="AE1195" s="11" t="e">
        <f>VLOOKUP(L1195,'[1]singkron data'!D:P,13,FALSE)</f>
        <v>#N/A</v>
      </c>
      <c r="AF1195" s="11" t="s">
        <v>55</v>
      </c>
      <c r="AG1195" s="11" t="e">
        <f>VLOOKUP(L1195,'[1]update kontrak'!E:K,6,FALSE)</f>
        <v>#N/A</v>
      </c>
      <c r="AH1195" s="11" t="e">
        <f>VLOOKUP(L1195,'[1]update kontrak'!E:K,7,FALSE)</f>
        <v>#N/A</v>
      </c>
      <c r="AI1195" s="11"/>
      <c r="AJ1195" s="11" t="str">
        <f>VLOOKUP(L1195,[1]rekap!D:M,1,FALSE)</f>
        <v>Ampang Pulai</v>
      </c>
      <c r="AK1195" s="11" t="e">
        <f>VLOOKUP(L1195,'[1]singkron data'!D:E,2,FALSE)</f>
        <v>#N/A</v>
      </c>
      <c r="AL1195" s="11" t="str">
        <f>VLOOKUP(L1195,'[1]update 521'!D:D,1,FALSE)</f>
        <v>Ampang Pulai</v>
      </c>
      <c r="AM1195" s="11" t="s">
        <v>57</v>
      </c>
      <c r="AN1195" s="11" t="e">
        <f>VLOOKUP(L1195,[1]Sheet19!E:L,8,FALSE)</f>
        <v>#N/A</v>
      </c>
      <c r="AO1195" s="11" t="s">
        <v>58</v>
      </c>
      <c r="AP1195" s="12"/>
    </row>
    <row r="1196" spans="1:42" ht="15" x14ac:dyDescent="0.2">
      <c r="A1196" s="8" t="s">
        <v>2709</v>
      </c>
      <c r="B1196" s="9" t="s">
        <v>60</v>
      </c>
      <c r="C1196" s="9">
        <v>1323</v>
      </c>
      <c r="D1196" s="9" t="s">
        <v>1631</v>
      </c>
      <c r="E1196" s="30"/>
      <c r="F1196" s="9" t="s">
        <v>2773</v>
      </c>
      <c r="G1196" s="9" t="s">
        <v>1831</v>
      </c>
      <c r="H1196" s="9" t="s">
        <v>47</v>
      </c>
      <c r="I1196" s="9" t="s">
        <v>1841</v>
      </c>
      <c r="J1196" s="9" t="s">
        <v>2775</v>
      </c>
      <c r="K1196" s="9" t="s">
        <v>2776</v>
      </c>
      <c r="L1196" s="10" t="s">
        <v>2777</v>
      </c>
      <c r="M1196" s="9" t="s">
        <v>51</v>
      </c>
      <c r="N1196" s="9">
        <v>279</v>
      </c>
      <c r="O1196" s="9">
        <v>16</v>
      </c>
      <c r="P1196" s="9">
        <v>204</v>
      </c>
      <c r="Q1196" s="9">
        <v>220</v>
      </c>
      <c r="R1196" s="9">
        <v>0.67</v>
      </c>
      <c r="S1196" s="9">
        <v>-1.4249689999999999</v>
      </c>
      <c r="T1196" s="9">
        <v>100.58133100000001</v>
      </c>
      <c r="U1196" s="9"/>
      <c r="V1196" s="11" t="s">
        <v>2771</v>
      </c>
      <c r="W1196" s="13">
        <f>VLOOKUP(L1196,'[1]update tim 2'!D:F,3,FALSE)</f>
        <v>4457998000</v>
      </c>
      <c r="X1196" s="11" t="s">
        <v>55</v>
      </c>
      <c r="Y1196" s="11" t="e">
        <f>VLOOKUP(L1196,'[1]singkron data'!D:H,5,FALSE)</f>
        <v>#N/A</v>
      </c>
      <c r="Z1196" s="11" t="e">
        <f>VLOOKUP(L1196,'[1]singkron data'!D:I,6,FALSE)</f>
        <v>#N/A</v>
      </c>
      <c r="AA1196" s="11" t="s">
        <v>2772</v>
      </c>
      <c r="AB1196" s="11" t="s">
        <v>54</v>
      </c>
      <c r="AC1196" s="11" t="s">
        <v>2134</v>
      </c>
      <c r="AD1196" s="11" t="s">
        <v>364</v>
      </c>
      <c r="AE1196" s="11" t="e">
        <f>VLOOKUP(L1196,'[1]singkron data'!D:P,13,FALSE)</f>
        <v>#N/A</v>
      </c>
      <c r="AF1196" s="11" t="s">
        <v>55</v>
      </c>
      <c r="AG1196" s="11" t="e">
        <f>VLOOKUP(L1196,'[1]update kontrak'!E:K,6,FALSE)</f>
        <v>#N/A</v>
      </c>
      <c r="AH1196" s="11" t="e">
        <f>VLOOKUP(L1196,'[1]update kontrak'!E:K,7,FALSE)</f>
        <v>#N/A</v>
      </c>
      <c r="AI1196" s="11"/>
      <c r="AJ1196" s="11" t="str">
        <f>VLOOKUP(L1196,[1]rekap!D:M,1,FALSE)</f>
        <v>Koto Nan Duo Iv Koto Hilie</v>
      </c>
      <c r="AK1196" s="11" t="e">
        <f>VLOOKUP(L1196,'[1]singkron data'!D:E,2,FALSE)</f>
        <v>#N/A</v>
      </c>
      <c r="AL1196" s="11" t="str">
        <f>VLOOKUP(L1196,'[1]update 521'!D:D,1,FALSE)</f>
        <v>Koto Nan Duo Iv Koto Hilie</v>
      </c>
      <c r="AM1196" s="11" t="s">
        <v>57</v>
      </c>
      <c r="AN1196" s="11" t="e">
        <f>VLOOKUP(L1196,[1]Sheet19!E:L,8,FALSE)</f>
        <v>#N/A</v>
      </c>
      <c r="AO1196" s="11" t="s">
        <v>58</v>
      </c>
      <c r="AP1196" s="12"/>
    </row>
    <row r="1197" spans="1:42" ht="15" x14ac:dyDescent="0.2">
      <c r="A1197" s="8" t="s">
        <v>2709</v>
      </c>
      <c r="B1197" s="9" t="s">
        <v>60</v>
      </c>
      <c r="C1197" s="9">
        <v>1324</v>
      </c>
      <c r="D1197" s="9" t="s">
        <v>1631</v>
      </c>
      <c r="E1197" s="30"/>
      <c r="F1197" s="9" t="s">
        <v>2773</v>
      </c>
      <c r="G1197" s="9" t="s">
        <v>1831</v>
      </c>
      <c r="H1197" s="9" t="s">
        <v>47</v>
      </c>
      <c r="I1197" s="9" t="s">
        <v>1841</v>
      </c>
      <c r="J1197" s="9" t="s">
        <v>2778</v>
      </c>
      <c r="K1197" s="9" t="s">
        <v>2779</v>
      </c>
      <c r="L1197" s="9" t="s">
        <v>2779</v>
      </c>
      <c r="M1197" s="9" t="s">
        <v>51</v>
      </c>
      <c r="N1197" s="9">
        <v>398</v>
      </c>
      <c r="O1197" s="9">
        <v>18</v>
      </c>
      <c r="P1197" s="9">
        <v>125</v>
      </c>
      <c r="Q1197" s="9">
        <v>143</v>
      </c>
      <c r="R1197" s="9">
        <v>0.06</v>
      </c>
      <c r="S1197" s="9">
        <v>-1.741025</v>
      </c>
      <c r="T1197" s="9">
        <v>100.741133</v>
      </c>
      <c r="U1197" s="9"/>
      <c r="V1197" s="11" t="s">
        <v>2780</v>
      </c>
      <c r="W1197" s="11"/>
      <c r="X1197" s="11"/>
      <c r="Y1197" s="11" t="e">
        <f>VLOOKUP(L1197,'[1]singkron data'!D:H,5,FALSE)</f>
        <v>#N/A</v>
      </c>
      <c r="Z1197" s="11" t="e">
        <f>VLOOKUP(L1197,'[1]singkron data'!D:I,6,FALSE)</f>
        <v>#N/A</v>
      </c>
      <c r="AA1197" s="11" t="s">
        <v>1835</v>
      </c>
      <c r="AB1197" s="11" t="s">
        <v>54</v>
      </c>
      <c r="AC1197" s="11" t="s">
        <v>1836</v>
      </c>
      <c r="AD1197" s="11" t="s">
        <v>364</v>
      </c>
      <c r="AE1197" s="11" t="e">
        <f>VLOOKUP(L1197,'[1]singkron data'!D:P,13,FALSE)</f>
        <v>#N/A</v>
      </c>
      <c r="AF1197" s="11" t="s">
        <v>55</v>
      </c>
      <c r="AG1197" s="11" t="e">
        <f>VLOOKUP(L1197,'[1]update kontrak'!E:K,6,FALSE)</f>
        <v>#N/A</v>
      </c>
      <c r="AH1197" s="11" t="e">
        <f>VLOOKUP(L1197,'[1]update kontrak'!E:K,7,FALSE)</f>
        <v>#N/A</v>
      </c>
      <c r="AI1197" s="11"/>
      <c r="AJ1197" s="11" t="str">
        <f>VLOOKUP(L1197,[1]rekap!D:M,1,FALSE)</f>
        <v>Lakitan</v>
      </c>
      <c r="AK1197" s="11" t="e">
        <f>VLOOKUP(L1197,'[1]singkron data'!D:E,2,FALSE)</f>
        <v>#N/A</v>
      </c>
      <c r="AL1197" s="11" t="str">
        <f>VLOOKUP(L1197,'[1]update 521'!D:D,1,FALSE)</f>
        <v>Lakitan</v>
      </c>
      <c r="AM1197" s="11" t="s">
        <v>96</v>
      </c>
      <c r="AN1197" s="11" t="e">
        <f>VLOOKUP(L1197,[1]Sheet19!E:L,8,FALSE)</f>
        <v>#N/A</v>
      </c>
      <c r="AO1197" s="11" t="e">
        <f>VLOOKUP(L1197,[1]Sheet19!E:K,7,FALSE)</f>
        <v>#N/A</v>
      </c>
      <c r="AP1197" s="12"/>
    </row>
    <row r="1198" spans="1:42" ht="15" x14ac:dyDescent="0.2">
      <c r="A1198" s="8" t="s">
        <v>2709</v>
      </c>
      <c r="B1198" s="9" t="s">
        <v>60</v>
      </c>
      <c r="C1198" s="9">
        <v>1325</v>
      </c>
      <c r="D1198" s="9" t="s">
        <v>1631</v>
      </c>
      <c r="E1198" s="30"/>
      <c r="F1198" s="9" t="s">
        <v>2773</v>
      </c>
      <c r="G1198" s="9" t="s">
        <v>1831</v>
      </c>
      <c r="H1198" s="9" t="s">
        <v>47</v>
      </c>
      <c r="I1198" s="9" t="s">
        <v>1841</v>
      </c>
      <c r="J1198" s="9" t="s">
        <v>2781</v>
      </c>
      <c r="K1198" s="9" t="s">
        <v>2782</v>
      </c>
      <c r="L1198" s="9" t="s">
        <v>2782</v>
      </c>
      <c r="M1198" s="9" t="s">
        <v>51</v>
      </c>
      <c r="N1198" s="9">
        <v>223</v>
      </c>
      <c r="O1198" s="9" t="s">
        <v>72</v>
      </c>
      <c r="P1198" s="9">
        <v>119</v>
      </c>
      <c r="Q1198" s="9">
        <v>119</v>
      </c>
      <c r="R1198" s="9">
        <v>0.05</v>
      </c>
      <c r="S1198" s="9">
        <v>-1.8159559999999999</v>
      </c>
      <c r="T1198" s="9">
        <v>100.78559199999999</v>
      </c>
      <c r="U1198" s="9"/>
      <c r="V1198" s="11" t="s">
        <v>2780</v>
      </c>
      <c r="W1198" s="11"/>
      <c r="X1198" s="11"/>
      <c r="Y1198" s="11" t="e">
        <f>VLOOKUP(L1198,'[1]singkron data'!D:H,5,FALSE)</f>
        <v>#N/A</v>
      </c>
      <c r="Z1198" s="11" t="e">
        <f>VLOOKUP(L1198,'[1]singkron data'!D:I,6,FALSE)</f>
        <v>#N/A</v>
      </c>
      <c r="AA1198" s="11" t="s">
        <v>1835</v>
      </c>
      <c r="AB1198" s="11" t="s">
        <v>54</v>
      </c>
      <c r="AC1198" s="11" t="s">
        <v>1836</v>
      </c>
      <c r="AD1198" s="11" t="s">
        <v>364</v>
      </c>
      <c r="AE1198" s="11" t="e">
        <f>VLOOKUP(L1198,'[1]singkron data'!D:P,13,FALSE)</f>
        <v>#N/A</v>
      </c>
      <c r="AF1198" s="11" t="s">
        <v>55</v>
      </c>
      <c r="AG1198" s="11" t="e">
        <f>VLOOKUP(L1198,'[1]update kontrak'!E:K,6,FALSE)</f>
        <v>#N/A</v>
      </c>
      <c r="AH1198" s="11" t="e">
        <f>VLOOKUP(L1198,'[1]update kontrak'!E:K,7,FALSE)</f>
        <v>#N/A</v>
      </c>
      <c r="AI1198" s="11"/>
      <c r="AJ1198" s="11" t="str">
        <f>VLOOKUP(L1198,[1]rekap!D:M,1,FALSE)</f>
        <v>Nyiur Melambai Pelangai</v>
      </c>
      <c r="AK1198" s="11" t="e">
        <f>VLOOKUP(L1198,'[1]singkron data'!D:E,2,FALSE)</f>
        <v>#N/A</v>
      </c>
      <c r="AL1198" s="11" t="str">
        <f>VLOOKUP(L1198,'[1]update 521'!D:D,1,FALSE)</f>
        <v>Nyiur Melambai Pelangai</v>
      </c>
      <c r="AM1198" s="11" t="s">
        <v>96</v>
      </c>
      <c r="AN1198" s="11" t="e">
        <f>VLOOKUP(L1198,[1]Sheet19!E:L,8,FALSE)</f>
        <v>#N/A</v>
      </c>
      <c r="AO1198" s="11" t="e">
        <f>VLOOKUP(L1198,[1]Sheet19!E:K,7,FALSE)</f>
        <v>#N/A</v>
      </c>
      <c r="AP1198" s="12"/>
    </row>
    <row r="1199" spans="1:42" ht="15" x14ac:dyDescent="0.2">
      <c r="A1199" s="8" t="s">
        <v>2709</v>
      </c>
      <c r="B1199" s="9" t="s">
        <v>2783</v>
      </c>
      <c r="C1199" s="9">
        <v>1326</v>
      </c>
      <c r="D1199" s="9" t="s">
        <v>1631</v>
      </c>
      <c r="E1199" s="30"/>
      <c r="F1199" s="9" t="s">
        <v>1752</v>
      </c>
      <c r="G1199" s="9" t="s">
        <v>1633</v>
      </c>
      <c r="H1199" s="9" t="s">
        <v>47</v>
      </c>
      <c r="I1199" s="9" t="s">
        <v>1753</v>
      </c>
      <c r="J1199" s="9" t="s">
        <v>1756</v>
      </c>
      <c r="K1199" s="9" t="s">
        <v>2784</v>
      </c>
      <c r="L1199" s="37" t="s">
        <v>2784</v>
      </c>
      <c r="M1199" s="9" t="s">
        <v>51</v>
      </c>
      <c r="N1199" s="9">
        <v>41</v>
      </c>
      <c r="O1199" s="9">
        <v>6</v>
      </c>
      <c r="P1199" s="9">
        <v>35</v>
      </c>
      <c r="Q1199" s="9">
        <v>41</v>
      </c>
      <c r="R1199" s="9" t="s">
        <v>72</v>
      </c>
      <c r="S1199" s="50">
        <v>3.3064762160000001</v>
      </c>
      <c r="T1199" s="50">
        <v>106.3065788</v>
      </c>
      <c r="U1199" s="9"/>
      <c r="V1199" s="11"/>
      <c r="W1199" s="11"/>
      <c r="X1199" s="11"/>
      <c r="Y1199" s="11" t="e">
        <f>VLOOKUP(L1199,'[1]singkron data'!D:H,5,FALSE)</f>
        <v>#N/A</v>
      </c>
      <c r="Z1199" s="11" t="e">
        <f>VLOOKUP(L1199,'[1]singkron data'!D:I,6,FALSE)</f>
        <v>#N/A</v>
      </c>
      <c r="AA1199" s="11" t="s">
        <v>1702</v>
      </c>
      <c r="AB1199" s="11" t="s">
        <v>54</v>
      </c>
      <c r="AC1199" s="11" t="s">
        <v>1703</v>
      </c>
      <c r="AD1199" s="11" t="s">
        <v>364</v>
      </c>
      <c r="AE1199" s="11" t="e">
        <f>VLOOKUP(L1199,'[1]singkron data'!D:P,13,FALSE)</f>
        <v>#N/A</v>
      </c>
      <c r="AF1199" s="11" t="s">
        <v>55</v>
      </c>
      <c r="AG1199" s="11" t="e">
        <f>VLOOKUP(L1199,'[1]update kontrak'!E:K,6,FALSE)</f>
        <v>#N/A</v>
      </c>
      <c r="AH1199" s="11" t="e">
        <f>VLOOKUP(L1199,'[1]update kontrak'!E:K,7,FALSE)</f>
        <v>#N/A</v>
      </c>
      <c r="AI1199" s="11"/>
      <c r="AJ1199" s="11" t="str">
        <f>VLOOKUP(L1199,[1]rekap!D:M,1,FALSE)</f>
        <v>Belibak</v>
      </c>
      <c r="AK1199" s="11" t="e">
        <f>VLOOKUP(L1199,'[1]singkron data'!D:E,2,FALSE)</f>
        <v>#N/A</v>
      </c>
      <c r="AL1199" s="11" t="str">
        <f>VLOOKUP(L1199,'[1]update 521'!D:D,1,FALSE)</f>
        <v>Belibak</v>
      </c>
      <c r="AM1199" s="11" t="s">
        <v>96</v>
      </c>
      <c r="AN1199" s="11" t="s">
        <v>1704</v>
      </c>
      <c r="AO1199" s="11" t="s">
        <v>1702</v>
      </c>
      <c r="AP1199" s="12" t="s">
        <v>268</v>
      </c>
    </row>
    <row r="1200" spans="1:42" ht="15" x14ac:dyDescent="0.2">
      <c r="A1200" s="8" t="s">
        <v>2709</v>
      </c>
      <c r="B1200" s="9" t="s">
        <v>2783</v>
      </c>
      <c r="C1200" s="9">
        <v>1327</v>
      </c>
      <c r="D1200" s="9" t="s">
        <v>1631</v>
      </c>
      <c r="E1200" s="30"/>
      <c r="F1200" s="9" t="s">
        <v>1752</v>
      </c>
      <c r="G1200" s="9" t="s">
        <v>1633</v>
      </c>
      <c r="H1200" s="9" t="s">
        <v>47</v>
      </c>
      <c r="I1200" s="9" t="s">
        <v>1753</v>
      </c>
      <c r="J1200" s="9" t="s">
        <v>1756</v>
      </c>
      <c r="K1200" s="9" t="s">
        <v>2785</v>
      </c>
      <c r="L1200" s="37" t="s">
        <v>2785</v>
      </c>
      <c r="M1200" s="9" t="s">
        <v>51</v>
      </c>
      <c r="N1200" s="9">
        <v>52</v>
      </c>
      <c r="O1200" s="9">
        <v>1</v>
      </c>
      <c r="P1200" s="9">
        <v>51</v>
      </c>
      <c r="Q1200" s="9">
        <v>52</v>
      </c>
      <c r="R1200" s="9" t="s">
        <v>72</v>
      </c>
      <c r="S1200" s="50">
        <v>3.2840730520000001</v>
      </c>
      <c r="T1200" s="50">
        <v>106.29419300000001</v>
      </c>
      <c r="U1200" s="9"/>
      <c r="V1200" s="11"/>
      <c r="W1200" s="11"/>
      <c r="X1200" s="11"/>
      <c r="Y1200" s="11" t="e">
        <f>VLOOKUP(L1200,'[1]singkron data'!D:H,5,FALSE)</f>
        <v>#N/A</v>
      </c>
      <c r="Z1200" s="11" t="e">
        <f>VLOOKUP(L1200,'[1]singkron data'!D:I,6,FALSE)</f>
        <v>#N/A</v>
      </c>
      <c r="AA1200" s="11" t="s">
        <v>1702</v>
      </c>
      <c r="AB1200" s="11" t="s">
        <v>54</v>
      </c>
      <c r="AC1200" s="11" t="s">
        <v>1703</v>
      </c>
      <c r="AD1200" s="11" t="s">
        <v>364</v>
      </c>
      <c r="AE1200" s="11" t="e">
        <f>VLOOKUP(L1200,'[1]singkron data'!D:P,13,FALSE)</f>
        <v>#N/A</v>
      </c>
      <c r="AF1200" s="11" t="s">
        <v>55</v>
      </c>
      <c r="AG1200" s="11" t="e">
        <f>VLOOKUP(L1200,'[1]update kontrak'!E:K,6,FALSE)</f>
        <v>#N/A</v>
      </c>
      <c r="AH1200" s="11" t="e">
        <f>VLOOKUP(L1200,'[1]update kontrak'!E:K,7,FALSE)</f>
        <v>#N/A</v>
      </c>
      <c r="AI1200" s="11"/>
      <c r="AJ1200" s="11" t="str">
        <f>VLOOKUP(L1200,[1]rekap!D:M,1,FALSE)</f>
        <v>Piabung</v>
      </c>
      <c r="AK1200" s="11" t="e">
        <f>VLOOKUP(L1200,'[1]singkron data'!D:E,2,FALSE)</f>
        <v>#N/A</v>
      </c>
      <c r="AL1200" s="11" t="str">
        <f>VLOOKUP(L1200,'[1]update 521'!D:D,1,FALSE)</f>
        <v>Piabung</v>
      </c>
      <c r="AM1200" s="11" t="s">
        <v>96</v>
      </c>
      <c r="AN1200" s="11" t="s">
        <v>1704</v>
      </c>
      <c r="AO1200" s="11" t="s">
        <v>1702</v>
      </c>
      <c r="AP1200" s="12" t="s">
        <v>268</v>
      </c>
    </row>
    <row r="1201" spans="1:42" ht="15" x14ac:dyDescent="0.2">
      <c r="A1201" s="8" t="s">
        <v>2709</v>
      </c>
      <c r="B1201" s="9" t="s">
        <v>2783</v>
      </c>
      <c r="C1201" s="9">
        <v>1328</v>
      </c>
      <c r="D1201" s="9" t="s">
        <v>1631</v>
      </c>
      <c r="E1201" s="30"/>
      <c r="F1201" s="9" t="s">
        <v>1752</v>
      </c>
      <c r="G1201" s="9" t="s">
        <v>1633</v>
      </c>
      <c r="H1201" s="9" t="s">
        <v>47</v>
      </c>
      <c r="I1201" s="9" t="s">
        <v>1753</v>
      </c>
      <c r="J1201" s="9" t="s">
        <v>2786</v>
      </c>
      <c r="K1201" s="9" t="s">
        <v>2787</v>
      </c>
      <c r="L1201" s="37" t="s">
        <v>2787</v>
      </c>
      <c r="M1201" s="9" t="s">
        <v>51</v>
      </c>
      <c r="N1201" s="9">
        <v>136</v>
      </c>
      <c r="O1201" s="9">
        <v>16</v>
      </c>
      <c r="P1201" s="9">
        <v>108</v>
      </c>
      <c r="Q1201" s="9">
        <v>124</v>
      </c>
      <c r="R1201" s="9" t="s">
        <v>72</v>
      </c>
      <c r="S1201" s="50">
        <v>3.2064018929999998</v>
      </c>
      <c r="T1201" s="50">
        <v>106.2593378</v>
      </c>
      <c r="U1201" s="9"/>
      <c r="V1201" s="11"/>
      <c r="W1201" s="11"/>
      <c r="X1201" s="11"/>
      <c r="Y1201" s="11" t="e">
        <f>VLOOKUP(L1201,'[1]singkron data'!D:H,5,FALSE)</f>
        <v>#N/A</v>
      </c>
      <c r="Z1201" s="11" t="e">
        <f>VLOOKUP(L1201,'[1]singkron data'!D:I,6,FALSE)</f>
        <v>#N/A</v>
      </c>
      <c r="AA1201" s="11" t="s">
        <v>1702</v>
      </c>
      <c r="AB1201" s="11" t="s">
        <v>54</v>
      </c>
      <c r="AC1201" s="11" t="s">
        <v>1703</v>
      </c>
      <c r="AD1201" s="11" t="s">
        <v>364</v>
      </c>
      <c r="AE1201" s="11" t="e">
        <f>VLOOKUP(L1201,'[1]singkron data'!D:P,13,FALSE)</f>
        <v>#N/A</v>
      </c>
      <c r="AF1201" s="11" t="s">
        <v>55</v>
      </c>
      <c r="AG1201" s="11" t="e">
        <f>VLOOKUP(L1201,'[1]update kontrak'!E:K,6,FALSE)</f>
        <v>#N/A</v>
      </c>
      <c r="AH1201" s="11" t="e">
        <f>VLOOKUP(L1201,'[1]update kontrak'!E:K,7,FALSE)</f>
        <v>#N/A</v>
      </c>
      <c r="AI1201" s="11"/>
      <c r="AJ1201" s="11" t="str">
        <f>VLOOKUP(L1201,[1]rekap!D:M,1,FALSE)</f>
        <v>Pesisir Timur</v>
      </c>
      <c r="AK1201" s="11" t="e">
        <f>VLOOKUP(L1201,'[1]singkron data'!D:E,2,FALSE)</f>
        <v>#N/A</v>
      </c>
      <c r="AL1201" s="11" t="str">
        <f>VLOOKUP(L1201,'[1]update 521'!D:D,1,FALSE)</f>
        <v>Pesisir Timur</v>
      </c>
      <c r="AM1201" s="11" t="s">
        <v>96</v>
      </c>
      <c r="AN1201" s="11" t="s">
        <v>1704</v>
      </c>
      <c r="AO1201" s="11" t="s">
        <v>1702</v>
      </c>
      <c r="AP1201" s="12" t="s">
        <v>268</v>
      </c>
    </row>
    <row r="1202" spans="1:42" ht="15" x14ac:dyDescent="0.2">
      <c r="A1202" s="8" t="s">
        <v>2709</v>
      </c>
      <c r="B1202" s="9" t="s">
        <v>2783</v>
      </c>
      <c r="C1202" s="9">
        <v>1329</v>
      </c>
      <c r="D1202" s="9" t="s">
        <v>1631</v>
      </c>
      <c r="E1202" s="30"/>
      <c r="F1202" s="9" t="s">
        <v>1752</v>
      </c>
      <c r="G1202" s="9" t="s">
        <v>1633</v>
      </c>
      <c r="H1202" s="9" t="s">
        <v>47</v>
      </c>
      <c r="I1202" s="9" t="s">
        <v>1753</v>
      </c>
      <c r="J1202" s="9" t="s">
        <v>1758</v>
      </c>
      <c r="K1202" s="9" t="s">
        <v>2788</v>
      </c>
      <c r="L1202" s="37" t="s">
        <v>2788</v>
      </c>
      <c r="M1202" s="9" t="s">
        <v>51</v>
      </c>
      <c r="N1202" s="9">
        <v>26</v>
      </c>
      <c r="O1202" s="9">
        <v>2</v>
      </c>
      <c r="P1202" s="9">
        <v>19</v>
      </c>
      <c r="Q1202" s="9">
        <v>21</v>
      </c>
      <c r="R1202" s="9" t="s">
        <v>72</v>
      </c>
      <c r="S1202" s="50">
        <v>3.033296231</v>
      </c>
      <c r="T1202" s="50">
        <v>105.7032887</v>
      </c>
      <c r="U1202" s="9"/>
      <c r="V1202" s="11"/>
      <c r="W1202" s="11"/>
      <c r="X1202" s="11"/>
      <c r="Y1202" s="11" t="e">
        <f>VLOOKUP(L1202,'[1]singkron data'!D:H,5,FALSE)</f>
        <v>#N/A</v>
      </c>
      <c r="Z1202" s="11" t="e">
        <f>VLOOKUP(L1202,'[1]singkron data'!D:I,6,FALSE)</f>
        <v>#N/A</v>
      </c>
      <c r="AA1202" s="11" t="s">
        <v>1702</v>
      </c>
      <c r="AB1202" s="11" t="s">
        <v>54</v>
      </c>
      <c r="AC1202" s="11" t="s">
        <v>1703</v>
      </c>
      <c r="AD1202" s="11" t="s">
        <v>364</v>
      </c>
      <c r="AE1202" s="11" t="e">
        <f>VLOOKUP(L1202,'[1]singkron data'!D:P,13,FALSE)</f>
        <v>#N/A</v>
      </c>
      <c r="AF1202" s="11" t="s">
        <v>55</v>
      </c>
      <c r="AG1202" s="11" t="e">
        <f>VLOOKUP(L1202,'[1]update kontrak'!E:K,6,FALSE)</f>
        <v>#N/A</v>
      </c>
      <c r="AH1202" s="11" t="e">
        <f>VLOOKUP(L1202,'[1]update kontrak'!E:K,7,FALSE)</f>
        <v>#N/A</v>
      </c>
      <c r="AI1202" s="11"/>
      <c r="AJ1202" s="11" t="str">
        <f>VLOOKUP(L1202,[1]rekap!D:M,1,FALSE)</f>
        <v>Rewak</v>
      </c>
      <c r="AK1202" s="11" t="e">
        <f>VLOOKUP(L1202,'[1]singkron data'!D:E,2,FALSE)</f>
        <v>#N/A</v>
      </c>
      <c r="AL1202" s="11" t="str">
        <f>VLOOKUP(L1202,'[1]update 521'!D:D,1,FALSE)</f>
        <v>Rewak</v>
      </c>
      <c r="AM1202" s="11" t="s">
        <v>96</v>
      </c>
      <c r="AN1202" s="11" t="s">
        <v>1704</v>
      </c>
      <c r="AO1202" s="11" t="s">
        <v>1702</v>
      </c>
      <c r="AP1202" s="12" t="s">
        <v>268</v>
      </c>
    </row>
    <row r="1203" spans="1:42" ht="15" x14ac:dyDescent="0.2">
      <c r="A1203" s="8" t="s">
        <v>2709</v>
      </c>
      <c r="B1203" s="9" t="s">
        <v>2783</v>
      </c>
      <c r="C1203" s="9">
        <v>1330</v>
      </c>
      <c r="D1203" s="9" t="s">
        <v>1631</v>
      </c>
      <c r="E1203" s="30"/>
      <c r="F1203" s="9" t="s">
        <v>1752</v>
      </c>
      <c r="G1203" s="9" t="s">
        <v>1633</v>
      </c>
      <c r="H1203" s="9" t="s">
        <v>47</v>
      </c>
      <c r="I1203" s="9" t="s">
        <v>1753</v>
      </c>
      <c r="J1203" s="9" t="s">
        <v>1754</v>
      </c>
      <c r="K1203" s="9" t="s">
        <v>2789</v>
      </c>
      <c r="L1203" s="37" t="s">
        <v>2789</v>
      </c>
      <c r="M1203" s="9" t="s">
        <v>51</v>
      </c>
      <c r="N1203" s="9">
        <v>35</v>
      </c>
      <c r="O1203" s="9" t="s">
        <v>72</v>
      </c>
      <c r="P1203" s="9">
        <v>34</v>
      </c>
      <c r="Q1203" s="9">
        <v>34</v>
      </c>
      <c r="R1203" s="9" t="s">
        <v>72</v>
      </c>
      <c r="S1203" s="50">
        <v>2.9065493560000002</v>
      </c>
      <c r="T1203" s="50">
        <v>105.784252</v>
      </c>
      <c r="U1203" s="9"/>
      <c r="V1203" s="11"/>
      <c r="W1203" s="11"/>
      <c r="X1203" s="11"/>
      <c r="Y1203" s="11" t="e">
        <f>VLOOKUP(L1203,'[1]singkron data'!D:H,5,FALSE)</f>
        <v>#N/A</v>
      </c>
      <c r="Z1203" s="11" t="e">
        <f>VLOOKUP(L1203,'[1]singkron data'!D:I,6,FALSE)</f>
        <v>#N/A</v>
      </c>
      <c r="AA1203" s="11" t="s">
        <v>1702</v>
      </c>
      <c r="AB1203" s="11" t="s">
        <v>54</v>
      </c>
      <c r="AC1203" s="11" t="s">
        <v>1703</v>
      </c>
      <c r="AD1203" s="11" t="s">
        <v>364</v>
      </c>
      <c r="AE1203" s="11" t="e">
        <f>VLOOKUP(L1203,'[1]singkron data'!D:P,13,FALSE)</f>
        <v>#N/A</v>
      </c>
      <c r="AF1203" s="11" t="s">
        <v>55</v>
      </c>
      <c r="AG1203" s="11" t="e">
        <f>VLOOKUP(L1203,'[1]update kontrak'!E:K,6,FALSE)</f>
        <v>#N/A</v>
      </c>
      <c r="AH1203" s="11" t="e">
        <f>VLOOKUP(L1203,'[1]update kontrak'!E:K,7,FALSE)</f>
        <v>#N/A</v>
      </c>
      <c r="AI1203" s="11"/>
      <c r="AJ1203" s="11" t="str">
        <f>VLOOKUP(L1203,[1]rekap!D:M,1,FALSE)</f>
        <v>Genting Pulur</v>
      </c>
      <c r="AK1203" s="11" t="e">
        <f>VLOOKUP(L1203,'[1]singkron data'!D:E,2,FALSE)</f>
        <v>#N/A</v>
      </c>
      <c r="AL1203" s="11" t="str">
        <f>VLOOKUP(L1203,'[1]update 521'!D:D,1,FALSE)</f>
        <v>Genting Pulur</v>
      </c>
      <c r="AM1203" s="11" t="s">
        <v>96</v>
      </c>
      <c r="AN1203" s="11" t="s">
        <v>1704</v>
      </c>
      <c r="AO1203" s="11" t="s">
        <v>1702</v>
      </c>
      <c r="AP1203" s="12" t="s">
        <v>268</v>
      </c>
    </row>
    <row r="1204" spans="1:42" ht="15" x14ac:dyDescent="0.2">
      <c r="A1204" s="8" t="s">
        <v>2709</v>
      </c>
      <c r="B1204" s="9" t="s">
        <v>2783</v>
      </c>
      <c r="C1204" s="9">
        <v>1331</v>
      </c>
      <c r="D1204" s="9" t="s">
        <v>1631</v>
      </c>
      <c r="E1204" s="30"/>
      <c r="F1204" s="9" t="s">
        <v>1849</v>
      </c>
      <c r="G1204" s="9" t="s">
        <v>1633</v>
      </c>
      <c r="H1204" s="9" t="s">
        <v>47</v>
      </c>
      <c r="I1204" s="9" t="s">
        <v>1673</v>
      </c>
      <c r="J1204" s="9" t="s">
        <v>1850</v>
      </c>
      <c r="K1204" s="9" t="s">
        <v>2790</v>
      </c>
      <c r="L1204" s="10" t="s">
        <v>2790</v>
      </c>
      <c r="M1204" s="9" t="s">
        <v>51</v>
      </c>
      <c r="N1204" s="9">
        <v>212</v>
      </c>
      <c r="O1204" s="9">
        <v>7</v>
      </c>
      <c r="P1204" s="9">
        <v>204</v>
      </c>
      <c r="Q1204" s="9">
        <v>211</v>
      </c>
      <c r="R1204" s="9" t="s">
        <v>72</v>
      </c>
      <c r="S1204" s="50">
        <v>0.36950999400000001</v>
      </c>
      <c r="T1204" s="50">
        <v>104.4200249</v>
      </c>
      <c r="U1204" s="9"/>
      <c r="V1204" s="31" t="s">
        <v>1960</v>
      </c>
      <c r="W1204" s="11"/>
      <c r="X1204" s="11"/>
      <c r="Y1204" s="11" t="e">
        <f>VLOOKUP(L1204,'[1]singkron data'!D:H,5,FALSE)</f>
        <v>#N/A</v>
      </c>
      <c r="Z1204" s="11" t="e">
        <f>VLOOKUP(L1204,'[1]singkron data'!D:I,6,FALSE)</f>
        <v>#N/A</v>
      </c>
      <c r="AA1204" s="11" t="s">
        <v>1961</v>
      </c>
      <c r="AB1204" s="11" t="s">
        <v>54</v>
      </c>
      <c r="AC1204" s="31" t="s">
        <v>1959</v>
      </c>
      <c r="AD1204" s="11" t="s">
        <v>364</v>
      </c>
      <c r="AE1204" s="11" t="e">
        <f>VLOOKUP(L1204,'[1]singkron data'!D:P,13,FALSE)</f>
        <v>#N/A</v>
      </c>
      <c r="AF1204" s="11" t="s">
        <v>55</v>
      </c>
      <c r="AG1204" s="11" t="e">
        <f>VLOOKUP(L1204,'[1]update kontrak'!E:K,6,FALSE)</f>
        <v>#N/A</v>
      </c>
      <c r="AH1204" s="11" t="e">
        <f>VLOOKUP(L1204,'[1]update kontrak'!E:K,7,FALSE)</f>
        <v>#N/A</v>
      </c>
      <c r="AI1204" s="11"/>
      <c r="AJ1204" s="11" t="str">
        <f>VLOOKUP(L1204,[1]rekap!D:M,1,FALSE)</f>
        <v>Pulau Medang</v>
      </c>
      <c r="AK1204" s="11" t="e">
        <f>VLOOKUP(L1204,'[1]singkron data'!D:E,2,FALSE)</f>
        <v>#N/A</v>
      </c>
      <c r="AL1204" s="11" t="str">
        <f>VLOOKUP(L1204,'[1]update 521'!D:D,1,FALSE)</f>
        <v>Pulau Medang</v>
      </c>
      <c r="AM1204" s="11" t="s">
        <v>96</v>
      </c>
      <c r="AN1204" s="11" t="s">
        <v>1704</v>
      </c>
      <c r="AO1204" s="11" t="s">
        <v>1702</v>
      </c>
      <c r="AP1204" s="12" t="e">
        <v>#N/A</v>
      </c>
    </row>
    <row r="1205" spans="1:42" ht="15" x14ac:dyDescent="0.2">
      <c r="A1205" s="8" t="s">
        <v>2791</v>
      </c>
      <c r="B1205" s="9" t="s">
        <v>2783</v>
      </c>
      <c r="C1205" s="9">
        <v>1333</v>
      </c>
      <c r="D1205" s="9" t="s">
        <v>1631</v>
      </c>
      <c r="E1205" s="30"/>
      <c r="F1205" s="9" t="s">
        <v>1752</v>
      </c>
      <c r="G1205" s="9" t="s">
        <v>1633</v>
      </c>
      <c r="H1205" s="9" t="s">
        <v>47</v>
      </c>
      <c r="I1205" s="9" t="s">
        <v>1753</v>
      </c>
      <c r="J1205" s="9" t="s">
        <v>1760</v>
      </c>
      <c r="K1205" s="9" t="s">
        <v>2792</v>
      </c>
      <c r="L1205" s="37" t="s">
        <v>2792</v>
      </c>
      <c r="M1205" s="9" t="s">
        <v>51</v>
      </c>
      <c r="N1205" s="9">
        <v>150</v>
      </c>
      <c r="O1205" s="9">
        <v>31</v>
      </c>
      <c r="P1205" s="9">
        <v>117</v>
      </c>
      <c r="Q1205" s="9">
        <v>148</v>
      </c>
      <c r="R1205" s="9" t="s">
        <v>72</v>
      </c>
      <c r="S1205" s="50">
        <v>2.9059506000000002</v>
      </c>
      <c r="T1205" s="50">
        <v>106.1342686</v>
      </c>
      <c r="U1205" s="9"/>
      <c r="V1205" s="11"/>
      <c r="W1205" s="11"/>
      <c r="X1205" s="11"/>
      <c r="Y1205" s="11" t="e">
        <f>VLOOKUP(L1205,'[1]singkron data'!D:H,5,FALSE)</f>
        <v>#N/A</v>
      </c>
      <c r="Z1205" s="11" t="e">
        <f>VLOOKUP(L1205,'[1]singkron data'!D:I,6,FALSE)</f>
        <v>#N/A</v>
      </c>
      <c r="AA1205" s="11" t="s">
        <v>1702</v>
      </c>
      <c r="AB1205" s="11" t="s">
        <v>54</v>
      </c>
      <c r="AC1205" s="11" t="s">
        <v>1703</v>
      </c>
      <c r="AD1205" s="11" t="s">
        <v>364</v>
      </c>
      <c r="AE1205" s="11" t="e">
        <f>VLOOKUP(L1205,'[1]singkron data'!D:P,13,FALSE)</f>
        <v>#N/A</v>
      </c>
      <c r="AF1205" s="11" t="s">
        <v>55</v>
      </c>
      <c r="AG1205" s="11" t="e">
        <f>VLOOKUP(L1205,'[1]update kontrak'!E:K,6,FALSE)</f>
        <v>#N/A</v>
      </c>
      <c r="AH1205" s="11" t="e">
        <f>VLOOKUP(L1205,'[1]update kontrak'!E:K,7,FALSE)</f>
        <v>#N/A</v>
      </c>
      <c r="AI1205" s="11"/>
      <c r="AJ1205" s="11" t="str">
        <f>VLOOKUP(L1205,[1]rekap!D:M,1,FALSE)</f>
        <v>Mengkait</v>
      </c>
      <c r="AK1205" s="11" t="e">
        <f>VLOOKUP(L1205,'[1]singkron data'!D:E,2,FALSE)</f>
        <v>#N/A</v>
      </c>
      <c r="AL1205" s="11" t="str">
        <f>VLOOKUP(L1205,'[1]update 521'!D:D,1,FALSE)</f>
        <v>Mengkait</v>
      </c>
      <c r="AM1205" s="11" t="s">
        <v>96</v>
      </c>
      <c r="AN1205" s="11" t="s">
        <v>1704</v>
      </c>
      <c r="AO1205" s="11" t="s">
        <v>1702</v>
      </c>
      <c r="AP1205" s="12" t="s">
        <v>268</v>
      </c>
    </row>
    <row r="1206" spans="1:42" ht="15" x14ac:dyDescent="0.2">
      <c r="A1206" s="8" t="s">
        <v>2791</v>
      </c>
      <c r="B1206" s="9" t="s">
        <v>2783</v>
      </c>
      <c r="C1206" s="9">
        <v>1334</v>
      </c>
      <c r="D1206" s="9" t="s">
        <v>1631</v>
      </c>
      <c r="E1206" s="30"/>
      <c r="F1206" s="9" t="s">
        <v>1752</v>
      </c>
      <c r="G1206" s="9" t="s">
        <v>1633</v>
      </c>
      <c r="H1206" s="9" t="s">
        <v>47</v>
      </c>
      <c r="I1206" s="9" t="s">
        <v>1753</v>
      </c>
      <c r="J1206" s="9" t="s">
        <v>2793</v>
      </c>
      <c r="K1206" s="9" t="s">
        <v>2794</v>
      </c>
      <c r="L1206" s="37" t="s">
        <v>2794</v>
      </c>
      <c r="M1206" s="9" t="s">
        <v>51</v>
      </c>
      <c r="N1206" s="9">
        <v>144</v>
      </c>
      <c r="O1206" s="9">
        <v>13</v>
      </c>
      <c r="P1206" s="9">
        <v>124</v>
      </c>
      <c r="Q1206" s="9">
        <v>137</v>
      </c>
      <c r="R1206" s="9" t="s">
        <v>72</v>
      </c>
      <c r="S1206" s="50">
        <v>3.0800090999999998</v>
      </c>
      <c r="T1206" s="50">
        <v>106.34729110000001</v>
      </c>
      <c r="U1206" s="9"/>
      <c r="V1206" s="11"/>
      <c r="W1206" s="11"/>
      <c r="X1206" s="11"/>
      <c r="Y1206" s="11" t="e">
        <f>VLOOKUP(L1206,'[1]singkron data'!D:H,5,FALSE)</f>
        <v>#N/A</v>
      </c>
      <c r="Z1206" s="11" t="e">
        <f>VLOOKUP(L1206,'[1]singkron data'!D:I,6,FALSE)</f>
        <v>#N/A</v>
      </c>
      <c r="AA1206" s="11" t="s">
        <v>1702</v>
      </c>
      <c r="AB1206" s="11" t="s">
        <v>54</v>
      </c>
      <c r="AC1206" s="11" t="s">
        <v>1703</v>
      </c>
      <c r="AD1206" s="11" t="s">
        <v>364</v>
      </c>
      <c r="AE1206" s="11" t="e">
        <f>VLOOKUP(L1206,'[1]singkron data'!D:P,13,FALSE)</f>
        <v>#N/A</v>
      </c>
      <c r="AF1206" s="11" t="s">
        <v>55</v>
      </c>
      <c r="AG1206" s="11" t="e">
        <f>VLOOKUP(L1206,'[1]update kontrak'!E:K,6,FALSE)</f>
        <v>#N/A</v>
      </c>
      <c r="AH1206" s="11" t="e">
        <f>VLOOKUP(L1206,'[1]update kontrak'!E:K,7,FALSE)</f>
        <v>#N/A</v>
      </c>
      <c r="AI1206" s="11"/>
      <c r="AJ1206" s="11" t="str">
        <f>VLOOKUP(L1206,[1]rekap!D:M,1,FALSE)</f>
        <v>Munjan</v>
      </c>
      <c r="AK1206" s="11" t="e">
        <f>VLOOKUP(L1206,'[1]singkron data'!D:E,2,FALSE)</f>
        <v>#N/A</v>
      </c>
      <c r="AL1206" s="11" t="str">
        <f>VLOOKUP(L1206,'[1]update 521'!D:D,1,FALSE)</f>
        <v>Munjan</v>
      </c>
      <c r="AM1206" s="11" t="s">
        <v>96</v>
      </c>
      <c r="AN1206" s="11" t="s">
        <v>1704</v>
      </c>
      <c r="AO1206" s="11" t="s">
        <v>1702</v>
      </c>
      <c r="AP1206" s="12" t="s">
        <v>268</v>
      </c>
    </row>
    <row r="1207" spans="1:42" ht="15" x14ac:dyDescent="0.2">
      <c r="A1207" s="8" t="s">
        <v>2791</v>
      </c>
      <c r="B1207" s="9" t="s">
        <v>2783</v>
      </c>
      <c r="C1207" s="9">
        <v>1335</v>
      </c>
      <c r="D1207" s="9" t="s">
        <v>1631</v>
      </c>
      <c r="E1207" s="30"/>
      <c r="F1207" s="9" t="s">
        <v>1672</v>
      </c>
      <c r="G1207" s="9" t="s">
        <v>1633</v>
      </c>
      <c r="H1207" s="9" t="s">
        <v>47</v>
      </c>
      <c r="I1207" s="9" t="s">
        <v>1673</v>
      </c>
      <c r="J1207" s="9" t="s">
        <v>2452</v>
      </c>
      <c r="K1207" s="9" t="s">
        <v>2795</v>
      </c>
      <c r="L1207" s="10" t="s">
        <v>2795</v>
      </c>
      <c r="M1207" s="9" t="s">
        <v>51</v>
      </c>
      <c r="N1207" s="9">
        <v>170</v>
      </c>
      <c r="O1207" s="9">
        <v>29</v>
      </c>
      <c r="P1207" s="9">
        <v>90</v>
      </c>
      <c r="Q1207" s="9">
        <v>119</v>
      </c>
      <c r="R1207" s="9" t="s">
        <v>72</v>
      </c>
      <c r="S1207" s="50">
        <v>-0.36257600000000001</v>
      </c>
      <c r="T1207" s="50">
        <v>104.26713789999999</v>
      </c>
      <c r="U1207" s="9"/>
      <c r="V1207" s="11" t="s">
        <v>1677</v>
      </c>
      <c r="W1207" s="11"/>
      <c r="X1207" s="11"/>
      <c r="Y1207" s="11" t="e">
        <f>VLOOKUP(L1207,'[1]singkron data'!D:H,5,FALSE)</f>
        <v>#N/A</v>
      </c>
      <c r="Z1207" s="11" t="e">
        <f>VLOOKUP(L1207,'[1]singkron data'!D:I,6,FALSE)</f>
        <v>#N/A</v>
      </c>
      <c r="AA1207" s="11" t="e">
        <f>VLOOKUP(L1207,'[1]singkron data'!D:L,9,FALSE)</f>
        <v>#N/A</v>
      </c>
      <c r="AB1207" s="11" t="s">
        <v>54</v>
      </c>
      <c r="AC1207" s="20" t="s">
        <v>1676</v>
      </c>
      <c r="AD1207" s="11" t="s">
        <v>364</v>
      </c>
      <c r="AE1207" s="11" t="e">
        <f>VLOOKUP(L1207,'[1]singkron data'!D:P,13,FALSE)</f>
        <v>#N/A</v>
      </c>
      <c r="AF1207" s="11" t="s">
        <v>55</v>
      </c>
      <c r="AG1207" s="11" t="e">
        <f>VLOOKUP(L1207,'[1]update kontrak'!E:K,6,FALSE)</f>
        <v>#N/A</v>
      </c>
      <c r="AH1207" s="11" t="e">
        <f>VLOOKUP(L1207,'[1]update kontrak'!E:K,7,FALSE)</f>
        <v>#N/A</v>
      </c>
      <c r="AI1207" s="11"/>
      <c r="AJ1207" s="11" t="str">
        <f>VLOOKUP(L1207,[1]rekap!D:M,1,FALSE)</f>
        <v>Busung Panjang</v>
      </c>
      <c r="AK1207" s="11" t="e">
        <f>VLOOKUP(L1207,'[1]singkron data'!D:E,2,FALSE)</f>
        <v>#N/A</v>
      </c>
      <c r="AL1207" s="11" t="str">
        <f>VLOOKUP(L1207,'[1]update 521'!D:D,1,FALSE)</f>
        <v>Busung Panjang</v>
      </c>
      <c r="AM1207" s="11" t="s">
        <v>96</v>
      </c>
      <c r="AN1207" s="11" t="s">
        <v>1677</v>
      </c>
      <c r="AO1207" s="11" t="e">
        <v>#N/A</v>
      </c>
      <c r="AP1207" s="12" t="s">
        <v>1678</v>
      </c>
    </row>
    <row r="1208" spans="1:42" ht="15" x14ac:dyDescent="0.2">
      <c r="A1208" s="8" t="s">
        <v>2791</v>
      </c>
      <c r="B1208" s="9" t="s">
        <v>2783</v>
      </c>
      <c r="C1208" s="9">
        <v>1336</v>
      </c>
      <c r="D1208" s="9" t="s">
        <v>1631</v>
      </c>
      <c r="E1208" s="30"/>
      <c r="F1208" s="9" t="s">
        <v>1752</v>
      </c>
      <c r="G1208" s="9" t="s">
        <v>1633</v>
      </c>
      <c r="H1208" s="9" t="s">
        <v>47</v>
      </c>
      <c r="I1208" s="9" t="s">
        <v>1753</v>
      </c>
      <c r="J1208" s="9" t="s">
        <v>2786</v>
      </c>
      <c r="K1208" s="9" t="s">
        <v>2796</v>
      </c>
      <c r="L1208" s="37" t="s">
        <v>2796</v>
      </c>
      <c r="M1208" s="9" t="s">
        <v>51</v>
      </c>
      <c r="N1208" s="9">
        <v>111</v>
      </c>
      <c r="O1208" s="9">
        <v>6</v>
      </c>
      <c r="P1208" s="9">
        <v>104</v>
      </c>
      <c r="Q1208" s="9">
        <v>110</v>
      </c>
      <c r="R1208" s="9" t="s">
        <v>72</v>
      </c>
      <c r="S1208" s="50">
        <v>3.2222672999999999</v>
      </c>
      <c r="T1208" s="50">
        <v>106.21295840000001</v>
      </c>
      <c r="U1208" s="9"/>
      <c r="V1208" s="11"/>
      <c r="W1208" s="11"/>
      <c r="X1208" s="11"/>
      <c r="Y1208" s="11" t="e">
        <f>VLOOKUP(L1208,'[1]singkron data'!D:H,5,FALSE)</f>
        <v>#N/A</v>
      </c>
      <c r="Z1208" s="11" t="e">
        <f>VLOOKUP(L1208,'[1]singkron data'!D:I,6,FALSE)</f>
        <v>#N/A</v>
      </c>
      <c r="AA1208" s="11" t="s">
        <v>1702</v>
      </c>
      <c r="AB1208" s="11" t="s">
        <v>54</v>
      </c>
      <c r="AC1208" s="11" t="s">
        <v>1703</v>
      </c>
      <c r="AD1208" s="11" t="s">
        <v>364</v>
      </c>
      <c r="AE1208" s="11" t="e">
        <f>VLOOKUP(L1208,'[1]singkron data'!D:P,13,FALSE)</f>
        <v>#N/A</v>
      </c>
      <c r="AF1208" s="11" t="s">
        <v>55</v>
      </c>
      <c r="AG1208" s="11" t="e">
        <f>VLOOKUP(L1208,'[1]update kontrak'!E:K,6,FALSE)</f>
        <v>#N/A</v>
      </c>
      <c r="AH1208" s="11" t="e">
        <f>VLOOKUP(L1208,'[1]update kontrak'!E:K,7,FALSE)</f>
        <v>#N/A</v>
      </c>
      <c r="AI1208" s="11"/>
      <c r="AJ1208" s="11" t="str">
        <f>VLOOKUP(L1208,[1]rekap!D:M,1,FALSE)</f>
        <v>Sri Tanjung</v>
      </c>
      <c r="AK1208" s="11" t="e">
        <f>VLOOKUP(L1208,'[1]singkron data'!D:E,2,FALSE)</f>
        <v>#N/A</v>
      </c>
      <c r="AL1208" s="11" t="str">
        <f>VLOOKUP(L1208,'[1]update 521'!D:D,1,FALSE)</f>
        <v>Sri Tanjung</v>
      </c>
      <c r="AM1208" s="11" t="s">
        <v>96</v>
      </c>
      <c r="AN1208" s="11" t="s">
        <v>1704</v>
      </c>
      <c r="AO1208" s="11" t="s">
        <v>1702</v>
      </c>
      <c r="AP1208" s="12" t="s">
        <v>268</v>
      </c>
    </row>
    <row r="1209" spans="1:42" ht="15" x14ac:dyDescent="0.2">
      <c r="A1209" s="8" t="s">
        <v>2791</v>
      </c>
      <c r="B1209" s="9" t="s">
        <v>2783</v>
      </c>
      <c r="C1209" s="9">
        <v>1338</v>
      </c>
      <c r="D1209" s="9" t="s">
        <v>1631</v>
      </c>
      <c r="E1209" s="30"/>
      <c r="F1209" s="9" t="s">
        <v>1752</v>
      </c>
      <c r="G1209" s="9" t="s">
        <v>1633</v>
      </c>
      <c r="H1209" s="9" t="s">
        <v>47</v>
      </c>
      <c r="I1209" s="9" t="s">
        <v>1753</v>
      </c>
      <c r="J1209" s="9" t="s">
        <v>2793</v>
      </c>
      <c r="K1209" s="9" t="s">
        <v>2797</v>
      </c>
      <c r="L1209" s="37" t="s">
        <v>2797</v>
      </c>
      <c r="M1209" s="9" t="s">
        <v>51</v>
      </c>
      <c r="N1209" s="9">
        <v>118</v>
      </c>
      <c r="O1209" s="9">
        <v>2</v>
      </c>
      <c r="P1209" s="9">
        <v>98</v>
      </c>
      <c r="Q1209" s="9">
        <v>100</v>
      </c>
      <c r="R1209" s="9" t="s">
        <v>72</v>
      </c>
      <c r="S1209" s="50">
        <v>3.1208768999999998</v>
      </c>
      <c r="T1209" s="50">
        <v>106.3329458</v>
      </c>
      <c r="U1209" s="9"/>
      <c r="V1209" s="11"/>
      <c r="W1209" s="11"/>
      <c r="X1209" s="11"/>
      <c r="Y1209" s="11" t="e">
        <f>VLOOKUP(L1209,'[1]singkron data'!D:H,5,FALSE)</f>
        <v>#N/A</v>
      </c>
      <c r="Z1209" s="11" t="e">
        <f>VLOOKUP(L1209,'[1]singkron data'!D:I,6,FALSE)</f>
        <v>#N/A</v>
      </c>
      <c r="AA1209" s="11" t="s">
        <v>1702</v>
      </c>
      <c r="AB1209" s="11" t="s">
        <v>54</v>
      </c>
      <c r="AC1209" s="11" t="s">
        <v>1703</v>
      </c>
      <c r="AD1209" s="11" t="s">
        <v>364</v>
      </c>
      <c r="AE1209" s="11" t="e">
        <f>VLOOKUP(L1209,'[1]singkron data'!D:P,13,FALSE)</f>
        <v>#N/A</v>
      </c>
      <c r="AF1209" s="11" t="s">
        <v>55</v>
      </c>
      <c r="AG1209" s="11" t="e">
        <f>VLOOKUP(L1209,'[1]update kontrak'!E:K,6,FALSE)</f>
        <v>#N/A</v>
      </c>
      <c r="AH1209" s="11" t="e">
        <f>VLOOKUP(L1209,'[1]update kontrak'!E:K,7,FALSE)</f>
        <v>#N/A</v>
      </c>
      <c r="AI1209" s="11"/>
      <c r="AJ1209" s="11" t="str">
        <f>VLOOKUP(L1209,[1]rekap!D:M,1,FALSE)</f>
        <v>Nyamuk</v>
      </c>
      <c r="AK1209" s="11" t="e">
        <f>VLOOKUP(L1209,'[1]singkron data'!D:E,2,FALSE)</f>
        <v>#N/A</v>
      </c>
      <c r="AL1209" s="11" t="str">
        <f>VLOOKUP(L1209,'[1]update 521'!D:D,1,FALSE)</f>
        <v>Nyamuk</v>
      </c>
      <c r="AM1209" s="11" t="s">
        <v>96</v>
      </c>
      <c r="AN1209" s="11" t="s">
        <v>1704</v>
      </c>
      <c r="AO1209" s="11" t="s">
        <v>1702</v>
      </c>
      <c r="AP1209" s="12" t="s">
        <v>268</v>
      </c>
    </row>
    <row r="1210" spans="1:42" ht="15" x14ac:dyDescent="0.2">
      <c r="A1210" s="8" t="s">
        <v>2791</v>
      </c>
      <c r="B1210" s="9" t="s">
        <v>2783</v>
      </c>
      <c r="C1210" s="9">
        <v>1339</v>
      </c>
      <c r="D1210" s="9" t="s">
        <v>1631</v>
      </c>
      <c r="E1210" s="30"/>
      <c r="F1210" s="9" t="s">
        <v>1971</v>
      </c>
      <c r="G1210" s="9" t="s">
        <v>1633</v>
      </c>
      <c r="H1210" s="9" t="s">
        <v>47</v>
      </c>
      <c r="I1210" s="9" t="s">
        <v>1975</v>
      </c>
      <c r="J1210" s="9" t="s">
        <v>1976</v>
      </c>
      <c r="K1210" s="9" t="s">
        <v>2158</v>
      </c>
      <c r="L1210" s="10" t="s">
        <v>2158</v>
      </c>
      <c r="M1210" s="9" t="s">
        <v>51</v>
      </c>
      <c r="N1210" s="9">
        <v>67</v>
      </c>
      <c r="O1210" s="9">
        <v>21</v>
      </c>
      <c r="P1210" s="9">
        <v>45</v>
      </c>
      <c r="Q1210" s="9">
        <v>66</v>
      </c>
      <c r="R1210" s="9" t="s">
        <v>72</v>
      </c>
      <c r="S1210" s="50">
        <v>0.92809540000000001</v>
      </c>
      <c r="T1210" s="50">
        <v>104.42276459999999</v>
      </c>
      <c r="U1210" s="9"/>
      <c r="V1210" s="20" t="s">
        <v>1704</v>
      </c>
      <c r="W1210" s="13">
        <f>VLOOKUP(L1210,'[1]update tim 2'!D:F,3,FALSE)</f>
        <v>4125130000</v>
      </c>
      <c r="X1210" s="11" t="s">
        <v>55</v>
      </c>
      <c r="Y1210" s="11">
        <f>VLOOKUP(L1210,'[1]singkron data'!D:H,5,FALSE)</f>
        <v>0</v>
      </c>
      <c r="Z1210" s="11" t="str">
        <f>VLOOKUP(L1210,'[1]singkron data'!D:I,6,FALSE)</f>
        <v>Offline</v>
      </c>
      <c r="AA1210" s="11" t="s">
        <v>1702</v>
      </c>
      <c r="AB1210" s="11" t="s">
        <v>54</v>
      </c>
      <c r="AC1210" s="11" t="s">
        <v>1639</v>
      </c>
      <c r="AD1210" s="11" t="str">
        <f>VLOOKUP(L1210,'[1]data 1129'!F:O,10,FALSE)</f>
        <v>Tahap IV 200</v>
      </c>
      <c r="AE1210" s="11">
        <f>VLOOKUP(L1210,'[1]singkron data'!D:P,13,FALSE)</f>
        <v>0</v>
      </c>
      <c r="AF1210" s="11" t="s">
        <v>55</v>
      </c>
      <c r="AG1210" s="11" t="e">
        <f>VLOOKUP(L1210,'[1]update kontrak'!E:K,6,FALSE)</f>
        <v>#N/A</v>
      </c>
      <c r="AH1210" s="11" t="e">
        <f>VLOOKUP(L1210,'[1]update kontrak'!E:K,7,FALSE)</f>
        <v>#N/A</v>
      </c>
      <c r="AI1210" s="11"/>
      <c r="AJ1210" s="11" t="str">
        <f>VLOOKUP(L1210,[1]rekap!D:M,1,FALSE)</f>
        <v>Penyengat</v>
      </c>
      <c r="AK1210" s="11" t="str">
        <f>VLOOKUP(L1210,'[1]singkron data'!D:E,2,FALSE)</f>
        <v>PT. Maringgerang Konstruksi Indonesia</v>
      </c>
      <c r="AL1210" s="11" t="str">
        <f>VLOOKUP(L1210,'[1]update 521'!D:D,1,FALSE)</f>
        <v>Penyengat</v>
      </c>
      <c r="AM1210" s="11" t="s">
        <v>57</v>
      </c>
      <c r="AN1210" s="11" t="s">
        <v>1704</v>
      </c>
      <c r="AO1210" s="11" t="s">
        <v>1702</v>
      </c>
      <c r="AP1210" s="12"/>
    </row>
    <row r="1211" spans="1:42" ht="15" x14ac:dyDescent="0.2">
      <c r="A1211" s="8" t="s">
        <v>2791</v>
      </c>
      <c r="B1211" s="9" t="s">
        <v>2783</v>
      </c>
      <c r="C1211" s="9">
        <v>1340</v>
      </c>
      <c r="D1211" s="9" t="s">
        <v>1631</v>
      </c>
      <c r="E1211" s="30"/>
      <c r="F1211" s="9" t="s">
        <v>1752</v>
      </c>
      <c r="G1211" s="9" t="s">
        <v>1633</v>
      </c>
      <c r="H1211" s="9" t="s">
        <v>47</v>
      </c>
      <c r="I1211" s="9" t="s">
        <v>1753</v>
      </c>
      <c r="J1211" s="9" t="s">
        <v>1756</v>
      </c>
      <c r="K1211" s="9" t="s">
        <v>2798</v>
      </c>
      <c r="L1211" s="37" t="s">
        <v>2798</v>
      </c>
      <c r="M1211" s="9" t="s">
        <v>51</v>
      </c>
      <c r="N1211" s="9">
        <v>55</v>
      </c>
      <c r="O1211" s="9">
        <v>4</v>
      </c>
      <c r="P1211" s="9">
        <v>46</v>
      </c>
      <c r="Q1211" s="9">
        <v>50</v>
      </c>
      <c r="R1211" s="9" t="s">
        <v>72</v>
      </c>
      <c r="S1211" s="50">
        <v>3.3235220999999999</v>
      </c>
      <c r="T1211" s="50">
        <v>106.2964849</v>
      </c>
      <c r="U1211" s="9"/>
      <c r="V1211" s="31" t="s">
        <v>1709</v>
      </c>
      <c r="W1211" s="11"/>
      <c r="X1211" s="11"/>
      <c r="Y1211" s="11" t="e">
        <f>VLOOKUP(L1211,'[1]singkron data'!D:H,5,FALSE)</f>
        <v>#N/A</v>
      </c>
      <c r="Z1211" s="11" t="e">
        <f>VLOOKUP(L1211,'[1]singkron data'!D:I,6,FALSE)</f>
        <v>#N/A</v>
      </c>
      <c r="AA1211" s="11" t="s">
        <v>1958</v>
      </c>
      <c r="AB1211" s="11" t="s">
        <v>54</v>
      </c>
      <c r="AC1211" s="31" t="s">
        <v>1959</v>
      </c>
      <c r="AD1211" s="11" t="s">
        <v>364</v>
      </c>
      <c r="AE1211" s="11" t="e">
        <f>VLOOKUP(L1211,'[1]singkron data'!D:P,13,FALSE)</f>
        <v>#N/A</v>
      </c>
      <c r="AF1211" s="11" t="s">
        <v>55</v>
      </c>
      <c r="AG1211" s="11" t="e">
        <f>VLOOKUP(L1211,'[1]update kontrak'!E:K,6,FALSE)</f>
        <v>#N/A</v>
      </c>
      <c r="AH1211" s="11" t="e">
        <f>VLOOKUP(L1211,'[1]update kontrak'!E:K,7,FALSE)</f>
        <v>#N/A</v>
      </c>
      <c r="AI1211" s="11"/>
      <c r="AJ1211" s="11" t="str">
        <f>VLOOKUP(L1211,[1]rekap!D:M,1,FALSE)</f>
        <v>Tebang</v>
      </c>
      <c r="AK1211" s="11" t="e">
        <f>VLOOKUP(L1211,'[1]singkron data'!D:E,2,FALSE)</f>
        <v>#N/A</v>
      </c>
      <c r="AL1211" s="11" t="str">
        <f>VLOOKUP(L1211,'[1]update 521'!D:D,1,FALSE)</f>
        <v>Tebang</v>
      </c>
      <c r="AM1211" s="11" t="s">
        <v>96</v>
      </c>
      <c r="AN1211" s="11" t="s">
        <v>1704</v>
      </c>
      <c r="AO1211" s="11" t="s">
        <v>1702</v>
      </c>
      <c r="AP1211" s="12"/>
    </row>
    <row r="1212" spans="1:42" ht="15" x14ac:dyDescent="0.2">
      <c r="A1212" s="8" t="s">
        <v>2709</v>
      </c>
      <c r="B1212" s="9" t="s">
        <v>2783</v>
      </c>
      <c r="C1212" s="9">
        <v>1341</v>
      </c>
      <c r="D1212" s="9" t="s">
        <v>1631</v>
      </c>
      <c r="E1212" s="30"/>
      <c r="F1212" s="9" t="s">
        <v>2431</v>
      </c>
      <c r="G1212" s="9" t="s">
        <v>1633</v>
      </c>
      <c r="H1212" s="9" t="s">
        <v>47</v>
      </c>
      <c r="I1212" s="9" t="s">
        <v>2432</v>
      </c>
      <c r="J1212" s="9" t="s">
        <v>2799</v>
      </c>
      <c r="K1212" s="9" t="s">
        <v>2800</v>
      </c>
      <c r="L1212" s="10" t="s">
        <v>2800</v>
      </c>
      <c r="M1212" s="9" t="s">
        <v>81</v>
      </c>
      <c r="N1212" s="9">
        <v>819</v>
      </c>
      <c r="O1212" s="9">
        <v>56</v>
      </c>
      <c r="P1212" s="9">
        <v>800</v>
      </c>
      <c r="Q1212" s="9">
        <v>856</v>
      </c>
      <c r="R1212" s="9" t="s">
        <v>72</v>
      </c>
      <c r="S1212" s="50">
        <v>0.94693000000000005</v>
      </c>
      <c r="T1212" s="50">
        <v>103.76619150000001</v>
      </c>
      <c r="U1212" s="9"/>
      <c r="V1212" s="20" t="s">
        <v>1704</v>
      </c>
      <c r="W1212" s="11"/>
      <c r="X1212" s="11"/>
      <c r="Y1212" s="11" t="e">
        <f>VLOOKUP(L1212,'[1]singkron data'!D:H,5,FALSE)</f>
        <v>#N/A</v>
      </c>
      <c r="Z1212" s="11" t="e">
        <f>VLOOKUP(L1212,'[1]singkron data'!D:I,6,FALSE)</f>
        <v>#N/A</v>
      </c>
      <c r="AA1212" s="11" t="s">
        <v>1702</v>
      </c>
      <c r="AB1212" s="11" t="s">
        <v>54</v>
      </c>
      <c r="AC1212" s="11" t="s">
        <v>1639</v>
      </c>
      <c r="AD1212" s="11" t="s">
        <v>364</v>
      </c>
      <c r="AE1212" s="11" t="e">
        <f>VLOOKUP(L1212,'[1]singkron data'!D:P,13,FALSE)</f>
        <v>#N/A</v>
      </c>
      <c r="AF1212" s="11" t="s">
        <v>55</v>
      </c>
      <c r="AG1212" s="11" t="e">
        <f>VLOOKUP(L1212,'[1]update kontrak'!E:K,6,FALSE)</f>
        <v>#N/A</v>
      </c>
      <c r="AH1212" s="11" t="e">
        <f>VLOOKUP(L1212,'[1]update kontrak'!E:K,7,FALSE)</f>
        <v>#N/A</v>
      </c>
      <c r="AI1212" s="11"/>
      <c r="AJ1212" s="11" t="str">
        <f>VLOOKUP(L1212,[1]rekap!D:M,1,FALSE)</f>
        <v>Pulau Terung</v>
      </c>
      <c r="AK1212" s="11" t="e">
        <f>VLOOKUP(L1212,'[1]singkron data'!D:E,2,FALSE)</f>
        <v>#N/A</v>
      </c>
      <c r="AL1212" s="11" t="str">
        <f>VLOOKUP(L1212,'[1]update 521'!D:D,1,FALSE)</f>
        <v>Pulau Terung</v>
      </c>
      <c r="AM1212" s="11" t="s">
        <v>96</v>
      </c>
      <c r="AN1212" s="11" t="s">
        <v>1704</v>
      </c>
      <c r="AO1212" s="11" t="s">
        <v>1702</v>
      </c>
      <c r="AP1212" s="12"/>
    </row>
    <row r="1213" spans="1:42" ht="15" x14ac:dyDescent="0.2">
      <c r="A1213" s="8" t="s">
        <v>2709</v>
      </c>
      <c r="B1213" s="9" t="s">
        <v>2783</v>
      </c>
      <c r="C1213" s="9">
        <v>1342</v>
      </c>
      <c r="D1213" s="9" t="s">
        <v>1631</v>
      </c>
      <c r="E1213" s="30"/>
      <c r="F1213" s="9" t="s">
        <v>2801</v>
      </c>
      <c r="G1213" s="9" t="s">
        <v>1633</v>
      </c>
      <c r="H1213" s="9" t="s">
        <v>47</v>
      </c>
      <c r="I1213" s="9" t="s">
        <v>2432</v>
      </c>
      <c r="J1213" s="9" t="s">
        <v>2802</v>
      </c>
      <c r="K1213" s="9" t="s">
        <v>2803</v>
      </c>
      <c r="L1213" s="10" t="s">
        <v>2803</v>
      </c>
      <c r="M1213" s="9" t="s">
        <v>65</v>
      </c>
      <c r="N1213" s="9">
        <v>618</v>
      </c>
      <c r="O1213" s="9">
        <v>45</v>
      </c>
      <c r="P1213" s="9">
        <v>526</v>
      </c>
      <c r="Q1213" s="9">
        <v>571</v>
      </c>
      <c r="R1213" s="9" t="s">
        <v>72</v>
      </c>
      <c r="S1213" s="50">
        <v>0.68726989299999997</v>
      </c>
      <c r="T1213" s="50">
        <v>104.24656280000001</v>
      </c>
      <c r="U1213" s="9"/>
      <c r="V1213" s="20" t="s">
        <v>1704</v>
      </c>
      <c r="W1213" s="11"/>
      <c r="X1213" s="11"/>
      <c r="Y1213" s="11" t="e">
        <f>VLOOKUP(L1213,'[1]singkron data'!D:H,5,FALSE)</f>
        <v>#N/A</v>
      </c>
      <c r="Z1213" s="11" t="e">
        <f>VLOOKUP(L1213,'[1]singkron data'!D:I,6,FALSE)</f>
        <v>#N/A</v>
      </c>
      <c r="AA1213" s="11" t="s">
        <v>1702</v>
      </c>
      <c r="AB1213" s="11" t="s">
        <v>54</v>
      </c>
      <c r="AC1213" s="11" t="s">
        <v>1639</v>
      </c>
      <c r="AD1213" s="11" t="s">
        <v>364</v>
      </c>
      <c r="AE1213" s="11" t="e">
        <f>VLOOKUP(L1213,'[1]singkron data'!D:P,13,FALSE)</f>
        <v>#N/A</v>
      </c>
      <c r="AF1213" s="11" t="s">
        <v>55</v>
      </c>
      <c r="AG1213" s="11" t="e">
        <f>VLOOKUP(L1213,'[1]update kontrak'!E:K,6,FALSE)</f>
        <v>#N/A</v>
      </c>
      <c r="AH1213" s="11" t="e">
        <f>VLOOKUP(L1213,'[1]update kontrak'!E:K,7,FALSE)</f>
        <v>#N/A</v>
      </c>
      <c r="AI1213" s="11"/>
      <c r="AJ1213" s="11" t="str">
        <f>VLOOKUP(L1213,[1]rekap!D:M,1,FALSE)</f>
        <v>Galang Baru</v>
      </c>
      <c r="AK1213" s="11" t="e">
        <f>VLOOKUP(L1213,'[1]singkron data'!D:E,2,FALSE)</f>
        <v>#N/A</v>
      </c>
      <c r="AL1213" s="11" t="str">
        <f>VLOOKUP(L1213,'[1]update 521'!D:D,1,FALSE)</f>
        <v>Galang Baru</v>
      </c>
      <c r="AM1213" s="11" t="s">
        <v>96</v>
      </c>
      <c r="AN1213" s="11" t="s">
        <v>1704</v>
      </c>
      <c r="AO1213" s="11" t="s">
        <v>1702</v>
      </c>
      <c r="AP1213" s="12"/>
    </row>
    <row r="1214" spans="1:42" ht="15" x14ac:dyDescent="0.2">
      <c r="A1214" s="8" t="s">
        <v>2791</v>
      </c>
      <c r="B1214" s="9" t="s">
        <v>2783</v>
      </c>
      <c r="C1214" s="9">
        <v>1344</v>
      </c>
      <c r="D1214" s="9" t="s">
        <v>1631</v>
      </c>
      <c r="E1214" s="30"/>
      <c r="F1214" s="9" t="s">
        <v>1752</v>
      </c>
      <c r="G1214" s="9" t="s">
        <v>1633</v>
      </c>
      <c r="H1214" s="9" t="s">
        <v>47</v>
      </c>
      <c r="I1214" s="9" t="s">
        <v>1753</v>
      </c>
      <c r="J1214" s="9" t="s">
        <v>2804</v>
      </c>
      <c r="K1214" s="9" t="s">
        <v>2805</v>
      </c>
      <c r="L1214" s="37" t="s">
        <v>2805</v>
      </c>
      <c r="M1214" s="9" t="s">
        <v>51</v>
      </c>
      <c r="N1214" s="9">
        <v>53</v>
      </c>
      <c r="O1214" s="9">
        <v>6</v>
      </c>
      <c r="P1214" s="9">
        <v>40</v>
      </c>
      <c r="Q1214" s="9">
        <v>46</v>
      </c>
      <c r="R1214" s="9" t="s">
        <v>72</v>
      </c>
      <c r="S1214" s="50">
        <v>3.2460504000000001</v>
      </c>
      <c r="T1214" s="50">
        <v>106.28145670000001</v>
      </c>
      <c r="U1214" s="9"/>
      <c r="V1214" s="31" t="s">
        <v>1709</v>
      </c>
      <c r="W1214" s="11"/>
      <c r="X1214" s="11"/>
      <c r="Y1214" s="11" t="e">
        <f>VLOOKUP(L1214,'[1]singkron data'!D:H,5,FALSE)</f>
        <v>#N/A</v>
      </c>
      <c r="Z1214" s="11" t="e">
        <f>VLOOKUP(L1214,'[1]singkron data'!D:I,6,FALSE)</f>
        <v>#N/A</v>
      </c>
      <c r="AA1214" s="11" t="s">
        <v>1958</v>
      </c>
      <c r="AB1214" s="11" t="s">
        <v>54</v>
      </c>
      <c r="AC1214" s="31" t="s">
        <v>1959</v>
      </c>
      <c r="AD1214" s="11" t="s">
        <v>364</v>
      </c>
      <c r="AE1214" s="11" t="e">
        <f>VLOOKUP(L1214,'[1]singkron data'!D:P,13,FALSE)</f>
        <v>#N/A</v>
      </c>
      <c r="AF1214" s="11" t="s">
        <v>55</v>
      </c>
      <c r="AG1214" s="11" t="e">
        <f>VLOOKUP(L1214,'[1]update kontrak'!E:K,6,FALSE)</f>
        <v>#N/A</v>
      </c>
      <c r="AH1214" s="11" t="e">
        <f>VLOOKUP(L1214,'[1]update kontrak'!E:K,7,FALSE)</f>
        <v>#N/A</v>
      </c>
      <c r="AI1214" s="11"/>
      <c r="AJ1214" s="11" t="str">
        <f>VLOOKUP(L1214,[1]rekap!D:M,1,FALSE)</f>
        <v>Air Sena</v>
      </c>
      <c r="AK1214" s="11" t="e">
        <f>VLOOKUP(L1214,'[1]singkron data'!D:E,2,FALSE)</f>
        <v>#N/A</v>
      </c>
      <c r="AL1214" s="11" t="str">
        <f>VLOOKUP(L1214,'[1]update 521'!D:D,1,FALSE)</f>
        <v>Air Sena</v>
      </c>
      <c r="AM1214" s="11" t="s">
        <v>96</v>
      </c>
      <c r="AN1214" s="11" t="s">
        <v>1704</v>
      </c>
      <c r="AO1214" s="11" t="s">
        <v>1702</v>
      </c>
      <c r="AP1214" s="12"/>
    </row>
    <row r="1215" spans="1:42" ht="15" x14ac:dyDescent="0.2">
      <c r="A1215" s="8" t="s">
        <v>2791</v>
      </c>
      <c r="B1215" s="9" t="s">
        <v>2783</v>
      </c>
      <c r="C1215" s="9">
        <v>1345</v>
      </c>
      <c r="D1215" s="9" t="s">
        <v>1631</v>
      </c>
      <c r="E1215" s="30"/>
      <c r="F1215" s="9" t="s">
        <v>1752</v>
      </c>
      <c r="G1215" s="9" t="s">
        <v>1633</v>
      </c>
      <c r="H1215" s="9" t="s">
        <v>47</v>
      </c>
      <c r="I1215" s="9" t="s">
        <v>1753</v>
      </c>
      <c r="J1215" s="9" t="s">
        <v>2804</v>
      </c>
      <c r="K1215" s="9" t="s">
        <v>2806</v>
      </c>
      <c r="L1215" s="37" t="s">
        <v>2806</v>
      </c>
      <c r="M1215" s="9" t="s">
        <v>51</v>
      </c>
      <c r="N1215" s="9">
        <v>47</v>
      </c>
      <c r="O1215" s="9">
        <v>2</v>
      </c>
      <c r="P1215" s="9">
        <v>38</v>
      </c>
      <c r="Q1215" s="9">
        <v>40</v>
      </c>
      <c r="R1215" s="9" t="s">
        <v>72</v>
      </c>
      <c r="S1215" s="50">
        <v>3.2465601999999998</v>
      </c>
      <c r="T1215" s="50">
        <v>106.2937313</v>
      </c>
      <c r="U1215" s="9"/>
      <c r="V1215" s="31" t="s">
        <v>1709</v>
      </c>
      <c r="W1215" s="11"/>
      <c r="X1215" s="11"/>
      <c r="Y1215" s="11" t="e">
        <f>VLOOKUP(L1215,'[1]singkron data'!D:H,5,FALSE)</f>
        <v>#N/A</v>
      </c>
      <c r="Z1215" s="11" t="e">
        <f>VLOOKUP(L1215,'[1]singkron data'!D:I,6,FALSE)</f>
        <v>#N/A</v>
      </c>
      <c r="AA1215" s="11" t="s">
        <v>1958</v>
      </c>
      <c r="AB1215" s="11" t="s">
        <v>54</v>
      </c>
      <c r="AC1215" s="31" t="s">
        <v>1959</v>
      </c>
      <c r="AD1215" s="11" t="s">
        <v>364</v>
      </c>
      <c r="AE1215" s="11" t="e">
        <f>VLOOKUP(L1215,'[1]singkron data'!D:P,13,FALSE)</f>
        <v>#N/A</v>
      </c>
      <c r="AF1215" s="11" t="s">
        <v>55</v>
      </c>
      <c r="AG1215" s="11" t="e">
        <f>VLOOKUP(L1215,'[1]update kontrak'!E:K,6,FALSE)</f>
        <v>#N/A</v>
      </c>
      <c r="AH1215" s="11" t="e">
        <f>VLOOKUP(L1215,'[1]update kontrak'!E:K,7,FALSE)</f>
        <v>#N/A</v>
      </c>
      <c r="AI1215" s="11"/>
      <c r="AJ1215" s="11" t="str">
        <f>VLOOKUP(L1215,[1]rekap!D:M,1,FALSE)</f>
        <v>Air Asuk</v>
      </c>
      <c r="AK1215" s="11" t="e">
        <f>VLOOKUP(L1215,'[1]singkron data'!D:E,2,FALSE)</f>
        <v>#N/A</v>
      </c>
      <c r="AL1215" s="11" t="str">
        <f>VLOOKUP(L1215,'[1]update 521'!D:D,1,FALSE)</f>
        <v>Air Asuk</v>
      </c>
      <c r="AM1215" s="11" t="s">
        <v>96</v>
      </c>
      <c r="AN1215" s="11" t="s">
        <v>1704</v>
      </c>
      <c r="AO1215" s="11" t="s">
        <v>1702</v>
      </c>
      <c r="AP1215" s="12"/>
    </row>
    <row r="1216" spans="1:42" ht="15" x14ac:dyDescent="0.2">
      <c r="A1216" s="8" t="s">
        <v>2791</v>
      </c>
      <c r="B1216" s="9" t="s">
        <v>2783</v>
      </c>
      <c r="C1216" s="9">
        <v>1347</v>
      </c>
      <c r="D1216" s="9" t="s">
        <v>1631</v>
      </c>
      <c r="E1216" s="30"/>
      <c r="F1216" s="9" t="s">
        <v>1752</v>
      </c>
      <c r="G1216" s="9" t="s">
        <v>1633</v>
      </c>
      <c r="H1216" s="9" t="s">
        <v>47</v>
      </c>
      <c r="I1216" s="9" t="s">
        <v>1753</v>
      </c>
      <c r="J1216" s="9" t="s">
        <v>1760</v>
      </c>
      <c r="K1216" s="9" t="s">
        <v>2807</v>
      </c>
      <c r="L1216" s="37" t="s">
        <v>2807</v>
      </c>
      <c r="M1216" s="9" t="s">
        <v>51</v>
      </c>
      <c r="N1216" s="9">
        <v>39</v>
      </c>
      <c r="O1216" s="9">
        <v>3</v>
      </c>
      <c r="P1216" s="9">
        <v>36</v>
      </c>
      <c r="Q1216" s="9">
        <v>39</v>
      </c>
      <c r="R1216" s="9" t="s">
        <v>72</v>
      </c>
      <c r="S1216" s="50">
        <v>3.0861082</v>
      </c>
      <c r="T1216" s="50">
        <v>105.9545837</v>
      </c>
      <c r="U1216" s="9"/>
      <c r="V1216" s="31" t="s">
        <v>1709</v>
      </c>
      <c r="W1216" s="11"/>
      <c r="X1216" s="11"/>
      <c r="Y1216" s="11" t="e">
        <f>VLOOKUP(L1216,'[1]singkron data'!D:H,5,FALSE)</f>
        <v>#N/A</v>
      </c>
      <c r="Z1216" s="11" t="e">
        <f>VLOOKUP(L1216,'[1]singkron data'!D:I,6,FALSE)</f>
        <v>#N/A</v>
      </c>
      <c r="AA1216" s="11" t="s">
        <v>1958</v>
      </c>
      <c r="AB1216" s="11" t="s">
        <v>54</v>
      </c>
      <c r="AC1216" s="31" t="s">
        <v>1959</v>
      </c>
      <c r="AD1216" s="11" t="s">
        <v>364</v>
      </c>
      <c r="AE1216" s="11" t="e">
        <f>VLOOKUP(L1216,'[1]singkron data'!D:P,13,FALSE)</f>
        <v>#N/A</v>
      </c>
      <c r="AF1216" s="11" t="s">
        <v>55</v>
      </c>
      <c r="AG1216" s="11" t="e">
        <f>VLOOKUP(L1216,'[1]update kontrak'!E:K,6,FALSE)</f>
        <v>#N/A</v>
      </c>
      <c r="AH1216" s="11" t="e">
        <f>VLOOKUP(L1216,'[1]update kontrak'!E:K,7,FALSE)</f>
        <v>#N/A</v>
      </c>
      <c r="AI1216" s="11"/>
      <c r="AJ1216" s="11" t="str">
        <f>VLOOKUP(L1216,[1]rekap!D:M,1,FALSE)</f>
        <v>Telaga Kecil</v>
      </c>
      <c r="AK1216" s="11" t="e">
        <f>VLOOKUP(L1216,'[1]singkron data'!D:E,2,FALSE)</f>
        <v>#N/A</v>
      </c>
      <c r="AL1216" s="11" t="str">
        <f>VLOOKUP(L1216,'[1]update 521'!D:D,1,FALSE)</f>
        <v>Telaga Kecil</v>
      </c>
      <c r="AM1216" s="11" t="s">
        <v>96</v>
      </c>
      <c r="AN1216" s="11" t="s">
        <v>1704</v>
      </c>
      <c r="AO1216" s="11" t="s">
        <v>1702</v>
      </c>
      <c r="AP1216" s="12"/>
    </row>
    <row r="1217" spans="1:42" ht="15" x14ac:dyDescent="0.2">
      <c r="A1217" s="8" t="s">
        <v>2791</v>
      </c>
      <c r="B1217" s="9" t="s">
        <v>2783</v>
      </c>
      <c r="C1217" s="9">
        <v>1350</v>
      </c>
      <c r="D1217" s="9" t="s">
        <v>1631</v>
      </c>
      <c r="E1217" s="30"/>
      <c r="F1217" s="9" t="s">
        <v>2056</v>
      </c>
      <c r="G1217" s="9" t="s">
        <v>1633</v>
      </c>
      <c r="H1217" s="9" t="s">
        <v>47</v>
      </c>
      <c r="I1217" s="9" t="s">
        <v>1673</v>
      </c>
      <c r="J1217" s="9" t="s">
        <v>2057</v>
      </c>
      <c r="K1217" s="9" t="s">
        <v>2509</v>
      </c>
      <c r="L1217" s="37" t="s">
        <v>2509</v>
      </c>
      <c r="M1217" s="9" t="s">
        <v>51</v>
      </c>
      <c r="N1217" s="9">
        <v>73</v>
      </c>
      <c r="O1217" s="9">
        <v>8</v>
      </c>
      <c r="P1217" s="9">
        <v>19</v>
      </c>
      <c r="Q1217" s="9">
        <v>27</v>
      </c>
      <c r="R1217" s="9" t="s">
        <v>72</v>
      </c>
      <c r="S1217" s="50">
        <v>0.1185681</v>
      </c>
      <c r="T1217" s="50">
        <v>104.38782930000001</v>
      </c>
      <c r="U1217" s="9"/>
      <c r="V1217" s="31" t="s">
        <v>1709</v>
      </c>
      <c r="W1217" s="11"/>
      <c r="X1217" s="11"/>
      <c r="Y1217" s="11" t="str">
        <f>VLOOKUP(L1217,'[1]singkron data'!D:H,5,FALSE)</f>
        <v>Kupang</v>
      </c>
      <c r="Z1217" s="11" t="str">
        <f>VLOOKUP(L1217,'[1]singkron data'!D:I,6,FALSE)</f>
        <v>Online</v>
      </c>
      <c r="AA1217" s="11" t="s">
        <v>1958</v>
      </c>
      <c r="AB1217" s="11" t="s">
        <v>54</v>
      </c>
      <c r="AC1217" s="31" t="s">
        <v>1959</v>
      </c>
      <c r="AD1217" s="11" t="str">
        <f>VLOOKUP(L1217,'[1]data 1129'!F:O,10,FALSE)</f>
        <v>Tahap IV 200</v>
      </c>
      <c r="AE1217" s="11">
        <f>VLOOKUP(L1217,'[1]singkron data'!D:P,13,FALSE)</f>
        <v>0</v>
      </c>
      <c r="AF1217" s="11" t="s">
        <v>55</v>
      </c>
      <c r="AG1217" s="11" t="e">
        <f>VLOOKUP(L1217,'[1]update kontrak'!E:K,6,FALSE)</f>
        <v>#N/A</v>
      </c>
      <c r="AH1217" s="11" t="e">
        <f>VLOOKUP(L1217,'[1]update kontrak'!E:K,7,FALSE)</f>
        <v>#N/A</v>
      </c>
      <c r="AI1217" s="11"/>
      <c r="AJ1217" s="11" t="str">
        <f>VLOOKUP(L1217,[1]rekap!D:M,1,FALSE)</f>
        <v>Pasir Panjang</v>
      </c>
      <c r="AK1217" s="11" t="str">
        <f>VLOOKUP(L1217,'[1]singkron data'!D:E,2,FALSE)</f>
        <v>PT. Arkana Timor Raya</v>
      </c>
      <c r="AL1217" s="11" t="str">
        <f>VLOOKUP(L1217,'[1]update 521'!D:D,1,FALSE)</f>
        <v>Pasir Panjang</v>
      </c>
      <c r="AM1217" s="11" t="s">
        <v>96</v>
      </c>
      <c r="AN1217" s="11" t="s">
        <v>1704</v>
      </c>
      <c r="AO1217" s="11"/>
      <c r="AP1217" s="12"/>
    </row>
    <row r="1218" spans="1:42" ht="15" x14ac:dyDescent="0.2">
      <c r="A1218" s="8" t="s">
        <v>2791</v>
      </c>
      <c r="B1218" s="9" t="s">
        <v>2783</v>
      </c>
      <c r="C1218" s="9">
        <v>1351</v>
      </c>
      <c r="D1218" s="9" t="s">
        <v>1631</v>
      </c>
      <c r="E1218" s="30"/>
      <c r="F1218" s="9" t="s">
        <v>1849</v>
      </c>
      <c r="G1218" s="9" t="s">
        <v>1633</v>
      </c>
      <c r="H1218" s="9" t="s">
        <v>47</v>
      </c>
      <c r="I1218" s="9" t="s">
        <v>1673</v>
      </c>
      <c r="J1218" s="9" t="s">
        <v>1850</v>
      </c>
      <c r="K1218" s="9" t="s">
        <v>2808</v>
      </c>
      <c r="L1218" s="10" t="s">
        <v>2808</v>
      </c>
      <c r="M1218" s="9" t="s">
        <v>51</v>
      </c>
      <c r="N1218" s="9">
        <v>18</v>
      </c>
      <c r="O1218" s="9">
        <v>5</v>
      </c>
      <c r="P1218" s="9">
        <v>5</v>
      </c>
      <c r="Q1218" s="9">
        <v>10</v>
      </c>
      <c r="R1218" s="9" t="s">
        <v>72</v>
      </c>
      <c r="S1218" s="50">
        <v>0.44675090000000001</v>
      </c>
      <c r="T1218" s="50">
        <v>104.4284621</v>
      </c>
      <c r="U1218" s="9"/>
      <c r="V1218" s="31" t="s">
        <v>1709</v>
      </c>
      <c r="W1218" s="11"/>
      <c r="X1218" s="11"/>
      <c r="Y1218" s="11" t="e">
        <f>VLOOKUP(L1218,'[1]singkron data'!D:H,5,FALSE)</f>
        <v>#N/A</v>
      </c>
      <c r="Z1218" s="11" t="e">
        <f>VLOOKUP(L1218,'[1]singkron data'!D:I,6,FALSE)</f>
        <v>#N/A</v>
      </c>
      <c r="AA1218" s="11" t="s">
        <v>1958</v>
      </c>
      <c r="AB1218" s="11" t="s">
        <v>54</v>
      </c>
      <c r="AC1218" s="31" t="s">
        <v>1175</v>
      </c>
      <c r="AD1218" s="11" t="s">
        <v>364</v>
      </c>
      <c r="AE1218" s="11" t="e">
        <f>VLOOKUP(L1218,'[1]singkron data'!D:P,13,FALSE)</f>
        <v>#N/A</v>
      </c>
      <c r="AF1218" s="11" t="s">
        <v>55</v>
      </c>
      <c r="AG1218" s="11" t="e">
        <f>VLOOKUP(L1218,'[1]update kontrak'!E:K,6,FALSE)</f>
        <v>#N/A</v>
      </c>
      <c r="AH1218" s="11" t="e">
        <f>VLOOKUP(L1218,'[1]update kontrak'!E:K,7,FALSE)</f>
        <v>#N/A</v>
      </c>
      <c r="AI1218" s="11"/>
      <c r="AJ1218" s="11" t="str">
        <f>VLOOKUP(L1218,[1]rekap!D:M,1,FALSE)</f>
        <v>Pulau Bukit</v>
      </c>
      <c r="AK1218" s="11" t="e">
        <f>VLOOKUP(L1218,'[1]singkron data'!D:E,2,FALSE)</f>
        <v>#N/A</v>
      </c>
      <c r="AL1218" s="11" t="str">
        <f>VLOOKUP(L1218,'[1]update 521'!D:D,1,FALSE)</f>
        <v>Pulau Bukit</v>
      </c>
      <c r="AM1218" s="11" t="s">
        <v>96</v>
      </c>
      <c r="AN1218" s="11" t="s">
        <v>1704</v>
      </c>
      <c r="AO1218" s="11"/>
      <c r="AP1218" s="12"/>
    </row>
    <row r="1219" spans="1:42" ht="15" x14ac:dyDescent="0.2">
      <c r="A1219" s="8" t="s">
        <v>2791</v>
      </c>
      <c r="B1219" s="9" t="s">
        <v>2783</v>
      </c>
      <c r="C1219" s="9">
        <v>1352</v>
      </c>
      <c r="D1219" s="9" t="s">
        <v>1631</v>
      </c>
      <c r="E1219" s="30"/>
      <c r="F1219" s="9" t="s">
        <v>1752</v>
      </c>
      <c r="G1219" s="9" t="s">
        <v>1633</v>
      </c>
      <c r="H1219" s="9" t="s">
        <v>47</v>
      </c>
      <c r="I1219" s="9" t="s">
        <v>1753</v>
      </c>
      <c r="J1219" s="9" t="s">
        <v>2809</v>
      </c>
      <c r="K1219" s="9" t="s">
        <v>2810</v>
      </c>
      <c r="L1219" s="37" t="s">
        <v>2810</v>
      </c>
      <c r="M1219" s="9" t="s">
        <v>51</v>
      </c>
      <c r="N1219" s="9">
        <v>23</v>
      </c>
      <c r="O1219" s="9" t="s">
        <v>72</v>
      </c>
      <c r="P1219" s="9">
        <v>5</v>
      </c>
      <c r="Q1219" s="9">
        <v>5</v>
      </c>
      <c r="R1219" s="9" t="s">
        <v>72</v>
      </c>
      <c r="S1219" s="50">
        <v>3.0950023999999998</v>
      </c>
      <c r="T1219" s="50">
        <v>105.6525097</v>
      </c>
      <c r="U1219" s="9"/>
      <c r="V1219" s="31" t="s">
        <v>1709</v>
      </c>
      <c r="W1219" s="11"/>
      <c r="X1219" s="11"/>
      <c r="Y1219" s="11" t="e">
        <f>VLOOKUP(L1219,'[1]singkron data'!D:H,5,FALSE)</f>
        <v>#N/A</v>
      </c>
      <c r="Z1219" s="11" t="e">
        <f>VLOOKUP(L1219,'[1]singkron data'!D:I,6,FALSE)</f>
        <v>#N/A</v>
      </c>
      <c r="AA1219" s="11" t="s">
        <v>1958</v>
      </c>
      <c r="AB1219" s="11" t="s">
        <v>54</v>
      </c>
      <c r="AC1219" s="31" t="s">
        <v>1959</v>
      </c>
      <c r="AD1219" s="11" t="s">
        <v>364</v>
      </c>
      <c r="AE1219" s="11" t="e">
        <f>VLOOKUP(L1219,'[1]singkron data'!D:P,13,FALSE)</f>
        <v>#N/A</v>
      </c>
      <c r="AF1219" s="11" t="s">
        <v>55</v>
      </c>
      <c r="AG1219" s="11" t="e">
        <f>VLOOKUP(L1219,'[1]update kontrak'!E:K,6,FALSE)</f>
        <v>#N/A</v>
      </c>
      <c r="AH1219" s="11" t="e">
        <f>VLOOKUP(L1219,'[1]update kontrak'!E:K,7,FALSE)</f>
        <v>#N/A</v>
      </c>
      <c r="AI1219" s="11"/>
      <c r="AJ1219" s="11" t="str">
        <f>VLOOKUP(L1219,[1]rekap!D:M,1,FALSE)</f>
        <v>Keramut</v>
      </c>
      <c r="AK1219" s="11" t="e">
        <f>VLOOKUP(L1219,'[1]singkron data'!D:E,2,FALSE)</f>
        <v>#N/A</v>
      </c>
      <c r="AL1219" s="11" t="str">
        <f>VLOOKUP(L1219,'[1]update 521'!D:D,1,FALSE)</f>
        <v>Keramut</v>
      </c>
      <c r="AM1219" s="11" t="s">
        <v>96</v>
      </c>
      <c r="AN1219" s="11" t="s">
        <v>1704</v>
      </c>
      <c r="AO1219" s="11" t="s">
        <v>1702</v>
      </c>
      <c r="AP1219" s="12"/>
    </row>
    <row r="1220" spans="1:42" ht="15" x14ac:dyDescent="0.2">
      <c r="A1220" s="8" t="s">
        <v>2791</v>
      </c>
      <c r="B1220" s="9" t="s">
        <v>2783</v>
      </c>
      <c r="C1220" s="9">
        <v>1353</v>
      </c>
      <c r="D1220" s="9" t="s">
        <v>1631</v>
      </c>
      <c r="E1220" s="30"/>
      <c r="F1220" s="9" t="s">
        <v>1849</v>
      </c>
      <c r="G1220" s="9" t="s">
        <v>1633</v>
      </c>
      <c r="H1220" s="9" t="s">
        <v>47</v>
      </c>
      <c r="I1220" s="9" t="s">
        <v>1673</v>
      </c>
      <c r="J1220" s="9" t="s">
        <v>2057</v>
      </c>
      <c r="K1220" s="9" t="s">
        <v>1223</v>
      </c>
      <c r="L1220" s="10" t="s">
        <v>1223</v>
      </c>
      <c r="M1220" s="9" t="s">
        <v>51</v>
      </c>
      <c r="N1220" s="9">
        <v>39</v>
      </c>
      <c r="O1220" s="9" t="s">
        <v>72</v>
      </c>
      <c r="P1220" s="9">
        <v>1</v>
      </c>
      <c r="Q1220" s="9">
        <v>1</v>
      </c>
      <c r="R1220" s="9" t="s">
        <v>72</v>
      </c>
      <c r="S1220" s="50">
        <v>0.13129179999999999</v>
      </c>
      <c r="T1220" s="50">
        <v>104.3358939</v>
      </c>
      <c r="U1220" s="9"/>
      <c r="V1220" s="31" t="s">
        <v>1709</v>
      </c>
      <c r="W1220" s="11"/>
      <c r="X1220" s="11"/>
      <c r="Y1220" s="11" t="e">
        <f>VLOOKUP(L1220,'[1]singkron data'!D:H,5,FALSE)</f>
        <v>#N/A</v>
      </c>
      <c r="Z1220" s="11" t="e">
        <f>VLOOKUP(L1220,'[1]singkron data'!D:I,6,FALSE)</f>
        <v>#N/A</v>
      </c>
      <c r="AA1220" s="11" t="s">
        <v>1958</v>
      </c>
      <c r="AB1220" s="11" t="s">
        <v>54</v>
      </c>
      <c r="AC1220" s="31" t="s">
        <v>1175</v>
      </c>
      <c r="AD1220" s="11" t="s">
        <v>364</v>
      </c>
      <c r="AE1220" s="11" t="e">
        <f>VLOOKUP(L1220,'[1]singkron data'!D:P,13,FALSE)</f>
        <v>#N/A</v>
      </c>
      <c r="AF1220" s="11" t="s">
        <v>55</v>
      </c>
      <c r="AG1220" s="11" t="e">
        <f>VLOOKUP(L1220,'[1]update kontrak'!E:K,6,FALSE)</f>
        <v>#N/A</v>
      </c>
      <c r="AH1220" s="11" t="e">
        <f>VLOOKUP(L1220,'[1]update kontrak'!E:K,7,FALSE)</f>
        <v>#N/A</v>
      </c>
      <c r="AI1220" s="11"/>
      <c r="AJ1220" s="11" t="str">
        <f>VLOOKUP(L1220,[1]rekap!D:M,1,FALSE)</f>
        <v>Cempa</v>
      </c>
      <c r="AK1220" s="11" t="e">
        <f>VLOOKUP(L1220,'[1]singkron data'!D:E,2,FALSE)</f>
        <v>#N/A</v>
      </c>
      <c r="AL1220" s="11" t="str">
        <f>VLOOKUP(L1220,'[1]update 521'!D:D,1,FALSE)</f>
        <v>Cempa</v>
      </c>
      <c r="AM1220" s="11" t="s">
        <v>96</v>
      </c>
      <c r="AN1220" s="11" t="s">
        <v>1704</v>
      </c>
      <c r="AO1220" s="11"/>
      <c r="AP1220" s="12"/>
    </row>
    <row r="1221" spans="1:42" ht="15" x14ac:dyDescent="0.2">
      <c r="A1221" s="8" t="s">
        <v>2791</v>
      </c>
      <c r="B1221" s="9" t="s">
        <v>2783</v>
      </c>
      <c r="C1221" s="9">
        <v>1354</v>
      </c>
      <c r="D1221" s="9" t="s">
        <v>1631</v>
      </c>
      <c r="E1221" s="30"/>
      <c r="F1221" s="9" t="s">
        <v>1849</v>
      </c>
      <c r="G1221" s="9" t="s">
        <v>1633</v>
      </c>
      <c r="H1221" s="9" t="s">
        <v>47</v>
      </c>
      <c r="I1221" s="9" t="s">
        <v>1673</v>
      </c>
      <c r="J1221" s="9" t="s">
        <v>1850</v>
      </c>
      <c r="K1221" s="9" t="s">
        <v>2811</v>
      </c>
      <c r="L1221" s="10" t="s">
        <v>2811</v>
      </c>
      <c r="M1221" s="9" t="s">
        <v>51</v>
      </c>
      <c r="N1221" s="9">
        <v>2</v>
      </c>
      <c r="O1221" s="9" t="s">
        <v>72</v>
      </c>
      <c r="P1221" s="9">
        <v>1</v>
      </c>
      <c r="Q1221" s="9">
        <v>1</v>
      </c>
      <c r="R1221" s="9" t="s">
        <v>72</v>
      </c>
      <c r="S1221" s="50">
        <v>0.36071360000000002</v>
      </c>
      <c r="T1221" s="50">
        <v>104.4725902</v>
      </c>
      <c r="U1221" s="9"/>
      <c r="V1221" s="31" t="s">
        <v>1709</v>
      </c>
      <c r="W1221" s="11"/>
      <c r="X1221" s="11"/>
      <c r="Y1221" s="11" t="e">
        <f>VLOOKUP(L1221,'[1]singkron data'!D:H,5,FALSE)</f>
        <v>#N/A</v>
      </c>
      <c r="Z1221" s="11" t="e">
        <f>VLOOKUP(L1221,'[1]singkron data'!D:I,6,FALSE)</f>
        <v>#N/A</v>
      </c>
      <c r="AA1221" s="11" t="s">
        <v>1958</v>
      </c>
      <c r="AB1221" s="11" t="s">
        <v>54</v>
      </c>
      <c r="AC1221" s="31" t="s">
        <v>1175</v>
      </c>
      <c r="AD1221" s="11" t="s">
        <v>364</v>
      </c>
      <c r="AE1221" s="11" t="e">
        <f>VLOOKUP(L1221,'[1]singkron data'!D:P,13,FALSE)</f>
        <v>#N/A</v>
      </c>
      <c r="AF1221" s="11" t="s">
        <v>55</v>
      </c>
      <c r="AG1221" s="11" t="e">
        <f>VLOOKUP(L1221,'[1]update kontrak'!E:K,6,FALSE)</f>
        <v>#N/A</v>
      </c>
      <c r="AH1221" s="11" t="e">
        <f>VLOOKUP(L1221,'[1]update kontrak'!E:K,7,FALSE)</f>
        <v>#N/A</v>
      </c>
      <c r="AI1221" s="11"/>
      <c r="AJ1221" s="11" t="str">
        <f>VLOOKUP(L1221,[1]rekap!D:M,1,FALSE)</f>
        <v>Pulau Duyung</v>
      </c>
      <c r="AK1221" s="11" t="e">
        <f>VLOOKUP(L1221,'[1]singkron data'!D:E,2,FALSE)</f>
        <v>#N/A</v>
      </c>
      <c r="AL1221" s="11" t="str">
        <f>VLOOKUP(L1221,'[1]update 521'!D:D,1,FALSE)</f>
        <v>Pulau Duyung</v>
      </c>
      <c r="AM1221" s="11" t="s">
        <v>96</v>
      </c>
      <c r="AN1221" s="11" t="s">
        <v>1704</v>
      </c>
      <c r="AO1221" s="11"/>
      <c r="AP1221" s="12"/>
    </row>
    <row r="1222" spans="1:42" ht="15" x14ac:dyDescent="0.2">
      <c r="A1222" s="8" t="s">
        <v>2709</v>
      </c>
      <c r="B1222" s="9" t="s">
        <v>2783</v>
      </c>
      <c r="C1222" s="9">
        <v>1355</v>
      </c>
      <c r="D1222" s="9" t="s">
        <v>1631</v>
      </c>
      <c r="E1222" s="30"/>
      <c r="F1222" s="9" t="s">
        <v>2145</v>
      </c>
      <c r="G1222" s="9" t="s">
        <v>1633</v>
      </c>
      <c r="H1222" s="9" t="s">
        <v>47</v>
      </c>
      <c r="I1222" s="9" t="s">
        <v>2435</v>
      </c>
      <c r="J1222" s="9" t="s">
        <v>2436</v>
      </c>
      <c r="K1222" s="9" t="s">
        <v>2812</v>
      </c>
      <c r="L1222" s="10" t="s">
        <v>2812</v>
      </c>
      <c r="M1222" s="9" t="s">
        <v>51</v>
      </c>
      <c r="N1222" s="9">
        <v>254</v>
      </c>
      <c r="O1222" s="9">
        <v>21</v>
      </c>
      <c r="P1222" s="9">
        <v>178</v>
      </c>
      <c r="Q1222" s="9">
        <v>199</v>
      </c>
      <c r="R1222" s="9">
        <v>1</v>
      </c>
      <c r="S1222" s="9">
        <v>1.1033299000000001</v>
      </c>
      <c r="T1222" s="9">
        <v>103.3734834</v>
      </c>
      <c r="U1222" s="9"/>
      <c r="V1222" s="20" t="s">
        <v>1704</v>
      </c>
      <c r="W1222" s="11"/>
      <c r="X1222" s="11"/>
      <c r="Y1222" s="11" t="e">
        <f>VLOOKUP(L1222,'[1]singkron data'!D:H,5,FALSE)</f>
        <v>#N/A</v>
      </c>
      <c r="Z1222" s="11" t="e">
        <f>VLOOKUP(L1222,'[1]singkron data'!D:I,6,FALSE)</f>
        <v>#N/A</v>
      </c>
      <c r="AA1222" s="11" t="s">
        <v>1702</v>
      </c>
      <c r="AB1222" s="11" t="s">
        <v>54</v>
      </c>
      <c r="AC1222" s="11" t="s">
        <v>1639</v>
      </c>
      <c r="AD1222" s="11" t="s">
        <v>364</v>
      </c>
      <c r="AE1222" s="11" t="e">
        <f>VLOOKUP(L1222,'[1]singkron data'!D:P,13,FALSE)</f>
        <v>#N/A</v>
      </c>
      <c r="AF1222" s="11" t="s">
        <v>55</v>
      </c>
      <c r="AG1222" s="11" t="e">
        <f>VLOOKUP(L1222,'[1]update kontrak'!E:K,6,FALSE)</f>
        <v>#N/A</v>
      </c>
      <c r="AH1222" s="11" t="e">
        <f>VLOOKUP(L1222,'[1]update kontrak'!E:K,7,FALSE)</f>
        <v>#N/A</v>
      </c>
      <c r="AI1222" s="11"/>
      <c r="AJ1222" s="11" t="str">
        <f>VLOOKUP(L1222,[1]rekap!D:M,1,FALSE)</f>
        <v>Pongkar</v>
      </c>
      <c r="AK1222" s="11" t="e">
        <f>VLOOKUP(L1222,'[1]singkron data'!D:E,2,FALSE)</f>
        <v>#N/A</v>
      </c>
      <c r="AL1222" s="11" t="str">
        <f>VLOOKUP(L1222,'[1]update 521'!D:D,1,FALSE)</f>
        <v>Pongkar</v>
      </c>
      <c r="AM1222" s="11" t="s">
        <v>96</v>
      </c>
      <c r="AN1222" s="11" t="s">
        <v>2684</v>
      </c>
      <c r="AO1222" s="11" t="s">
        <v>2685</v>
      </c>
      <c r="AP1222" s="12"/>
    </row>
    <row r="1223" spans="1:42" ht="15" x14ac:dyDescent="0.2">
      <c r="A1223" s="8" t="s">
        <v>2709</v>
      </c>
      <c r="B1223" s="9" t="s">
        <v>60</v>
      </c>
      <c r="C1223" s="9">
        <v>1326</v>
      </c>
      <c r="D1223" s="9" t="s">
        <v>1631</v>
      </c>
      <c r="E1223" s="30"/>
      <c r="F1223" s="9" t="s">
        <v>1998</v>
      </c>
      <c r="G1223" s="9" t="s">
        <v>1882</v>
      </c>
      <c r="H1223" s="9" t="s">
        <v>47</v>
      </c>
      <c r="I1223" s="9" t="s">
        <v>1999</v>
      </c>
      <c r="J1223" s="9" t="s">
        <v>2004</v>
      </c>
      <c r="K1223" s="9" t="s">
        <v>2813</v>
      </c>
      <c r="L1223" s="10" t="s">
        <v>2813</v>
      </c>
      <c r="M1223" s="9" t="s">
        <v>51</v>
      </c>
      <c r="N1223" s="9">
        <v>390</v>
      </c>
      <c r="O1223" s="9">
        <v>115</v>
      </c>
      <c r="P1223" s="9">
        <v>270</v>
      </c>
      <c r="Q1223" s="9">
        <v>385</v>
      </c>
      <c r="R1223" s="9">
        <v>0.5</v>
      </c>
      <c r="S1223" s="50">
        <v>-1.0947999999999999E-2</v>
      </c>
      <c r="T1223" s="50">
        <v>103.62535200000001</v>
      </c>
      <c r="U1223" s="9"/>
      <c r="V1223" s="11" t="s">
        <v>2162</v>
      </c>
      <c r="W1223" s="13">
        <f>VLOOKUP(L1223,'[1]update tim 2'!D:F,3,FALSE)</f>
        <v>3153132000</v>
      </c>
      <c r="X1223" s="11" t="s">
        <v>55</v>
      </c>
      <c r="Y1223" s="11" t="e">
        <f>VLOOKUP(L1223,'[1]singkron data'!D:H,5,FALSE)</f>
        <v>#N/A</v>
      </c>
      <c r="Z1223" s="11" t="e">
        <f>VLOOKUP(L1223,'[1]singkron data'!D:I,6,FALSE)</f>
        <v>#N/A</v>
      </c>
      <c r="AA1223" s="11" t="s">
        <v>2163</v>
      </c>
      <c r="AB1223" s="11" t="s">
        <v>54</v>
      </c>
      <c r="AC1223" s="11" t="s">
        <v>2164</v>
      </c>
      <c r="AD1223" s="11" t="s">
        <v>364</v>
      </c>
      <c r="AE1223" s="11" t="e">
        <f>VLOOKUP(L1223,'[1]singkron data'!D:P,13,FALSE)</f>
        <v>#N/A</v>
      </c>
      <c r="AF1223" s="11" t="s">
        <v>55</v>
      </c>
      <c r="AG1223" s="11" t="e">
        <f>VLOOKUP(L1223,'[1]update kontrak'!E:K,6,FALSE)</f>
        <v>#N/A</v>
      </c>
      <c r="AH1223" s="11" t="e">
        <f>VLOOKUP(L1223,'[1]update kontrak'!E:K,7,FALSE)</f>
        <v>#N/A</v>
      </c>
      <c r="AI1223" s="11"/>
      <c r="AJ1223" s="11" t="str">
        <f>VLOOKUP(L1223,[1]rekap!D:M,1,FALSE)</f>
        <v>Belaras</v>
      </c>
      <c r="AK1223" s="11" t="e">
        <f>VLOOKUP(L1223,'[1]singkron data'!D:E,2,FALSE)</f>
        <v>#N/A</v>
      </c>
      <c r="AL1223" s="11" t="str">
        <f>VLOOKUP(L1223,'[1]update 521'!D:D,1,FALSE)</f>
        <v>Belaras</v>
      </c>
      <c r="AM1223" s="11" t="s">
        <v>57</v>
      </c>
      <c r="AN1223" s="11" t="e">
        <f>VLOOKUP(L1223,[1]Sheet19!E:L,8,FALSE)</f>
        <v>#N/A</v>
      </c>
      <c r="AO1223" s="11" t="s">
        <v>58</v>
      </c>
      <c r="AP1223" s="12"/>
    </row>
    <row r="1224" spans="1:42" ht="15" x14ac:dyDescent="0.2">
      <c r="A1224" s="8" t="s">
        <v>2709</v>
      </c>
      <c r="B1224" s="9" t="s">
        <v>2783</v>
      </c>
      <c r="C1224" s="9">
        <v>1356</v>
      </c>
      <c r="D1224" s="9" t="s">
        <v>1631</v>
      </c>
      <c r="E1224" s="30"/>
      <c r="F1224" s="9" t="s">
        <v>2145</v>
      </c>
      <c r="G1224" s="9" t="s">
        <v>1633</v>
      </c>
      <c r="H1224" s="9" t="s">
        <v>47</v>
      </c>
      <c r="I1224" s="9" t="s">
        <v>2435</v>
      </c>
      <c r="J1224" s="9" t="s">
        <v>2814</v>
      </c>
      <c r="K1224" s="9" t="s">
        <v>2815</v>
      </c>
      <c r="L1224" s="10" t="s">
        <v>2815</v>
      </c>
      <c r="M1224" s="9" t="s">
        <v>51</v>
      </c>
      <c r="N1224" s="9">
        <v>176</v>
      </c>
      <c r="O1224" s="9">
        <v>3</v>
      </c>
      <c r="P1224" s="9">
        <v>131</v>
      </c>
      <c r="Q1224" s="9">
        <v>134</v>
      </c>
      <c r="R1224" s="9">
        <v>1.04</v>
      </c>
      <c r="S1224" s="9">
        <v>0.868834</v>
      </c>
      <c r="T1224" s="9">
        <v>103.36691399999999</v>
      </c>
      <c r="U1224" s="9"/>
      <c r="V1224" s="20" t="s">
        <v>1704</v>
      </c>
      <c r="W1224" s="11"/>
      <c r="X1224" s="11"/>
      <c r="Y1224" s="11" t="e">
        <f>VLOOKUP(L1224,'[1]singkron data'!D:H,5,FALSE)</f>
        <v>#N/A</v>
      </c>
      <c r="Z1224" s="11" t="e">
        <f>VLOOKUP(L1224,'[1]singkron data'!D:I,6,FALSE)</f>
        <v>#N/A</v>
      </c>
      <c r="AA1224" s="11" t="s">
        <v>1702</v>
      </c>
      <c r="AB1224" s="11" t="s">
        <v>54</v>
      </c>
      <c r="AC1224" s="11" t="s">
        <v>1639</v>
      </c>
      <c r="AD1224" s="11" t="s">
        <v>364</v>
      </c>
      <c r="AE1224" s="11" t="e">
        <f>VLOOKUP(L1224,'[1]singkron data'!D:P,13,FALSE)</f>
        <v>#N/A</v>
      </c>
      <c r="AF1224" s="11" t="s">
        <v>55</v>
      </c>
      <c r="AG1224" s="11" t="e">
        <f>VLOOKUP(L1224,'[1]update kontrak'!E:K,6,FALSE)</f>
        <v>#N/A</v>
      </c>
      <c r="AH1224" s="11" t="e">
        <f>VLOOKUP(L1224,'[1]update kontrak'!E:K,7,FALSE)</f>
        <v>#N/A</v>
      </c>
      <c r="AI1224" s="11"/>
      <c r="AJ1224" s="11" t="str">
        <f>VLOOKUP(L1224,[1]rekap!D:M,1,FALSE)</f>
        <v>Gemuruh</v>
      </c>
      <c r="AK1224" s="11" t="e">
        <f>VLOOKUP(L1224,'[1]singkron data'!D:E,2,FALSE)</f>
        <v>#N/A</v>
      </c>
      <c r="AL1224" s="11" t="str">
        <f>VLOOKUP(L1224,'[1]update 521'!D:D,1,FALSE)</f>
        <v>Gemuruh</v>
      </c>
      <c r="AM1224" s="11" t="s">
        <v>96</v>
      </c>
      <c r="AN1224" s="11" t="s">
        <v>2684</v>
      </c>
      <c r="AO1224" s="11" t="s">
        <v>2685</v>
      </c>
      <c r="AP1224" s="12"/>
    </row>
    <row r="1225" spans="1:42" ht="15" x14ac:dyDescent="0.2">
      <c r="A1225" s="8" t="s">
        <v>2709</v>
      </c>
      <c r="B1225" s="9" t="s">
        <v>2783</v>
      </c>
      <c r="C1225" s="9">
        <v>1357</v>
      </c>
      <c r="D1225" s="9" t="s">
        <v>1631</v>
      </c>
      <c r="E1225" s="30"/>
      <c r="F1225" s="9" t="s">
        <v>2145</v>
      </c>
      <c r="G1225" s="9" t="s">
        <v>1633</v>
      </c>
      <c r="H1225" s="9" t="s">
        <v>47</v>
      </c>
      <c r="I1225" s="9" t="s">
        <v>2435</v>
      </c>
      <c r="J1225" s="9" t="s">
        <v>2444</v>
      </c>
      <c r="K1225" s="9" t="s">
        <v>2816</v>
      </c>
      <c r="L1225" s="10" t="s">
        <v>2816</v>
      </c>
      <c r="M1225" s="9" t="s">
        <v>51</v>
      </c>
      <c r="N1225" s="9">
        <v>158</v>
      </c>
      <c r="O1225" s="9">
        <v>30</v>
      </c>
      <c r="P1225" s="9">
        <v>105</v>
      </c>
      <c r="Q1225" s="9">
        <v>135</v>
      </c>
      <c r="R1225" s="9">
        <v>1.6617</v>
      </c>
      <c r="S1225" s="9">
        <v>0.532945</v>
      </c>
      <c r="T1225" s="9">
        <v>103.585134</v>
      </c>
      <c r="U1225" s="9"/>
      <c r="V1225" s="20" t="s">
        <v>1704</v>
      </c>
      <c r="W1225" s="11"/>
      <c r="X1225" s="11"/>
      <c r="Y1225" s="11" t="e">
        <f>VLOOKUP(L1225,'[1]singkron data'!D:H,5,FALSE)</f>
        <v>#N/A</v>
      </c>
      <c r="Z1225" s="11" t="e">
        <f>VLOOKUP(L1225,'[1]singkron data'!D:I,6,FALSE)</f>
        <v>#N/A</v>
      </c>
      <c r="AA1225" s="11" t="s">
        <v>1702</v>
      </c>
      <c r="AB1225" s="11" t="s">
        <v>54</v>
      </c>
      <c r="AC1225" s="11" t="s">
        <v>1639</v>
      </c>
      <c r="AD1225" s="11" t="s">
        <v>364</v>
      </c>
      <c r="AE1225" s="11" t="e">
        <f>VLOOKUP(L1225,'[1]singkron data'!D:P,13,FALSE)</f>
        <v>#N/A</v>
      </c>
      <c r="AF1225" s="11" t="s">
        <v>55</v>
      </c>
      <c r="AG1225" s="11" t="e">
        <f>VLOOKUP(L1225,'[1]update kontrak'!E:K,6,FALSE)</f>
        <v>#N/A</v>
      </c>
      <c r="AH1225" s="11" t="e">
        <f>VLOOKUP(L1225,'[1]update kontrak'!E:K,7,FALSE)</f>
        <v>#N/A</v>
      </c>
      <c r="AI1225" s="11"/>
      <c r="AJ1225" s="11" t="str">
        <f>VLOOKUP(L1225,[1]rekap!D:M,1,FALSE)</f>
        <v>Tanjung Kilang</v>
      </c>
      <c r="AK1225" s="11" t="e">
        <f>VLOOKUP(L1225,'[1]singkron data'!D:E,2,FALSE)</f>
        <v>#N/A</v>
      </c>
      <c r="AL1225" s="11" t="str">
        <f>VLOOKUP(L1225,'[1]update 521'!D:D,1,FALSE)</f>
        <v>Tanjung Kilang</v>
      </c>
      <c r="AM1225" s="11" t="s">
        <v>96</v>
      </c>
      <c r="AN1225" s="11" t="s">
        <v>2817</v>
      </c>
      <c r="AO1225" s="11" t="s">
        <v>2818</v>
      </c>
      <c r="AP1225" s="12"/>
    </row>
    <row r="1226" spans="1:42" ht="15" x14ac:dyDescent="0.2">
      <c r="A1226" s="8" t="s">
        <v>2709</v>
      </c>
      <c r="B1226" s="9" t="s">
        <v>2783</v>
      </c>
      <c r="C1226" s="9">
        <v>1358</v>
      </c>
      <c r="D1226" s="9" t="s">
        <v>1631</v>
      </c>
      <c r="E1226" s="30"/>
      <c r="F1226" s="9" t="s">
        <v>2145</v>
      </c>
      <c r="G1226" s="9" t="s">
        <v>1633</v>
      </c>
      <c r="H1226" s="9" t="s">
        <v>47</v>
      </c>
      <c r="I1226" s="9" t="s">
        <v>2435</v>
      </c>
      <c r="J1226" s="9" t="s">
        <v>2819</v>
      </c>
      <c r="K1226" s="9" t="s">
        <v>2820</v>
      </c>
      <c r="L1226" s="10" t="s">
        <v>2820</v>
      </c>
      <c r="M1226" s="9" t="s">
        <v>51</v>
      </c>
      <c r="N1226" s="9">
        <v>220</v>
      </c>
      <c r="O1226" s="9">
        <v>6</v>
      </c>
      <c r="P1226" s="9">
        <v>162</v>
      </c>
      <c r="Q1226" s="9">
        <v>168</v>
      </c>
      <c r="R1226" s="9">
        <v>1</v>
      </c>
      <c r="S1226" s="9">
        <v>0.91763620000000001</v>
      </c>
      <c r="T1226" s="9">
        <v>103.4240192</v>
      </c>
      <c r="U1226" s="9"/>
      <c r="V1226" s="20" t="s">
        <v>1704</v>
      </c>
      <c r="W1226" s="11"/>
      <c r="X1226" s="11"/>
      <c r="Y1226" s="11" t="e">
        <f>VLOOKUP(L1226,'[1]singkron data'!D:H,5,FALSE)</f>
        <v>#N/A</v>
      </c>
      <c r="Z1226" s="11" t="e">
        <f>VLOOKUP(L1226,'[1]singkron data'!D:I,6,FALSE)</f>
        <v>#N/A</v>
      </c>
      <c r="AA1226" s="11" t="s">
        <v>1702</v>
      </c>
      <c r="AB1226" s="11" t="s">
        <v>54</v>
      </c>
      <c r="AC1226" s="11" t="s">
        <v>1639</v>
      </c>
      <c r="AD1226" s="11" t="s">
        <v>364</v>
      </c>
      <c r="AE1226" s="11" t="e">
        <f>VLOOKUP(L1226,'[1]singkron data'!D:P,13,FALSE)</f>
        <v>#N/A</v>
      </c>
      <c r="AF1226" s="11" t="s">
        <v>55</v>
      </c>
      <c r="AG1226" s="11" t="e">
        <f>VLOOKUP(L1226,'[1]update kontrak'!E:K,6,FALSE)</f>
        <v>#N/A</v>
      </c>
      <c r="AH1226" s="11" t="e">
        <f>VLOOKUP(L1226,'[1]update kontrak'!E:K,7,FALSE)</f>
        <v>#N/A</v>
      </c>
      <c r="AI1226" s="11"/>
      <c r="AJ1226" s="11" t="str">
        <f>VLOOKUP(L1226,[1]rekap!D:M,1,FALSE)</f>
        <v>Tulang</v>
      </c>
      <c r="AK1226" s="11" t="e">
        <f>VLOOKUP(L1226,'[1]singkron data'!D:E,2,FALSE)</f>
        <v>#N/A</v>
      </c>
      <c r="AL1226" s="11" t="str">
        <f>VLOOKUP(L1226,'[1]update 521'!D:D,1,FALSE)</f>
        <v>Tulang</v>
      </c>
      <c r="AM1226" s="11" t="s">
        <v>96</v>
      </c>
      <c r="AN1226" s="11" t="s">
        <v>2817</v>
      </c>
      <c r="AO1226" s="11" t="s">
        <v>2818</v>
      </c>
      <c r="AP1226" s="12"/>
    </row>
    <row r="1227" spans="1:42" ht="15" x14ac:dyDescent="0.2">
      <c r="A1227" s="8" t="s">
        <v>2821</v>
      </c>
      <c r="B1227" s="9" t="s">
        <v>60</v>
      </c>
      <c r="C1227" s="9">
        <v>1359</v>
      </c>
      <c r="D1227" s="9" t="s">
        <v>284</v>
      </c>
      <c r="E1227" s="30"/>
      <c r="F1227" s="9" t="s">
        <v>2641</v>
      </c>
      <c r="G1227" s="9" t="s">
        <v>286</v>
      </c>
      <c r="H1227" s="9" t="s">
        <v>287</v>
      </c>
      <c r="I1227" s="9" t="s">
        <v>353</v>
      </c>
      <c r="J1227" s="9" t="s">
        <v>2643</v>
      </c>
      <c r="K1227" s="9" t="s">
        <v>474</v>
      </c>
      <c r="L1227" s="10" t="s">
        <v>474</v>
      </c>
      <c r="M1227" s="9" t="s">
        <v>51</v>
      </c>
      <c r="N1227" s="9">
        <v>740</v>
      </c>
      <c r="O1227" s="9">
        <v>20</v>
      </c>
      <c r="P1227" s="9">
        <v>470</v>
      </c>
      <c r="Q1227" s="9">
        <v>490</v>
      </c>
      <c r="R1227" s="9">
        <v>0.19</v>
      </c>
      <c r="S1227" s="9">
        <v>-6.8116589999999997</v>
      </c>
      <c r="T1227" s="9">
        <v>108.80376699999999</v>
      </c>
      <c r="U1227" s="9"/>
      <c r="V1227" s="11" t="s">
        <v>2822</v>
      </c>
      <c r="W1227" s="11"/>
      <c r="X1227" s="11" t="s">
        <v>55</v>
      </c>
      <c r="Y1227" s="11" t="e">
        <f>VLOOKUP(L1227,'[1]singkron data'!D:H,5,FALSE)</f>
        <v>#N/A</v>
      </c>
      <c r="Z1227" s="11" t="e">
        <f>VLOOKUP(L1227,'[1]singkron data'!D:I,6,FALSE)</f>
        <v>#N/A</v>
      </c>
      <c r="AA1227" s="11" t="s">
        <v>2823</v>
      </c>
      <c r="AB1227" s="11" t="s">
        <v>54</v>
      </c>
      <c r="AC1227" s="11" t="s">
        <v>1660</v>
      </c>
      <c r="AD1227" s="11" t="s">
        <v>364</v>
      </c>
      <c r="AE1227" s="11" t="s">
        <v>1200</v>
      </c>
      <c r="AF1227" s="11" t="s">
        <v>55</v>
      </c>
      <c r="AG1227" s="11" t="e">
        <f>VLOOKUP(L1227,'[1]update kontrak'!E:K,6,FALSE)</f>
        <v>#N/A</v>
      </c>
      <c r="AH1227" s="11" t="e">
        <f>VLOOKUP(L1227,'[1]update kontrak'!E:K,7,FALSE)</f>
        <v>#N/A</v>
      </c>
      <c r="AI1227" s="11" t="s">
        <v>58</v>
      </c>
      <c r="AJ1227" s="11" t="str">
        <f>VLOOKUP(L1227,[1]rekap!D:M,1,FALSE)</f>
        <v>Ambulu</v>
      </c>
      <c r="AK1227" s="11" t="e">
        <f>VLOOKUP(L1227,'[1]singkron data'!D:E,2,FALSE)</f>
        <v>#N/A</v>
      </c>
      <c r="AL1227" s="11" t="str">
        <f>VLOOKUP(L1227,'[1]update 521'!D:D,1,FALSE)</f>
        <v>Ambulu</v>
      </c>
      <c r="AM1227" s="11" t="s">
        <v>57</v>
      </c>
      <c r="AN1227" s="11" t="e">
        <f>VLOOKUP(L1227,[1]Sheet19!E:L,8,FALSE)</f>
        <v>#N/A</v>
      </c>
      <c r="AO1227" s="11" t="e">
        <f>VLOOKUP(L1227,[1]Sheet19!E:K,7,FALSE)</f>
        <v>#N/A</v>
      </c>
      <c r="AP1227" s="12"/>
    </row>
    <row r="1228" spans="1:42" ht="15" x14ac:dyDescent="0.2">
      <c r="A1228" s="8" t="s">
        <v>2821</v>
      </c>
      <c r="B1228" s="9" t="s">
        <v>43</v>
      </c>
      <c r="C1228" s="9">
        <v>1360</v>
      </c>
      <c r="D1228" s="9" t="s">
        <v>1631</v>
      </c>
      <c r="E1228" s="30"/>
      <c r="F1228" s="9" t="s">
        <v>2114</v>
      </c>
      <c r="G1228" s="9" t="s">
        <v>1882</v>
      </c>
      <c r="H1228" s="9" t="s">
        <v>47</v>
      </c>
      <c r="I1228" s="9" t="s">
        <v>2115</v>
      </c>
      <c r="J1228" s="9" t="s">
        <v>1188</v>
      </c>
      <c r="K1228" s="9" t="s">
        <v>2824</v>
      </c>
      <c r="L1228" s="9" t="s">
        <v>2824</v>
      </c>
      <c r="M1228" s="9" t="s">
        <v>81</v>
      </c>
      <c r="N1228" s="9">
        <v>521</v>
      </c>
      <c r="O1228" s="9">
        <v>0</v>
      </c>
      <c r="P1228" s="9">
        <v>319</v>
      </c>
      <c r="Q1228" s="9">
        <v>319</v>
      </c>
      <c r="R1228" s="9">
        <v>1.34</v>
      </c>
      <c r="S1228" s="9">
        <v>2.1403099999999999</v>
      </c>
      <c r="T1228" s="9">
        <v>100.79489</v>
      </c>
      <c r="U1228" s="9"/>
      <c r="V1228" s="11" t="s">
        <v>2825</v>
      </c>
      <c r="W1228" s="11"/>
      <c r="X1228" s="11"/>
      <c r="Y1228" s="11" t="e">
        <f>VLOOKUP(L1228,'[1]singkron data'!D:H,5,FALSE)</f>
        <v>#N/A</v>
      </c>
      <c r="Z1228" s="11" t="e">
        <f>VLOOKUP(L1228,'[1]singkron data'!D:I,6,FALSE)</f>
        <v>#N/A</v>
      </c>
      <c r="AA1228" s="11" t="s">
        <v>2826</v>
      </c>
      <c r="AB1228" s="11" t="s">
        <v>54</v>
      </c>
      <c r="AC1228" s="11" t="s">
        <v>1175</v>
      </c>
      <c r="AD1228" s="11" t="s">
        <v>364</v>
      </c>
      <c r="AE1228" s="11" t="e">
        <f>VLOOKUP(L1228,'[1]singkron data'!D:P,13,FALSE)</f>
        <v>#N/A</v>
      </c>
      <c r="AF1228" s="11" t="s">
        <v>55</v>
      </c>
      <c r="AG1228" s="11" t="e">
        <f>VLOOKUP(L1228,'[1]update kontrak'!E:K,6,FALSE)</f>
        <v>#N/A</v>
      </c>
      <c r="AH1228" s="11" t="e">
        <f>VLOOKUP(L1228,'[1]update kontrak'!E:K,7,FALSE)</f>
        <v>#N/A</v>
      </c>
      <c r="AI1228" s="11"/>
      <c r="AJ1228" s="11" t="str">
        <f>VLOOKUP(L1228,[1]rekap!D:M,1,FALSE)</f>
        <v>Bagan Hulu</v>
      </c>
      <c r="AK1228" s="11" t="e">
        <f>VLOOKUP(L1228,'[1]singkron data'!D:E,2,FALSE)</f>
        <v>#N/A</v>
      </c>
      <c r="AL1228" s="11" t="str">
        <f>VLOOKUP(L1228,'[1]update 521'!D:D,1,FALSE)</f>
        <v>Bagan Hulu</v>
      </c>
      <c r="AM1228" s="11" t="e">
        <v>#N/A</v>
      </c>
      <c r="AN1228" s="11" t="e">
        <f>VLOOKUP(L1228,[1]Sheet19!E:L,8,FALSE)</f>
        <v>#N/A</v>
      </c>
      <c r="AO1228" s="11" t="e">
        <f>VLOOKUP(L1228,[1]Sheet19!E:K,7,FALSE)</f>
        <v>#N/A</v>
      </c>
      <c r="AP1228" s="12"/>
    </row>
    <row r="1229" spans="1:42" ht="15" x14ac:dyDescent="0.2">
      <c r="A1229" s="8" t="s">
        <v>2821</v>
      </c>
      <c r="B1229" s="9" t="s">
        <v>60</v>
      </c>
      <c r="C1229" s="9">
        <v>1361</v>
      </c>
      <c r="D1229" s="9" t="s">
        <v>908</v>
      </c>
      <c r="E1229" s="30"/>
      <c r="F1229" s="9" t="s">
        <v>2171</v>
      </c>
      <c r="G1229" s="9" t="s">
        <v>1060</v>
      </c>
      <c r="H1229" s="9" t="s">
        <v>911</v>
      </c>
      <c r="I1229" s="9" t="s">
        <v>1107</v>
      </c>
      <c r="J1229" s="9" t="s">
        <v>2190</v>
      </c>
      <c r="K1229" s="9" t="s">
        <v>2827</v>
      </c>
      <c r="L1229" s="9" t="s">
        <v>2827</v>
      </c>
      <c r="M1229" s="9" t="s">
        <v>51</v>
      </c>
      <c r="N1229" s="9">
        <v>304</v>
      </c>
      <c r="O1229" s="9">
        <v>148</v>
      </c>
      <c r="P1229" s="9">
        <v>196</v>
      </c>
      <c r="Q1229" s="9">
        <v>344</v>
      </c>
      <c r="R1229" s="9">
        <v>1</v>
      </c>
      <c r="S1229" s="9">
        <v>-2.1309969999999998</v>
      </c>
      <c r="T1229" s="9">
        <v>132.16771700000001</v>
      </c>
      <c r="U1229" s="9"/>
      <c r="V1229" s="11" t="s">
        <v>694</v>
      </c>
      <c r="W1229" s="11"/>
      <c r="X1229" s="11"/>
      <c r="Y1229" s="11" t="e">
        <f>VLOOKUP(L1229,'[1]singkron data'!D:H,5,FALSE)</f>
        <v>#N/A</v>
      </c>
      <c r="Z1229" s="11" t="e">
        <f>VLOOKUP(L1229,'[1]singkron data'!D:I,6,FALSE)</f>
        <v>#N/A</v>
      </c>
      <c r="AA1229" s="11" t="e">
        <f>VLOOKUP(L1229,'[1]singkron data'!D:L,9,FALSE)</f>
        <v>#N/A</v>
      </c>
      <c r="AB1229" s="11" t="s">
        <v>694</v>
      </c>
      <c r="AC1229" s="11" t="e">
        <f>VLOOKUP(L1229,'[1]singkron data'!D:M,10,FALSE)</f>
        <v>#N/A</v>
      </c>
      <c r="AD1229" s="11"/>
      <c r="AE1229" s="11" t="e">
        <f>VLOOKUP(L1229,'[1]singkron data'!D:P,13,FALSE)</f>
        <v>#N/A</v>
      </c>
      <c r="AF1229" s="11"/>
      <c r="AG1229" s="11" t="e">
        <f>VLOOKUP(L1229,'[1]update kontrak'!E:K,6,FALSE)</f>
        <v>#N/A</v>
      </c>
      <c r="AH1229" s="11" t="e">
        <f>VLOOKUP(L1229,'[1]update kontrak'!E:K,7,FALSE)</f>
        <v>#N/A</v>
      </c>
      <c r="AI1229" s="11"/>
      <c r="AJ1229" s="11" t="str">
        <f>VLOOKUP(L1229,[1]rekap!D:M,1,FALSE)</f>
        <v>Mate</v>
      </c>
      <c r="AK1229" s="11" t="e">
        <f>VLOOKUP(L1229,'[1]singkron data'!D:E,2,FALSE)</f>
        <v>#N/A</v>
      </c>
      <c r="AL1229" s="11" t="str">
        <f>VLOOKUP(L1229,'[1]update 521'!D:D,1,FALSE)</f>
        <v>Mate</v>
      </c>
      <c r="AM1229" s="11" t="e">
        <f>VLOOKUP(L1229,[1]Sheet18!I:M,5,FALSE)</f>
        <v>#N/A</v>
      </c>
      <c r="AN1229" s="11" t="e">
        <f>VLOOKUP(L1229,[1]Sheet19!E:L,8,FALSE)</f>
        <v>#N/A</v>
      </c>
      <c r="AO1229" s="11" t="e">
        <f>VLOOKUP(L1229,[1]Sheet19!E:K,7,FALSE)</f>
        <v>#N/A</v>
      </c>
      <c r="AP1229" s="12"/>
    </row>
    <row r="1230" spans="1:42" ht="15" x14ac:dyDescent="0.2">
      <c r="A1230" s="8" t="s">
        <v>2821</v>
      </c>
      <c r="B1230" s="9" t="s">
        <v>60</v>
      </c>
      <c r="C1230" s="9">
        <v>1362</v>
      </c>
      <c r="D1230" s="9" t="s">
        <v>908</v>
      </c>
      <c r="E1230" s="30"/>
      <c r="F1230" s="9" t="s">
        <v>2171</v>
      </c>
      <c r="G1230" s="9" t="s">
        <v>1060</v>
      </c>
      <c r="H1230" s="9" t="s">
        <v>911</v>
      </c>
      <c r="I1230" s="9" t="s">
        <v>1107</v>
      </c>
      <c r="J1230" s="9" t="s">
        <v>2828</v>
      </c>
      <c r="K1230" s="9" t="s">
        <v>2829</v>
      </c>
      <c r="L1230" s="9" t="s">
        <v>2829</v>
      </c>
      <c r="M1230" s="9" t="s">
        <v>51</v>
      </c>
      <c r="N1230" s="9">
        <v>426</v>
      </c>
      <c r="O1230" s="9">
        <v>199</v>
      </c>
      <c r="P1230" s="9">
        <v>97</v>
      </c>
      <c r="Q1230" s="9">
        <v>296</v>
      </c>
      <c r="R1230" s="9">
        <v>1</v>
      </c>
      <c r="S1230" s="9">
        <v>-2.0544609999999999</v>
      </c>
      <c r="T1230" s="9">
        <v>132.050985</v>
      </c>
      <c r="U1230" s="9"/>
      <c r="V1230" s="11" t="s">
        <v>694</v>
      </c>
      <c r="W1230" s="11"/>
      <c r="X1230" s="11"/>
      <c r="Y1230" s="11" t="e">
        <f>VLOOKUP(L1230,'[1]singkron data'!D:H,5,FALSE)</f>
        <v>#N/A</v>
      </c>
      <c r="Z1230" s="11" t="e">
        <f>VLOOKUP(L1230,'[1]singkron data'!D:I,6,FALSE)</f>
        <v>#N/A</v>
      </c>
      <c r="AA1230" s="11" t="e">
        <f>VLOOKUP(L1230,'[1]singkron data'!D:L,9,FALSE)</f>
        <v>#N/A</v>
      </c>
      <c r="AB1230" s="11" t="s">
        <v>694</v>
      </c>
      <c r="AC1230" s="11" t="e">
        <f>VLOOKUP(L1230,'[1]singkron data'!D:M,10,FALSE)</f>
        <v>#N/A</v>
      </c>
      <c r="AD1230" s="11"/>
      <c r="AE1230" s="11" t="e">
        <f>VLOOKUP(L1230,'[1]singkron data'!D:P,13,FALSE)</f>
        <v>#N/A</v>
      </c>
      <c r="AF1230" s="11"/>
      <c r="AG1230" s="11" t="e">
        <f>VLOOKUP(L1230,'[1]update kontrak'!E:K,6,FALSE)</f>
        <v>#N/A</v>
      </c>
      <c r="AH1230" s="11" t="e">
        <f>VLOOKUP(L1230,'[1]update kontrak'!E:K,7,FALSE)</f>
        <v>#N/A</v>
      </c>
      <c r="AI1230" s="11"/>
      <c r="AJ1230" s="11" t="str">
        <f>VLOOKUP(L1230,[1]rekap!D:M,1,FALSE)</f>
        <v>Nusa</v>
      </c>
      <c r="AK1230" s="11" t="e">
        <f>VLOOKUP(L1230,'[1]singkron data'!D:E,2,FALSE)</f>
        <v>#N/A</v>
      </c>
      <c r="AL1230" s="11" t="str">
        <f>VLOOKUP(L1230,'[1]update 521'!D:D,1,FALSE)</f>
        <v>Nusa</v>
      </c>
      <c r="AM1230" s="11" t="e">
        <f>VLOOKUP(L1230,[1]Sheet18!I:M,5,FALSE)</f>
        <v>#N/A</v>
      </c>
      <c r="AN1230" s="11" t="e">
        <f>VLOOKUP(L1230,[1]Sheet19!E:L,8,FALSE)</f>
        <v>#N/A</v>
      </c>
      <c r="AO1230" s="11" t="e">
        <f>VLOOKUP(L1230,[1]Sheet19!E:K,7,FALSE)</f>
        <v>#N/A</v>
      </c>
      <c r="AP1230" s="12"/>
    </row>
    <row r="1231" spans="1:42" ht="15" x14ac:dyDescent="0.2">
      <c r="A1231" s="8" t="s">
        <v>2830</v>
      </c>
      <c r="B1231" s="9" t="s">
        <v>60</v>
      </c>
      <c r="C1231" s="9">
        <v>1363</v>
      </c>
      <c r="D1231" s="9" t="s">
        <v>44</v>
      </c>
      <c r="E1231" s="30"/>
      <c r="F1231" s="30"/>
      <c r="G1231" s="9" t="s">
        <v>46</v>
      </c>
      <c r="H1231" s="9" t="s">
        <v>47</v>
      </c>
      <c r="I1231" s="9" t="s">
        <v>265</v>
      </c>
      <c r="J1231" s="9" t="s">
        <v>2831</v>
      </c>
      <c r="K1231" s="9" t="s">
        <v>2832</v>
      </c>
      <c r="L1231" s="10" t="s">
        <v>2832</v>
      </c>
      <c r="M1231" s="9" t="s">
        <v>81</v>
      </c>
      <c r="N1231" s="9">
        <v>1124</v>
      </c>
      <c r="O1231" s="9">
        <v>15</v>
      </c>
      <c r="P1231" s="9">
        <v>361</v>
      </c>
      <c r="Q1231" s="9">
        <v>376</v>
      </c>
      <c r="R1231" s="9">
        <v>0.1</v>
      </c>
      <c r="S1231" s="9">
        <v>-8.3681169999999998</v>
      </c>
      <c r="T1231" s="9">
        <v>118.71874200000001</v>
      </c>
      <c r="U1231" s="9"/>
      <c r="V1231" s="11" t="e">
        <f>VLOOKUP(L1231,'[1]singkron data'!D:E,2,FALSE)</f>
        <v>#N/A</v>
      </c>
      <c r="W1231" s="11"/>
      <c r="X1231" s="11"/>
      <c r="Y1231" s="11" t="e">
        <f>VLOOKUP(L1231,'[1]singkron data'!D:H,5,FALSE)</f>
        <v>#N/A</v>
      </c>
      <c r="Z1231" s="11" t="e">
        <f>VLOOKUP(L1231,'[1]singkron data'!D:I,6,FALSE)</f>
        <v>#N/A</v>
      </c>
      <c r="AA1231" s="11" t="e">
        <f>VLOOKUP(L1231,'[1]singkron data'!D:L,9,FALSE)</f>
        <v>#N/A</v>
      </c>
      <c r="AB1231" s="11" t="s">
        <v>54</v>
      </c>
      <c r="AC1231" s="11" t="e">
        <f>VLOOKUP(L1231,'[1]singkron data'!D:M,10,FALSE)</f>
        <v>#N/A</v>
      </c>
      <c r="AD1231" s="11" t="s">
        <v>364</v>
      </c>
      <c r="AE1231" s="11" t="e">
        <f>VLOOKUP(L1231,'[1]singkron data'!D:P,13,FALSE)</f>
        <v>#N/A</v>
      </c>
      <c r="AF1231" s="11" t="s">
        <v>55</v>
      </c>
      <c r="AG1231" s="11" t="e">
        <f>VLOOKUP(L1231,'[1]update kontrak'!E:K,6,FALSE)</f>
        <v>#N/A</v>
      </c>
      <c r="AH1231" s="11" t="e">
        <f>VLOOKUP(L1231,'[1]update kontrak'!E:K,7,FALSE)</f>
        <v>#N/A</v>
      </c>
      <c r="AI1231" s="11"/>
      <c r="AJ1231" s="11" t="str">
        <f>VLOOKUP(L1231,[1]rekap!D:M,1,FALSE)</f>
        <v>Kolo</v>
      </c>
      <c r="AK1231" s="11" t="e">
        <f>VLOOKUP(L1231,'[1]singkron data'!D:E,2,FALSE)</f>
        <v>#N/A</v>
      </c>
      <c r="AL1231" s="11" t="str">
        <f>VLOOKUP(L1231,'[1]update 521'!D:D,1,FALSE)</f>
        <v>Kolo</v>
      </c>
      <c r="AM1231" s="11" t="s">
        <v>96</v>
      </c>
      <c r="AN1231" s="11" t="e">
        <f>VLOOKUP(L1231,[1]Sheet19!E:L,8,FALSE)</f>
        <v>#N/A</v>
      </c>
      <c r="AO1231" s="11" t="e">
        <f>VLOOKUP(L1231,[1]Sheet19!E:K,7,FALSE)</f>
        <v>#N/A</v>
      </c>
      <c r="AP1231" s="12"/>
    </row>
    <row r="1232" spans="1:42" ht="15" x14ac:dyDescent="0.2">
      <c r="A1232" s="8" t="s">
        <v>2830</v>
      </c>
      <c r="B1232" s="9" t="s">
        <v>60</v>
      </c>
      <c r="C1232" s="9">
        <v>1364</v>
      </c>
      <c r="D1232" s="9" t="s">
        <v>514</v>
      </c>
      <c r="E1232" s="30"/>
      <c r="F1232" s="9" t="s">
        <v>2610</v>
      </c>
      <c r="G1232" s="9" t="s">
        <v>551</v>
      </c>
      <c r="H1232" s="9" t="s">
        <v>47</v>
      </c>
      <c r="I1232" s="9" t="s">
        <v>2611</v>
      </c>
      <c r="J1232" s="9" t="s">
        <v>2833</v>
      </c>
      <c r="K1232" s="9" t="s">
        <v>2834</v>
      </c>
      <c r="L1232" s="9" t="s">
        <v>2834</v>
      </c>
      <c r="M1232" s="9" t="s">
        <v>51</v>
      </c>
      <c r="N1232" s="9">
        <v>160</v>
      </c>
      <c r="O1232" s="30"/>
      <c r="P1232" s="9">
        <v>130</v>
      </c>
      <c r="Q1232" s="9">
        <v>130</v>
      </c>
      <c r="R1232" s="9">
        <v>1</v>
      </c>
      <c r="S1232" s="9">
        <v>4.0434340000000004</v>
      </c>
      <c r="T1232" s="9">
        <v>117.895233</v>
      </c>
      <c r="U1232" s="9"/>
      <c r="V1232" s="11" t="e">
        <f>VLOOKUP(L1232,'[1]singkron data'!D:E,2,FALSE)</f>
        <v>#N/A</v>
      </c>
      <c r="W1232" s="11"/>
      <c r="X1232" s="11"/>
      <c r="Y1232" s="11" t="e">
        <f>VLOOKUP(L1232,'[1]singkron data'!D:H,5,FALSE)</f>
        <v>#N/A</v>
      </c>
      <c r="Z1232" s="11" t="e">
        <f>VLOOKUP(L1232,'[1]singkron data'!D:I,6,FALSE)</f>
        <v>#N/A</v>
      </c>
      <c r="AA1232" s="11" t="e">
        <f>VLOOKUP(L1232,'[1]singkron data'!D:L,9,FALSE)</f>
        <v>#N/A</v>
      </c>
      <c r="AB1232" s="11" t="s">
        <v>54</v>
      </c>
      <c r="AC1232" s="11" t="e">
        <f>VLOOKUP(L1232,'[1]singkron data'!D:M,10,FALSE)</f>
        <v>#N/A</v>
      </c>
      <c r="AD1232" s="11" t="s">
        <v>364</v>
      </c>
      <c r="AE1232" s="11" t="e">
        <f>VLOOKUP(L1232,'[1]singkron data'!D:P,13,FALSE)</f>
        <v>#N/A</v>
      </c>
      <c r="AF1232" s="11" t="s">
        <v>55</v>
      </c>
      <c r="AG1232" s="11" t="e">
        <f>VLOOKUP(L1232,'[1]update kontrak'!E:K,6,FALSE)</f>
        <v>#N/A</v>
      </c>
      <c r="AH1232" s="11" t="e">
        <f>VLOOKUP(L1232,'[1]update kontrak'!E:K,7,FALSE)</f>
        <v>#N/A</v>
      </c>
      <c r="AI1232" s="11"/>
      <c r="AJ1232" s="11" t="str">
        <f>VLOOKUP(L1232,[1]rekap!D:M,1,FALSE)</f>
        <v>Tanjungkarang</v>
      </c>
      <c r="AK1232" s="11" t="e">
        <f>VLOOKUP(L1232,'[1]singkron data'!D:E,2,FALSE)</f>
        <v>#N/A</v>
      </c>
      <c r="AL1232" s="11" t="str">
        <f>VLOOKUP(L1232,'[1]update 521'!D:D,1,FALSE)</f>
        <v>Tanjungkarang</v>
      </c>
      <c r="AM1232" s="11" t="s">
        <v>96</v>
      </c>
      <c r="AN1232" s="11" t="e">
        <f>VLOOKUP(L1232,[1]Sheet19!E:L,8,FALSE)</f>
        <v>#N/A</v>
      </c>
      <c r="AO1232" s="11" t="e">
        <f>VLOOKUP(L1232,[1]Sheet19!E:K,7,FALSE)</f>
        <v>#N/A</v>
      </c>
      <c r="AP1232" s="12"/>
    </row>
    <row r="1233" spans="1:42" ht="15" x14ac:dyDescent="0.2">
      <c r="A1233" s="8" t="s">
        <v>2830</v>
      </c>
      <c r="B1233" s="9" t="s">
        <v>60</v>
      </c>
      <c r="C1233" s="9">
        <v>1365</v>
      </c>
      <c r="D1233" s="9" t="s">
        <v>514</v>
      </c>
      <c r="E1233" s="30"/>
      <c r="F1233" s="9" t="s">
        <v>2610</v>
      </c>
      <c r="G1233" s="9" t="s">
        <v>551</v>
      </c>
      <c r="H1233" s="9" t="s">
        <v>47</v>
      </c>
      <c r="I1233" s="9" t="s">
        <v>2611</v>
      </c>
      <c r="J1233" s="9" t="s">
        <v>2835</v>
      </c>
      <c r="K1233" s="9" t="s">
        <v>2836</v>
      </c>
      <c r="L1233" s="9" t="s">
        <v>2836</v>
      </c>
      <c r="M1233" s="9" t="s">
        <v>51</v>
      </c>
      <c r="N1233" s="9">
        <v>120</v>
      </c>
      <c r="O1233" s="30"/>
      <c r="P1233" s="9">
        <v>120</v>
      </c>
      <c r="Q1233" s="9">
        <v>120</v>
      </c>
      <c r="R1233" s="9">
        <v>0.2</v>
      </c>
      <c r="S1233" s="9">
        <v>4.0628770000000003</v>
      </c>
      <c r="T1233" s="9">
        <v>117.74548299999999</v>
      </c>
      <c r="U1233" s="9"/>
      <c r="V1233" s="11" t="e">
        <f>VLOOKUP(L1233,'[1]singkron data'!D:E,2,FALSE)</f>
        <v>#N/A</v>
      </c>
      <c r="W1233" s="11"/>
      <c r="X1233" s="11"/>
      <c r="Y1233" s="11" t="e">
        <f>VLOOKUP(L1233,'[1]singkron data'!D:H,5,FALSE)</f>
        <v>#N/A</v>
      </c>
      <c r="Z1233" s="11" t="e">
        <f>VLOOKUP(L1233,'[1]singkron data'!D:I,6,FALSE)</f>
        <v>#N/A</v>
      </c>
      <c r="AA1233" s="11" t="e">
        <f>VLOOKUP(L1233,'[1]singkron data'!D:L,9,FALSE)</f>
        <v>#N/A</v>
      </c>
      <c r="AB1233" s="11" t="s">
        <v>54</v>
      </c>
      <c r="AC1233" s="11" t="e">
        <f>VLOOKUP(L1233,'[1]singkron data'!D:M,10,FALSE)</f>
        <v>#N/A</v>
      </c>
      <c r="AD1233" s="11" t="s">
        <v>364</v>
      </c>
      <c r="AE1233" s="11" t="e">
        <f>VLOOKUP(L1233,'[1]singkron data'!D:P,13,FALSE)</f>
        <v>#N/A</v>
      </c>
      <c r="AF1233" s="11" t="s">
        <v>55</v>
      </c>
      <c r="AG1233" s="11" t="e">
        <f>VLOOKUP(L1233,'[1]update kontrak'!E:K,6,FALSE)</f>
        <v>#N/A</v>
      </c>
      <c r="AH1233" s="11" t="e">
        <f>VLOOKUP(L1233,'[1]update kontrak'!E:K,7,FALSE)</f>
        <v>#N/A</v>
      </c>
      <c r="AI1233" s="11"/>
      <c r="AJ1233" s="11" t="str">
        <f>VLOOKUP(L1233,[1]rekap!D:M,1,FALSE)</f>
        <v>Mansapa</v>
      </c>
      <c r="AK1233" s="11" t="e">
        <f>VLOOKUP(L1233,'[1]singkron data'!D:E,2,FALSE)</f>
        <v>#N/A</v>
      </c>
      <c r="AL1233" s="11" t="str">
        <f>VLOOKUP(L1233,'[1]update 521'!D:D,1,FALSE)</f>
        <v>Mansapa</v>
      </c>
      <c r="AM1233" s="11" t="s">
        <v>96</v>
      </c>
      <c r="AN1233" s="11" t="e">
        <f>VLOOKUP(L1233,[1]Sheet19!E:L,8,FALSE)</f>
        <v>#N/A</v>
      </c>
      <c r="AO1233" s="11" t="e">
        <f>VLOOKUP(L1233,[1]Sheet19!E:K,7,FALSE)</f>
        <v>#N/A</v>
      </c>
      <c r="AP1233" s="12"/>
    </row>
    <row r="1234" spans="1:42" ht="15" x14ac:dyDescent="0.2">
      <c r="A1234" s="8" t="s">
        <v>2830</v>
      </c>
      <c r="B1234" s="9" t="s">
        <v>60</v>
      </c>
      <c r="C1234" s="9">
        <v>1366</v>
      </c>
      <c r="D1234" s="9" t="s">
        <v>514</v>
      </c>
      <c r="E1234" s="30"/>
      <c r="F1234" s="9" t="s">
        <v>2610</v>
      </c>
      <c r="G1234" s="9" t="s">
        <v>551</v>
      </c>
      <c r="H1234" s="9" t="s">
        <v>47</v>
      </c>
      <c r="I1234" s="9" t="s">
        <v>2611</v>
      </c>
      <c r="J1234" s="9" t="s">
        <v>2611</v>
      </c>
      <c r="K1234" s="9" t="s">
        <v>2837</v>
      </c>
      <c r="L1234" s="9" t="s">
        <v>2837</v>
      </c>
      <c r="M1234" s="9" t="s">
        <v>65</v>
      </c>
      <c r="N1234" s="9">
        <v>320</v>
      </c>
      <c r="O1234" s="30"/>
      <c r="P1234" s="9">
        <v>320</v>
      </c>
      <c r="Q1234" s="9">
        <v>320</v>
      </c>
      <c r="R1234" s="9">
        <v>0.3</v>
      </c>
      <c r="S1234" s="9">
        <v>4.1473680000000002</v>
      </c>
      <c r="T1234" s="9">
        <v>117.65418699999999</v>
      </c>
      <c r="U1234" s="9"/>
      <c r="V1234" s="11" t="s">
        <v>2838</v>
      </c>
      <c r="W1234" s="11"/>
      <c r="X1234" s="11"/>
      <c r="Y1234" s="11" t="e">
        <f>VLOOKUP(L1234,'[1]singkron data'!D:H,5,FALSE)</f>
        <v>#N/A</v>
      </c>
      <c r="Z1234" s="11" t="e">
        <f>VLOOKUP(L1234,'[1]singkron data'!D:I,6,FALSE)</f>
        <v>#N/A</v>
      </c>
      <c r="AA1234" s="11" t="s">
        <v>2839</v>
      </c>
      <c r="AB1234" s="11" t="s">
        <v>54</v>
      </c>
      <c r="AC1234" s="11" t="s">
        <v>557</v>
      </c>
      <c r="AD1234" s="11" t="s">
        <v>364</v>
      </c>
      <c r="AE1234" s="11" t="e">
        <f>VLOOKUP(L1234,'[1]singkron data'!D:P,13,FALSE)</f>
        <v>#N/A</v>
      </c>
      <c r="AF1234" s="11" t="s">
        <v>55</v>
      </c>
      <c r="AG1234" s="11" t="e">
        <f>VLOOKUP(L1234,'[1]update kontrak'!E:K,6,FALSE)</f>
        <v>#N/A</v>
      </c>
      <c r="AH1234" s="11" t="e">
        <f>VLOOKUP(L1234,'[1]update kontrak'!E:K,7,FALSE)</f>
        <v>#N/A</v>
      </c>
      <c r="AI1234" s="11"/>
      <c r="AJ1234" s="11" t="str">
        <f>VLOOKUP(L1234,[1]rekap!D:M,1,FALSE)</f>
        <v>Nunukan Utara</v>
      </c>
      <c r="AK1234" s="11" t="e">
        <f>VLOOKUP(L1234,'[1]singkron data'!D:E,2,FALSE)</f>
        <v>#N/A</v>
      </c>
      <c r="AL1234" s="11" t="str">
        <f>VLOOKUP(L1234,'[1]update 521'!D:D,1,FALSE)</f>
        <v>Nunukan Utara</v>
      </c>
      <c r="AM1234" s="11" t="s">
        <v>96</v>
      </c>
      <c r="AN1234" s="11" t="e">
        <f>VLOOKUP(L1234,[1]Sheet19!E:L,8,FALSE)</f>
        <v>#N/A</v>
      </c>
      <c r="AO1234" s="11" t="e">
        <f>VLOOKUP(L1234,[1]Sheet19!E:K,7,FALSE)</f>
        <v>#N/A</v>
      </c>
      <c r="AP1234" s="12"/>
    </row>
    <row r="1235" spans="1:42" ht="15" x14ac:dyDescent="0.2">
      <c r="A1235" s="8" t="s">
        <v>2830</v>
      </c>
      <c r="B1235" s="9" t="s">
        <v>60</v>
      </c>
      <c r="C1235" s="9">
        <v>1367</v>
      </c>
      <c r="D1235" s="9" t="s">
        <v>514</v>
      </c>
      <c r="E1235" s="30"/>
      <c r="F1235" s="9" t="s">
        <v>550</v>
      </c>
      <c r="G1235" s="9" t="s">
        <v>551</v>
      </c>
      <c r="H1235" s="9" t="s">
        <v>47</v>
      </c>
      <c r="I1235" s="9" t="s">
        <v>552</v>
      </c>
      <c r="J1235" s="9" t="s">
        <v>2840</v>
      </c>
      <c r="K1235" s="9" t="s">
        <v>2841</v>
      </c>
      <c r="L1235" s="9" t="s">
        <v>2841</v>
      </c>
      <c r="M1235" s="9" t="s">
        <v>51</v>
      </c>
      <c r="N1235" s="9">
        <v>205</v>
      </c>
      <c r="O1235" s="30"/>
      <c r="P1235" s="9">
        <v>200</v>
      </c>
      <c r="Q1235" s="9">
        <v>200</v>
      </c>
      <c r="R1235" s="9">
        <v>0.25</v>
      </c>
      <c r="S1235" s="9">
        <v>3.320983</v>
      </c>
      <c r="T1235" s="9">
        <v>117.38388399999999</v>
      </c>
      <c r="U1235" s="9"/>
      <c r="V1235" s="11" t="s">
        <v>2842</v>
      </c>
      <c r="W1235" s="11"/>
      <c r="X1235" s="11"/>
      <c r="Y1235" s="11" t="e">
        <f>VLOOKUP(L1235,'[1]singkron data'!D:H,5,FALSE)</f>
        <v>#N/A</v>
      </c>
      <c r="Z1235" s="11" t="e">
        <f>VLOOKUP(L1235,'[1]singkron data'!D:I,6,FALSE)</f>
        <v>#N/A</v>
      </c>
      <c r="AA1235" s="11"/>
      <c r="AB1235" s="11" t="s">
        <v>54</v>
      </c>
      <c r="AC1235" s="11" t="s">
        <v>557</v>
      </c>
      <c r="AD1235" s="11" t="s">
        <v>364</v>
      </c>
      <c r="AE1235" s="11" t="e">
        <f>VLOOKUP(L1235,'[1]singkron data'!D:P,13,FALSE)</f>
        <v>#N/A</v>
      </c>
      <c r="AF1235" s="11" t="s">
        <v>55</v>
      </c>
      <c r="AG1235" s="11" t="e">
        <f>VLOOKUP(L1235,'[1]update kontrak'!E:K,6,FALSE)</f>
        <v>#N/A</v>
      </c>
      <c r="AH1235" s="11" t="e">
        <f>VLOOKUP(L1235,'[1]update kontrak'!E:K,7,FALSE)</f>
        <v>#N/A</v>
      </c>
      <c r="AI1235" s="11"/>
      <c r="AJ1235" s="11" t="str">
        <f>VLOOKUP(L1235,[1]rekap!D:M,1,FALSE)</f>
        <v>Liagu</v>
      </c>
      <c r="AK1235" s="11" t="e">
        <f>VLOOKUP(L1235,'[1]singkron data'!D:E,2,FALSE)</f>
        <v>#N/A</v>
      </c>
      <c r="AL1235" s="11" t="str">
        <f>VLOOKUP(L1235,'[1]update 521'!D:D,1,FALSE)</f>
        <v>Liagu</v>
      </c>
      <c r="AM1235" s="11" t="s">
        <v>96</v>
      </c>
      <c r="AN1235" s="11" t="e">
        <f>VLOOKUP(L1235,[1]Sheet19!E:L,8,FALSE)</f>
        <v>#N/A</v>
      </c>
      <c r="AO1235" s="11" t="e">
        <f>VLOOKUP(L1235,[1]Sheet19!E:K,7,FALSE)</f>
        <v>#N/A</v>
      </c>
      <c r="AP1235" s="12"/>
    </row>
    <row r="1236" spans="1:42" ht="15" x14ac:dyDescent="0.2">
      <c r="A1236" s="8" t="s">
        <v>2830</v>
      </c>
      <c r="B1236" s="9" t="s">
        <v>60</v>
      </c>
      <c r="C1236" s="9">
        <v>1368</v>
      </c>
      <c r="D1236" s="9" t="s">
        <v>514</v>
      </c>
      <c r="E1236" s="30"/>
      <c r="F1236" s="9" t="s">
        <v>550</v>
      </c>
      <c r="G1236" s="9" t="s">
        <v>551</v>
      </c>
      <c r="H1236" s="9" t="s">
        <v>47</v>
      </c>
      <c r="I1236" s="9" t="s">
        <v>561</v>
      </c>
      <c r="J1236" s="9" t="s">
        <v>2843</v>
      </c>
      <c r="K1236" s="9" t="s">
        <v>2844</v>
      </c>
      <c r="L1236" s="9" t="s">
        <v>2844</v>
      </c>
      <c r="M1236" s="9" t="s">
        <v>51</v>
      </c>
      <c r="N1236" s="9">
        <v>560</v>
      </c>
      <c r="O1236" s="30"/>
      <c r="P1236" s="9">
        <v>540</v>
      </c>
      <c r="Q1236" s="9">
        <v>540</v>
      </c>
      <c r="R1236" s="9">
        <v>0.21</v>
      </c>
      <c r="S1236" s="9">
        <v>3.4400710000000001</v>
      </c>
      <c r="T1236" s="9">
        <v>117.558142</v>
      </c>
      <c r="U1236" s="9"/>
      <c r="V1236" s="11" t="s">
        <v>2845</v>
      </c>
      <c r="W1236" s="11"/>
      <c r="X1236" s="11"/>
      <c r="Y1236" s="11" t="e">
        <f>VLOOKUP(L1236,'[1]singkron data'!D:H,5,FALSE)</f>
        <v>#N/A</v>
      </c>
      <c r="Z1236" s="11" t="e">
        <f>VLOOKUP(L1236,'[1]singkron data'!D:I,6,FALSE)</f>
        <v>#N/A</v>
      </c>
      <c r="AA1236" s="11" t="e">
        <f>VLOOKUP(L1236,'[1]singkron data'!D:L,9,FALSE)</f>
        <v>#N/A</v>
      </c>
      <c r="AB1236" s="11" t="s">
        <v>54</v>
      </c>
      <c r="AC1236" s="11" t="e">
        <f>VLOOKUP(L1236,'[1]singkron data'!D:M,10,FALSE)</f>
        <v>#N/A</v>
      </c>
      <c r="AD1236" s="11" t="s">
        <v>364</v>
      </c>
      <c r="AE1236" s="11" t="e">
        <f>VLOOKUP(L1236,'[1]singkron data'!D:P,13,FALSE)</f>
        <v>#N/A</v>
      </c>
      <c r="AF1236" s="11" t="s">
        <v>55</v>
      </c>
      <c r="AG1236" s="11" t="e">
        <f>VLOOKUP(L1236,'[1]update kontrak'!E:K,6,FALSE)</f>
        <v>#N/A</v>
      </c>
      <c r="AH1236" s="11" t="e">
        <f>VLOOKUP(L1236,'[1]update kontrak'!E:K,7,FALSE)</f>
        <v>#N/A</v>
      </c>
      <c r="AI1236" s="11"/>
      <c r="AJ1236" s="11" t="str">
        <f>VLOOKUP(L1236,[1]rekap!D:M,1,FALSE)</f>
        <v>Juata Laut</v>
      </c>
      <c r="AK1236" s="11" t="e">
        <f>VLOOKUP(L1236,'[1]singkron data'!D:E,2,FALSE)</f>
        <v>#N/A</v>
      </c>
      <c r="AL1236" s="11" t="str">
        <f>VLOOKUP(L1236,'[1]update 521'!D:D,1,FALSE)</f>
        <v>Juata Laut</v>
      </c>
      <c r="AM1236" s="11" t="s">
        <v>96</v>
      </c>
      <c r="AN1236" s="11" t="e">
        <f>VLOOKUP(L1236,[1]Sheet19!E:L,8,FALSE)</f>
        <v>#N/A</v>
      </c>
      <c r="AO1236" s="11" t="e">
        <f>VLOOKUP(L1236,[1]Sheet19!E:K,7,FALSE)</f>
        <v>#N/A</v>
      </c>
      <c r="AP1236" s="12"/>
    </row>
    <row r="1237" spans="1:42" ht="15" x14ac:dyDescent="0.2">
      <c r="A1237" s="8" t="s">
        <v>2830</v>
      </c>
      <c r="B1237" s="9" t="s">
        <v>60</v>
      </c>
      <c r="C1237" s="9">
        <v>1369</v>
      </c>
      <c r="D1237" s="9" t="s">
        <v>908</v>
      </c>
      <c r="E1237" s="30"/>
      <c r="F1237" s="9" t="s">
        <v>2232</v>
      </c>
      <c r="G1237" s="9" t="s">
        <v>908</v>
      </c>
      <c r="H1237" s="9" t="s">
        <v>911</v>
      </c>
      <c r="I1237" s="9" t="s">
        <v>1014</v>
      </c>
      <c r="J1237" s="9" t="s">
        <v>1034</v>
      </c>
      <c r="K1237" s="9" t="s">
        <v>2846</v>
      </c>
      <c r="L1237" s="9" t="s">
        <v>2846</v>
      </c>
      <c r="M1237" s="9" t="s">
        <v>51</v>
      </c>
      <c r="N1237" s="9">
        <v>57</v>
      </c>
      <c r="O1237" s="9">
        <v>21</v>
      </c>
      <c r="P1237" s="9">
        <v>0</v>
      </c>
      <c r="Q1237" s="9">
        <v>21</v>
      </c>
      <c r="R1237" s="9">
        <v>0.06</v>
      </c>
      <c r="S1237" s="9">
        <v>-0.96666870000000005</v>
      </c>
      <c r="T1237" s="9">
        <v>135.79055460000001</v>
      </c>
      <c r="U1237" s="9"/>
      <c r="V1237" s="11" t="s">
        <v>694</v>
      </c>
      <c r="W1237" s="13">
        <f>VLOOKUP(L1237,[1]Sheet18!I:N,6,FALSE)</f>
        <v>6535962000</v>
      </c>
      <c r="X1237" s="11" t="s">
        <v>55</v>
      </c>
      <c r="Y1237" s="11" t="e">
        <f>VLOOKUP(L1237,'[1]singkron data'!D:H,5,FALSE)</f>
        <v>#N/A</v>
      </c>
      <c r="Z1237" s="11" t="e">
        <f>VLOOKUP(L1237,'[1]singkron data'!D:I,6,FALSE)</f>
        <v>#N/A</v>
      </c>
      <c r="AA1237" s="11" t="e">
        <f>VLOOKUP(L1237,'[1]singkron data'!D:L,9,FALSE)</f>
        <v>#N/A</v>
      </c>
      <c r="AB1237" s="11" t="s">
        <v>694</v>
      </c>
      <c r="AC1237" s="11" t="e">
        <f>VLOOKUP(L1237,'[1]singkron data'!D:M,10,FALSE)</f>
        <v>#N/A</v>
      </c>
      <c r="AD1237" s="11"/>
      <c r="AE1237" s="11" t="e">
        <f>VLOOKUP(L1237,'[1]singkron data'!D:P,13,FALSE)</f>
        <v>#N/A</v>
      </c>
      <c r="AF1237" s="11" t="s">
        <v>55</v>
      </c>
      <c r="AG1237" s="11" t="e">
        <f>VLOOKUP(L1237,'[1]update kontrak'!E:K,6,FALSE)</f>
        <v>#N/A</v>
      </c>
      <c r="AH1237" s="11" t="e">
        <f>VLOOKUP(L1237,'[1]update kontrak'!E:K,7,FALSE)</f>
        <v>#N/A</v>
      </c>
      <c r="AI1237" s="11"/>
      <c r="AJ1237" s="11" t="str">
        <f>VLOOKUP(L1237,[1]rekap!D:M,1,FALSE)</f>
        <v>Farusi</v>
      </c>
      <c r="AK1237" s="11" t="e">
        <f>VLOOKUP(L1237,'[1]singkron data'!D:E,2,FALSE)</f>
        <v>#N/A</v>
      </c>
      <c r="AL1237" s="11" t="str">
        <f>VLOOKUP(L1237,'[1]update 521'!D:D,1,FALSE)</f>
        <v>Farusi</v>
      </c>
      <c r="AM1237" s="11" t="s">
        <v>57</v>
      </c>
      <c r="AN1237" s="11" t="e">
        <f>VLOOKUP(L1237,[1]Sheet19!E:L,8,FALSE)</f>
        <v>#N/A</v>
      </c>
      <c r="AO1237" s="11" t="e">
        <f>VLOOKUP(L1237,[1]Sheet19!E:K,7,FALSE)</f>
        <v>#N/A</v>
      </c>
      <c r="AP1237" s="12"/>
    </row>
    <row r="1238" spans="1:42" ht="15" x14ac:dyDescent="0.2">
      <c r="A1238" s="8" t="s">
        <v>2830</v>
      </c>
      <c r="B1238" s="9" t="s">
        <v>60</v>
      </c>
      <c r="C1238" s="9">
        <v>1370</v>
      </c>
      <c r="D1238" s="9" t="s">
        <v>908</v>
      </c>
      <c r="E1238" s="30"/>
      <c r="F1238" s="9" t="s">
        <v>946</v>
      </c>
      <c r="G1238" s="9" t="s">
        <v>910</v>
      </c>
      <c r="H1238" s="9" t="s">
        <v>911</v>
      </c>
      <c r="I1238" s="9" t="s">
        <v>947</v>
      </c>
      <c r="J1238" s="9" t="s">
        <v>2847</v>
      </c>
      <c r="K1238" s="9" t="s">
        <v>2848</v>
      </c>
      <c r="L1238" s="9" t="s">
        <v>2848</v>
      </c>
      <c r="M1238" s="9" t="s">
        <v>51</v>
      </c>
      <c r="N1238" s="9">
        <v>30</v>
      </c>
      <c r="O1238" s="9">
        <v>0</v>
      </c>
      <c r="P1238" s="9">
        <v>30</v>
      </c>
      <c r="Q1238" s="9">
        <v>30</v>
      </c>
      <c r="R1238" s="9">
        <v>0.1</v>
      </c>
      <c r="S1238" s="9">
        <v>-2.9219119999999998</v>
      </c>
      <c r="T1238" s="9">
        <v>132.231471</v>
      </c>
      <c r="U1238" s="9"/>
      <c r="V1238" s="11" t="s">
        <v>694</v>
      </c>
      <c r="W1238" s="11"/>
      <c r="X1238" s="11"/>
      <c r="Y1238" s="11" t="e">
        <f>VLOOKUP(L1238,'[1]singkron data'!D:H,5,FALSE)</f>
        <v>#N/A</v>
      </c>
      <c r="Z1238" s="11" t="e">
        <f>VLOOKUP(L1238,'[1]singkron data'!D:I,6,FALSE)</f>
        <v>#N/A</v>
      </c>
      <c r="AA1238" s="11" t="e">
        <f>VLOOKUP(L1238,'[1]singkron data'!D:L,9,FALSE)</f>
        <v>#N/A</v>
      </c>
      <c r="AB1238" s="11" t="s">
        <v>694</v>
      </c>
      <c r="AC1238" s="11" t="e">
        <f>VLOOKUP(L1238,'[1]singkron data'!D:M,10,FALSE)</f>
        <v>#N/A</v>
      </c>
      <c r="AD1238" s="11"/>
      <c r="AE1238" s="11" t="e">
        <f>VLOOKUP(L1238,'[1]singkron data'!D:P,13,FALSE)</f>
        <v>#N/A</v>
      </c>
      <c r="AF1238" s="11"/>
      <c r="AG1238" s="11" t="e">
        <f>VLOOKUP(L1238,'[1]update kontrak'!E:K,6,FALSE)</f>
        <v>#N/A</v>
      </c>
      <c r="AH1238" s="11" t="e">
        <f>VLOOKUP(L1238,'[1]update kontrak'!E:K,7,FALSE)</f>
        <v>#N/A</v>
      </c>
      <c r="AI1238" s="11"/>
      <c r="AJ1238" s="11" t="str">
        <f>VLOOKUP(L1238,[1]rekap!D:M,1,FALSE)</f>
        <v>Kiat</v>
      </c>
      <c r="AK1238" s="11" t="e">
        <f>VLOOKUP(L1238,'[1]singkron data'!D:E,2,FALSE)</f>
        <v>#N/A</v>
      </c>
      <c r="AL1238" s="11" t="str">
        <f>VLOOKUP(L1238,'[1]update 521'!D:D,1,FALSE)</f>
        <v>Kiat</v>
      </c>
      <c r="AM1238" s="11" t="e">
        <f>VLOOKUP(L1238,[1]Sheet18!I:M,5,FALSE)</f>
        <v>#N/A</v>
      </c>
      <c r="AN1238" s="11" t="e">
        <f>VLOOKUP(L1238,[1]Sheet19!E:L,8,FALSE)</f>
        <v>#N/A</v>
      </c>
      <c r="AO1238" s="11" t="e">
        <f>VLOOKUP(L1238,[1]Sheet19!E:K,7,FALSE)</f>
        <v>#N/A</v>
      </c>
      <c r="AP1238" s="12"/>
    </row>
    <row r="1239" spans="1:42" ht="15" x14ac:dyDescent="0.2">
      <c r="A1239" s="8" t="s">
        <v>2830</v>
      </c>
      <c r="B1239" s="9" t="s">
        <v>60</v>
      </c>
      <c r="C1239" s="9">
        <v>1371</v>
      </c>
      <c r="D1239" s="9" t="s">
        <v>908</v>
      </c>
      <c r="E1239" s="30"/>
      <c r="F1239" s="9" t="s">
        <v>946</v>
      </c>
      <c r="G1239" s="9" t="s">
        <v>910</v>
      </c>
      <c r="H1239" s="9" t="s">
        <v>911</v>
      </c>
      <c r="I1239" s="9" t="s">
        <v>947</v>
      </c>
      <c r="J1239" s="9" t="s">
        <v>2849</v>
      </c>
      <c r="K1239" s="9" t="s">
        <v>2850</v>
      </c>
      <c r="L1239" s="9" t="s">
        <v>2850</v>
      </c>
      <c r="M1239" s="9" t="s">
        <v>51</v>
      </c>
      <c r="N1239" s="9">
        <v>144</v>
      </c>
      <c r="O1239" s="9">
        <v>0</v>
      </c>
      <c r="P1239" s="9">
        <v>36</v>
      </c>
      <c r="Q1239" s="9">
        <v>36</v>
      </c>
      <c r="R1239" s="9">
        <v>0.34899999999999998</v>
      </c>
      <c r="S1239" s="9">
        <v>-2.8869180000000001</v>
      </c>
      <c r="T1239" s="9">
        <v>132.05669900000001</v>
      </c>
      <c r="U1239" s="9"/>
      <c r="V1239" s="11" t="s">
        <v>694</v>
      </c>
      <c r="W1239" s="11"/>
      <c r="X1239" s="11"/>
      <c r="Y1239" s="11" t="e">
        <f>VLOOKUP(L1239,'[1]singkron data'!D:H,5,FALSE)</f>
        <v>#N/A</v>
      </c>
      <c r="Z1239" s="11" t="e">
        <f>VLOOKUP(L1239,'[1]singkron data'!D:I,6,FALSE)</f>
        <v>#N/A</v>
      </c>
      <c r="AA1239" s="11" t="e">
        <f>VLOOKUP(L1239,'[1]singkron data'!D:L,9,FALSE)</f>
        <v>#N/A</v>
      </c>
      <c r="AB1239" s="11" t="s">
        <v>694</v>
      </c>
      <c r="AC1239" s="11" t="e">
        <f>VLOOKUP(L1239,'[1]singkron data'!D:M,10,FALSE)</f>
        <v>#N/A</v>
      </c>
      <c r="AD1239" s="11"/>
      <c r="AE1239" s="11" t="e">
        <f>VLOOKUP(L1239,'[1]singkron data'!D:P,13,FALSE)</f>
        <v>#N/A</v>
      </c>
      <c r="AF1239" s="11"/>
      <c r="AG1239" s="11" t="e">
        <f>VLOOKUP(L1239,'[1]update kontrak'!E:K,6,FALSE)</f>
        <v>#N/A</v>
      </c>
      <c r="AH1239" s="11" t="e">
        <f>VLOOKUP(L1239,'[1]update kontrak'!E:K,7,FALSE)</f>
        <v>#N/A</v>
      </c>
      <c r="AI1239" s="11"/>
      <c r="AJ1239" s="11" t="str">
        <f>VLOOKUP(L1239,[1]rekap!D:M,1,FALSE)</f>
        <v>Kamandur Tetar</v>
      </c>
      <c r="AK1239" s="11" t="e">
        <f>VLOOKUP(L1239,'[1]singkron data'!D:E,2,FALSE)</f>
        <v>#N/A</v>
      </c>
      <c r="AL1239" s="11" t="str">
        <f>VLOOKUP(L1239,'[1]update 521'!D:D,1,FALSE)</f>
        <v>Kamandur Tetar</v>
      </c>
      <c r="AM1239" s="11" t="e">
        <f>VLOOKUP(L1239,[1]Sheet18!I:M,5,FALSE)</f>
        <v>#N/A</v>
      </c>
      <c r="AN1239" s="11" t="e">
        <f>VLOOKUP(L1239,[1]Sheet19!E:L,8,FALSE)</f>
        <v>#N/A</v>
      </c>
      <c r="AO1239" s="11" t="e">
        <f>VLOOKUP(L1239,[1]Sheet19!E:K,7,FALSE)</f>
        <v>#N/A</v>
      </c>
      <c r="AP1239" s="12"/>
    </row>
    <row r="1240" spans="1:42" ht="15" x14ac:dyDescent="0.2">
      <c r="A1240" s="8" t="s">
        <v>2830</v>
      </c>
      <c r="B1240" s="9" t="s">
        <v>60</v>
      </c>
      <c r="C1240" s="9">
        <v>1372</v>
      </c>
      <c r="D1240" s="9" t="s">
        <v>908</v>
      </c>
      <c r="E1240" s="30"/>
      <c r="F1240" s="9" t="s">
        <v>1022</v>
      </c>
      <c r="G1240" s="9" t="s">
        <v>908</v>
      </c>
      <c r="H1240" s="9" t="s">
        <v>911</v>
      </c>
      <c r="I1240" s="9" t="s">
        <v>935</v>
      </c>
      <c r="J1240" s="9" t="s">
        <v>1025</v>
      </c>
      <c r="K1240" s="9" t="s">
        <v>2851</v>
      </c>
      <c r="L1240" s="9" t="s">
        <v>2851</v>
      </c>
      <c r="M1240" s="9" t="s">
        <v>51</v>
      </c>
      <c r="N1240" s="9">
        <v>43</v>
      </c>
      <c r="O1240" s="9">
        <v>22</v>
      </c>
      <c r="P1240" s="9">
        <v>21</v>
      </c>
      <c r="Q1240" s="9">
        <v>43</v>
      </c>
      <c r="R1240" s="9">
        <v>0.5</v>
      </c>
      <c r="S1240" s="9">
        <v>-1.8209500000000001</v>
      </c>
      <c r="T1240" s="9">
        <v>136.76473999999999</v>
      </c>
      <c r="U1240" s="9"/>
      <c r="V1240" s="11" t="s">
        <v>694</v>
      </c>
      <c r="W1240" s="11"/>
      <c r="X1240" s="11"/>
      <c r="Y1240" s="11" t="e">
        <f>VLOOKUP(L1240,'[1]singkron data'!D:H,5,FALSE)</f>
        <v>#N/A</v>
      </c>
      <c r="Z1240" s="11" t="e">
        <f>VLOOKUP(L1240,'[1]singkron data'!D:I,6,FALSE)</f>
        <v>#N/A</v>
      </c>
      <c r="AA1240" s="11" t="e">
        <f>VLOOKUP(L1240,'[1]singkron data'!D:L,9,FALSE)</f>
        <v>#N/A</v>
      </c>
      <c r="AB1240" s="11" t="s">
        <v>694</v>
      </c>
      <c r="AC1240" s="11" t="e">
        <f>VLOOKUP(L1240,'[1]singkron data'!D:M,10,FALSE)</f>
        <v>#N/A</v>
      </c>
      <c r="AD1240" s="11"/>
      <c r="AE1240" s="11" t="e">
        <f>VLOOKUP(L1240,'[1]singkron data'!D:P,13,FALSE)</f>
        <v>#N/A</v>
      </c>
      <c r="AF1240" s="11"/>
      <c r="AG1240" s="11" t="e">
        <f>VLOOKUP(L1240,'[1]update kontrak'!E:K,6,FALSE)</f>
        <v>#N/A</v>
      </c>
      <c r="AH1240" s="11" t="e">
        <f>VLOOKUP(L1240,'[1]update kontrak'!E:K,7,FALSE)</f>
        <v>#N/A</v>
      </c>
      <c r="AI1240" s="11"/>
      <c r="AJ1240" s="11" t="str">
        <f>VLOOKUP(L1240,[1]rekap!D:M,1,FALSE)</f>
        <v>Awunawai</v>
      </c>
      <c r="AK1240" s="11" t="e">
        <f>VLOOKUP(L1240,'[1]singkron data'!D:E,2,FALSE)</f>
        <v>#N/A</v>
      </c>
      <c r="AL1240" s="11" t="str">
        <f>VLOOKUP(L1240,'[1]update 521'!D:D,1,FALSE)</f>
        <v>Awunawai</v>
      </c>
      <c r="AM1240" s="11" t="e">
        <f>VLOOKUP(L1240,[1]Sheet18!I:M,5,FALSE)</f>
        <v>#N/A</v>
      </c>
      <c r="AN1240" s="11" t="e">
        <f>VLOOKUP(L1240,[1]Sheet19!E:L,8,FALSE)</f>
        <v>#N/A</v>
      </c>
      <c r="AO1240" s="11" t="e">
        <f>VLOOKUP(L1240,[1]Sheet19!E:K,7,FALSE)</f>
        <v>#N/A</v>
      </c>
      <c r="AP1240" s="12"/>
    </row>
    <row r="1241" spans="1:42" ht="15" x14ac:dyDescent="0.2">
      <c r="A1241" s="8" t="s">
        <v>2830</v>
      </c>
      <c r="B1241" s="9" t="s">
        <v>60</v>
      </c>
      <c r="C1241" s="9">
        <v>1373</v>
      </c>
      <c r="D1241" s="9" t="s">
        <v>908</v>
      </c>
      <c r="E1241" s="30"/>
      <c r="F1241" s="9" t="s">
        <v>946</v>
      </c>
      <c r="G1241" s="9" t="s">
        <v>910</v>
      </c>
      <c r="H1241" s="9" t="s">
        <v>911</v>
      </c>
      <c r="I1241" s="9" t="s">
        <v>947</v>
      </c>
      <c r="J1241" s="9" t="s">
        <v>2852</v>
      </c>
      <c r="K1241" s="9" t="s">
        <v>2853</v>
      </c>
      <c r="L1241" s="9" t="s">
        <v>2853</v>
      </c>
      <c r="M1241" s="9" t="s">
        <v>51</v>
      </c>
      <c r="N1241" s="9">
        <v>144</v>
      </c>
      <c r="O1241" s="9">
        <v>0</v>
      </c>
      <c r="P1241" s="9">
        <v>36</v>
      </c>
      <c r="Q1241" s="9">
        <v>36</v>
      </c>
      <c r="R1241" s="9">
        <v>0.34899999999999998</v>
      </c>
      <c r="S1241" s="9">
        <v>-2.923543</v>
      </c>
      <c r="T1241" s="9">
        <v>132.24978899999999</v>
      </c>
      <c r="U1241" s="9"/>
      <c r="V1241" s="11" t="s">
        <v>694</v>
      </c>
      <c r="W1241" s="11"/>
      <c r="X1241" s="11"/>
      <c r="Y1241" s="11" t="e">
        <f>VLOOKUP(L1241,'[1]singkron data'!D:H,5,FALSE)</f>
        <v>#N/A</v>
      </c>
      <c r="Z1241" s="11" t="e">
        <f>VLOOKUP(L1241,'[1]singkron data'!D:I,6,FALSE)</f>
        <v>#N/A</v>
      </c>
      <c r="AA1241" s="11" t="e">
        <f>VLOOKUP(L1241,'[1]singkron data'!D:L,9,FALSE)</f>
        <v>#N/A</v>
      </c>
      <c r="AB1241" s="11" t="s">
        <v>694</v>
      </c>
      <c r="AC1241" s="11" t="e">
        <f>VLOOKUP(L1241,'[1]singkron data'!D:M,10,FALSE)</f>
        <v>#N/A</v>
      </c>
      <c r="AD1241" s="11"/>
      <c r="AE1241" s="11" t="e">
        <f>VLOOKUP(L1241,'[1]singkron data'!D:P,13,FALSE)</f>
        <v>#N/A</v>
      </c>
      <c r="AF1241" s="11"/>
      <c r="AG1241" s="11" t="e">
        <f>VLOOKUP(L1241,'[1]update kontrak'!E:K,6,FALSE)</f>
        <v>#N/A</v>
      </c>
      <c r="AH1241" s="11" t="e">
        <f>VLOOKUP(L1241,'[1]update kontrak'!E:K,7,FALSE)</f>
        <v>#N/A</v>
      </c>
      <c r="AI1241" s="11"/>
      <c r="AJ1241" s="11" t="str">
        <f>VLOOKUP(L1241,[1]rekap!D:M,1,FALSE)</f>
        <v>Sukuru Tuare</v>
      </c>
      <c r="AK1241" s="11" t="e">
        <f>VLOOKUP(L1241,'[1]singkron data'!D:E,2,FALSE)</f>
        <v>#N/A</v>
      </c>
      <c r="AL1241" s="11" t="str">
        <f>VLOOKUP(L1241,'[1]update 521'!D:D,1,FALSE)</f>
        <v>Sukuru Tuare</v>
      </c>
      <c r="AM1241" s="11" t="e">
        <f>VLOOKUP(L1241,[1]Sheet18!I:M,5,FALSE)</f>
        <v>#N/A</v>
      </c>
      <c r="AN1241" s="11" t="e">
        <f>VLOOKUP(L1241,[1]Sheet19!E:L,8,FALSE)</f>
        <v>#N/A</v>
      </c>
      <c r="AO1241" s="11" t="e">
        <f>VLOOKUP(L1241,[1]Sheet19!E:K,7,FALSE)</f>
        <v>#N/A</v>
      </c>
      <c r="AP1241" s="12"/>
    </row>
    <row r="1242" spans="1:42" ht="15" x14ac:dyDescent="0.2">
      <c r="A1242" s="8" t="s">
        <v>2830</v>
      </c>
      <c r="B1242" s="9" t="s">
        <v>60</v>
      </c>
      <c r="C1242" s="9">
        <v>1374</v>
      </c>
      <c r="D1242" s="9" t="s">
        <v>284</v>
      </c>
      <c r="E1242" s="30"/>
      <c r="F1242" s="9" t="s">
        <v>292</v>
      </c>
      <c r="G1242" s="9" t="s">
        <v>286</v>
      </c>
      <c r="H1242" s="9" t="s">
        <v>287</v>
      </c>
      <c r="I1242" s="9" t="s">
        <v>509</v>
      </c>
      <c r="J1242" s="9" t="s">
        <v>512</v>
      </c>
      <c r="K1242" s="9" t="s">
        <v>2854</v>
      </c>
      <c r="L1242" s="10" t="s">
        <v>2854</v>
      </c>
      <c r="M1242" s="9" t="s">
        <v>51</v>
      </c>
      <c r="N1242" s="9">
        <v>501</v>
      </c>
      <c r="O1242" s="9">
        <v>0</v>
      </c>
      <c r="P1242" s="9">
        <v>200</v>
      </c>
      <c r="Q1242" s="9">
        <v>200</v>
      </c>
      <c r="R1242" s="9">
        <v>0.56999999999999995</v>
      </c>
      <c r="S1242" s="9">
        <v>-7.4997734999999999</v>
      </c>
      <c r="T1242" s="9">
        <v>107.4048785</v>
      </c>
      <c r="U1242" s="9"/>
      <c r="V1242" s="11" t="s">
        <v>2855</v>
      </c>
      <c r="W1242" s="11"/>
      <c r="X1242" s="11" t="s">
        <v>55</v>
      </c>
      <c r="Y1242" s="11" t="e">
        <f>VLOOKUP(L1242,'[1]singkron data'!D:H,5,FALSE)</f>
        <v>#N/A</v>
      </c>
      <c r="Z1242" s="11" t="e">
        <f>VLOOKUP(L1242,'[1]singkron data'!D:I,6,FALSE)</f>
        <v>#N/A</v>
      </c>
      <c r="AA1242" s="11" t="s">
        <v>2163</v>
      </c>
      <c r="AB1242" s="11" t="s">
        <v>54</v>
      </c>
      <c r="AC1242" s="11" t="s">
        <v>2164</v>
      </c>
      <c r="AD1242" s="11" t="s">
        <v>364</v>
      </c>
      <c r="AE1242" s="11" t="e">
        <f>VLOOKUP(L1242,'[1]singkron data'!D:P,13,FALSE)</f>
        <v>#N/A</v>
      </c>
      <c r="AF1242" s="11" t="s">
        <v>55</v>
      </c>
      <c r="AG1242" s="11" t="e">
        <f>VLOOKUP(L1242,'[1]update kontrak'!E:K,6,FALSE)</f>
        <v>#N/A</v>
      </c>
      <c r="AH1242" s="11" t="e">
        <f>VLOOKUP(L1242,'[1]update kontrak'!E:K,7,FALSE)</f>
        <v>#N/A</v>
      </c>
      <c r="AI1242" s="11"/>
      <c r="AJ1242" s="11" t="str">
        <f>VLOOKUP(L1242,[1]rekap!D:M,1,FALSE)</f>
        <v>Karangwangi</v>
      </c>
      <c r="AK1242" s="11" t="e">
        <f>VLOOKUP(L1242,'[1]singkron data'!D:E,2,FALSE)</f>
        <v>#N/A</v>
      </c>
      <c r="AL1242" s="11" t="str">
        <f>VLOOKUP(L1242,'[1]update 521'!D:D,1,FALSE)</f>
        <v>Karangwangi</v>
      </c>
      <c r="AM1242" s="11" t="s">
        <v>1253</v>
      </c>
      <c r="AN1242" s="11" t="e">
        <f>VLOOKUP(L1242,[1]Sheet19!E:L,8,FALSE)</f>
        <v>#N/A</v>
      </c>
      <c r="AO1242" s="11" t="e">
        <f>VLOOKUP(L1242,[1]Sheet19!E:K,7,FALSE)</f>
        <v>#N/A</v>
      </c>
      <c r="AP1242" s="12"/>
    </row>
    <row r="1243" spans="1:42" ht="15" x14ac:dyDescent="0.2">
      <c r="A1243" s="8" t="s">
        <v>2830</v>
      </c>
      <c r="B1243" s="9" t="s">
        <v>60</v>
      </c>
      <c r="C1243" s="9">
        <v>1375</v>
      </c>
      <c r="D1243" s="9" t="s">
        <v>514</v>
      </c>
      <c r="E1243" s="30"/>
      <c r="F1243" s="9" t="s">
        <v>550</v>
      </c>
      <c r="G1243" s="9" t="s">
        <v>551</v>
      </c>
      <c r="H1243" s="9" t="s">
        <v>47</v>
      </c>
      <c r="I1243" s="9" t="s">
        <v>552</v>
      </c>
      <c r="J1243" s="9" t="s">
        <v>2856</v>
      </c>
      <c r="K1243" s="9" t="s">
        <v>2857</v>
      </c>
      <c r="L1243" s="9" t="s">
        <v>2857</v>
      </c>
      <c r="M1243" s="9" t="s">
        <v>51</v>
      </c>
      <c r="N1243" s="9">
        <v>300</v>
      </c>
      <c r="O1243" s="9">
        <v>0</v>
      </c>
      <c r="P1243" s="9">
        <v>300</v>
      </c>
      <c r="Q1243" s="9">
        <v>300</v>
      </c>
      <c r="R1243" s="9">
        <v>0.15</v>
      </c>
      <c r="S1243" s="9">
        <v>2.866136</v>
      </c>
      <c r="T1243" s="9">
        <v>117.697981</v>
      </c>
      <c r="U1243" s="9"/>
      <c r="V1243" s="11" t="s">
        <v>2858</v>
      </c>
      <c r="W1243" s="11"/>
      <c r="X1243" s="11"/>
      <c r="Y1243" s="11" t="e">
        <f>VLOOKUP(L1243,'[1]singkron data'!D:H,5,FALSE)</f>
        <v>#N/A</v>
      </c>
      <c r="Z1243" s="11" t="e">
        <f>VLOOKUP(L1243,'[1]singkron data'!D:I,6,FALSE)</f>
        <v>#N/A</v>
      </c>
      <c r="AA1243" s="11" t="s">
        <v>2859</v>
      </c>
      <c r="AB1243" s="11" t="s">
        <v>54</v>
      </c>
      <c r="AC1243" s="11" t="s">
        <v>557</v>
      </c>
      <c r="AD1243" s="11" t="s">
        <v>364</v>
      </c>
      <c r="AE1243" s="11" t="e">
        <f>VLOOKUP(L1243,'[1]singkron data'!D:P,13,FALSE)</f>
        <v>#N/A</v>
      </c>
      <c r="AF1243" s="11" t="s">
        <v>55</v>
      </c>
      <c r="AG1243" s="11" t="e">
        <f>VLOOKUP(L1243,'[1]update kontrak'!E:K,6,FALSE)</f>
        <v>#N/A</v>
      </c>
      <c r="AH1243" s="11" t="e">
        <f>VLOOKUP(L1243,'[1]update kontrak'!E:K,7,FALSE)</f>
        <v>#N/A</v>
      </c>
      <c r="AI1243" s="11"/>
      <c r="AJ1243" s="11" t="str">
        <f>VLOOKUP(L1243,[1]rekap!D:M,1,FALSE)</f>
        <v>Tanjung Buka</v>
      </c>
      <c r="AK1243" s="11" t="e">
        <f>VLOOKUP(L1243,'[1]singkron data'!D:E,2,FALSE)</f>
        <v>#N/A</v>
      </c>
      <c r="AL1243" s="11" t="str">
        <f>VLOOKUP(L1243,'[1]update 521'!D:D,1,FALSE)</f>
        <v>Tanjung Buka</v>
      </c>
      <c r="AM1243" s="11" t="s">
        <v>96</v>
      </c>
      <c r="AN1243" s="11" t="e">
        <f>VLOOKUP(L1243,[1]Sheet19!E:L,8,FALSE)</f>
        <v>#N/A</v>
      </c>
      <c r="AO1243" s="11" t="e">
        <f>VLOOKUP(L1243,[1]Sheet19!E:K,7,FALSE)</f>
        <v>#N/A</v>
      </c>
      <c r="AP1243" s="12"/>
    </row>
    <row r="1244" spans="1:42" ht="15" x14ac:dyDescent="0.2">
      <c r="A1244" s="8" t="s">
        <v>2830</v>
      </c>
      <c r="B1244" s="9" t="s">
        <v>60</v>
      </c>
      <c r="C1244" s="9">
        <v>1376</v>
      </c>
      <c r="D1244" s="9" t="s">
        <v>514</v>
      </c>
      <c r="E1244" s="30"/>
      <c r="F1244" s="9" t="s">
        <v>550</v>
      </c>
      <c r="G1244" s="9" t="s">
        <v>551</v>
      </c>
      <c r="H1244" s="9" t="s">
        <v>47</v>
      </c>
      <c r="I1244" s="9" t="s">
        <v>552</v>
      </c>
      <c r="J1244" s="9" t="s">
        <v>2860</v>
      </c>
      <c r="K1244" s="9" t="s">
        <v>2861</v>
      </c>
      <c r="L1244" s="9" t="s">
        <v>2861</v>
      </c>
      <c r="M1244" s="9" t="s">
        <v>51</v>
      </c>
      <c r="N1244" s="9">
        <v>102</v>
      </c>
      <c r="O1244" s="9">
        <v>0</v>
      </c>
      <c r="P1244" s="9">
        <v>102</v>
      </c>
      <c r="Q1244" s="9">
        <v>102</v>
      </c>
      <c r="R1244" s="9">
        <v>0.15</v>
      </c>
      <c r="S1244" s="9">
        <v>2.7524169999999999</v>
      </c>
      <c r="T1244" s="9">
        <v>117.300528</v>
      </c>
      <c r="U1244" s="9"/>
      <c r="V1244" s="11" t="s">
        <v>2862</v>
      </c>
      <c r="W1244" s="11"/>
      <c r="X1244" s="11"/>
      <c r="Y1244" s="11" t="e">
        <f>VLOOKUP(L1244,'[1]singkron data'!D:H,5,FALSE)</f>
        <v>#N/A</v>
      </c>
      <c r="Z1244" s="11" t="e">
        <f>VLOOKUP(L1244,'[1]singkron data'!D:I,6,FALSE)</f>
        <v>#N/A</v>
      </c>
      <c r="AA1244" s="11" t="s">
        <v>556</v>
      </c>
      <c r="AB1244" s="11" t="s">
        <v>54</v>
      </c>
      <c r="AC1244" s="11" t="s">
        <v>557</v>
      </c>
      <c r="AD1244" s="11" t="s">
        <v>364</v>
      </c>
      <c r="AE1244" s="11" t="e">
        <f>VLOOKUP(L1244,'[1]singkron data'!D:P,13,FALSE)</f>
        <v>#N/A</v>
      </c>
      <c r="AF1244" s="11" t="s">
        <v>55</v>
      </c>
      <c r="AG1244" s="11" t="e">
        <f>VLOOKUP(L1244,'[1]update kontrak'!E:K,6,FALSE)</f>
        <v>#N/A</v>
      </c>
      <c r="AH1244" s="11" t="e">
        <f>VLOOKUP(L1244,'[1]update kontrak'!E:K,7,FALSE)</f>
        <v>#N/A</v>
      </c>
      <c r="AI1244" s="11"/>
      <c r="AJ1244" s="11" t="str">
        <f>VLOOKUP(L1244,[1]rekap!D:M,1,FALSE)</f>
        <v>Antutan</v>
      </c>
      <c r="AK1244" s="11" t="e">
        <f>VLOOKUP(L1244,'[1]singkron data'!D:E,2,FALSE)</f>
        <v>#N/A</v>
      </c>
      <c r="AL1244" s="11" t="str">
        <f>VLOOKUP(L1244,'[1]update 521'!D:D,1,FALSE)</f>
        <v>Antutan</v>
      </c>
      <c r="AM1244" s="11" t="s">
        <v>96</v>
      </c>
      <c r="AN1244" s="11" t="e">
        <f>VLOOKUP(L1244,[1]Sheet19!E:L,8,FALSE)</f>
        <v>#N/A</v>
      </c>
      <c r="AO1244" s="11" t="e">
        <f>VLOOKUP(L1244,[1]Sheet19!E:K,7,FALSE)</f>
        <v>#N/A</v>
      </c>
      <c r="AP1244" s="12"/>
    </row>
    <row r="1245" spans="1:42" ht="15" x14ac:dyDescent="0.2">
      <c r="A1245" s="8" t="s">
        <v>2830</v>
      </c>
      <c r="B1245" s="9" t="s">
        <v>60</v>
      </c>
      <c r="C1245" s="9">
        <v>1377</v>
      </c>
      <c r="D1245" s="9" t="s">
        <v>514</v>
      </c>
      <c r="E1245" s="30"/>
      <c r="F1245" s="9" t="s">
        <v>550</v>
      </c>
      <c r="G1245" s="9" t="s">
        <v>551</v>
      </c>
      <c r="H1245" s="9" t="s">
        <v>47</v>
      </c>
      <c r="I1245" s="9" t="s">
        <v>552</v>
      </c>
      <c r="J1245" s="9" t="s">
        <v>2863</v>
      </c>
      <c r="K1245" s="9" t="s">
        <v>2864</v>
      </c>
      <c r="L1245" s="9" t="s">
        <v>2864</v>
      </c>
      <c r="M1245" s="9" t="s">
        <v>51</v>
      </c>
      <c r="N1245" s="9">
        <v>57</v>
      </c>
      <c r="O1245" s="9">
        <v>0</v>
      </c>
      <c r="P1245" s="9">
        <v>57</v>
      </c>
      <c r="Q1245" s="9">
        <v>57</v>
      </c>
      <c r="R1245" s="9">
        <v>0.05</v>
      </c>
      <c r="S1245" s="9">
        <v>2.9986630000000001</v>
      </c>
      <c r="T1245" s="9">
        <v>117.21817</v>
      </c>
      <c r="U1245" s="9"/>
      <c r="V1245" s="11" t="s">
        <v>2865</v>
      </c>
      <c r="W1245" s="11"/>
      <c r="X1245" s="11"/>
      <c r="Y1245" s="11" t="e">
        <f>VLOOKUP(L1245,'[1]singkron data'!D:H,5,FALSE)</f>
        <v>#N/A</v>
      </c>
      <c r="Z1245" s="11" t="e">
        <f>VLOOKUP(L1245,'[1]singkron data'!D:I,6,FALSE)</f>
        <v>#N/A</v>
      </c>
      <c r="AA1245" s="11" t="s">
        <v>556</v>
      </c>
      <c r="AB1245" s="11" t="s">
        <v>54</v>
      </c>
      <c r="AC1245" s="11" t="s">
        <v>557</v>
      </c>
      <c r="AD1245" s="11" t="s">
        <v>364</v>
      </c>
      <c r="AE1245" s="11" t="e">
        <f>VLOOKUP(L1245,'[1]singkron data'!D:P,13,FALSE)</f>
        <v>#N/A</v>
      </c>
      <c r="AF1245" s="11" t="s">
        <v>55</v>
      </c>
      <c r="AG1245" s="11" t="e">
        <f>VLOOKUP(L1245,'[1]update kontrak'!E:K,6,FALSE)</f>
        <v>#N/A</v>
      </c>
      <c r="AH1245" s="11" t="e">
        <f>VLOOKUP(L1245,'[1]update kontrak'!E:K,7,FALSE)</f>
        <v>#N/A</v>
      </c>
      <c r="AI1245" s="11"/>
      <c r="AJ1245" s="11" t="str">
        <f>VLOOKUP(L1245,[1]rekap!D:M,1,FALSE)</f>
        <v>Pimping</v>
      </c>
      <c r="AK1245" s="11" t="e">
        <f>VLOOKUP(L1245,'[1]singkron data'!D:E,2,FALSE)</f>
        <v>#N/A</v>
      </c>
      <c r="AL1245" s="11" t="str">
        <f>VLOOKUP(L1245,'[1]update 521'!D:D,1,FALSE)</f>
        <v>Pimping</v>
      </c>
      <c r="AM1245" s="11" t="s">
        <v>96</v>
      </c>
      <c r="AN1245" s="11" t="e">
        <f>VLOOKUP(L1245,[1]Sheet19!E:L,8,FALSE)</f>
        <v>#N/A</v>
      </c>
      <c r="AO1245" s="11" t="e">
        <f>VLOOKUP(L1245,[1]Sheet19!E:K,7,FALSE)</f>
        <v>#N/A</v>
      </c>
      <c r="AP1245" s="12"/>
    </row>
    <row r="1246" spans="1:42" ht="15" x14ac:dyDescent="0.2">
      <c r="A1246" s="8" t="s">
        <v>2866</v>
      </c>
      <c r="B1246" s="9" t="s">
        <v>60</v>
      </c>
      <c r="C1246" s="9">
        <v>1378</v>
      </c>
      <c r="D1246" s="9" t="s">
        <v>1631</v>
      </c>
      <c r="E1246" s="30"/>
      <c r="F1246" s="9" t="s">
        <v>1911</v>
      </c>
      <c r="G1246" s="9" t="s">
        <v>1854</v>
      </c>
      <c r="H1246" s="9" t="s">
        <v>47</v>
      </c>
      <c r="I1246" s="9" t="s">
        <v>1922</v>
      </c>
      <c r="J1246" s="9" t="s">
        <v>2867</v>
      </c>
      <c r="K1246" s="9" t="s">
        <v>2868</v>
      </c>
      <c r="L1246" s="10" t="s">
        <v>2868</v>
      </c>
      <c r="M1246" s="9" t="s">
        <v>51</v>
      </c>
      <c r="N1246" s="9">
        <v>483</v>
      </c>
      <c r="O1246" s="9">
        <v>4</v>
      </c>
      <c r="P1246" s="9">
        <v>151</v>
      </c>
      <c r="Q1246" s="9">
        <v>155</v>
      </c>
      <c r="R1246" s="9">
        <v>0.5</v>
      </c>
      <c r="S1246" s="9">
        <v>-2.5841669999999999</v>
      </c>
      <c r="T1246" s="9">
        <v>101.111667</v>
      </c>
      <c r="U1246" s="9"/>
      <c r="V1246" s="11" t="s">
        <v>2869</v>
      </c>
      <c r="W1246" s="11"/>
      <c r="X1246" s="11"/>
      <c r="Y1246" s="11" t="e">
        <f>VLOOKUP(L1246,'[1]singkron data'!D:H,5,FALSE)</f>
        <v>#N/A</v>
      </c>
      <c r="Z1246" s="11" t="e">
        <f>VLOOKUP(L1246,'[1]singkron data'!D:I,6,FALSE)</f>
        <v>#N/A</v>
      </c>
      <c r="AA1246" s="11" t="e">
        <f>VLOOKUP(L1246,'[1]singkron data'!D:L,9,FALSE)</f>
        <v>#N/A</v>
      </c>
      <c r="AB1246" s="11" t="s">
        <v>54</v>
      </c>
      <c r="AC1246" s="20"/>
      <c r="AD1246" s="11" t="s">
        <v>364</v>
      </c>
      <c r="AE1246" s="11" t="e">
        <f>VLOOKUP(L1246,'[1]singkron data'!D:P,13,FALSE)</f>
        <v>#N/A</v>
      </c>
      <c r="AF1246" s="11" t="s">
        <v>55</v>
      </c>
      <c r="AG1246" s="11" t="e">
        <f>VLOOKUP(L1246,'[1]update kontrak'!E:K,6,FALSE)</f>
        <v>#N/A</v>
      </c>
      <c r="AH1246" s="11" t="e">
        <f>VLOOKUP(L1246,'[1]update kontrak'!E:K,7,FALSE)</f>
        <v>#N/A</v>
      </c>
      <c r="AI1246" s="11"/>
      <c r="AJ1246" s="11" t="str">
        <f>VLOOKUP(L1246,[1]rekap!D:M,1,FALSE)</f>
        <v>Koto Jaya</v>
      </c>
      <c r="AK1246" s="11" t="e">
        <f>VLOOKUP(L1246,'[1]singkron data'!D:E,2,FALSE)</f>
        <v>#N/A</v>
      </c>
      <c r="AL1246" s="11" t="str">
        <f>VLOOKUP(L1246,'[1]update 521'!D:D,1,FALSE)</f>
        <v>Koto Jaya</v>
      </c>
      <c r="AM1246" s="11" t="s">
        <v>96</v>
      </c>
      <c r="AN1246" s="11" t="e">
        <f>VLOOKUP(L1246,[1]Sheet19!E:L,8,FALSE)</f>
        <v>#N/A</v>
      </c>
      <c r="AO1246" s="11" t="e">
        <f>VLOOKUP(L1246,[1]Sheet19!E:K,7,FALSE)</f>
        <v>#N/A</v>
      </c>
      <c r="AP1246" s="12"/>
    </row>
    <row r="1247" spans="1:42" ht="15" x14ac:dyDescent="0.2">
      <c r="A1247" s="8" t="s">
        <v>2866</v>
      </c>
      <c r="B1247" s="9" t="s">
        <v>60</v>
      </c>
      <c r="C1247" s="9">
        <v>1379</v>
      </c>
      <c r="D1247" s="9" t="s">
        <v>284</v>
      </c>
      <c r="E1247" s="30"/>
      <c r="F1247" s="9" t="s">
        <v>493</v>
      </c>
      <c r="G1247" s="9" t="s">
        <v>301</v>
      </c>
      <c r="H1247" s="9" t="s">
        <v>287</v>
      </c>
      <c r="I1247" s="9" t="s">
        <v>1169</v>
      </c>
      <c r="J1247" s="9" t="s">
        <v>2870</v>
      </c>
      <c r="K1247" s="9" t="s">
        <v>2871</v>
      </c>
      <c r="L1247" s="10" t="s">
        <v>2871</v>
      </c>
      <c r="M1247" s="9" t="s">
        <v>51</v>
      </c>
      <c r="N1247" s="9">
        <v>260</v>
      </c>
      <c r="O1247" s="9">
        <v>0</v>
      </c>
      <c r="P1247" s="9">
        <v>130</v>
      </c>
      <c r="Q1247" s="9">
        <v>130</v>
      </c>
      <c r="R1247" s="9">
        <v>0.37</v>
      </c>
      <c r="S1247" s="9">
        <v>-6.9095000000000004</v>
      </c>
      <c r="T1247" s="9">
        <v>109.841584</v>
      </c>
      <c r="U1247" s="9"/>
      <c r="V1247" s="11" t="s">
        <v>2872</v>
      </c>
      <c r="W1247" s="11"/>
      <c r="X1247" s="11" t="s">
        <v>55</v>
      </c>
      <c r="Y1247" s="11" t="e">
        <f>VLOOKUP(L1247,'[1]singkron data'!D:H,5,FALSE)</f>
        <v>#N/A</v>
      </c>
      <c r="Z1247" s="11" t="e">
        <f>VLOOKUP(L1247,'[1]singkron data'!D:I,6,FALSE)</f>
        <v>#N/A</v>
      </c>
      <c r="AA1247" s="11" t="s">
        <v>2873</v>
      </c>
      <c r="AB1247" s="11" t="s">
        <v>54</v>
      </c>
      <c r="AC1247" s="11" t="s">
        <v>1660</v>
      </c>
      <c r="AD1247" s="11" t="s">
        <v>364</v>
      </c>
      <c r="AE1247" s="11" t="e">
        <f>VLOOKUP(L1247,'[1]singkron data'!D:P,13,FALSE)</f>
        <v>#N/A</v>
      </c>
      <c r="AF1247" s="11" t="s">
        <v>55</v>
      </c>
      <c r="AG1247" s="11" t="e">
        <f>VLOOKUP(L1247,'[1]update kontrak'!E:K,6,FALSE)</f>
        <v>#N/A</v>
      </c>
      <c r="AH1247" s="11" t="e">
        <f>VLOOKUP(L1247,'[1]update kontrak'!E:K,7,FALSE)</f>
        <v>#N/A</v>
      </c>
      <c r="AI1247" s="11" t="s">
        <v>58</v>
      </c>
      <c r="AJ1247" s="11" t="str">
        <f>VLOOKUP(L1247,[1]rekap!D:M,1,FALSE)</f>
        <v>Kedungsegog</v>
      </c>
      <c r="AK1247" s="11" t="e">
        <f>VLOOKUP(L1247,'[1]singkron data'!D:E,2,FALSE)</f>
        <v>#N/A</v>
      </c>
      <c r="AL1247" s="11" t="str">
        <f>VLOOKUP(L1247,'[1]update 521'!D:D,1,FALSE)</f>
        <v>Kedungsegog</v>
      </c>
      <c r="AM1247" s="11" t="s">
        <v>1253</v>
      </c>
      <c r="AN1247" s="11" t="e">
        <f>VLOOKUP(L1247,[1]Sheet19!E:L,8,FALSE)</f>
        <v>#N/A</v>
      </c>
      <c r="AO1247" s="11" t="e">
        <f>VLOOKUP(L1247,[1]Sheet19!E:K,7,FALSE)</f>
        <v>#N/A</v>
      </c>
      <c r="AP1247" s="12"/>
    </row>
    <row r="1248" spans="1:42" ht="15" x14ac:dyDescent="0.2">
      <c r="A1248" s="8" t="s">
        <v>2866</v>
      </c>
      <c r="B1248" s="9" t="s">
        <v>60</v>
      </c>
      <c r="C1248" s="9">
        <v>1380</v>
      </c>
      <c r="D1248" s="9" t="s">
        <v>908</v>
      </c>
      <c r="E1248" s="30"/>
      <c r="F1248" s="9" t="s">
        <v>934</v>
      </c>
      <c r="G1248" s="9" t="s">
        <v>908</v>
      </c>
      <c r="H1248" s="9" t="s">
        <v>911</v>
      </c>
      <c r="I1248" s="9" t="s">
        <v>935</v>
      </c>
      <c r="J1248" s="9" t="s">
        <v>936</v>
      </c>
      <c r="K1248" s="9" t="s">
        <v>2874</v>
      </c>
      <c r="L1248" s="9" t="s">
        <v>2874</v>
      </c>
      <c r="M1248" s="9" t="s">
        <v>51</v>
      </c>
      <c r="N1248" s="9">
        <v>80</v>
      </c>
      <c r="O1248" s="9">
        <v>74</v>
      </c>
      <c r="P1248" s="9">
        <v>6</v>
      </c>
      <c r="Q1248" s="9">
        <v>80</v>
      </c>
      <c r="R1248" s="9">
        <v>0.25</v>
      </c>
      <c r="S1248" s="9">
        <v>-1.781003396</v>
      </c>
      <c r="T1248" s="9">
        <v>136.8842075</v>
      </c>
      <c r="U1248" s="9"/>
      <c r="V1248" s="11" t="s">
        <v>694</v>
      </c>
      <c r="W1248" s="11"/>
      <c r="X1248" s="11"/>
      <c r="Y1248" s="11" t="e">
        <f>VLOOKUP(L1248,'[1]singkron data'!D:H,5,FALSE)</f>
        <v>#N/A</v>
      </c>
      <c r="Z1248" s="11" t="e">
        <f>VLOOKUP(L1248,'[1]singkron data'!D:I,6,FALSE)</f>
        <v>#N/A</v>
      </c>
      <c r="AA1248" s="11" t="e">
        <f>VLOOKUP(L1248,'[1]singkron data'!D:L,9,FALSE)</f>
        <v>#N/A</v>
      </c>
      <c r="AB1248" s="11" t="s">
        <v>694</v>
      </c>
      <c r="AC1248" s="11" t="e">
        <f>VLOOKUP(L1248,'[1]singkron data'!D:M,10,FALSE)</f>
        <v>#N/A</v>
      </c>
      <c r="AD1248" s="11"/>
      <c r="AE1248" s="11" t="e">
        <f>VLOOKUP(L1248,'[1]singkron data'!D:P,13,FALSE)</f>
        <v>#N/A</v>
      </c>
      <c r="AF1248" s="11"/>
      <c r="AG1248" s="11" t="e">
        <f>VLOOKUP(L1248,'[1]update kontrak'!E:K,6,FALSE)</f>
        <v>#N/A</v>
      </c>
      <c r="AH1248" s="11" t="e">
        <f>VLOOKUP(L1248,'[1]update kontrak'!E:K,7,FALSE)</f>
        <v>#N/A</v>
      </c>
      <c r="AI1248" s="11"/>
      <c r="AJ1248" s="11" t="str">
        <f>VLOOKUP(L1248,[1]rekap!D:M,1,FALSE)</f>
        <v>Waindu</v>
      </c>
      <c r="AK1248" s="11" t="e">
        <f>VLOOKUP(L1248,'[1]singkron data'!D:E,2,FALSE)</f>
        <v>#N/A</v>
      </c>
      <c r="AL1248" s="11" t="str">
        <f>VLOOKUP(L1248,'[1]update 521'!D:D,1,FALSE)</f>
        <v>Waindu</v>
      </c>
      <c r="AM1248" s="11" t="e">
        <f>VLOOKUP(L1248,[1]Sheet18!I:M,5,FALSE)</f>
        <v>#N/A</v>
      </c>
      <c r="AN1248" s="11" t="e">
        <f>VLOOKUP(L1248,[1]Sheet19!E:L,8,FALSE)</f>
        <v>#N/A</v>
      </c>
      <c r="AO1248" s="11" t="e">
        <f>VLOOKUP(L1248,[1]Sheet19!E:K,7,FALSE)</f>
        <v>#N/A</v>
      </c>
      <c r="AP1248" s="12"/>
    </row>
    <row r="1249" spans="1:42" ht="15" x14ac:dyDescent="0.2">
      <c r="A1249" s="8" t="s">
        <v>2866</v>
      </c>
      <c r="B1249" s="9" t="s">
        <v>60</v>
      </c>
      <c r="C1249" s="9">
        <v>1381</v>
      </c>
      <c r="D1249" s="9" t="s">
        <v>908</v>
      </c>
      <c r="E1249" s="30"/>
      <c r="F1249" s="9" t="s">
        <v>1022</v>
      </c>
      <c r="G1249" s="9" t="s">
        <v>908</v>
      </c>
      <c r="H1249" s="9" t="s">
        <v>911</v>
      </c>
      <c r="I1249" s="9" t="s">
        <v>935</v>
      </c>
      <c r="J1249" s="9" t="s">
        <v>1023</v>
      </c>
      <c r="K1249" s="9" t="s">
        <v>2875</v>
      </c>
      <c r="L1249" s="9" t="s">
        <v>2875</v>
      </c>
      <c r="M1249" s="9" t="s">
        <v>51</v>
      </c>
      <c r="N1249" s="9">
        <v>90</v>
      </c>
      <c r="O1249" s="9">
        <v>70</v>
      </c>
      <c r="P1249" s="9">
        <v>20</v>
      </c>
      <c r="Q1249" s="9">
        <v>90</v>
      </c>
      <c r="R1249" s="9">
        <v>1</v>
      </c>
      <c r="S1249" s="9">
        <v>-1.8622380000000001</v>
      </c>
      <c r="T1249" s="9">
        <v>136.57096300000001</v>
      </c>
      <c r="U1249" s="9"/>
      <c r="V1249" s="11" t="s">
        <v>694</v>
      </c>
      <c r="W1249" s="11"/>
      <c r="X1249" s="11"/>
      <c r="Y1249" s="11" t="e">
        <f>VLOOKUP(L1249,'[1]singkron data'!D:H,5,FALSE)</f>
        <v>#N/A</v>
      </c>
      <c r="Z1249" s="11" t="e">
        <f>VLOOKUP(L1249,'[1]singkron data'!D:I,6,FALSE)</f>
        <v>#N/A</v>
      </c>
      <c r="AA1249" s="11" t="e">
        <f>VLOOKUP(L1249,'[1]singkron data'!D:L,9,FALSE)</f>
        <v>#N/A</v>
      </c>
      <c r="AB1249" s="11" t="s">
        <v>694</v>
      </c>
      <c r="AC1249" s="11" t="e">
        <f>VLOOKUP(L1249,'[1]singkron data'!D:M,10,FALSE)</f>
        <v>#N/A</v>
      </c>
      <c r="AD1249" s="11"/>
      <c r="AE1249" s="11" t="e">
        <f>VLOOKUP(L1249,'[1]singkron data'!D:P,13,FALSE)</f>
        <v>#N/A</v>
      </c>
      <c r="AF1249" s="11"/>
      <c r="AG1249" s="11" t="e">
        <f>VLOOKUP(L1249,'[1]update kontrak'!E:K,6,FALSE)</f>
        <v>#N/A</v>
      </c>
      <c r="AH1249" s="11" t="e">
        <f>VLOOKUP(L1249,'[1]update kontrak'!E:K,7,FALSE)</f>
        <v>#N/A</v>
      </c>
      <c r="AI1249" s="11"/>
      <c r="AJ1249" s="11" t="str">
        <f>VLOOKUP(L1249,[1]rekap!D:M,1,FALSE)</f>
        <v>Tarei</v>
      </c>
      <c r="AK1249" s="11" t="e">
        <f>VLOOKUP(L1249,'[1]singkron data'!D:E,2,FALSE)</f>
        <v>#N/A</v>
      </c>
      <c r="AL1249" s="11" t="str">
        <f>VLOOKUP(L1249,'[1]update 521'!D:D,1,FALSE)</f>
        <v>Tarei</v>
      </c>
      <c r="AM1249" s="11" t="e">
        <f>VLOOKUP(L1249,[1]Sheet18!I:M,5,FALSE)</f>
        <v>#N/A</v>
      </c>
      <c r="AN1249" s="11" t="e">
        <f>VLOOKUP(L1249,[1]Sheet19!E:L,8,FALSE)</f>
        <v>#N/A</v>
      </c>
      <c r="AO1249" s="11" t="e">
        <f>VLOOKUP(L1249,[1]Sheet19!E:K,7,FALSE)</f>
        <v>#N/A</v>
      </c>
      <c r="AP1249" s="12"/>
    </row>
    <row r="1250" spans="1:42" ht="15" x14ac:dyDescent="0.2">
      <c r="A1250" s="8" t="s">
        <v>2876</v>
      </c>
      <c r="B1250" s="9" t="s">
        <v>60</v>
      </c>
      <c r="C1250" s="9">
        <v>1382</v>
      </c>
      <c r="D1250" s="9" t="s">
        <v>514</v>
      </c>
      <c r="E1250" s="30"/>
      <c r="F1250" s="9" t="s">
        <v>550</v>
      </c>
      <c r="G1250" s="9" t="s">
        <v>551</v>
      </c>
      <c r="H1250" s="9" t="s">
        <v>47</v>
      </c>
      <c r="I1250" s="9" t="s">
        <v>552</v>
      </c>
      <c r="J1250" s="9" t="s">
        <v>2863</v>
      </c>
      <c r="K1250" s="9" t="s">
        <v>2877</v>
      </c>
      <c r="L1250" s="9" t="s">
        <v>2877</v>
      </c>
      <c r="M1250" s="9" t="s">
        <v>51</v>
      </c>
      <c r="N1250" s="9">
        <v>50</v>
      </c>
      <c r="O1250" s="9">
        <v>0</v>
      </c>
      <c r="P1250" s="9">
        <v>50</v>
      </c>
      <c r="Q1250" s="9">
        <v>50</v>
      </c>
      <c r="R1250" s="9">
        <v>0.2</v>
      </c>
      <c r="S1250" s="9">
        <v>3.1118519999999998</v>
      </c>
      <c r="T1250" s="9">
        <v>117.24766099999999</v>
      </c>
      <c r="U1250" s="9"/>
      <c r="V1250" s="11" t="s">
        <v>2878</v>
      </c>
      <c r="W1250" s="11"/>
      <c r="X1250" s="11"/>
      <c r="Y1250" s="11" t="e">
        <f>VLOOKUP(L1250,'[1]singkron data'!D:H,5,FALSE)</f>
        <v>#N/A</v>
      </c>
      <c r="Z1250" s="11" t="e">
        <f>VLOOKUP(L1250,'[1]singkron data'!D:I,6,FALSE)</f>
        <v>#N/A</v>
      </c>
      <c r="AA1250" s="11" t="s">
        <v>556</v>
      </c>
      <c r="AB1250" s="11" t="s">
        <v>54</v>
      </c>
      <c r="AC1250" s="11" t="s">
        <v>557</v>
      </c>
      <c r="AD1250" s="11" t="s">
        <v>364</v>
      </c>
      <c r="AE1250" s="11" t="e">
        <f>VLOOKUP(L1250,'[1]singkron data'!D:P,13,FALSE)</f>
        <v>#N/A</v>
      </c>
      <c r="AF1250" s="11" t="s">
        <v>55</v>
      </c>
      <c r="AG1250" s="11" t="e">
        <f>VLOOKUP(L1250,'[1]update kontrak'!E:K,6,FALSE)</f>
        <v>#N/A</v>
      </c>
      <c r="AH1250" s="11" t="e">
        <f>VLOOKUP(L1250,'[1]update kontrak'!E:K,7,FALSE)</f>
        <v>#N/A</v>
      </c>
      <c r="AI1250" s="11"/>
      <c r="AJ1250" s="11" t="str">
        <f>VLOOKUP(L1250,[1]rekap!D:M,1,FALSE)</f>
        <v>Ardi Mulyo</v>
      </c>
      <c r="AK1250" s="11" t="e">
        <f>VLOOKUP(L1250,'[1]singkron data'!D:E,2,FALSE)</f>
        <v>#N/A</v>
      </c>
      <c r="AL1250" s="11" t="str">
        <f>VLOOKUP(L1250,'[1]update 521'!D:D,1,FALSE)</f>
        <v>Ardi Mulyo</v>
      </c>
      <c r="AM1250" s="11" t="e">
        <v>#N/A</v>
      </c>
      <c r="AN1250" s="11" t="e">
        <f>VLOOKUP(L1250,[1]Sheet19!E:L,8,FALSE)</f>
        <v>#N/A</v>
      </c>
      <c r="AO1250" s="11" t="e">
        <f>VLOOKUP(L1250,[1]Sheet19!E:K,7,FALSE)</f>
        <v>#N/A</v>
      </c>
      <c r="AP1250" s="12"/>
    </row>
    <row r="1251" spans="1:42" ht="15" x14ac:dyDescent="0.2">
      <c r="A1251" s="8" t="s">
        <v>2876</v>
      </c>
      <c r="B1251" s="9" t="s">
        <v>60</v>
      </c>
      <c r="C1251" s="9">
        <v>1383</v>
      </c>
      <c r="D1251" s="9" t="s">
        <v>908</v>
      </c>
      <c r="E1251" s="30"/>
      <c r="F1251" s="9" t="s">
        <v>1066</v>
      </c>
      <c r="G1251" s="9" t="s">
        <v>989</v>
      </c>
      <c r="H1251" s="9" t="s">
        <v>911</v>
      </c>
      <c r="I1251" s="9" t="s">
        <v>1067</v>
      </c>
      <c r="J1251" s="9" t="s">
        <v>2879</v>
      </c>
      <c r="K1251" s="9" t="s">
        <v>2880</v>
      </c>
      <c r="L1251" s="9" t="s">
        <v>2880</v>
      </c>
      <c r="M1251" s="9" t="s">
        <v>51</v>
      </c>
      <c r="N1251" s="9">
        <v>78</v>
      </c>
      <c r="O1251" s="9">
        <v>0</v>
      </c>
      <c r="P1251" s="9">
        <v>17</v>
      </c>
      <c r="Q1251" s="9">
        <v>17</v>
      </c>
      <c r="R1251" s="9">
        <v>0.5</v>
      </c>
      <c r="S1251" s="9">
        <v>-8.0995000000000008</v>
      </c>
      <c r="T1251" s="9">
        <v>139.82669999999999</v>
      </c>
      <c r="U1251" s="9"/>
      <c r="V1251" s="11" t="s">
        <v>694</v>
      </c>
      <c r="W1251" s="11"/>
      <c r="X1251" s="11"/>
      <c r="Y1251" s="11" t="e">
        <f>VLOOKUP(L1251,'[1]singkron data'!D:H,5,FALSE)</f>
        <v>#N/A</v>
      </c>
      <c r="Z1251" s="11" t="e">
        <f>VLOOKUP(L1251,'[1]singkron data'!D:I,6,FALSE)</f>
        <v>#N/A</v>
      </c>
      <c r="AA1251" s="11" t="e">
        <f>VLOOKUP(L1251,'[1]singkron data'!D:L,9,FALSE)</f>
        <v>#N/A</v>
      </c>
      <c r="AB1251" s="11" t="s">
        <v>694</v>
      </c>
      <c r="AC1251" s="11" t="e">
        <f>VLOOKUP(L1251,'[1]singkron data'!D:M,10,FALSE)</f>
        <v>#N/A</v>
      </c>
      <c r="AD1251" s="11"/>
      <c r="AE1251" s="11" t="e">
        <f>VLOOKUP(L1251,'[1]singkron data'!D:P,13,FALSE)</f>
        <v>#N/A</v>
      </c>
      <c r="AF1251" s="11"/>
      <c r="AG1251" s="11" t="e">
        <f>VLOOKUP(L1251,'[1]update kontrak'!E:K,6,FALSE)</f>
        <v>#N/A</v>
      </c>
      <c r="AH1251" s="11" t="e">
        <f>VLOOKUP(L1251,'[1]update kontrak'!E:K,7,FALSE)</f>
        <v>#N/A</v>
      </c>
      <c r="AI1251" s="11"/>
      <c r="AJ1251" s="11" t="str">
        <f>VLOOKUP(L1251,[1]rekap!D:M,1,FALSE)</f>
        <v>Sanggase</v>
      </c>
      <c r="AK1251" s="11" t="e">
        <f>VLOOKUP(L1251,'[1]singkron data'!D:E,2,FALSE)</f>
        <v>#N/A</v>
      </c>
      <c r="AL1251" s="11" t="str">
        <f>VLOOKUP(L1251,'[1]update 521'!D:D,1,FALSE)</f>
        <v>Sanggase</v>
      </c>
      <c r="AM1251" s="11" t="e">
        <f>VLOOKUP(L1251,[1]Sheet18!I:M,5,FALSE)</f>
        <v>#N/A</v>
      </c>
      <c r="AN1251" s="11" t="e">
        <f>VLOOKUP(L1251,[1]Sheet19!E:L,8,FALSE)</f>
        <v>#N/A</v>
      </c>
      <c r="AO1251" s="11" t="e">
        <f>VLOOKUP(L1251,[1]Sheet19!E:K,7,FALSE)</f>
        <v>#N/A</v>
      </c>
      <c r="AP1251" s="12"/>
    </row>
    <row r="1252" spans="1:42" ht="15" x14ac:dyDescent="0.2">
      <c r="A1252" s="8" t="s">
        <v>2876</v>
      </c>
      <c r="B1252" s="9" t="s">
        <v>60</v>
      </c>
      <c r="C1252" s="9">
        <v>1384</v>
      </c>
      <c r="D1252" s="9" t="s">
        <v>284</v>
      </c>
      <c r="E1252" s="30"/>
      <c r="F1252" s="9" t="s">
        <v>2273</v>
      </c>
      <c r="G1252" s="9" t="s">
        <v>297</v>
      </c>
      <c r="H1252" s="9" t="s">
        <v>287</v>
      </c>
      <c r="I1252" s="9" t="s">
        <v>2274</v>
      </c>
      <c r="J1252" s="9" t="s">
        <v>2881</v>
      </c>
      <c r="K1252" s="9" t="s">
        <v>2882</v>
      </c>
      <c r="L1252" s="10" t="s">
        <v>2882</v>
      </c>
      <c r="M1252" s="9" t="s">
        <v>51</v>
      </c>
      <c r="N1252" s="9">
        <v>150</v>
      </c>
      <c r="O1252" s="9">
        <v>30</v>
      </c>
      <c r="P1252" s="9">
        <v>20</v>
      </c>
      <c r="Q1252" s="9">
        <v>50</v>
      </c>
      <c r="R1252" s="9">
        <v>0.99</v>
      </c>
      <c r="S1252" s="9">
        <v>-5.7434687200000001</v>
      </c>
      <c r="T1252" s="9">
        <v>112.6325712</v>
      </c>
      <c r="U1252" s="9"/>
      <c r="V1252" s="11" t="s">
        <v>2288</v>
      </c>
      <c r="W1252" s="11"/>
      <c r="X1252" s="11" t="s">
        <v>55</v>
      </c>
      <c r="Y1252" s="11" t="e">
        <f>VLOOKUP(L1252,'[1]singkron data'!D:H,5,FALSE)</f>
        <v>#N/A</v>
      </c>
      <c r="Z1252" s="11" t="e">
        <f>VLOOKUP(L1252,'[1]singkron data'!D:I,6,FALSE)</f>
        <v>#N/A</v>
      </c>
      <c r="AA1252" s="11" t="s">
        <v>2289</v>
      </c>
      <c r="AB1252" s="11" t="s">
        <v>54</v>
      </c>
      <c r="AC1252" s="11" t="s">
        <v>2290</v>
      </c>
      <c r="AD1252" s="11" t="s">
        <v>364</v>
      </c>
      <c r="AE1252" s="11" t="e">
        <f>VLOOKUP(L1252,'[1]singkron data'!D:P,13,FALSE)</f>
        <v>#N/A</v>
      </c>
      <c r="AF1252" s="11" t="s">
        <v>55</v>
      </c>
      <c r="AG1252" s="11" t="e">
        <f>VLOOKUP(L1252,'[1]update kontrak'!E:K,6,FALSE)</f>
        <v>#N/A</v>
      </c>
      <c r="AH1252" s="11" t="e">
        <f>VLOOKUP(L1252,'[1]update kontrak'!E:K,7,FALSE)</f>
        <v>#N/A</v>
      </c>
      <c r="AI1252" s="11"/>
      <c r="AJ1252" s="11" t="str">
        <f>VLOOKUP(L1252,[1]rekap!D:M,1,FALSE)</f>
        <v>Sukalela</v>
      </c>
      <c r="AK1252" s="11" t="e">
        <f>VLOOKUP(L1252,'[1]singkron data'!D:E,2,FALSE)</f>
        <v>#N/A</v>
      </c>
      <c r="AL1252" s="11" t="str">
        <f>VLOOKUP(L1252,'[1]update 521'!D:D,1,FALSE)</f>
        <v>Sukalela</v>
      </c>
      <c r="AM1252" s="11" t="s">
        <v>1253</v>
      </c>
      <c r="AN1252" s="11" t="e">
        <f>VLOOKUP(L1252,[1]Sheet19!E:L,8,FALSE)</f>
        <v>#N/A</v>
      </c>
      <c r="AO1252" s="11" t="e">
        <f>VLOOKUP(L1252,[1]Sheet19!E:K,7,FALSE)</f>
        <v>#N/A</v>
      </c>
      <c r="AP1252" s="12"/>
    </row>
    <row r="1253" spans="1:42" ht="15" x14ac:dyDescent="0.2">
      <c r="A1253" s="8" t="s">
        <v>2876</v>
      </c>
      <c r="B1253" s="9" t="s">
        <v>60</v>
      </c>
      <c r="C1253" s="9">
        <v>1385</v>
      </c>
      <c r="D1253" s="9" t="s">
        <v>1112</v>
      </c>
      <c r="E1253" s="30"/>
      <c r="F1253" s="9" t="s">
        <v>1521</v>
      </c>
      <c r="G1253" s="9" t="s">
        <v>1141</v>
      </c>
      <c r="H1253" s="9" t="s">
        <v>287</v>
      </c>
      <c r="I1253" s="9" t="s">
        <v>1555</v>
      </c>
      <c r="J1253" s="9" t="s">
        <v>2883</v>
      </c>
      <c r="K1253" s="9" t="s">
        <v>2884</v>
      </c>
      <c r="L1253" s="10" t="s">
        <v>2884</v>
      </c>
      <c r="M1253" s="9" t="s">
        <v>51</v>
      </c>
      <c r="N1253" s="9">
        <v>30</v>
      </c>
      <c r="O1253" s="9">
        <v>8</v>
      </c>
      <c r="P1253" s="9">
        <v>12</v>
      </c>
      <c r="Q1253" s="9">
        <v>20</v>
      </c>
      <c r="R1253" s="9">
        <v>0.27</v>
      </c>
      <c r="S1253" s="9">
        <v>-3.89547</v>
      </c>
      <c r="T1253" s="9">
        <v>122.60498</v>
      </c>
      <c r="U1253" s="9"/>
      <c r="V1253" s="11" t="s">
        <v>2885</v>
      </c>
      <c r="W1253" s="11"/>
      <c r="X1253" s="11"/>
      <c r="Y1253" s="11" t="e">
        <f>VLOOKUP(L1253,'[1]singkron data'!D:H,5,FALSE)</f>
        <v>#N/A</v>
      </c>
      <c r="Z1253" s="11" t="e">
        <f>VLOOKUP(L1253,'[1]singkron data'!D:I,6,FALSE)</f>
        <v>#N/A</v>
      </c>
      <c r="AA1253" s="51" t="s">
        <v>2886</v>
      </c>
      <c r="AB1253" s="11" t="s">
        <v>54</v>
      </c>
      <c r="AC1253" s="11" t="s">
        <v>2887</v>
      </c>
      <c r="AD1253" s="11" t="s">
        <v>364</v>
      </c>
      <c r="AE1253" s="11" t="e">
        <f>VLOOKUP(L1253,'[1]singkron data'!D:P,13,FALSE)</f>
        <v>#N/A</v>
      </c>
      <c r="AF1253" s="11" t="s">
        <v>55</v>
      </c>
      <c r="AG1253" s="11" t="e">
        <f>VLOOKUP(L1253,'[1]update kontrak'!E:K,6,FALSE)</f>
        <v>#N/A</v>
      </c>
      <c r="AH1253" s="11" t="e">
        <f>VLOOKUP(L1253,'[1]update kontrak'!E:K,7,FALSE)</f>
        <v>#N/A</v>
      </c>
      <c r="AI1253" s="11"/>
      <c r="AJ1253" s="11" t="str">
        <f>VLOOKUP(L1253,[1]rekap!D:M,1,FALSE)</f>
        <v>Sawapudo</v>
      </c>
      <c r="AK1253" s="11" t="e">
        <f>VLOOKUP(L1253,'[1]singkron data'!D:E,2,FALSE)</f>
        <v>#N/A</v>
      </c>
      <c r="AL1253" s="11" t="str">
        <f>VLOOKUP(L1253,'[1]update 521'!D:D,1,FALSE)</f>
        <v>Sawapudo</v>
      </c>
      <c r="AM1253" s="11" t="s">
        <v>1253</v>
      </c>
      <c r="AN1253" s="11" t="e">
        <f>VLOOKUP(L1253,[1]Sheet19!E:L,8,FALSE)</f>
        <v>#N/A</v>
      </c>
      <c r="AO1253" s="11" t="e">
        <f>VLOOKUP(L1253,[1]Sheet19!E:K,7,FALSE)</f>
        <v>#N/A</v>
      </c>
      <c r="AP1253" s="12"/>
    </row>
    <row r="1254" spans="1:42" ht="15" x14ac:dyDescent="0.2">
      <c r="A1254" s="8" t="s">
        <v>2876</v>
      </c>
      <c r="B1254" s="9" t="s">
        <v>60</v>
      </c>
      <c r="C1254" s="9">
        <v>1386</v>
      </c>
      <c r="D1254" s="9" t="s">
        <v>1112</v>
      </c>
      <c r="E1254" s="30"/>
      <c r="F1254" s="9" t="s">
        <v>1521</v>
      </c>
      <c r="G1254" s="9" t="s">
        <v>1141</v>
      </c>
      <c r="H1254" s="9" t="s">
        <v>287</v>
      </c>
      <c r="I1254" s="9" t="s">
        <v>1555</v>
      </c>
      <c r="J1254" s="9" t="s">
        <v>2883</v>
      </c>
      <c r="K1254" s="9" t="s">
        <v>2883</v>
      </c>
      <c r="L1254" s="10" t="s">
        <v>2883</v>
      </c>
      <c r="M1254" s="9" t="s">
        <v>51</v>
      </c>
      <c r="N1254" s="9">
        <v>59</v>
      </c>
      <c r="O1254" s="9">
        <v>10</v>
      </c>
      <c r="P1254" s="9">
        <v>49</v>
      </c>
      <c r="Q1254" s="9">
        <v>59</v>
      </c>
      <c r="R1254" s="9">
        <v>3</v>
      </c>
      <c r="S1254" s="9">
        <v>-3.8991899999999999</v>
      </c>
      <c r="T1254" s="9">
        <v>122.58644</v>
      </c>
      <c r="U1254" s="9"/>
      <c r="V1254" s="11" t="s">
        <v>2885</v>
      </c>
      <c r="W1254" s="11"/>
      <c r="X1254" s="11"/>
      <c r="Y1254" s="11" t="e">
        <f>VLOOKUP(L1254,'[1]singkron data'!D:H,5,FALSE)</f>
        <v>#N/A</v>
      </c>
      <c r="Z1254" s="11" t="e">
        <f>VLOOKUP(L1254,'[1]singkron data'!D:I,6,FALSE)</f>
        <v>#N/A</v>
      </c>
      <c r="AA1254" s="51" t="s">
        <v>2886</v>
      </c>
      <c r="AB1254" s="11" t="s">
        <v>54</v>
      </c>
      <c r="AC1254" s="11" t="s">
        <v>2887</v>
      </c>
      <c r="AD1254" s="11" t="s">
        <v>364</v>
      </c>
      <c r="AE1254" s="11" t="e">
        <f>VLOOKUP(L1254,'[1]singkron data'!D:P,13,FALSE)</f>
        <v>#N/A</v>
      </c>
      <c r="AF1254" s="11" t="s">
        <v>55</v>
      </c>
      <c r="AG1254" s="11" t="e">
        <f>VLOOKUP(L1254,'[1]update kontrak'!E:K,6,FALSE)</f>
        <v>#N/A</v>
      </c>
      <c r="AH1254" s="11" t="e">
        <f>VLOOKUP(L1254,'[1]update kontrak'!E:K,7,FALSE)</f>
        <v>#N/A</v>
      </c>
      <c r="AI1254" s="11"/>
      <c r="AJ1254" s="11" t="str">
        <f>VLOOKUP(L1254,[1]rekap!D:M,1,FALSE)</f>
        <v>Soropia</v>
      </c>
      <c r="AK1254" s="11" t="e">
        <f>VLOOKUP(L1254,'[1]singkron data'!D:E,2,FALSE)</f>
        <v>#N/A</v>
      </c>
      <c r="AL1254" s="11" t="str">
        <f>VLOOKUP(L1254,'[1]update 521'!D:D,1,FALSE)</f>
        <v>Soropia</v>
      </c>
      <c r="AM1254" s="11" t="s">
        <v>1253</v>
      </c>
      <c r="AN1254" s="11" t="e">
        <f>VLOOKUP(L1254,[1]Sheet19!E:L,8,FALSE)</f>
        <v>#N/A</v>
      </c>
      <c r="AO1254" s="11" t="e">
        <f>VLOOKUP(L1254,[1]Sheet19!E:K,7,FALSE)</f>
        <v>#N/A</v>
      </c>
      <c r="AP1254" s="12"/>
    </row>
    <row r="1255" spans="1:42" ht="15" x14ac:dyDescent="0.2">
      <c r="A1255" s="8" t="s">
        <v>2876</v>
      </c>
      <c r="B1255" s="9" t="s">
        <v>60</v>
      </c>
      <c r="C1255" s="9">
        <v>1387</v>
      </c>
      <c r="D1255" s="9" t="s">
        <v>1112</v>
      </c>
      <c r="E1255" s="30"/>
      <c r="F1255" s="9" t="s">
        <v>2599</v>
      </c>
      <c r="G1255" s="9" t="s">
        <v>1141</v>
      </c>
      <c r="H1255" s="9" t="s">
        <v>287</v>
      </c>
      <c r="I1255" s="9" t="s">
        <v>1432</v>
      </c>
      <c r="J1255" s="9" t="s">
        <v>2888</v>
      </c>
      <c r="K1255" s="9" t="s">
        <v>2889</v>
      </c>
      <c r="L1255" s="10" t="s">
        <v>2889</v>
      </c>
      <c r="M1255" s="9" t="s">
        <v>65</v>
      </c>
      <c r="N1255" s="9">
        <v>300</v>
      </c>
      <c r="O1255" s="9">
        <v>0</v>
      </c>
      <c r="P1255" s="9">
        <v>300</v>
      </c>
      <c r="Q1255" s="9">
        <v>300</v>
      </c>
      <c r="R1255" s="9" t="s">
        <v>397</v>
      </c>
      <c r="S1255" s="9">
        <v>-5.5364509999999996</v>
      </c>
      <c r="T1255" s="9">
        <v>122.89734300000001</v>
      </c>
      <c r="U1255" s="9"/>
      <c r="V1255" s="11"/>
      <c r="W1255" s="11"/>
      <c r="X1255" s="11"/>
      <c r="Y1255" s="11" t="e">
        <f>VLOOKUP(L1255,'[1]singkron data'!D:H,5,FALSE)</f>
        <v>#N/A</v>
      </c>
      <c r="Z1255" s="11" t="e">
        <f>VLOOKUP(L1255,'[1]singkron data'!D:I,6,FALSE)</f>
        <v>#N/A</v>
      </c>
      <c r="AA1255" s="11"/>
      <c r="AB1255" s="11" t="s">
        <v>54</v>
      </c>
      <c r="AC1255" s="11" t="s">
        <v>1698</v>
      </c>
      <c r="AD1255" s="11" t="s">
        <v>364</v>
      </c>
      <c r="AE1255" s="11" t="e">
        <f>VLOOKUP(L1255,'[1]singkron data'!D:P,13,FALSE)</f>
        <v>#N/A</v>
      </c>
      <c r="AF1255" s="11" t="s">
        <v>55</v>
      </c>
      <c r="AG1255" s="11" t="e">
        <f>VLOOKUP(L1255,'[1]update kontrak'!E:K,6,FALSE)</f>
        <v>#N/A</v>
      </c>
      <c r="AH1255" s="11" t="e">
        <f>VLOOKUP(L1255,'[1]update kontrak'!E:K,7,FALSE)</f>
        <v>#N/A</v>
      </c>
      <c r="AI1255" s="11"/>
      <c r="AJ1255" s="11" t="str">
        <f>VLOOKUP(L1255,[1]rekap!D:M,1,FALSE)</f>
        <v>Holimombo Jaya</v>
      </c>
      <c r="AK1255" s="11" t="e">
        <f>VLOOKUP(L1255,'[1]singkron data'!D:E,2,FALSE)</f>
        <v>#N/A</v>
      </c>
      <c r="AL1255" s="11" t="str">
        <f>VLOOKUP(L1255,'[1]update 521'!D:D,1,FALSE)</f>
        <v>Holimombo Jaya</v>
      </c>
      <c r="AM1255" s="11" t="s">
        <v>1253</v>
      </c>
      <c r="AN1255" s="11" t="e">
        <f>VLOOKUP(L1255,[1]Sheet19!E:L,8,FALSE)</f>
        <v>#N/A</v>
      </c>
      <c r="AO1255" s="11" t="e">
        <f>VLOOKUP(L1255,[1]Sheet19!E:K,7,FALSE)</f>
        <v>#N/A</v>
      </c>
      <c r="AP1255" s="12"/>
    </row>
    <row r="1256" spans="1:42" ht="15" x14ac:dyDescent="0.2">
      <c r="A1256" s="8" t="s">
        <v>2876</v>
      </c>
      <c r="B1256" s="9" t="s">
        <v>60</v>
      </c>
      <c r="C1256" s="9">
        <v>1388</v>
      </c>
      <c r="D1256" s="9" t="s">
        <v>1112</v>
      </c>
      <c r="E1256" s="30"/>
      <c r="F1256" s="9" t="s">
        <v>1431</v>
      </c>
      <c r="G1256" s="9" t="s">
        <v>1141</v>
      </c>
      <c r="H1256" s="9" t="s">
        <v>287</v>
      </c>
      <c r="I1256" s="9" t="s">
        <v>1432</v>
      </c>
      <c r="J1256" s="9" t="s">
        <v>1433</v>
      </c>
      <c r="K1256" s="9" t="s">
        <v>2890</v>
      </c>
      <c r="L1256" s="10" t="s">
        <v>2890</v>
      </c>
      <c r="M1256" s="9" t="s">
        <v>51</v>
      </c>
      <c r="N1256" s="9">
        <v>189</v>
      </c>
      <c r="O1256" s="9">
        <v>50</v>
      </c>
      <c r="P1256" s="9">
        <v>132</v>
      </c>
      <c r="Q1256" s="9">
        <v>182</v>
      </c>
      <c r="R1256" s="9" t="s">
        <v>2891</v>
      </c>
      <c r="S1256" s="9">
        <v>-5.4084459999999996</v>
      </c>
      <c r="T1256" s="9">
        <v>123.09904299999999</v>
      </c>
      <c r="U1256" s="9"/>
      <c r="V1256" s="11" t="s">
        <v>2892</v>
      </c>
      <c r="W1256" s="11"/>
      <c r="X1256" s="11"/>
      <c r="Y1256" s="11" t="e">
        <f>VLOOKUP(L1256,'[1]singkron data'!D:H,5,FALSE)</f>
        <v>#N/A</v>
      </c>
      <c r="Z1256" s="11" t="e">
        <f>VLOOKUP(L1256,'[1]singkron data'!D:I,6,FALSE)</f>
        <v>#N/A</v>
      </c>
      <c r="AA1256" s="11" t="s">
        <v>2893</v>
      </c>
      <c r="AB1256" s="11" t="s">
        <v>54</v>
      </c>
      <c r="AC1256" s="11" t="s">
        <v>2894</v>
      </c>
      <c r="AD1256" s="11" t="s">
        <v>364</v>
      </c>
      <c r="AE1256" s="11" t="e">
        <f>VLOOKUP(L1256,'[1]singkron data'!D:P,13,FALSE)</f>
        <v>#N/A</v>
      </c>
      <c r="AF1256" s="11" t="s">
        <v>55</v>
      </c>
      <c r="AG1256" s="11" t="e">
        <f>VLOOKUP(L1256,'[1]update kontrak'!E:K,6,FALSE)</f>
        <v>#N/A</v>
      </c>
      <c r="AH1256" s="11" t="e">
        <f>VLOOKUP(L1256,'[1]update kontrak'!E:K,7,FALSE)</f>
        <v>#N/A</v>
      </c>
      <c r="AI1256" s="11"/>
      <c r="AJ1256" s="11" t="str">
        <f>VLOOKUP(L1256,[1]rekap!D:M,1,FALSE)</f>
        <v>Kumbewaha</v>
      </c>
      <c r="AK1256" s="11" t="e">
        <f>VLOOKUP(L1256,'[1]singkron data'!D:E,2,FALSE)</f>
        <v>#N/A</v>
      </c>
      <c r="AL1256" s="11" t="str">
        <f>VLOOKUP(L1256,'[1]update 521'!D:D,1,FALSE)</f>
        <v>Kumbewaha</v>
      </c>
      <c r="AM1256" s="11" t="s">
        <v>1253</v>
      </c>
      <c r="AN1256" s="11" t="e">
        <f>VLOOKUP(L1256,[1]Sheet19!E:L,8,FALSE)</f>
        <v>#N/A</v>
      </c>
      <c r="AO1256" s="11" t="e">
        <f>VLOOKUP(L1256,[1]Sheet19!E:K,7,FALSE)</f>
        <v>#N/A</v>
      </c>
      <c r="AP1256" s="12"/>
    </row>
    <row r="1257" spans="1:42" ht="15" x14ac:dyDescent="0.2">
      <c r="A1257" s="8" t="s">
        <v>2876</v>
      </c>
      <c r="B1257" s="9" t="s">
        <v>60</v>
      </c>
      <c r="C1257" s="9">
        <v>1389</v>
      </c>
      <c r="D1257" s="9" t="s">
        <v>1112</v>
      </c>
      <c r="E1257" s="30"/>
      <c r="F1257" s="9" t="s">
        <v>1260</v>
      </c>
      <c r="G1257" s="9" t="s">
        <v>1141</v>
      </c>
      <c r="H1257" s="9" t="s">
        <v>287</v>
      </c>
      <c r="I1257" s="9" t="s">
        <v>1269</v>
      </c>
      <c r="J1257" s="9" t="s">
        <v>1270</v>
      </c>
      <c r="K1257" s="9" t="s">
        <v>2895</v>
      </c>
      <c r="L1257" s="10" t="s">
        <v>2895</v>
      </c>
      <c r="M1257" s="9" t="s">
        <v>51</v>
      </c>
      <c r="N1257" s="9">
        <v>230</v>
      </c>
      <c r="O1257" s="9">
        <v>50</v>
      </c>
      <c r="P1257" s="9">
        <v>150</v>
      </c>
      <c r="Q1257" s="9">
        <v>200</v>
      </c>
      <c r="R1257" s="9">
        <v>0.16500000000000001</v>
      </c>
      <c r="S1257" s="9">
        <v>-5.5018409999999998</v>
      </c>
      <c r="T1257" s="9">
        <v>122.524587</v>
      </c>
      <c r="U1257" s="9"/>
      <c r="V1257" s="11" t="s">
        <v>2896</v>
      </c>
      <c r="W1257" s="11"/>
      <c r="X1257" s="11"/>
      <c r="Y1257" s="11" t="e">
        <f>VLOOKUP(L1257,'[1]singkron data'!D:H,5,FALSE)</f>
        <v>#N/A</v>
      </c>
      <c r="Z1257" s="11" t="e">
        <f>VLOOKUP(L1257,'[1]singkron data'!D:I,6,FALSE)</f>
        <v>#N/A</v>
      </c>
      <c r="AA1257" s="11" t="s">
        <v>2897</v>
      </c>
      <c r="AB1257" s="11" t="s">
        <v>54</v>
      </c>
      <c r="AC1257" s="11" t="s">
        <v>2898</v>
      </c>
      <c r="AD1257" s="11" t="s">
        <v>364</v>
      </c>
      <c r="AE1257" s="11" t="e">
        <f>VLOOKUP(L1257,'[1]singkron data'!D:P,13,FALSE)</f>
        <v>#N/A</v>
      </c>
      <c r="AF1257" s="11" t="s">
        <v>55</v>
      </c>
      <c r="AG1257" s="11" t="e">
        <f>VLOOKUP(L1257,'[1]update kontrak'!E:K,6,FALSE)</f>
        <v>#N/A</v>
      </c>
      <c r="AH1257" s="11" t="e">
        <f>VLOOKUP(L1257,'[1]update kontrak'!E:K,7,FALSE)</f>
        <v>#N/A</v>
      </c>
      <c r="AI1257" s="11"/>
      <c r="AJ1257" s="11" t="str">
        <f>VLOOKUP(L1257,[1]rekap!D:M,1,FALSE)</f>
        <v>Banabungi</v>
      </c>
      <c r="AK1257" s="11" t="e">
        <f>VLOOKUP(L1257,'[1]singkron data'!D:E,2,FALSE)</f>
        <v>#N/A</v>
      </c>
      <c r="AL1257" s="11" t="str">
        <f>VLOOKUP(L1257,'[1]update 521'!D:D,1,FALSE)</f>
        <v>Banabungi</v>
      </c>
      <c r="AM1257" s="11" t="s">
        <v>1253</v>
      </c>
      <c r="AN1257" s="11" t="e">
        <f>VLOOKUP(L1257,[1]Sheet19!E:L,8,FALSE)</f>
        <v>#N/A</v>
      </c>
      <c r="AO1257" s="11" t="e">
        <f>VLOOKUP(L1257,[1]Sheet19!E:K,7,FALSE)</f>
        <v>#N/A</v>
      </c>
      <c r="AP1257" s="12"/>
    </row>
    <row r="1258" spans="1:42" ht="15" x14ac:dyDescent="0.2">
      <c r="A1258" s="8" t="s">
        <v>2876</v>
      </c>
      <c r="B1258" s="9" t="s">
        <v>60</v>
      </c>
      <c r="C1258" s="9">
        <v>1390</v>
      </c>
      <c r="D1258" s="9" t="s">
        <v>1112</v>
      </c>
      <c r="E1258" s="30"/>
      <c r="F1258" s="9" t="s">
        <v>2549</v>
      </c>
      <c r="G1258" s="9" t="s">
        <v>1141</v>
      </c>
      <c r="H1258" s="9" t="s">
        <v>287</v>
      </c>
      <c r="I1258" s="9" t="s">
        <v>2550</v>
      </c>
      <c r="J1258" s="9" t="s">
        <v>2899</v>
      </c>
      <c r="K1258" s="9" t="s">
        <v>2900</v>
      </c>
      <c r="L1258" s="10" t="s">
        <v>2900</v>
      </c>
      <c r="M1258" s="9" t="s">
        <v>51</v>
      </c>
      <c r="N1258" s="9">
        <v>236</v>
      </c>
      <c r="O1258" s="9">
        <v>36</v>
      </c>
      <c r="P1258" s="9">
        <v>129</v>
      </c>
      <c r="Q1258" s="9">
        <v>165</v>
      </c>
      <c r="R1258" s="9" t="s">
        <v>2901</v>
      </c>
      <c r="S1258" s="9">
        <v>-5.5383579999999997</v>
      </c>
      <c r="T1258" s="9">
        <v>123.747783</v>
      </c>
      <c r="U1258" s="9"/>
      <c r="V1258" s="11" t="s">
        <v>2902</v>
      </c>
      <c r="W1258" s="11"/>
      <c r="X1258" s="11"/>
      <c r="Y1258" s="11" t="e">
        <f>VLOOKUP(L1258,'[1]singkron data'!D:H,5,FALSE)</f>
        <v>#N/A</v>
      </c>
      <c r="Z1258" s="11" t="e">
        <f>VLOOKUP(L1258,'[1]singkron data'!D:I,6,FALSE)</f>
        <v>#N/A</v>
      </c>
      <c r="AA1258" s="11" t="s">
        <v>2903</v>
      </c>
      <c r="AB1258" s="11" t="s">
        <v>54</v>
      </c>
      <c r="AC1258" s="11" t="s">
        <v>2904</v>
      </c>
      <c r="AD1258" s="11" t="s">
        <v>364</v>
      </c>
      <c r="AE1258" s="11" t="e">
        <f>VLOOKUP(L1258,'[1]singkron data'!D:P,13,FALSE)</f>
        <v>#N/A</v>
      </c>
      <c r="AF1258" s="11" t="s">
        <v>55</v>
      </c>
      <c r="AG1258" s="11" t="e">
        <f>VLOOKUP(L1258,'[1]update kontrak'!E:K,6,FALSE)</f>
        <v>#N/A</v>
      </c>
      <c r="AH1258" s="11" t="e">
        <f>VLOOKUP(L1258,'[1]update kontrak'!E:K,7,FALSE)</f>
        <v>#N/A</v>
      </c>
      <c r="AI1258" s="11"/>
      <c r="AJ1258" s="11" t="str">
        <f>VLOOKUP(L1258,[1]rekap!D:M,1,FALSE)</f>
        <v>Mantigola Makmur</v>
      </c>
      <c r="AK1258" s="11" t="e">
        <f>VLOOKUP(L1258,'[1]singkron data'!D:E,2,FALSE)</f>
        <v>#N/A</v>
      </c>
      <c r="AL1258" s="11" t="str">
        <f>VLOOKUP(L1258,'[1]update 521'!D:D,1,FALSE)</f>
        <v>Mantigola Makmur</v>
      </c>
      <c r="AM1258" s="11" t="s">
        <v>1253</v>
      </c>
      <c r="AN1258" s="11" t="e">
        <f>VLOOKUP(L1258,[1]Sheet19!E:L,8,FALSE)</f>
        <v>#N/A</v>
      </c>
      <c r="AO1258" s="11" t="e">
        <f>VLOOKUP(L1258,[1]Sheet19!E:K,7,FALSE)</f>
        <v>#N/A</v>
      </c>
      <c r="AP1258" s="12"/>
    </row>
    <row r="1259" spans="1:42" ht="15" x14ac:dyDescent="0.2">
      <c r="A1259" s="8" t="s">
        <v>2876</v>
      </c>
      <c r="B1259" s="9" t="s">
        <v>60</v>
      </c>
      <c r="C1259" s="9">
        <v>1391</v>
      </c>
      <c r="D1259" s="9" t="s">
        <v>1112</v>
      </c>
      <c r="E1259" s="30"/>
      <c r="F1259" s="9" t="s">
        <v>2549</v>
      </c>
      <c r="G1259" s="9" t="s">
        <v>1141</v>
      </c>
      <c r="H1259" s="9" t="s">
        <v>287</v>
      </c>
      <c r="I1259" s="9" t="s">
        <v>2550</v>
      </c>
      <c r="J1259" s="9" t="s">
        <v>2899</v>
      </c>
      <c r="K1259" s="9" t="s">
        <v>2905</v>
      </c>
      <c r="L1259" s="10" t="s">
        <v>2905</v>
      </c>
      <c r="M1259" s="9" t="s">
        <v>51</v>
      </c>
      <c r="N1259" s="9">
        <v>76</v>
      </c>
      <c r="O1259" s="9">
        <v>8</v>
      </c>
      <c r="P1259" s="9">
        <v>30</v>
      </c>
      <c r="Q1259" s="9">
        <v>38</v>
      </c>
      <c r="R1259" s="9" t="s">
        <v>2906</v>
      </c>
      <c r="S1259" s="9">
        <v>-5.5095700000000001</v>
      </c>
      <c r="T1259" s="9">
        <v>123.770831</v>
      </c>
      <c r="U1259" s="9"/>
      <c r="V1259" s="11" t="s">
        <v>2885</v>
      </c>
      <c r="W1259" s="11"/>
      <c r="X1259" s="11"/>
      <c r="Y1259" s="11" t="e">
        <f>VLOOKUP(L1259,'[1]singkron data'!D:H,5,FALSE)</f>
        <v>#N/A</v>
      </c>
      <c r="Z1259" s="11" t="e">
        <f>VLOOKUP(L1259,'[1]singkron data'!D:I,6,FALSE)</f>
        <v>#N/A</v>
      </c>
      <c r="AA1259" s="51" t="s">
        <v>2886</v>
      </c>
      <c r="AB1259" s="11" t="s">
        <v>54</v>
      </c>
      <c r="AC1259" s="11" t="s">
        <v>2887</v>
      </c>
      <c r="AD1259" s="11" t="s">
        <v>364</v>
      </c>
      <c r="AE1259" s="11" t="e">
        <f>VLOOKUP(L1259,'[1]singkron data'!D:P,13,FALSE)</f>
        <v>#N/A</v>
      </c>
      <c r="AF1259" s="11" t="s">
        <v>55</v>
      </c>
      <c r="AG1259" s="11" t="e">
        <f>VLOOKUP(L1259,'[1]update kontrak'!E:K,6,FALSE)</f>
        <v>#N/A</v>
      </c>
      <c r="AH1259" s="11" t="e">
        <f>VLOOKUP(L1259,'[1]update kontrak'!E:K,7,FALSE)</f>
        <v>#N/A</v>
      </c>
      <c r="AI1259" s="11"/>
      <c r="AJ1259" s="11" t="str">
        <f>VLOOKUP(L1259,[1]rekap!D:M,1,FALSE)</f>
        <v>Ollo Selatan</v>
      </c>
      <c r="AK1259" s="11" t="e">
        <f>VLOOKUP(L1259,'[1]singkron data'!D:E,2,FALSE)</f>
        <v>#N/A</v>
      </c>
      <c r="AL1259" s="11" t="str">
        <f>VLOOKUP(L1259,'[1]update 521'!D:D,1,FALSE)</f>
        <v>Ollo Selatan</v>
      </c>
      <c r="AM1259" s="11" t="s">
        <v>1253</v>
      </c>
      <c r="AN1259" s="11" t="e">
        <f>VLOOKUP(L1259,[1]Sheet19!E:L,8,FALSE)</f>
        <v>#N/A</v>
      </c>
      <c r="AO1259" s="11" t="e">
        <f>VLOOKUP(L1259,[1]Sheet19!E:K,7,FALSE)</f>
        <v>#N/A</v>
      </c>
      <c r="AP1259" s="12"/>
    </row>
    <row r="1260" spans="1:42" ht="15" x14ac:dyDescent="0.2">
      <c r="A1260" s="8" t="s">
        <v>2876</v>
      </c>
      <c r="B1260" s="9" t="s">
        <v>60</v>
      </c>
      <c r="C1260" s="9">
        <v>1392</v>
      </c>
      <c r="D1260" s="9" t="s">
        <v>1112</v>
      </c>
      <c r="E1260" s="30"/>
      <c r="F1260" s="9" t="s">
        <v>2549</v>
      </c>
      <c r="G1260" s="9" t="s">
        <v>1141</v>
      </c>
      <c r="H1260" s="9" t="s">
        <v>287</v>
      </c>
      <c r="I1260" s="9" t="s">
        <v>2550</v>
      </c>
      <c r="J1260" s="9" t="s">
        <v>2555</v>
      </c>
      <c r="K1260" s="9" t="s">
        <v>2907</v>
      </c>
      <c r="L1260" s="10" t="s">
        <v>2907</v>
      </c>
      <c r="M1260" s="9" t="s">
        <v>51</v>
      </c>
      <c r="N1260" s="9">
        <v>161</v>
      </c>
      <c r="O1260" s="9">
        <v>9</v>
      </c>
      <c r="P1260" s="9">
        <v>85</v>
      </c>
      <c r="Q1260" s="9">
        <v>94</v>
      </c>
      <c r="R1260" s="9" t="s">
        <v>2908</v>
      </c>
      <c r="S1260" s="9">
        <v>-5.9225969999999997</v>
      </c>
      <c r="T1260" s="9">
        <v>123.975324</v>
      </c>
      <c r="U1260" s="9"/>
      <c r="V1260" s="11" t="s">
        <v>2885</v>
      </c>
      <c r="W1260" s="11"/>
      <c r="X1260" s="11"/>
      <c r="Y1260" s="11" t="e">
        <f>VLOOKUP(L1260,'[1]singkron data'!D:H,5,FALSE)</f>
        <v>#N/A</v>
      </c>
      <c r="Z1260" s="11" t="e">
        <f>VLOOKUP(L1260,'[1]singkron data'!D:I,6,FALSE)</f>
        <v>#N/A</v>
      </c>
      <c r="AA1260" s="51" t="s">
        <v>2886</v>
      </c>
      <c r="AB1260" s="11" t="s">
        <v>54</v>
      </c>
      <c r="AC1260" s="11" t="s">
        <v>2887</v>
      </c>
      <c r="AD1260" s="11" t="s">
        <v>364</v>
      </c>
      <c r="AE1260" s="11" t="e">
        <f>VLOOKUP(L1260,'[1]singkron data'!D:P,13,FALSE)</f>
        <v>#N/A</v>
      </c>
      <c r="AF1260" s="11" t="s">
        <v>55</v>
      </c>
      <c r="AG1260" s="11" t="e">
        <f>VLOOKUP(L1260,'[1]update kontrak'!E:K,6,FALSE)</f>
        <v>#N/A</v>
      </c>
      <c r="AH1260" s="11" t="e">
        <f>VLOOKUP(L1260,'[1]update kontrak'!E:K,7,FALSE)</f>
        <v>#N/A</v>
      </c>
      <c r="AI1260" s="11"/>
      <c r="AJ1260" s="11" t="str">
        <f>VLOOKUP(L1260,[1]rekap!D:M,1,FALSE)</f>
        <v>Taipabu</v>
      </c>
      <c r="AK1260" s="11" t="e">
        <f>VLOOKUP(L1260,'[1]singkron data'!D:E,2,FALSE)</f>
        <v>#N/A</v>
      </c>
      <c r="AL1260" s="11" t="str">
        <f>VLOOKUP(L1260,'[1]update 521'!D:D,1,FALSE)</f>
        <v>Taipabu</v>
      </c>
      <c r="AM1260" s="11" t="s">
        <v>1253</v>
      </c>
      <c r="AN1260" s="11" t="e">
        <f>VLOOKUP(L1260,[1]Sheet19!E:L,8,FALSE)</f>
        <v>#N/A</v>
      </c>
      <c r="AO1260" s="11" t="e">
        <f>VLOOKUP(L1260,[1]Sheet19!E:K,7,FALSE)</f>
        <v>#N/A</v>
      </c>
      <c r="AP1260" s="12"/>
    </row>
    <row r="1261" spans="1:42" ht="15" x14ac:dyDescent="0.2">
      <c r="A1261" s="8" t="s">
        <v>2876</v>
      </c>
      <c r="B1261" s="9" t="s">
        <v>60</v>
      </c>
      <c r="C1261" s="9">
        <v>1393</v>
      </c>
      <c r="D1261" s="9" t="s">
        <v>1112</v>
      </c>
      <c r="E1261" s="30"/>
      <c r="F1261" s="9" t="s">
        <v>1229</v>
      </c>
      <c r="G1261" s="9" t="s">
        <v>1125</v>
      </c>
      <c r="H1261" s="9" t="s">
        <v>287</v>
      </c>
      <c r="I1261" s="9" t="s">
        <v>1230</v>
      </c>
      <c r="J1261" s="9" t="s">
        <v>2909</v>
      </c>
      <c r="K1261" s="9" t="s">
        <v>2910</v>
      </c>
      <c r="L1261" s="9" t="s">
        <v>2910</v>
      </c>
      <c r="M1261" s="9" t="s">
        <v>51</v>
      </c>
      <c r="N1261" s="9">
        <v>160</v>
      </c>
      <c r="O1261" s="9">
        <v>0</v>
      </c>
      <c r="P1261" s="9">
        <v>80</v>
      </c>
      <c r="Q1261" s="9">
        <v>80</v>
      </c>
      <c r="R1261" s="9">
        <v>0.10199999999999999</v>
      </c>
      <c r="S1261" s="9">
        <v>4.022653</v>
      </c>
      <c r="T1261" s="9">
        <v>126.61748900000001</v>
      </c>
      <c r="U1261" s="9"/>
      <c r="V1261" s="11" t="e">
        <f>VLOOKUP(L1261,'[1]singkron data'!D:E,2,FALSE)</f>
        <v>#N/A</v>
      </c>
      <c r="W1261" s="13"/>
      <c r="X1261" s="11"/>
      <c r="Y1261" s="11" t="e">
        <f>VLOOKUP(L1261,'[1]singkron data'!D:H,5,FALSE)</f>
        <v>#N/A</v>
      </c>
      <c r="Z1261" s="11" t="e">
        <f>VLOOKUP(L1261,'[1]singkron data'!D:I,6,FALSE)</f>
        <v>#N/A</v>
      </c>
      <c r="AA1261" s="11" t="e">
        <f>VLOOKUP(L1261,'[1]singkron data'!D:L,9,FALSE)</f>
        <v>#N/A</v>
      </c>
      <c r="AB1261" s="11" t="s">
        <v>694</v>
      </c>
      <c r="AC1261" s="11" t="e">
        <f>VLOOKUP(L1261,'[1]singkron data'!D:M,10,FALSE)</f>
        <v>#N/A</v>
      </c>
      <c r="AD1261" s="11"/>
      <c r="AE1261" s="11" t="e">
        <f>VLOOKUP(L1261,'[1]singkron data'!D:P,13,FALSE)</f>
        <v>#N/A</v>
      </c>
      <c r="AF1261" s="11" t="s">
        <v>55</v>
      </c>
      <c r="AG1261" s="11" t="e">
        <f>VLOOKUP(L1261,'[1]update kontrak'!E:K,6,FALSE)</f>
        <v>#N/A</v>
      </c>
      <c r="AH1261" s="11" t="e">
        <f>VLOOKUP(L1261,'[1]update kontrak'!E:K,7,FALSE)</f>
        <v>#N/A</v>
      </c>
      <c r="AI1261" s="11"/>
      <c r="AJ1261" s="11" t="str">
        <f>VLOOKUP(L1261,[1]rekap!D:M,1,FALSE)</f>
        <v>Kalongan Selatan</v>
      </c>
      <c r="AK1261" s="11" t="e">
        <f>VLOOKUP(L1261,'[1]singkron data'!D:E,2,FALSE)</f>
        <v>#N/A</v>
      </c>
      <c r="AL1261" s="11" t="str">
        <f>VLOOKUP(L1261,'[1]update 521'!D:D,1,FALSE)</f>
        <v>Kalongan Selatan</v>
      </c>
      <c r="AM1261" s="11" t="s">
        <v>1253</v>
      </c>
      <c r="AN1261" s="11" t="e">
        <f>VLOOKUP(L1261,[1]Sheet19!E:L,8,FALSE)</f>
        <v>#N/A</v>
      </c>
      <c r="AO1261" s="11" t="e">
        <f>VLOOKUP(L1261,[1]Sheet19!E:K,7,FALSE)</f>
        <v>#N/A</v>
      </c>
      <c r="AP1261" s="12"/>
    </row>
    <row r="1262" spans="1:42" ht="15" x14ac:dyDescent="0.2">
      <c r="A1262" s="8" t="s">
        <v>2876</v>
      </c>
      <c r="B1262" s="9" t="s">
        <v>60</v>
      </c>
      <c r="C1262" s="9">
        <v>1394</v>
      </c>
      <c r="D1262" s="9" t="s">
        <v>1112</v>
      </c>
      <c r="E1262" s="30"/>
      <c r="F1262" s="9" t="s">
        <v>1229</v>
      </c>
      <c r="G1262" s="9" t="s">
        <v>1125</v>
      </c>
      <c r="H1262" s="9" t="s">
        <v>287</v>
      </c>
      <c r="I1262" s="9" t="s">
        <v>1230</v>
      </c>
      <c r="J1262" s="9" t="s">
        <v>2911</v>
      </c>
      <c r="K1262" s="9" t="s">
        <v>2912</v>
      </c>
      <c r="L1262" s="9" t="s">
        <v>2912</v>
      </c>
      <c r="M1262" s="9" t="s">
        <v>51</v>
      </c>
      <c r="N1262" s="9">
        <v>100</v>
      </c>
      <c r="O1262" s="9">
        <v>0</v>
      </c>
      <c r="P1262" s="9">
        <v>150</v>
      </c>
      <c r="Q1262" s="9">
        <v>150</v>
      </c>
      <c r="R1262" s="9">
        <v>0.30709999999999998</v>
      </c>
      <c r="S1262" s="9">
        <v>3.7831969999999999</v>
      </c>
      <c r="T1262" s="9">
        <v>126.75752199999999</v>
      </c>
      <c r="U1262" s="9"/>
      <c r="V1262" s="11" t="e">
        <f>VLOOKUP(L1262,'[1]singkron data'!D:E,2,FALSE)</f>
        <v>#N/A</v>
      </c>
      <c r="W1262" s="13"/>
      <c r="X1262" s="11"/>
      <c r="Y1262" s="11" t="e">
        <f>VLOOKUP(L1262,'[1]singkron data'!D:H,5,FALSE)</f>
        <v>#N/A</v>
      </c>
      <c r="Z1262" s="11" t="e">
        <f>VLOOKUP(L1262,'[1]singkron data'!D:I,6,FALSE)</f>
        <v>#N/A</v>
      </c>
      <c r="AA1262" s="11" t="e">
        <f>VLOOKUP(L1262,'[1]singkron data'!D:L,9,FALSE)</f>
        <v>#N/A</v>
      </c>
      <c r="AB1262" s="11" t="s">
        <v>694</v>
      </c>
      <c r="AC1262" s="11" t="e">
        <f>VLOOKUP(L1262,'[1]singkron data'!D:M,10,FALSE)</f>
        <v>#N/A</v>
      </c>
      <c r="AD1262" s="11"/>
      <c r="AE1262" s="11" t="e">
        <f>VLOOKUP(L1262,'[1]singkron data'!D:P,13,FALSE)</f>
        <v>#N/A</v>
      </c>
      <c r="AF1262" s="11" t="s">
        <v>55</v>
      </c>
      <c r="AG1262" s="11" t="e">
        <f>VLOOKUP(L1262,'[1]update kontrak'!E:K,6,FALSE)</f>
        <v>#N/A</v>
      </c>
      <c r="AH1262" s="11" t="e">
        <f>VLOOKUP(L1262,'[1]update kontrak'!E:K,7,FALSE)</f>
        <v>#N/A</v>
      </c>
      <c r="AI1262" s="11"/>
      <c r="AJ1262" s="11" t="str">
        <f>VLOOKUP(L1262,[1]rekap!D:M,1,FALSE)</f>
        <v>Bulude</v>
      </c>
      <c r="AK1262" s="11" t="e">
        <f>VLOOKUP(L1262,'[1]singkron data'!D:E,2,FALSE)</f>
        <v>#N/A</v>
      </c>
      <c r="AL1262" s="11" t="str">
        <f>VLOOKUP(L1262,'[1]update 521'!D:D,1,FALSE)</f>
        <v>Bulude</v>
      </c>
      <c r="AM1262" s="11" t="s">
        <v>1253</v>
      </c>
      <c r="AN1262" s="11" t="e">
        <f>VLOOKUP(L1262,[1]Sheet19!E:L,8,FALSE)</f>
        <v>#N/A</v>
      </c>
      <c r="AO1262" s="11" t="e">
        <f>VLOOKUP(L1262,[1]Sheet19!E:K,7,FALSE)</f>
        <v>#N/A</v>
      </c>
      <c r="AP1262" s="12"/>
    </row>
    <row r="1263" spans="1:42" ht="15" x14ac:dyDescent="0.2">
      <c r="A1263" s="8" t="s">
        <v>2876</v>
      </c>
      <c r="B1263" s="9" t="s">
        <v>60</v>
      </c>
      <c r="C1263" s="9">
        <v>1395</v>
      </c>
      <c r="D1263" s="9" t="s">
        <v>1112</v>
      </c>
      <c r="E1263" s="30"/>
      <c r="F1263" s="9" t="s">
        <v>1229</v>
      </c>
      <c r="G1263" s="9" t="s">
        <v>1125</v>
      </c>
      <c r="H1263" s="9" t="s">
        <v>287</v>
      </c>
      <c r="I1263" s="9" t="s">
        <v>1230</v>
      </c>
      <c r="J1263" s="9" t="s">
        <v>2913</v>
      </c>
      <c r="K1263" s="9" t="s">
        <v>2913</v>
      </c>
      <c r="L1263" s="9" t="s">
        <v>2913</v>
      </c>
      <c r="M1263" s="9" t="s">
        <v>51</v>
      </c>
      <c r="N1263" s="9">
        <v>125</v>
      </c>
      <c r="O1263" s="9">
        <v>0</v>
      </c>
      <c r="P1263" s="9">
        <v>150</v>
      </c>
      <c r="Q1263" s="9">
        <v>150</v>
      </c>
      <c r="R1263" s="9">
        <v>4.7500000000000001E-2</v>
      </c>
      <c r="S1263" s="9">
        <v>3.7426249999999999</v>
      </c>
      <c r="T1263" s="9">
        <v>126.83484199999999</v>
      </c>
      <c r="U1263" s="9"/>
      <c r="V1263" s="11" t="e">
        <f>VLOOKUP(L1263,'[1]singkron data'!D:E,2,FALSE)</f>
        <v>#N/A</v>
      </c>
      <c r="W1263" s="13"/>
      <c r="X1263" s="11"/>
      <c r="Y1263" s="11" t="e">
        <f>VLOOKUP(L1263,'[1]singkron data'!D:H,5,FALSE)</f>
        <v>#N/A</v>
      </c>
      <c r="Z1263" s="11" t="e">
        <f>VLOOKUP(L1263,'[1]singkron data'!D:I,6,FALSE)</f>
        <v>#N/A</v>
      </c>
      <c r="AA1263" s="11" t="e">
        <f>VLOOKUP(L1263,'[1]singkron data'!D:L,9,FALSE)</f>
        <v>#N/A</v>
      </c>
      <c r="AB1263" s="11" t="s">
        <v>694</v>
      </c>
      <c r="AC1263" s="11" t="e">
        <f>VLOOKUP(L1263,'[1]singkron data'!D:M,10,FALSE)</f>
        <v>#N/A</v>
      </c>
      <c r="AD1263" s="11"/>
      <c r="AE1263" s="11" t="e">
        <f>VLOOKUP(L1263,'[1]singkron data'!D:P,13,FALSE)</f>
        <v>#N/A</v>
      </c>
      <c r="AF1263" s="11" t="s">
        <v>55</v>
      </c>
      <c r="AG1263" s="11" t="e">
        <f>VLOOKUP(L1263,'[1]update kontrak'!E:K,6,FALSE)</f>
        <v>#N/A</v>
      </c>
      <c r="AH1263" s="11" t="e">
        <f>VLOOKUP(L1263,'[1]update kontrak'!E:K,7,FALSE)</f>
        <v>#N/A</v>
      </c>
      <c r="AI1263" s="11"/>
      <c r="AJ1263" s="11" t="str">
        <f>VLOOKUP(L1263,[1]rekap!D:M,1,FALSE)</f>
        <v>Damau</v>
      </c>
      <c r="AK1263" s="11" t="e">
        <f>VLOOKUP(L1263,'[1]singkron data'!D:E,2,FALSE)</f>
        <v>#N/A</v>
      </c>
      <c r="AL1263" s="11" t="str">
        <f>VLOOKUP(L1263,'[1]update 521'!D:D,1,FALSE)</f>
        <v>Damau</v>
      </c>
      <c r="AM1263" s="11" t="s">
        <v>1253</v>
      </c>
      <c r="AN1263" s="11" t="e">
        <f>VLOOKUP(L1263,[1]Sheet19!E:L,8,FALSE)</f>
        <v>#N/A</v>
      </c>
      <c r="AO1263" s="11" t="e">
        <f>VLOOKUP(L1263,[1]Sheet19!E:K,7,FALSE)</f>
        <v>#N/A</v>
      </c>
      <c r="AP1263" s="12"/>
    </row>
    <row r="1264" spans="1:42" ht="15" x14ac:dyDescent="0.2">
      <c r="A1264" s="8" t="s">
        <v>2876</v>
      </c>
      <c r="B1264" s="9" t="s">
        <v>60</v>
      </c>
      <c r="C1264" s="9">
        <v>1396</v>
      </c>
      <c r="D1264" s="9" t="s">
        <v>1631</v>
      </c>
      <c r="E1264" s="30"/>
      <c r="F1264" s="9" t="s">
        <v>1971</v>
      </c>
      <c r="G1264" s="9" t="s">
        <v>1633</v>
      </c>
      <c r="H1264" s="9" t="s">
        <v>47</v>
      </c>
      <c r="I1264" s="9" t="s">
        <v>1975</v>
      </c>
      <c r="J1264" s="9" t="s">
        <v>1976</v>
      </c>
      <c r="K1264" s="9" t="s">
        <v>2914</v>
      </c>
      <c r="L1264" s="10" t="s">
        <v>2914</v>
      </c>
      <c r="M1264" s="9" t="s">
        <v>51</v>
      </c>
      <c r="N1264" s="9">
        <v>242</v>
      </c>
      <c r="O1264" s="9">
        <v>43</v>
      </c>
      <c r="P1264" s="9">
        <v>130</v>
      </c>
      <c r="Q1264" s="9">
        <v>173</v>
      </c>
      <c r="R1264" s="9">
        <v>1</v>
      </c>
      <c r="S1264" s="9">
        <v>0.97726469999999999</v>
      </c>
      <c r="T1264" s="9">
        <v>104.4166211</v>
      </c>
      <c r="U1264" s="9"/>
      <c r="V1264" s="20" t="s">
        <v>1704</v>
      </c>
      <c r="W1264" s="11"/>
      <c r="X1264" s="11"/>
      <c r="Y1264" s="11" t="e">
        <f>VLOOKUP(L1264,'[1]singkron data'!D:H,5,FALSE)</f>
        <v>#N/A</v>
      </c>
      <c r="Z1264" s="11" t="e">
        <f>VLOOKUP(L1264,'[1]singkron data'!D:I,6,FALSE)</f>
        <v>#N/A</v>
      </c>
      <c r="AA1264" s="11" t="s">
        <v>1702</v>
      </c>
      <c r="AB1264" s="11" t="s">
        <v>54</v>
      </c>
      <c r="AC1264" s="11" t="s">
        <v>1639</v>
      </c>
      <c r="AD1264" s="11" t="s">
        <v>364</v>
      </c>
      <c r="AE1264" s="11" t="e">
        <f>VLOOKUP(L1264,'[1]singkron data'!D:P,13,FALSE)</f>
        <v>#N/A</v>
      </c>
      <c r="AF1264" s="11" t="s">
        <v>55</v>
      </c>
      <c r="AG1264" s="11" t="e">
        <f>VLOOKUP(L1264,'[1]update kontrak'!E:K,6,FALSE)</f>
        <v>#N/A</v>
      </c>
      <c r="AH1264" s="11" t="e">
        <f>VLOOKUP(L1264,'[1]update kontrak'!E:K,7,FALSE)</f>
        <v>#N/A</v>
      </c>
      <c r="AI1264" s="11"/>
      <c r="AJ1264" s="11" t="str">
        <f>VLOOKUP(L1264,[1]rekap!D:M,1,FALSE)</f>
        <v>Senggarang</v>
      </c>
      <c r="AK1264" s="11" t="e">
        <f>VLOOKUP(L1264,'[1]singkron data'!D:E,2,FALSE)</f>
        <v>#N/A</v>
      </c>
      <c r="AL1264" s="11" t="str">
        <f>VLOOKUP(L1264,'[1]update 521'!D:D,1,FALSE)</f>
        <v>Senggarang</v>
      </c>
      <c r="AM1264" s="11" t="s">
        <v>96</v>
      </c>
      <c r="AN1264" s="11" t="s">
        <v>1704</v>
      </c>
      <c r="AO1264" s="11" t="s">
        <v>1702</v>
      </c>
      <c r="AP1264" s="12"/>
    </row>
    <row r="1265" spans="1:42" ht="15" x14ac:dyDescent="0.2">
      <c r="A1265" s="8" t="s">
        <v>2876</v>
      </c>
      <c r="B1265" s="9" t="s">
        <v>60</v>
      </c>
      <c r="C1265" s="9">
        <v>1397</v>
      </c>
      <c r="D1265" s="9" t="s">
        <v>1631</v>
      </c>
      <c r="E1265" s="30"/>
      <c r="F1265" s="9" t="s">
        <v>2145</v>
      </c>
      <c r="G1265" s="9" t="s">
        <v>1633</v>
      </c>
      <c r="H1265" s="9" t="s">
        <v>47</v>
      </c>
      <c r="I1265" s="9" t="s">
        <v>2435</v>
      </c>
      <c r="J1265" s="9" t="s">
        <v>2915</v>
      </c>
      <c r="K1265" s="9" t="s">
        <v>2916</v>
      </c>
      <c r="L1265" s="10" t="s">
        <v>2916</v>
      </c>
      <c r="M1265" s="9" t="s">
        <v>51</v>
      </c>
      <c r="N1265" s="9">
        <v>151</v>
      </c>
      <c r="O1265" s="9">
        <v>16</v>
      </c>
      <c r="P1265" s="9">
        <v>123</v>
      </c>
      <c r="Q1265" s="9">
        <v>139</v>
      </c>
      <c r="R1265" s="9">
        <v>1</v>
      </c>
      <c r="S1265" s="9">
        <v>0.80281999999999998</v>
      </c>
      <c r="T1265" s="9">
        <v>103.527158</v>
      </c>
      <c r="U1265" s="9"/>
      <c r="V1265" s="20" t="s">
        <v>1704</v>
      </c>
      <c r="W1265" s="11"/>
      <c r="X1265" s="11"/>
      <c r="Y1265" s="11" t="e">
        <f>VLOOKUP(L1265,'[1]singkron data'!D:H,5,FALSE)</f>
        <v>#N/A</v>
      </c>
      <c r="Z1265" s="11" t="e">
        <f>VLOOKUP(L1265,'[1]singkron data'!D:I,6,FALSE)</f>
        <v>#N/A</v>
      </c>
      <c r="AA1265" s="11" t="s">
        <v>1702</v>
      </c>
      <c r="AB1265" s="11" t="s">
        <v>54</v>
      </c>
      <c r="AC1265" s="11" t="s">
        <v>1639</v>
      </c>
      <c r="AD1265" s="11" t="s">
        <v>364</v>
      </c>
      <c r="AE1265" s="11" t="e">
        <f>VLOOKUP(L1265,'[1]singkron data'!D:P,13,FALSE)</f>
        <v>#N/A</v>
      </c>
      <c r="AF1265" s="11" t="s">
        <v>55</v>
      </c>
      <c r="AG1265" s="11" t="e">
        <f>VLOOKUP(L1265,'[1]update kontrak'!E:K,6,FALSE)</f>
        <v>#N/A</v>
      </c>
      <c r="AH1265" s="11" t="e">
        <f>VLOOKUP(L1265,'[1]update kontrak'!E:K,7,FALSE)</f>
        <v>#N/A</v>
      </c>
      <c r="AI1265" s="11"/>
      <c r="AJ1265" s="11" t="str">
        <f>VLOOKUP(L1265,[1]rekap!D:M,1,FALSE)</f>
        <v>Penarah</v>
      </c>
      <c r="AK1265" s="11" t="e">
        <f>VLOOKUP(L1265,'[1]singkron data'!D:E,2,FALSE)</f>
        <v>#N/A</v>
      </c>
      <c r="AL1265" s="11" t="str">
        <f>VLOOKUP(L1265,'[1]update 521'!D:D,1,FALSE)</f>
        <v>Penarah</v>
      </c>
      <c r="AM1265" s="11" t="s">
        <v>96</v>
      </c>
      <c r="AN1265" s="11" t="s">
        <v>1644</v>
      </c>
      <c r="AO1265" s="11" t="s">
        <v>1645</v>
      </c>
      <c r="AP1265" s="12"/>
    </row>
    <row r="1266" spans="1:42" ht="15" x14ac:dyDescent="0.2">
      <c r="A1266" s="8" t="s">
        <v>2876</v>
      </c>
      <c r="B1266" s="9" t="s">
        <v>60</v>
      </c>
      <c r="C1266" s="9">
        <v>1398</v>
      </c>
      <c r="D1266" s="9" t="s">
        <v>1631</v>
      </c>
      <c r="E1266" s="30"/>
      <c r="F1266" s="9" t="s">
        <v>1672</v>
      </c>
      <c r="G1266" s="9" t="s">
        <v>1633</v>
      </c>
      <c r="H1266" s="9" t="s">
        <v>47</v>
      </c>
      <c r="I1266" s="9" t="s">
        <v>1673</v>
      </c>
      <c r="J1266" s="9" t="s">
        <v>2917</v>
      </c>
      <c r="K1266" s="9" t="s">
        <v>280</v>
      </c>
      <c r="L1266" s="10" t="s">
        <v>280</v>
      </c>
      <c r="M1266" s="9" t="s">
        <v>51</v>
      </c>
      <c r="N1266" s="9">
        <v>42</v>
      </c>
      <c r="O1266" s="9">
        <v>15</v>
      </c>
      <c r="P1266" s="9">
        <v>20</v>
      </c>
      <c r="Q1266" s="9">
        <v>35</v>
      </c>
      <c r="R1266" s="9">
        <v>0.32</v>
      </c>
      <c r="S1266" s="9">
        <v>-0.325096</v>
      </c>
      <c r="T1266" s="9">
        <v>104.42875600000001</v>
      </c>
      <c r="U1266" s="9"/>
      <c r="V1266" s="11" t="s">
        <v>1677</v>
      </c>
      <c r="W1266" s="11"/>
      <c r="X1266" s="11"/>
      <c r="Y1266" s="11">
        <f>VLOOKUP(L1266,'[1]singkron data'!D:H,5,FALSE)</f>
        <v>0</v>
      </c>
      <c r="Z1266" s="11">
        <f>VLOOKUP(L1266,'[1]singkron data'!D:I,6,FALSE)</f>
        <v>0</v>
      </c>
      <c r="AA1266" s="11">
        <f>VLOOKUP(L1266,'[1]singkron data'!D:L,9,FALSE)</f>
        <v>0</v>
      </c>
      <c r="AB1266" s="11" t="s">
        <v>54</v>
      </c>
      <c r="AC1266" s="20" t="s">
        <v>1676</v>
      </c>
      <c r="AD1266" s="11" t="str">
        <f>VLOOKUP(L1266,'[1]data 1129'!F:O,10,FALSE)</f>
        <v>Tahap III 166</v>
      </c>
      <c r="AE1266" s="11">
        <f>VLOOKUP(L1266,'[1]singkron data'!D:P,13,FALSE)</f>
        <v>0</v>
      </c>
      <c r="AF1266" s="11" t="s">
        <v>55</v>
      </c>
      <c r="AG1266" s="11" t="e">
        <f>VLOOKUP(L1266,'[1]update kontrak'!E:K,6,FALSE)</f>
        <v>#N/A</v>
      </c>
      <c r="AH1266" s="11" t="e">
        <f>VLOOKUP(L1266,'[1]update kontrak'!E:K,7,FALSE)</f>
        <v>#N/A</v>
      </c>
      <c r="AI1266" s="11"/>
      <c r="AJ1266" s="11" t="str">
        <f>VLOOKUP(L1266,[1]rekap!D:M,1,FALSE)</f>
        <v>Pantai Harapan</v>
      </c>
      <c r="AK1266" s="11" t="str">
        <f>VLOOKUP(L1266,'[1]singkron data'!D:E,2,FALSE)</f>
        <v>PT. Trisama Sakti Contractor</v>
      </c>
      <c r="AL1266" s="11" t="str">
        <f>VLOOKUP(L1266,'[1]update 521'!D:D,1,FALSE)</f>
        <v>Pantai Harapan</v>
      </c>
      <c r="AM1266" s="11" t="s">
        <v>96</v>
      </c>
      <c r="AN1266" s="11" t="s">
        <v>1677</v>
      </c>
      <c r="AO1266" s="11"/>
      <c r="AP1266" s="12"/>
    </row>
    <row r="1267" spans="1:42" ht="15" x14ac:dyDescent="0.2">
      <c r="A1267" s="8" t="s">
        <v>2876</v>
      </c>
      <c r="B1267" s="9" t="s">
        <v>60</v>
      </c>
      <c r="C1267" s="9">
        <v>1399</v>
      </c>
      <c r="D1267" s="9" t="s">
        <v>1631</v>
      </c>
      <c r="E1267" s="30"/>
      <c r="F1267" s="9" t="s">
        <v>1752</v>
      </c>
      <c r="G1267" s="9" t="s">
        <v>1633</v>
      </c>
      <c r="H1267" s="9" t="s">
        <v>47</v>
      </c>
      <c r="I1267" s="9" t="s">
        <v>1753</v>
      </c>
      <c r="J1267" s="9" t="s">
        <v>2793</v>
      </c>
      <c r="K1267" s="9" t="s">
        <v>2918</v>
      </c>
      <c r="L1267" s="37" t="s">
        <v>2918</v>
      </c>
      <c r="M1267" s="9" t="s">
        <v>51</v>
      </c>
      <c r="N1267" s="9">
        <v>60</v>
      </c>
      <c r="O1267" s="9">
        <v>12</v>
      </c>
      <c r="P1267" s="9">
        <v>46</v>
      </c>
      <c r="Q1267" s="9">
        <v>58</v>
      </c>
      <c r="R1267" s="9">
        <v>0.79</v>
      </c>
      <c r="S1267" s="9">
        <v>3.1845723000000001</v>
      </c>
      <c r="T1267" s="9">
        <v>106.2932045</v>
      </c>
      <c r="U1267" s="9"/>
      <c r="V1267" s="31" t="s">
        <v>1709</v>
      </c>
      <c r="W1267" s="11"/>
      <c r="X1267" s="11"/>
      <c r="Y1267" s="11" t="e">
        <f>VLOOKUP(L1267,'[1]singkron data'!D:H,5,FALSE)</f>
        <v>#N/A</v>
      </c>
      <c r="Z1267" s="11" t="e">
        <f>VLOOKUP(L1267,'[1]singkron data'!D:I,6,FALSE)</f>
        <v>#N/A</v>
      </c>
      <c r="AA1267" s="11" t="s">
        <v>1958</v>
      </c>
      <c r="AB1267" s="11" t="s">
        <v>54</v>
      </c>
      <c r="AC1267" s="31" t="s">
        <v>1959</v>
      </c>
      <c r="AD1267" s="11" t="s">
        <v>364</v>
      </c>
      <c r="AE1267" s="11" t="e">
        <f>VLOOKUP(L1267,'[1]singkron data'!D:P,13,FALSE)</f>
        <v>#N/A</v>
      </c>
      <c r="AF1267" s="11" t="s">
        <v>55</v>
      </c>
      <c r="AG1267" s="11" t="e">
        <f>VLOOKUP(L1267,'[1]update kontrak'!E:K,6,FALSE)</f>
        <v>#N/A</v>
      </c>
      <c r="AH1267" s="11" t="e">
        <f>VLOOKUP(L1267,'[1]update kontrak'!E:K,7,FALSE)</f>
        <v>#N/A</v>
      </c>
      <c r="AI1267" s="11"/>
      <c r="AJ1267" s="11" t="str">
        <f>VLOOKUP(L1267,[1]rekap!D:M,1,FALSE)</f>
        <v>Batu Belah</v>
      </c>
      <c r="AK1267" s="11" t="e">
        <f>VLOOKUP(L1267,'[1]singkron data'!D:E,2,FALSE)</f>
        <v>#N/A</v>
      </c>
      <c r="AL1267" s="11" t="str">
        <f>VLOOKUP(L1267,'[1]update 521'!D:D,1,FALSE)</f>
        <v>Batu Belah</v>
      </c>
      <c r="AM1267" s="11" t="s">
        <v>96</v>
      </c>
      <c r="AN1267" s="11" t="s">
        <v>1704</v>
      </c>
      <c r="AO1267" s="11" t="s">
        <v>1702</v>
      </c>
      <c r="AP1267" s="12"/>
    </row>
    <row r="1268" spans="1:42" ht="15" x14ac:dyDescent="0.2">
      <c r="A1268" s="8" t="s">
        <v>2876</v>
      </c>
      <c r="B1268" s="9" t="s">
        <v>60</v>
      </c>
      <c r="C1268" s="9">
        <v>1400</v>
      </c>
      <c r="D1268" s="9" t="s">
        <v>1631</v>
      </c>
      <c r="E1268" s="30"/>
      <c r="F1268" s="9" t="s">
        <v>1971</v>
      </c>
      <c r="G1268" s="9" t="s">
        <v>1633</v>
      </c>
      <c r="H1268" s="9" t="s">
        <v>47</v>
      </c>
      <c r="I1268" s="9" t="s">
        <v>2919</v>
      </c>
      <c r="J1268" s="9" t="s">
        <v>2802</v>
      </c>
      <c r="K1268" s="9" t="s">
        <v>2920</v>
      </c>
      <c r="L1268" s="10" t="s">
        <v>2920</v>
      </c>
      <c r="M1268" s="9" t="s">
        <v>51</v>
      </c>
      <c r="N1268" s="9">
        <v>505</v>
      </c>
      <c r="O1268" s="9">
        <v>54</v>
      </c>
      <c r="P1268" s="9">
        <v>402</v>
      </c>
      <c r="Q1268" s="9">
        <v>456</v>
      </c>
      <c r="R1268" s="9">
        <v>1</v>
      </c>
      <c r="S1268" s="9">
        <v>0.75219369999999997</v>
      </c>
      <c r="T1268" s="9">
        <v>104.32101900000001</v>
      </c>
      <c r="U1268" s="9"/>
      <c r="V1268" s="20" t="s">
        <v>2921</v>
      </c>
      <c r="W1268" s="11"/>
      <c r="X1268" s="11"/>
      <c r="Y1268" s="11" t="e">
        <f>VLOOKUP(L1268,'[1]singkron data'!D:H,5,FALSE)</f>
        <v>#N/A</v>
      </c>
      <c r="Z1268" s="11" t="e">
        <f>VLOOKUP(L1268,'[1]singkron data'!D:I,6,FALSE)</f>
        <v>#N/A</v>
      </c>
      <c r="AA1268" s="11" t="s">
        <v>1638</v>
      </c>
      <c r="AB1268" s="11" t="s">
        <v>54</v>
      </c>
      <c r="AC1268" s="11" t="s">
        <v>1639</v>
      </c>
      <c r="AD1268" s="11" t="s">
        <v>364</v>
      </c>
      <c r="AE1268" s="11" t="e">
        <f>VLOOKUP(L1268,'[1]singkron data'!D:P,13,FALSE)</f>
        <v>#N/A</v>
      </c>
      <c r="AF1268" s="11" t="s">
        <v>55</v>
      </c>
      <c r="AG1268" s="11" t="e">
        <f>VLOOKUP(L1268,'[1]update kontrak'!E:K,6,FALSE)</f>
        <v>#N/A</v>
      </c>
      <c r="AH1268" s="11" t="e">
        <f>VLOOKUP(L1268,'[1]update kontrak'!E:K,7,FALSE)</f>
        <v>#N/A</v>
      </c>
      <c r="AI1268" s="11"/>
      <c r="AJ1268" s="11" t="str">
        <f>VLOOKUP(L1268,[1]rekap!D:M,1,FALSE)</f>
        <v>Karas</v>
      </c>
      <c r="AK1268" s="11" t="e">
        <f>VLOOKUP(L1268,'[1]singkron data'!D:E,2,FALSE)</f>
        <v>#N/A</v>
      </c>
      <c r="AL1268" s="11" t="str">
        <f>VLOOKUP(L1268,'[1]update 521'!D:D,1,FALSE)</f>
        <v>Karas</v>
      </c>
      <c r="AM1268" s="11" t="s">
        <v>96</v>
      </c>
      <c r="AN1268" s="11" t="s">
        <v>1704</v>
      </c>
      <c r="AO1268" s="11" t="s">
        <v>1702</v>
      </c>
      <c r="AP1268" s="12"/>
    </row>
    <row r="1269" spans="1:42" ht="15" x14ac:dyDescent="0.2">
      <c r="A1269" s="8" t="s">
        <v>2876</v>
      </c>
      <c r="B1269" s="9" t="s">
        <v>60</v>
      </c>
      <c r="C1269" s="9">
        <v>1401</v>
      </c>
      <c r="D1269" s="9" t="s">
        <v>1631</v>
      </c>
      <c r="E1269" s="30"/>
      <c r="F1269" s="9" t="s">
        <v>1971</v>
      </c>
      <c r="G1269" s="9" t="s">
        <v>1633</v>
      </c>
      <c r="H1269" s="9" t="s">
        <v>47</v>
      </c>
      <c r="I1269" s="9" t="s">
        <v>1634</v>
      </c>
      <c r="J1269" s="9" t="s">
        <v>2922</v>
      </c>
      <c r="K1269" s="9" t="s">
        <v>2923</v>
      </c>
      <c r="L1269" s="10" t="s">
        <v>2923</v>
      </c>
      <c r="M1269" s="9" t="s">
        <v>51</v>
      </c>
      <c r="N1269" s="9">
        <v>79</v>
      </c>
      <c r="O1269" s="9">
        <v>3</v>
      </c>
      <c r="P1269" s="9">
        <v>66</v>
      </c>
      <c r="Q1269" s="9">
        <v>69</v>
      </c>
      <c r="R1269" s="9">
        <v>1.4</v>
      </c>
      <c r="S1269" s="9">
        <v>0.81937219999999999</v>
      </c>
      <c r="T1269" s="9">
        <v>104.3654806</v>
      </c>
      <c r="U1269" s="9"/>
      <c r="V1269" s="11" t="s">
        <v>1737</v>
      </c>
      <c r="W1269" s="11"/>
      <c r="X1269" s="11"/>
      <c r="Y1269" s="11" t="e">
        <f>VLOOKUP(L1269,'[1]singkron data'!D:H,5,FALSE)</f>
        <v>#N/A</v>
      </c>
      <c r="Z1269" s="11" t="e">
        <f>VLOOKUP(L1269,'[1]singkron data'!D:I,6,FALSE)</f>
        <v>#N/A</v>
      </c>
      <c r="AA1269" s="11" t="s">
        <v>1738</v>
      </c>
      <c r="AB1269" s="11" t="s">
        <v>54</v>
      </c>
      <c r="AC1269" s="11" t="s">
        <v>1739</v>
      </c>
      <c r="AD1269" s="11" t="s">
        <v>364</v>
      </c>
      <c r="AE1269" s="11" t="e">
        <f>VLOOKUP(L1269,'[1]singkron data'!D:P,13,FALSE)</f>
        <v>#N/A</v>
      </c>
      <c r="AF1269" s="11" t="s">
        <v>55</v>
      </c>
      <c r="AG1269" s="11" t="e">
        <f>VLOOKUP(L1269,'[1]update kontrak'!E:K,6,FALSE)</f>
        <v>#N/A</v>
      </c>
      <c r="AH1269" s="11" t="e">
        <f>VLOOKUP(L1269,'[1]update kontrak'!E:K,7,FALSE)</f>
        <v>#N/A</v>
      </c>
      <c r="AI1269" s="11"/>
      <c r="AJ1269" s="11" t="str">
        <f>VLOOKUP(L1269,[1]rekap!D:M,1,FALSE)</f>
        <v>Pangkil</v>
      </c>
      <c r="AK1269" s="11" t="e">
        <f>VLOOKUP(L1269,'[1]singkron data'!D:E,2,FALSE)</f>
        <v>#N/A</v>
      </c>
      <c r="AL1269" s="11" t="str">
        <f>VLOOKUP(L1269,'[1]update 521'!D:D,1,FALSE)</f>
        <v>Pangkil</v>
      </c>
      <c r="AM1269" s="11" t="s">
        <v>96</v>
      </c>
      <c r="AN1269" s="11" t="s">
        <v>1644</v>
      </c>
      <c r="AO1269" s="11" t="s">
        <v>1645</v>
      </c>
      <c r="AP1269" s="12"/>
    </row>
    <row r="1270" spans="1:42" ht="15" x14ac:dyDescent="0.2">
      <c r="A1270" s="8" t="s">
        <v>2876</v>
      </c>
      <c r="B1270" s="9" t="s">
        <v>60</v>
      </c>
      <c r="C1270" s="9">
        <v>1402</v>
      </c>
      <c r="D1270" s="9" t="s">
        <v>1631</v>
      </c>
      <c r="E1270" s="30"/>
      <c r="F1270" s="9" t="s">
        <v>1752</v>
      </c>
      <c r="G1270" s="9" t="s">
        <v>1633</v>
      </c>
      <c r="H1270" s="9" t="s">
        <v>47</v>
      </c>
      <c r="I1270" s="9" t="s">
        <v>1753</v>
      </c>
      <c r="J1270" s="9" t="s">
        <v>1760</v>
      </c>
      <c r="K1270" s="9" t="s">
        <v>2924</v>
      </c>
      <c r="L1270" s="37" t="s">
        <v>2924</v>
      </c>
      <c r="M1270" s="9" t="s">
        <v>51</v>
      </c>
      <c r="N1270" s="9">
        <v>41</v>
      </c>
      <c r="O1270" s="9">
        <v>12</v>
      </c>
      <c r="P1270" s="9">
        <v>29</v>
      </c>
      <c r="Q1270" s="9">
        <v>41</v>
      </c>
      <c r="R1270" s="9">
        <v>1.4</v>
      </c>
      <c r="S1270" s="9">
        <v>3.0427567999999998</v>
      </c>
      <c r="T1270" s="9">
        <v>105.96769310000001</v>
      </c>
      <c r="U1270" s="9"/>
      <c r="V1270" s="31" t="s">
        <v>1709</v>
      </c>
      <c r="W1270" s="11"/>
      <c r="X1270" s="11"/>
      <c r="Y1270" s="11" t="e">
        <f>VLOOKUP(L1270,'[1]singkron data'!D:H,5,FALSE)</f>
        <v>#N/A</v>
      </c>
      <c r="Z1270" s="11" t="e">
        <f>VLOOKUP(L1270,'[1]singkron data'!D:I,6,FALSE)</f>
        <v>#N/A</v>
      </c>
      <c r="AA1270" s="11" t="s">
        <v>1958</v>
      </c>
      <c r="AB1270" s="11" t="s">
        <v>54</v>
      </c>
      <c r="AC1270" s="31" t="s">
        <v>1959</v>
      </c>
      <c r="AD1270" s="11" t="s">
        <v>364</v>
      </c>
      <c r="AE1270" s="11" t="e">
        <f>VLOOKUP(L1270,'[1]singkron data'!D:P,13,FALSE)</f>
        <v>#N/A</v>
      </c>
      <c r="AF1270" s="11" t="s">
        <v>55</v>
      </c>
      <c r="AG1270" s="11" t="e">
        <f>VLOOKUP(L1270,'[1]update kontrak'!E:K,6,FALSE)</f>
        <v>#N/A</v>
      </c>
      <c r="AH1270" s="11" t="e">
        <f>VLOOKUP(L1270,'[1]update kontrak'!E:K,7,FALSE)</f>
        <v>#N/A</v>
      </c>
      <c r="AI1270" s="11"/>
      <c r="AJ1270" s="11" t="str">
        <f>VLOOKUP(L1270,[1]rekap!D:M,1,FALSE)</f>
        <v>Telaga</v>
      </c>
      <c r="AK1270" s="11" t="e">
        <f>VLOOKUP(L1270,'[1]singkron data'!D:E,2,FALSE)</f>
        <v>#N/A</v>
      </c>
      <c r="AL1270" s="11" t="str">
        <f>VLOOKUP(L1270,'[1]update 521'!D:D,1,FALSE)</f>
        <v>Telaga</v>
      </c>
      <c r="AM1270" s="11" t="s">
        <v>96</v>
      </c>
      <c r="AN1270" s="11" t="s">
        <v>1704</v>
      </c>
      <c r="AO1270" s="11" t="s">
        <v>1702</v>
      </c>
      <c r="AP1270" s="12"/>
    </row>
    <row r="1271" spans="1:42" ht="15" x14ac:dyDescent="0.2">
      <c r="A1271" s="8" t="s">
        <v>2876</v>
      </c>
      <c r="B1271" s="9" t="s">
        <v>60</v>
      </c>
      <c r="C1271" s="9">
        <v>1403</v>
      </c>
      <c r="D1271" s="9" t="s">
        <v>1631</v>
      </c>
      <c r="E1271" s="30"/>
      <c r="F1271" s="9" t="s">
        <v>1632</v>
      </c>
      <c r="G1271" s="9" t="s">
        <v>1633</v>
      </c>
      <c r="H1271" s="9" t="s">
        <v>47</v>
      </c>
      <c r="I1271" s="9" t="s">
        <v>1634</v>
      </c>
      <c r="J1271" s="9" t="s">
        <v>2925</v>
      </c>
      <c r="K1271" s="9" t="s">
        <v>2926</v>
      </c>
      <c r="L1271" s="10" t="s">
        <v>2926</v>
      </c>
      <c r="M1271" s="9" t="s">
        <v>51</v>
      </c>
      <c r="N1271" s="9">
        <v>106</v>
      </c>
      <c r="O1271" s="9">
        <v>1</v>
      </c>
      <c r="P1271" s="9">
        <v>73</v>
      </c>
      <c r="Q1271" s="9">
        <v>74</v>
      </c>
      <c r="R1271" s="9">
        <v>0.5</v>
      </c>
      <c r="S1271" s="9">
        <v>0.79331940000000001</v>
      </c>
      <c r="T1271" s="9">
        <v>104.5051972</v>
      </c>
      <c r="U1271" s="9"/>
      <c r="V1271" s="11" t="s">
        <v>1737</v>
      </c>
      <c r="W1271" s="11"/>
      <c r="X1271" s="11"/>
      <c r="Y1271" s="11" t="e">
        <f>VLOOKUP(L1271,'[1]singkron data'!D:H,5,FALSE)</f>
        <v>#N/A</v>
      </c>
      <c r="Z1271" s="11" t="e">
        <f>VLOOKUP(L1271,'[1]singkron data'!D:I,6,FALSE)</f>
        <v>#N/A</v>
      </c>
      <c r="AA1271" s="11" t="s">
        <v>1738</v>
      </c>
      <c r="AB1271" s="11" t="s">
        <v>54</v>
      </c>
      <c r="AC1271" s="11" t="s">
        <v>1739</v>
      </c>
      <c r="AD1271" s="11" t="s">
        <v>364</v>
      </c>
      <c r="AE1271" s="11" t="e">
        <f>VLOOKUP(L1271,'[1]singkron data'!D:P,13,FALSE)</f>
        <v>#N/A</v>
      </c>
      <c r="AF1271" s="11" t="s">
        <v>55</v>
      </c>
      <c r="AG1271" s="11" t="e">
        <f>VLOOKUP(L1271,'[1]update kontrak'!E:K,6,FALSE)</f>
        <v>#N/A</v>
      </c>
      <c r="AH1271" s="11" t="e">
        <f>VLOOKUP(L1271,'[1]update kontrak'!E:K,7,FALSE)</f>
        <v>#N/A</v>
      </c>
      <c r="AI1271" s="11"/>
      <c r="AJ1271" s="11" t="str">
        <f>VLOOKUP(L1271,[1]rekap!D:M,1,FALSE)</f>
        <v>Dendun</v>
      </c>
      <c r="AK1271" s="11" t="e">
        <f>VLOOKUP(L1271,'[1]singkron data'!D:E,2,FALSE)</f>
        <v>#N/A</v>
      </c>
      <c r="AL1271" s="11" t="str">
        <f>VLOOKUP(L1271,'[1]update 521'!D:D,1,FALSE)</f>
        <v>Dendun</v>
      </c>
      <c r="AM1271" s="11" t="s">
        <v>96</v>
      </c>
      <c r="AN1271" s="11" t="s">
        <v>1644</v>
      </c>
      <c r="AO1271" s="11" t="s">
        <v>1645</v>
      </c>
      <c r="AP1271" s="12"/>
    </row>
    <row r="1272" spans="1:42" ht="15" x14ac:dyDescent="0.2">
      <c r="A1272" s="52" t="s">
        <v>2927</v>
      </c>
      <c r="B1272" s="53" t="s">
        <v>60</v>
      </c>
      <c r="C1272" s="53">
        <v>1404</v>
      </c>
      <c r="D1272" s="53" t="s">
        <v>1112</v>
      </c>
      <c r="E1272" s="54"/>
      <c r="F1272" s="53" t="s">
        <v>1183</v>
      </c>
      <c r="G1272" s="53" t="s">
        <v>1184</v>
      </c>
      <c r="H1272" s="53" t="s">
        <v>287</v>
      </c>
      <c r="I1272" s="53" t="s">
        <v>1273</v>
      </c>
      <c r="J1272" s="53" t="s">
        <v>2928</v>
      </c>
      <c r="K1272" s="53" t="s">
        <v>2929</v>
      </c>
      <c r="L1272" s="55" t="s">
        <v>2929</v>
      </c>
      <c r="M1272" s="53" t="s">
        <v>51</v>
      </c>
      <c r="N1272" s="53">
        <v>500</v>
      </c>
      <c r="O1272" s="53">
        <v>49</v>
      </c>
      <c r="P1272" s="53">
        <v>86</v>
      </c>
      <c r="Q1272" s="53">
        <v>135</v>
      </c>
      <c r="R1272" s="53">
        <v>0.6</v>
      </c>
      <c r="S1272" s="53">
        <v>0.48016199999999998</v>
      </c>
      <c r="T1272" s="53">
        <v>119.90652</v>
      </c>
      <c r="U1272" s="53"/>
      <c r="V1272" s="56" t="s">
        <v>2930</v>
      </c>
      <c r="W1272" s="56"/>
      <c r="X1272" s="56"/>
      <c r="Y1272" s="56" t="e">
        <f>VLOOKUP(L1272,'[1]singkron data'!D:H,5,FALSE)</f>
        <v>#N/A</v>
      </c>
      <c r="Z1272" s="56" t="e">
        <f>VLOOKUP(L1272,'[1]singkron data'!D:I,6,FALSE)</f>
        <v>#N/A</v>
      </c>
      <c r="AA1272" s="56" t="e">
        <f>VLOOKUP(L1272,'[1]singkron data'!D:L,9,FALSE)</f>
        <v>#N/A</v>
      </c>
      <c r="AB1272" s="56" t="s">
        <v>54</v>
      </c>
      <c r="AC1272" s="56" t="s">
        <v>1199</v>
      </c>
      <c r="AD1272" s="56" t="s">
        <v>364</v>
      </c>
      <c r="AE1272" s="56" t="e">
        <f>VLOOKUP(L1272,'[1]singkron data'!D:P,13,FALSE)</f>
        <v>#N/A</v>
      </c>
      <c r="AF1272" s="56" t="s">
        <v>55</v>
      </c>
      <c r="AG1272" s="56" t="e">
        <f>VLOOKUP(L1272,'[1]update kontrak'!E:K,6,FALSE)</f>
        <v>#N/A</v>
      </c>
      <c r="AH1272" s="56" t="e">
        <f>VLOOKUP(L1272,'[1]update kontrak'!E:K,7,FALSE)</f>
        <v>#N/A</v>
      </c>
      <c r="AI1272" s="56" t="s">
        <v>58</v>
      </c>
      <c r="AJ1272" s="56" t="str">
        <f>VLOOKUP(L1272,[1]rekap!D:M,1,FALSE)</f>
        <v>Pangalasiang</v>
      </c>
      <c r="AK1272" s="56" t="e">
        <f>VLOOKUP(L1272,'[1]singkron data'!D:E,2,FALSE)</f>
        <v>#N/A</v>
      </c>
      <c r="AL1272" s="56" t="str">
        <f>VLOOKUP(L1272,'[1]update 521'!D:D,1,FALSE)</f>
        <v>Pangalasiang</v>
      </c>
      <c r="AM1272" s="56" t="s">
        <v>1253</v>
      </c>
      <c r="AN1272" s="56" t="e">
        <f>VLOOKUP(L1272,[1]Sheet19!E:L,8,FALSE)</f>
        <v>#N/A</v>
      </c>
      <c r="AO1272" s="56" t="e">
        <f>VLOOKUP(L1272,[1]Sheet19!E:K,7,FALSE)</f>
        <v>#N/A</v>
      </c>
      <c r="AP1272" s="57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1270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Hery Setiawan</dc:creator>
  <cp:lastModifiedBy>Hery Setiawan</cp:lastModifiedBy>
  <dcterms:created xsi:type="dcterms:W3CDTF">2026-09-06T13:11:41Z</dcterms:created>
  <dcterms:modified xsi:type="dcterms:W3CDTF">2026-09-06T13:11:54Z</dcterms:modified>
</cp:coreProperties>
</file>